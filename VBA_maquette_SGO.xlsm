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Temp\VBA_SGO\planningVBA\"/>
    </mc:Choice>
  </mc:AlternateContent>
  <xr:revisionPtr revIDLastSave="0" documentId="13_ncr:1_{61306397-F22E-462F-BEBE-AAE8DB39AF7E}" xr6:coauthVersionLast="47" xr6:coauthVersionMax="47" xr10:uidLastSave="{00000000-0000-0000-0000-000000000000}"/>
  <bookViews>
    <workbookView xWindow="-120" yWindow="-120" windowWidth="29040" windowHeight="17520" activeTab="14" xr2:uid="{51955342-2016-4ED3-89AF-5FE4F242F456}"/>
  </bookViews>
  <sheets>
    <sheet name="3-Elaboration.O" sheetId="1" r:id="rId1"/>
    <sheet name="140-Standards" sheetId="2" r:id="rId2"/>
    <sheet name="Feuil1" sheetId="3" r:id="rId3"/>
    <sheet name="structure_question" sheetId="4" r:id="rId4"/>
    <sheet name="VBA_categories" sheetId="5" r:id="rId5"/>
    <sheet name="Feuil3" sheetId="7" state="hidden" r:id="rId6"/>
    <sheet name="carto" sheetId="8" state="hidden" r:id="rId7"/>
    <sheet name="100-Parametres" sheetId="6" r:id="rId8"/>
    <sheet name="R_Version" sheetId="9" state="hidden" r:id="rId9"/>
    <sheet name="R_Categories" sheetId="10" state="hidden" r:id="rId10"/>
    <sheet name="R_Questions" sheetId="11" state="hidden" r:id="rId11"/>
    <sheet name="R_Conditions" sheetId="12" state="hidden" r:id="rId12"/>
    <sheet name="R_Standards" sheetId="13" state="hidden" r:id="rId13"/>
    <sheet name="R_Directions" sheetId="14" state="hidden" r:id="rId14"/>
    <sheet name="T_Resultats" sheetId="15" r:id="rId15"/>
  </sheets>
  <functionGroups builtInGroupCount="19"/>
  <externalReferences>
    <externalReference r:id="rId16"/>
    <externalReference r:id="rId17"/>
  </externalReferences>
  <definedNames>
    <definedName name="_xlnm._FilterDatabase" localSheetId="7" hidden="1">'100-Parametres'!$A$1:$F$305</definedName>
    <definedName name="_xlnm._FilterDatabase" localSheetId="1" hidden="1">'140-Standards'!$A$1:$AM$512</definedName>
    <definedName name="_xlnm._FilterDatabase" localSheetId="0" hidden="1">'3-Elaboration.O'!$A$1:$Y$1017</definedName>
    <definedName name="_xlnm._FilterDatabase" localSheetId="3" hidden="1">structure_question!$A$1:$E$549</definedName>
    <definedName name="_xlnm._FilterDatabase" localSheetId="4" hidden="1">VBA_categories!$A$4:$F$137</definedName>
    <definedName name="_xlnm._FilterDatabase" hidden="1">#REF!</definedName>
    <definedName name="_xleta.NOT" hidden="1" xlm="1">#NAME?</definedName>
    <definedName name="BDDParametres">'100-Parametres'!$A:$F</definedName>
    <definedName name="BDDREP" localSheetId="7">'[1]120-REF Listes'!$T$1:$AE$7</definedName>
    <definedName name="BDDREP">'[2]120-REF Listes'!$T$1:$AE$7</definedName>
    <definedName name="BDDREPRISE1pour1" localSheetId="7">'[1]120-REF Listes'!$AI$1:$AR$7</definedName>
    <definedName name="BDDREPRISE1pour1">'[2]120-REF Listes'!$AI$1:$AR$7</definedName>
    <definedName name="BDDSGO3">'3-Elaboration.O'!$A:$O</definedName>
    <definedName name="Biomedical">Feuil1!$F$23</definedName>
    <definedName name="BureauWEB">Feuil1!$F$18</definedName>
    <definedName name="ClauseSocialeOuiNon" localSheetId="7">'[1]10-Détail_Lots'!$BW:$BW</definedName>
    <definedName name="ClauseSocialeOuiNon">'[2]10-Détail_Lots'!$BW:$BW</definedName>
    <definedName name="ColonneCommentaire3">'3-Elaboration.O'!$Q:$Q</definedName>
    <definedName name="ColonneCommentaireIntra3">'3-Elaboration.O'!$R:$R</definedName>
    <definedName name="ColonneConformite3">'3-Elaboration.O'!$M:$M</definedName>
    <definedName name="ColonneDifferenceAO3">'3-Elaboration.O'!$N:$N</definedName>
    <definedName name="ColonneJustification3">'3-Elaboration.O'!$O:$O</definedName>
    <definedName name="ColonneLibelleQuestionAMasquer">'100-Parametres'!$B:$B</definedName>
    <definedName name="ColonneLibelleQuestionConditionnante">'100-Parametres'!$D:$D</definedName>
    <definedName name="ColonneModeReponse3">'3-Elaboration.O'!$G:$G</definedName>
    <definedName name="ColonneNiveauStandard3">'3-Elaboration.O'!$C:$C</definedName>
    <definedName name="ColonneNonConcerne3">'3-Elaboration.O'!$K:$K</definedName>
    <definedName name="ColonneOperateurStandard3">'3-Elaboration.O'!$S:$S</definedName>
    <definedName name="ColonneQuestion3">'3-Elaboration.O'!$F:$F</definedName>
    <definedName name="ColonneQuestionAMasquerP">'100-Parametres'!$A:$A</definedName>
    <definedName name="ColonneQuestionConditionnante3">'3-Elaboration.O'!$J:$J</definedName>
    <definedName name="ColonneReferenceQuestion3">'3-Elaboration.O'!$A:$A</definedName>
    <definedName name="ColonneReponse3">'3-Elaboration.O'!$I:$I</definedName>
    <definedName name="ColonneReportQuestionConditionnanteP">'100-Parametres'!$C:$C</definedName>
    <definedName name="ColonneStandard3">'3-Elaboration.O'!$D:$D</definedName>
    <definedName name="ColonneThematique3" localSheetId="7">'[1]3-Elaboration.O'!#REF!</definedName>
    <definedName name="ColonneThematique3" localSheetId="1">'[2]3-Elaboration.O'!#REF!</definedName>
    <definedName name="ColonneThematique3" localSheetId="3">'[2]3-Elaboration.O'!#REF!</definedName>
    <definedName name="ColonneThematique3">'3-Elaboration.O'!#REF!</definedName>
    <definedName name="Copieurs">Feuil1!$F$16</definedName>
    <definedName name="DAG_Mobilier_scolaire_et_Equipement_général">Feuil1!$F$8</definedName>
    <definedName name="DAG_SOFI">Feuil1!$F$11</definedName>
    <definedName name="DAI">Feuil1!$F$15</definedName>
    <definedName name="DAV">Feuil1!$F$4</definedName>
    <definedName name="DecisionStrategie" localSheetId="7">'[1]120-REF Listes'!$M$25:$M$26</definedName>
    <definedName name="DecisionStrategie">'[2]120-REF Listes'!$M$25:$M$26</definedName>
    <definedName name="Direction_Non_standardisé">Feuil1!$F$29</definedName>
    <definedName name="DM_DMS">Feuil1!$F$27</definedName>
    <definedName name="DS">Feuil1!$F$22</definedName>
    <definedName name="E">Feuil1!$F$3</definedName>
    <definedName name="EQ_Lourds">Feuil1!$F$26</definedName>
    <definedName name="EQ_Soins_et_Secours">Feuil1!$F$25</definedName>
    <definedName name="Equipement_general">Feuil1!$F$10</definedName>
    <definedName name="ExcluMaterielRecondionneOuiNon" localSheetId="7">'[1]10-Détail_Lots'!$BT:$BT</definedName>
    <definedName name="ExcluMaterielRecondionneOuiNon">'[2]10-Détail_Lots'!$BT:$BT</definedName>
    <definedName name="GAUSS">Feuil1!$F$28</definedName>
    <definedName name="_xlnm.Print_Titles" localSheetId="0">'3-Elaboration.O'!$1:$1</definedName>
    <definedName name="ISP">Feuil1!$F$7</definedName>
    <definedName name="Laboratoire">Feuil1!$F$24</definedName>
    <definedName name="ListeDirectionsAchats" localSheetId="7">'[1]120-REF Listes'!$D$55:$D$61</definedName>
    <definedName name="ListeDirectionsAchats">'[2]120-REF Listes'!$D$55:$D$61</definedName>
    <definedName name="ListeEl102" localSheetId="7">'[1]120-REF Listes'!$C$102:$C$103</definedName>
    <definedName name="ListeEl102">'[2]120-REF Listes'!$C$102:$C$103</definedName>
    <definedName name="ListeEl104b">'[2]120-REF Listes'!$H$2:$H$7</definedName>
    <definedName name="ListeEl110" localSheetId="7">'[1]120-REF Listes'!$Y$92:$Y$93</definedName>
    <definedName name="ListeEl110">'[2]120-REF Listes'!$Y$92:$Y$93</definedName>
    <definedName name="ListeEl112b" localSheetId="7">'[1]120-REF Listes'!$AA$92:$AA$94</definedName>
    <definedName name="ListeEl112b">'[2]120-REF Listes'!$AA$92:$AA$94</definedName>
    <definedName name="ListeEl113" localSheetId="7">'[1]120-REF Listes'!$Z$92:$Z$93</definedName>
    <definedName name="ListeEl113">'[2]120-REF Listes'!$Z$92:$Z$93</definedName>
    <definedName name="ListeEl116" localSheetId="7">'[1]120-REF Listes'!$AP$112:$AP$114</definedName>
    <definedName name="ListeEl116">'[2]120-REF Listes'!$AP$112:$AP$114</definedName>
    <definedName name="ListeEl118" localSheetId="7">'[1]120-REF Listes'!$AQ$112:$AQ$114</definedName>
    <definedName name="ListeEl118">'[2]120-REF Listes'!$AQ$112:$AQ$114</definedName>
    <definedName name="ListeEl120" localSheetId="7">'[1]120-REF Listes'!$AB$92:$AB$93</definedName>
    <definedName name="ListeEl120">'[2]120-REF Listes'!$AB$92:$AB$93</definedName>
    <definedName name="ListeEl122" localSheetId="7">'[1]120-REF Listes'!$AC$92:$AC$93</definedName>
    <definedName name="ListeEl122">'[2]120-REF Listes'!$AC$92:$AC$93</definedName>
    <definedName name="ListeEl125" localSheetId="7">'[1]120-REF Listes'!$AF$92:$AF$93</definedName>
    <definedName name="ListeEl125">'[2]120-REF Listes'!$AF$92:$AF$93</definedName>
    <definedName name="ListeEl127" localSheetId="7">'[1]120-REF Listes'!$AG$92:$AG$93</definedName>
    <definedName name="ListeEl127">'[2]120-REF Listes'!$AG$92:$AG$93</definedName>
    <definedName name="ListeEl136" localSheetId="7">'[1]120-REF Listes'!$AH$92:$AH$93</definedName>
    <definedName name="ListeEl136">'[2]120-REF Listes'!$AH$92:$AH$93</definedName>
    <definedName name="ListeEl138" localSheetId="7">'[1]120-REF Listes'!$AI$92:$AI$93</definedName>
    <definedName name="ListeEl138">'[2]120-REF Listes'!$AI$92:$AI$93</definedName>
    <definedName name="ListeEl140" localSheetId="7">'[1]120-REF Listes'!$AD$92:$AD$93</definedName>
    <definedName name="ListeEl140">'[2]120-REF Listes'!$AD$92:$AD$93</definedName>
    <definedName name="ListeEl142" localSheetId="7">'[1]120-REF Listes'!$AE$92:$AE$93</definedName>
    <definedName name="ListeEl142">'[2]120-REF Listes'!$AE$92:$AE$93</definedName>
    <definedName name="ListeEl143" localSheetId="7">'[1]120-REF Listes'!$D$102:$D$103</definedName>
    <definedName name="ListeEl143">'[2]120-REF Listes'!$D$102:$D$103</definedName>
    <definedName name="ListeEl146" localSheetId="7">'[1]120-REF Listes'!$AZ$112:$AZ$113</definedName>
    <definedName name="ListeEl146">'[2]120-REF Listes'!$AZ$112:$AZ$113</definedName>
    <definedName name="ListeEl148" localSheetId="7">'[1]120-REF Listes'!$F$102:$F$103</definedName>
    <definedName name="ListeEl148">'[2]120-REF Listes'!$F$102:$F$103</definedName>
    <definedName name="ListeEl150" localSheetId="7">'[1]120-REF Listes'!$G$102:$G$103</definedName>
    <definedName name="ListeEl150">'[2]120-REF Listes'!$G$102:$G$104</definedName>
    <definedName name="ListeEl151" localSheetId="7">'[1]120-REF Listes'!$H$102:$H$103</definedName>
    <definedName name="ListeEl151">'[2]120-REF Listes'!$H$102:$H$104</definedName>
    <definedName name="ListeEl153" localSheetId="7">'[1]120-REF Listes'!$J$102:$J$103</definedName>
    <definedName name="ListeEl153">'[2]120-REF Listes'!$J$102:$J$103</definedName>
    <definedName name="ListeEl156" localSheetId="7">'[1]120-REF Listes'!$K$102:$K$103</definedName>
    <definedName name="ListeEl156">'[2]120-REF Listes'!$K$102:$K$103</definedName>
    <definedName name="ListeEl160" localSheetId="7">'[1]120-REF Listes'!$L$102:$L$103</definedName>
    <definedName name="ListeEl160">'[2]120-REF Listes'!$L$102:$L$103</definedName>
    <definedName name="ListeEl161" localSheetId="7">'[1]120-REF Listes'!$M$102:$M$103</definedName>
    <definedName name="ListeEl161">'[2]120-REF Listes'!$M$102:$M$103</definedName>
    <definedName name="ListeEl162" localSheetId="7">'[1]120-REF Listes'!$N$102:$N$103</definedName>
    <definedName name="ListeEl162">'[2]120-REF Listes'!$N$102:$N$103</definedName>
    <definedName name="ListeEl163c" localSheetId="7">'[1]120-REF Listes'!$P$102:$P$103</definedName>
    <definedName name="ListeEl163c">'[2]120-REF Listes'!$P$102:$P$103</definedName>
    <definedName name="ListeEl163d" localSheetId="7">'[1]120-REF Listes'!$Q$102:$Q$103</definedName>
    <definedName name="ListeEl163d">'[2]120-REF Listes'!$Q$102:$Q$103</definedName>
    <definedName name="ListeEl163e" localSheetId="7">'[1]120-REF Listes'!$R$102:$R$103</definedName>
    <definedName name="ListeEl163e">'[2]120-REF Listes'!$R$102:$R$103</definedName>
    <definedName name="ListeEl163f" localSheetId="7">'[1]120-REF Listes'!$S$102:$S$103</definedName>
    <definedName name="ListeEl163f">'[2]120-REF Listes'!$S$102:$S$103</definedName>
    <definedName name="ListeEl164" localSheetId="7">'[1]120-REF Listes'!$AX$102:$AX$103</definedName>
    <definedName name="ListeEl164">'[2]120-REF Listes'!$AX$102:$AX$103</definedName>
    <definedName name="ListeEl164a" localSheetId="7">'[1]120-REF Listes'!$AW$102:$AW$103</definedName>
    <definedName name="ListeEl164a">'[2]120-REF Listes'!$AW$102:$AW$103</definedName>
    <definedName name="ListeEl168" localSheetId="7">'[1]120-REF Listes'!$A$112:$A$113</definedName>
    <definedName name="ListeEl168">'[2]120-REF Listes'!$A$112:$A$113</definedName>
    <definedName name="ListeEl173b" localSheetId="7">'[1]120-REF Listes'!$E$112:$E$113</definedName>
    <definedName name="ListeEl173b">'[2]120-REF Listes'!$E$112:$E$113</definedName>
    <definedName name="ListeEl174" localSheetId="7">'[1]120-REF Listes'!$B$112:$B$113</definedName>
    <definedName name="ListeEl174">'[2]120-REF Listes'!$B$112:$B$113</definedName>
    <definedName name="ListeEl177" localSheetId="7">'[1]120-REF Listes'!$AK$92:$AK$95</definedName>
    <definedName name="ListeEl177">'[2]120-REF Listes'!$AK$92:$AK$95</definedName>
    <definedName name="ListeEl180a" localSheetId="7">'[1]120-REF Listes'!$AL$92:$AL$93</definedName>
    <definedName name="ListeEl180a">'[2]120-REF Listes'!$AL$92:$AL$93</definedName>
    <definedName name="ListeEl183" localSheetId="7">'[1]120-REF Listes'!$AP$92:$AP$93</definedName>
    <definedName name="ListeEl183">'[2]120-REF Listes'!$AP$92:$AP$93</definedName>
    <definedName name="ListeEl183b" localSheetId="7">'[1]120-REF Listes'!$AY$112:$AY$113</definedName>
    <definedName name="ListeEl183b">'[2]120-REF Listes'!$AY$112:$AY$113</definedName>
    <definedName name="ListeEl183e" localSheetId="7">'[1]120-REF Listes'!$AQ$92:$AQ$93</definedName>
    <definedName name="ListeEl183e">'[2]120-REF Listes'!$AQ$92:$AQ$93</definedName>
    <definedName name="ListeEl183g" localSheetId="7">'[1]120-REF Listes'!$AR$92:$AR$93</definedName>
    <definedName name="ListeEl183g">'[2]120-REF Listes'!$AR$92:$AR$93</definedName>
    <definedName name="ListeEl183i" localSheetId="7">'[1]120-REF Listes'!$AS$92:$AS$93</definedName>
    <definedName name="ListeEl183i">'[2]120-REF Listes'!$AS$92:$AS$93</definedName>
    <definedName name="ListeEl183l" localSheetId="7">'[1]120-REF Listes'!$AX$112:$AX$113</definedName>
    <definedName name="ListeEl183l">'[2]120-REF Listes'!$AX$112:$AX$113</definedName>
    <definedName name="ListeEl184" localSheetId="7">'[1]120-REF Listes'!$AT$92:$AT$93</definedName>
    <definedName name="ListeEl184">'[2]120-REF Listes'!$AT$92:$AT$93</definedName>
    <definedName name="ListeEl185" localSheetId="7">'[1]120-REF Listes'!$AU$92:$AU$93</definedName>
    <definedName name="ListeEl185">'[2]120-REF Listes'!$AU$92:$AU$93</definedName>
    <definedName name="ListeEl186" localSheetId="7">'[1]120-REF Listes'!$AV$92:$AV$93</definedName>
    <definedName name="ListeEl186">'[2]120-REF Listes'!$AV$92:$AV$93</definedName>
    <definedName name="ListeEl187" localSheetId="7">'[1]120-REF Listes'!$AT$102:$AT$103</definedName>
    <definedName name="ListeEl187">'[2]120-REF Listes'!$AT$102:$AT$103</definedName>
    <definedName name="ListeEl189" localSheetId="7">'[1]120-REF Listes'!$AM$92:$AM$93</definedName>
    <definedName name="ListeEl189">'[2]120-REF Listes'!$AM$92:$AM$93</definedName>
    <definedName name="ListeEl191" localSheetId="7">'[1]120-REF Listes'!$AO$92:$AO$93</definedName>
    <definedName name="ListeEl191">'[2]120-REF Listes'!$AO$92:$AO$93</definedName>
    <definedName name="ListeEl192" localSheetId="7">'[1]120-REF Listes'!$AN$92:$AN$93</definedName>
    <definedName name="ListeEl192">'[2]120-REF Listes'!$AN$92:$AN$93</definedName>
    <definedName name="ListeEl199b" localSheetId="7">'[1]120-REF Listes'!$Z$102:$Z$103</definedName>
    <definedName name="ListeEl199b">'[2]120-REF Listes'!$Z$102:$Z$103</definedName>
    <definedName name="ListeEl200" localSheetId="7">'[1]120-REF Listes'!$AA$102:$AA$103</definedName>
    <definedName name="ListeEl200">'[2]120-REF Listes'!$AA$102:$AA$103</definedName>
    <definedName name="ListeEl205a" localSheetId="7">'[1]120-REF Listes'!$T$102:$T$103</definedName>
    <definedName name="ListeEl205a">'[2]120-REF Listes'!$T$102:$T$103</definedName>
    <definedName name="ListeEl208" localSheetId="7">'[1]120-REF Listes'!$V$102:$V$103</definedName>
    <definedName name="ListeEl208">'[2]120-REF Listes'!$V$102:$V$103</definedName>
    <definedName name="ListeEl210" localSheetId="7">'[1]120-REF Listes'!$W$102:$W$103</definedName>
    <definedName name="ListeEl210">'[2]120-REF Listes'!$W$102:$W$103</definedName>
    <definedName name="ListeEl211" localSheetId="7">'[1]120-REF Listes'!$X$102:$X$103</definedName>
    <definedName name="ListeEl211">'[2]120-REF Listes'!$X$102:$X$103</definedName>
    <definedName name="ListeEl217" localSheetId="7">'[1]120-REF Listes'!$AC$112:$AC$113</definedName>
    <definedName name="ListeEl217">'[2]120-REF Listes'!$AC$112:$AC$113</definedName>
    <definedName name="ListeEl223" localSheetId="7">'[1]120-REF Listes'!$AH$102:$AH$103</definedName>
    <definedName name="ListeEl223">'[2]120-REF Listes'!$AH$102:$AH$103</definedName>
    <definedName name="ListeEl223d" localSheetId="7">'[1]120-REF Listes'!$AS$102:$AS$104</definedName>
    <definedName name="ListeEl223d">'[2]120-REF Listes'!$AS$102:$AS$104</definedName>
    <definedName name="ListeEl224b" localSheetId="7">'[1]120-REF Listes'!$AI$102:$AI$103</definedName>
    <definedName name="ListeEl224b">'[2]120-REF Listes'!$AI$102:$AI$103</definedName>
    <definedName name="ListeEl224d" localSheetId="7">'[1]120-REF Listes'!$AY$102:$AY$103</definedName>
    <definedName name="ListeEl224d">'[2]120-REF Listes'!$AY$102:$AY$103</definedName>
    <definedName name="ListeEl24" localSheetId="7">'[1]120-REF Listes'!$G$92:$G$93</definedName>
    <definedName name="ListeEl24">'[2]120-REF Listes'!$G$92:$G$93</definedName>
    <definedName name="ListeEl25" localSheetId="7">'[1]120-REF Listes'!$H$92:$H$93</definedName>
    <definedName name="ListeEl25">'[2]120-REF Listes'!$H$92:$H$93</definedName>
    <definedName name="ListeEl258" localSheetId="7">'[1]120-REF Listes'!$J$112:$J$113</definedName>
    <definedName name="ListeEl258">'[2]120-REF Listes'!$J$112:$J$113</definedName>
    <definedName name="ListeEl258c" localSheetId="7">'[1]120-REF Listes'!$K$112:$K$113</definedName>
    <definedName name="ListeEl258c">'[2]120-REF Listes'!$K$112:$K$113</definedName>
    <definedName name="ListeEl258d" localSheetId="7">'[1]120-REF Listes'!$L$112:$L$113</definedName>
    <definedName name="ListeEl258d">'[2]120-REF Listes'!$L$112:$L$113</definedName>
    <definedName name="ListeEl26" localSheetId="7">'[1]120-REF Listes'!$I$92:$I$93</definedName>
    <definedName name="ListeEl26">'[2]120-REF Listes'!$I$92:$I$93</definedName>
    <definedName name="ListeEl260a" localSheetId="7">'[1]120-REF Listes'!$M$112:$M$113</definedName>
    <definedName name="ListeEl260a">'[2]120-REF Listes'!$M$112:$M$113</definedName>
    <definedName name="ListeEl260b" localSheetId="7">'[1]120-REF Listes'!$N$112:$N$113</definedName>
    <definedName name="ListeEl260b">'[2]120-REF Listes'!$N$112:$N$113</definedName>
    <definedName name="ListeEl260c" localSheetId="7">'[1]120-REF Listes'!$O$112:$O$113</definedName>
    <definedName name="ListeEl260c">'[2]120-REF Listes'!$O$112:$O$113</definedName>
    <definedName name="ListeEl260e" localSheetId="7">'[1]120-REF Listes'!$P$112:$P$113</definedName>
    <definedName name="ListeEl260e">'[2]120-REF Listes'!$P$112:$P$113</definedName>
    <definedName name="ListeEl260g" localSheetId="7">'[1]120-REF Listes'!$Q$112:$Q$113</definedName>
    <definedName name="ListeEl260g">'[2]120-REF Listes'!$Q$112:$Q$113</definedName>
    <definedName name="ListeEl260h" localSheetId="7">'[1]120-REF Listes'!$R$112:$R$113</definedName>
    <definedName name="ListeEl260h">'[2]120-REF Listes'!$R$112:$R$113</definedName>
    <definedName name="ListeEl263" localSheetId="7">'[1]120-REF Listes'!$AB$102:$AB$103</definedName>
    <definedName name="ListeEl263">'[2]120-REF Listes'!$AB$102:$AB$103</definedName>
    <definedName name="ListeEl265" localSheetId="7">'[1]120-REF Listes'!$AD$102:$AD$103</definedName>
    <definedName name="ListeEl265">'[2]120-REF Listes'!$AD$102:$AD$103</definedName>
    <definedName name="ListeEl269" localSheetId="7">'[1]120-REF Listes'!$V$92:$V$93</definedName>
    <definedName name="ListeEl269">'[2]120-REF Listes'!$V$92:$V$93</definedName>
    <definedName name="ListeEl270" localSheetId="7">'[1]120-REF Listes'!$C$112:$C$113</definedName>
    <definedName name="ListeEl270">'[2]120-REF Listes'!$C$112:$C$113</definedName>
    <definedName name="ListeEl271b" localSheetId="7">'[1]120-REF Listes'!$D$112:$D$113</definedName>
    <definedName name="ListeEl271b">'[2]120-REF Listes'!$D$112:$D$113</definedName>
    <definedName name="ListeEl285" localSheetId="7">'[1]120-REF Listes'!$AA$112:$AA$113</definedName>
    <definedName name="ListeEl285">'[2]120-REF Listes'!$AA$112:$AA$113</definedName>
    <definedName name="ListeEl302" localSheetId="7">'[1]120-REF Listes'!$B$92:$B$93</definedName>
    <definedName name="ListeEl302">'[2]120-REF Listes'!$B$92:$B$93</definedName>
    <definedName name="ListeEl303" localSheetId="7">'[1]120-REF Listes'!$AU$112:$AU$113</definedName>
    <definedName name="ListeEl303">'[2]120-REF Listes'!$AU$112:$AU$113</definedName>
    <definedName name="ListeEl308g" localSheetId="7">'[1]120-REF Listes'!$AF$102:$AF$103</definedName>
    <definedName name="ListeEl308g">'[2]120-REF Listes'!$AF$102:$AF$103</definedName>
    <definedName name="ListeEl308h" localSheetId="7">'[1]120-REF Listes'!$AG$102:$AG$103</definedName>
    <definedName name="ListeEl308h">'[2]120-REF Listes'!$AG$102:$AG$103</definedName>
    <definedName name="ListeEl309" localSheetId="7">'[1]120-REF Listes'!$AE$102:$AE$103</definedName>
    <definedName name="ListeEl309">'[2]120-REF Listes'!$AE$102:$AE$103</definedName>
    <definedName name="ListeEl30b" localSheetId="7">'[1]120-REF Listes'!$A$92:$A$93</definedName>
    <definedName name="ListeEl30b">'[2]120-REF Listes'!$A$92:$A$93</definedName>
    <definedName name="ListeEl311" localSheetId="7">'[1]120-REF Listes'!$AJ$102:$AJ$103</definedName>
    <definedName name="ListeEl311">'[2]120-REF Listes'!$AJ$102:$AJ$103</definedName>
    <definedName name="ListeEl313" localSheetId="7">'[1]120-REF Listes'!$AK$102:$AK$103</definedName>
    <definedName name="ListeEl313">'[2]120-REF Listes'!$AK$102:$AK$103</definedName>
    <definedName name="ListeEl313b" localSheetId="7">'[1]120-REF Listes'!$AL$102:$AL$103</definedName>
    <definedName name="ListeEl313b">'[2]120-REF Listes'!$AL$102:$AL$103</definedName>
    <definedName name="ListeEl315" localSheetId="7">'[1]120-REF Listes'!$AM$102:$AM$103</definedName>
    <definedName name="ListeEl315">'[2]120-REF Listes'!$AM$102:$AM$103</definedName>
    <definedName name="ListeEl315b" localSheetId="7">'[1]120-REF Listes'!$AN$102:$AN$103</definedName>
    <definedName name="ListeEl315b">'[2]120-REF Listes'!$AN$102:$AN$103</definedName>
    <definedName name="ListeEl317" localSheetId="7">'[1]120-REF Listes'!$AO$102:$AO$103</definedName>
    <definedName name="ListeEl317">'[2]120-REF Listes'!$AO$102:$AO$103</definedName>
    <definedName name="ListeEl317a" localSheetId="7">'[1]120-REF Listes'!$AP$102:$AP$103</definedName>
    <definedName name="ListeEl317a">'[2]120-REF Listes'!$AP$102:$AP$103</definedName>
    <definedName name="ListeEl318a" localSheetId="7">'[1]120-REF Listes'!$AQ$102:$AQ$103</definedName>
    <definedName name="ListeEl318a">'[2]120-REF Listes'!$AQ$102:$AQ$103</definedName>
    <definedName name="ListeEl320" localSheetId="7">'[1]120-REF Listes'!$AR$102:$AR$103</definedName>
    <definedName name="ListeEl320">'[2]120-REF Listes'!$AR$102:$AR$103</definedName>
    <definedName name="ListeEl324" localSheetId="7">'[1]120-REF Listes'!$AU$102:$AU$103</definedName>
    <definedName name="ListeEl324">'[2]120-REF Listes'!$AU$102:$AU$103</definedName>
    <definedName name="ListeEl326" localSheetId="7">'[1]120-REF Listes'!$AV$102:$AV$103</definedName>
    <definedName name="ListeEl326">'[2]120-REF Listes'!$AV$102:$AV$103</definedName>
    <definedName name="ListeEl330" localSheetId="7">'[1]120-REF Listes'!$F$112:$F$113</definedName>
    <definedName name="ListeEl330">'[2]120-REF Listes'!$F$112:$F$113</definedName>
    <definedName name="ListeEl335a" localSheetId="7">'[1]120-REF Listes'!$AS$112:$AS$113</definedName>
    <definedName name="ListeEl335a">'[2]120-REF Listes'!$AS$112:$AS$113</definedName>
    <definedName name="ListeEl335f" localSheetId="7">'[1]120-REF Listes'!$AT$112:$AT$113</definedName>
    <definedName name="ListeEl335f">'[2]120-REF Listes'!$AT$112:$AT$113</definedName>
    <definedName name="ListeEl336" localSheetId="7">'[1]120-REF Listes'!$S$112:$S$113</definedName>
    <definedName name="ListeEl336">'[2]120-REF Listes'!$S$112:$S$113</definedName>
    <definedName name="ListeEl337b" localSheetId="7">'[1]120-REF Listes'!$T$112:$T$113</definedName>
    <definedName name="ListeEl337b">'[2]120-REF Listes'!$T$112:$T$113</definedName>
    <definedName name="ListeEl338" localSheetId="7">'[1]120-REF Listes'!$U$112:$U$113</definedName>
    <definedName name="ListeEl338">'[2]120-REF Listes'!$U$112:$U$113</definedName>
    <definedName name="ListeEl339b" localSheetId="7">'[1]120-REF Listes'!$V$112:$V$113</definedName>
    <definedName name="ListeEl339b">'[2]120-REF Listes'!$V$112:$V$113</definedName>
    <definedName name="ListeEl339c" localSheetId="7">'[1]120-REF Listes'!$W$112:$W$113</definedName>
    <definedName name="ListeEl339c">'[2]120-REF Listes'!$W$112:$W$113</definedName>
    <definedName name="ListeEl342" localSheetId="7">'[1]120-REF Listes'!$G$112:$G$113</definedName>
    <definedName name="ListeEl342">'[2]120-REF Listes'!$G$112:$G$113</definedName>
    <definedName name="ListeEl344" localSheetId="7">'[1]120-REF Listes'!$H$112:$H$113</definedName>
    <definedName name="ListeEl344">'[2]120-REF Listes'!$H$112:$H$113</definedName>
    <definedName name="ListeEl346" localSheetId="7">'[1]120-REF Listes'!$I$112:$I$113</definedName>
    <definedName name="ListeEl346">'[2]120-REF Listes'!$I$112:$I$113</definedName>
    <definedName name="ListeEl350" localSheetId="7">'[1]120-REF Listes'!$X$112:$X$113</definedName>
    <definedName name="ListeEl350">'[2]120-REF Listes'!$X$112:$X$113</definedName>
    <definedName name="ListeEl353" localSheetId="7">'[1]120-REF Listes'!$Y$112:$Y$113</definedName>
    <definedName name="ListeEl353">'[2]120-REF Listes'!$Y$112:$Y$113</definedName>
    <definedName name="ListeEl358" localSheetId="7">'[1]120-REF Listes'!$Z$112:$Z$113</definedName>
    <definedName name="ListeEl358">'[2]120-REF Listes'!$Z$112:$Z$113</definedName>
    <definedName name="ListeEl36" localSheetId="7">'[1]120-REF Listes'!$AD$112:$AD$113</definedName>
    <definedName name="ListeEl36">'[2]120-REF Listes'!$AD$112:$AD$113</definedName>
    <definedName name="ListeEl369" localSheetId="7">'[1]120-REF Listes'!$AR$112:$AR$113</definedName>
    <definedName name="ListeEl369">'[2]120-REF Listes'!$AR$112:$AR$113</definedName>
    <definedName name="ListeEl376" localSheetId="7">'[1]120-REF Listes'!$AX$92:$AX$94</definedName>
    <definedName name="ListeEl376">'[2]120-REF Listes'!$AX$92:$AX$94</definedName>
    <definedName name="ListeEl38" localSheetId="7">'[1]120-REF Listes'!$AE$112:$AE$113</definedName>
    <definedName name="ListeEl38">'[2]120-REF Listes'!$AE$112:$AE$113</definedName>
    <definedName name="ListeEl380" localSheetId="7">'[1]120-REF Listes'!$AY$92:$AY$93</definedName>
    <definedName name="ListeEl380">'[2]120-REF Listes'!$AY$92:$AY$93</definedName>
    <definedName name="ListeEl381" localSheetId="7">'[1]120-REF Listes'!$AZ$92:$AZ$93</definedName>
    <definedName name="ListeEl381">'[2]120-REF Listes'!$AZ$92:$AZ$93</definedName>
    <definedName name="ListeEl391" localSheetId="7">'[1]120-REF Listes'!$W$92:$W$93</definedName>
    <definedName name="ListeEl391">'[2]120-REF Listes'!$W$92:$W$93</definedName>
    <definedName name="ListeEl4" localSheetId="7">'[1]120-REF Listes'!$AW$92:$AW$93</definedName>
    <definedName name="ListeEl4">'[2]120-REF Listes'!$AW$92:$AW$93</definedName>
    <definedName name="ListeEl40" localSheetId="7">'[1]120-REF Listes'!$AF$112:$AF$113</definedName>
    <definedName name="ListeEl40">'[2]120-REF Listes'!$AF$112:$AF$113</definedName>
    <definedName name="ListeEl401" localSheetId="7">'[1]120-REF Listes'!$Y$102:$Y$103</definedName>
    <definedName name="ListeEl401">'[2]120-REF Listes'!$Y$102:$Y$103</definedName>
    <definedName name="ListeEl41" localSheetId="7">'[1]120-REF Listes'!$AG$112:$AG$113</definedName>
    <definedName name="ListeEl41">'[2]120-REF Listes'!$AG$112:$AG$113</definedName>
    <definedName name="ListeEl41c" localSheetId="7">'[1]120-REF Listes'!$AH$112:$AH$113</definedName>
    <definedName name="ListeEl41c">'[2]120-REF Listes'!$AH$112:$AH$113</definedName>
    <definedName name="ListeEl44" localSheetId="7">'[1]120-REF Listes'!$AI$112:$AI$113</definedName>
    <definedName name="ListeEl44">'[2]120-REF Listes'!$AI$112:$AI$113</definedName>
    <definedName name="ListeEl445" localSheetId="7">'[1]120-REF Listes'!$AJ$92:$AJ$93</definedName>
    <definedName name="ListeEl445">'[2]120-REF Listes'!$AJ$92:$AJ$93</definedName>
    <definedName name="ListeEl45" localSheetId="7">'[1]120-REF Listes'!$AJ$112:$AJ$113</definedName>
    <definedName name="ListeEl45">'[2]120-REF Listes'!$AJ$112:$AJ$113</definedName>
    <definedName name="ListeEl46" localSheetId="7">'[1]120-REF Listes'!$AK$112:$AK$113</definedName>
    <definedName name="ListeEl46">'[2]120-REF Listes'!$AK$112:$AK$113</definedName>
    <definedName name="ListeEl47" localSheetId="7">'[1]120-REF Listes'!$AL$112:$AL$113</definedName>
    <definedName name="ListeEl47">'[2]120-REF Listes'!$AL$112:$AL$113</definedName>
    <definedName name="ListeEl48" localSheetId="7">'[1]120-REF Listes'!$AM$112:$AM$113</definedName>
    <definedName name="ListeEl48">'[2]120-REF Listes'!$AM$112:$AM$113</definedName>
    <definedName name="ListeEl488" localSheetId="7">'[1]120-REF Listes'!$AW$112:$AW$113</definedName>
    <definedName name="ListeEl488">'[2]120-REF Listes'!$AW$112:$AW$113</definedName>
    <definedName name="ListeEl49" localSheetId="7">'[1]120-REF Listes'!$AN$112:$AN$113</definedName>
    <definedName name="ListeEl49">'[2]120-REF Listes'!$AN$112:$AN$113</definedName>
    <definedName name="ListeEl490" localSheetId="7">'[1]120-REF Listes'!$AC$102:$AC$103</definedName>
    <definedName name="ListeEl490">'[2]120-REF Listes'!$AC$102:$AC$103</definedName>
    <definedName name="ListeEL492" localSheetId="7">'[1]120-REF Listes'!$U$102:$U$103</definedName>
    <definedName name="ListeEL492">'[2]120-REF Listes'!$U$102:$U$103</definedName>
    <definedName name="ListeEl495" localSheetId="7">'[1]120-REF Listes'!$I$102:$I$103</definedName>
    <definedName name="ListeEl495">'[2]120-REF Listes'!$I$102:$I$103</definedName>
    <definedName name="ListeEl501" localSheetId="7">'[1]120-REF Listes'!$X$92:$X$93</definedName>
    <definedName name="ListeEl501">'[2]120-REF Listes'!$X$92:$X$93</definedName>
    <definedName name="ListeEl507" localSheetId="7">'[1]120-REF Listes'!$U$45:$U$46</definedName>
    <definedName name="ListeEl507">'[2]120-REF Listes'!$U$45:$U$46</definedName>
    <definedName name="ListeEl509" localSheetId="7">'[1]120-REF Listes'!$AB$112:$AB$113</definedName>
    <definedName name="ListeEl509">'[2]120-REF Listes'!$AB$112:$AB$113</definedName>
    <definedName name="ListeEl60" localSheetId="7">'[1]120-REF Listes'!$F$92:$F$93</definedName>
    <definedName name="ListeEl60">'[2]120-REF Listes'!$F$92:$F$93</definedName>
    <definedName name="ListeEl62" localSheetId="7">'[1]120-REF Listes'!$AO$112:$AO$113</definedName>
    <definedName name="ListeEl62">'[2]120-REF Listes'!$AO$112:$AO$113</definedName>
    <definedName name="ListeEl69" localSheetId="7">'[1]120-REF Listes'!$J$92:$J$93</definedName>
    <definedName name="ListeEl69">'[2]120-REF Listes'!$J$92:$J$93</definedName>
    <definedName name="ListeEl71" localSheetId="7">'[1]120-REF Listes'!$K$92:$K$94</definedName>
    <definedName name="ListeEl71">'[2]120-REF Listes'!$K$92:$K$94</definedName>
    <definedName name="ListeEl72" localSheetId="7">'[1]120-REF Listes'!$L$92:$L$94</definedName>
    <definedName name="ListeEl72">'[2]120-REF Listes'!$L$92:$L$94</definedName>
    <definedName name="ListeEl73" localSheetId="7">'[1]120-REF Listes'!$BA$2:$BA$7</definedName>
    <definedName name="ListeEl73">'[2]120-REF Listes'!$BA$2:$BA$7</definedName>
    <definedName name="ListeEl73e" localSheetId="7">'[1]120-REF Listes'!$AV$112:$AV$113</definedName>
    <definedName name="ListeEl73e">'[2]120-REF Listes'!$AV$112:$AV$113</definedName>
    <definedName name="ListeEl78b" localSheetId="7">'[1]120-REF Listes'!$N$92:$N$93</definedName>
    <definedName name="ListeEl78b">'[2]120-REF Listes'!$N$92:$N$93</definedName>
    <definedName name="ListeEl78f" localSheetId="7">'[1]120-REF Listes'!$M$92:$M$93</definedName>
    <definedName name="ListeEl78f">'[2]120-REF Listes'!$M$92:$M$93</definedName>
    <definedName name="ListeEl78m" localSheetId="7">'[1]120-REF Listes'!$O$92:$O$93</definedName>
    <definedName name="ListeEl78m">'[2]120-REF Listes'!$O$92:$O$93</definedName>
    <definedName name="ListeEl80" localSheetId="7">'[1]120-REF Listes'!$P$92:$P$93</definedName>
    <definedName name="ListeEl80">'[2]120-REF Listes'!$P$92:$P$93</definedName>
    <definedName name="ListeEl81b" localSheetId="7">'[1]120-REF Listes'!$S$15</definedName>
    <definedName name="ListeEl81b">'[2]120-REF Listes'!$S$15</definedName>
    <definedName name="ListeEl82" localSheetId="7">'[1]120-REF Listes'!$U$92:$U$94</definedName>
    <definedName name="ListeEl82">'[2]120-REF Listes'!$U$92:$U$94</definedName>
    <definedName name="ListeEl84d" localSheetId="7">'[1]120-REF Listes'!$R$92:$R$93</definedName>
    <definedName name="ListeEl84d">'[2]120-REF Listes'!$R$92:$R$93</definedName>
    <definedName name="ListeEl86" localSheetId="7">'[1]120-REF Listes'!$S$92:$S$93</definedName>
    <definedName name="ListeEl86">'[2]120-REF Listes'!$S$92:$S$93</definedName>
    <definedName name="ListeEl87b" localSheetId="7">'[1]120-REF Listes'!$T$92:$T$93</definedName>
    <definedName name="ListeEl87b">'[2]120-REF Listes'!$T$92:$T$93</definedName>
    <definedName name="ListeEl88" localSheetId="7">'[1]120-REF Listes'!$C$92:$C$93</definedName>
    <definedName name="ListeEl88">'[2]120-REF Listes'!$C$92:$C$93</definedName>
    <definedName name="ListeEl91" localSheetId="7">'[1]120-REF Listes'!$D$92:$D$93</definedName>
    <definedName name="ListeEl91">'[2]120-REF Listes'!$D$92:$D$93</definedName>
    <definedName name="ListeEl94" localSheetId="7">'[1]120-REF Listes'!$E$92:$E$93</definedName>
    <definedName name="ListeEl94">'[2]120-REF Listes'!$E$92:$E$93</definedName>
    <definedName name="ListeEl97" localSheetId="7">'[1]120-REF Listes'!$A$102:$A$103</definedName>
    <definedName name="ListeEl97">'[2]120-REF Listes'!$A$102:$A$103</definedName>
    <definedName name="ListeEl99" localSheetId="7">'[1]120-REF Listes'!$B$102:$B$103</definedName>
    <definedName name="ListeEl99">'[2]120-REF Listes'!$B$102:$B$103</definedName>
    <definedName name="ListeOuiNon" localSheetId="7">'[1]120-REF Listes'!$A$70:$A$71</definedName>
    <definedName name="ListeOuiNon">'[2]120-REF Listes'!$A$70:$A$71</definedName>
    <definedName name="ListeREP" localSheetId="7">'[1]120-REF Listes'!$AG$2:$AG$7</definedName>
    <definedName name="ListeREP">'[2]120-REF Listes'!$AG$2:$AG$7</definedName>
    <definedName name="ListeREPRISE1pour1" localSheetId="7">'[1]120-REF Listes'!$AU$2:$AU$7</definedName>
    <definedName name="ListeREPRISE1pour1">'[2]120-REF Listes'!$AU$2:$AU$7</definedName>
    <definedName name="Logiciels">Feuil1!$F$19</definedName>
    <definedName name="Materiel_et_Prestations">Feuil1!$F$21</definedName>
    <definedName name="MaterielReconditionneOuiNon" localSheetId="7">'[1]10-Détail_Lots'!$BS:$BS</definedName>
    <definedName name="MaterielReconditionneOuiNon">'[2]10-Détail_Lots'!$BS:$BS</definedName>
    <definedName name="MessageStandardIncomplet" localSheetId="7">'[1]170-Format'!$G$32</definedName>
    <definedName name="MessageStandardIncomplet">'[2]170-Format'!$G$32</definedName>
    <definedName name="Mobilier_scolaire">Feuil1!$F$9</definedName>
    <definedName name="ModeReponseEl0a">'3-Elaboration.O'!$G$8</definedName>
    <definedName name="ModeReponseEl103">'3-Elaboration.O'!$G$211</definedName>
    <definedName name="ModeReponseEl104">'3-Elaboration.O'!$G$104</definedName>
    <definedName name="ModeReponseEl104b">'3-Elaboration.O'!$G$106</definedName>
    <definedName name="ModeReponseEl107">'3-Elaboration.O'!$G$109</definedName>
    <definedName name="ModeReponseEl111">'3-Elaboration.O'!$G$118</definedName>
    <definedName name="ModeReponseEl114">'3-Elaboration.O'!$G$123</definedName>
    <definedName name="ModeReponseEl123">'3-Elaboration.O'!$G$132</definedName>
    <definedName name="ModeReponseEl132b">'3-Elaboration.O'!$G$146</definedName>
    <definedName name="ModeReponseEl134">'3-Elaboration.O'!$G$190</definedName>
    <definedName name="ModeReponseEl147">'3-Elaboration.O'!$G$217</definedName>
    <definedName name="ModeReponseEl150">'3-Elaboration.O'!$G$223</definedName>
    <definedName name="ModeReponseEl169">'3-Elaboration.O'!$G$360</definedName>
    <definedName name="ModeReponseEl172">'3-Elaboration.O'!$G$369</definedName>
    <definedName name="ModeReponseEl173">'3-Elaboration.O'!$G$375</definedName>
    <definedName name="ModeReponseEl179">'3-Elaboration.O'!$G$158</definedName>
    <definedName name="ModeReponseEl181b">'3-Elaboration.O'!$G$162</definedName>
    <definedName name="ModeReponseEl182">'3-Elaboration.O'!$G$163</definedName>
    <definedName name="ModeReponseEl1b">'3-Elaboration.O'!$G$7</definedName>
    <definedName name="ModeReponseEl205">'3-Elaboration.O'!$G$258</definedName>
    <definedName name="ModeReponseEl206b">'3-Elaboration.O'!$G$260</definedName>
    <definedName name="ModereponseEl219">'3-Elaboration.O'!$G$479</definedName>
    <definedName name="ModeReponseEl220">'3-Elaboration.O'!$G$296</definedName>
    <definedName name="ModeReponseEl224a">'3-Elaboration.O'!$G$300</definedName>
    <definedName name="ModeReponseEl224b">'3-Elaboration.O'!$G$301</definedName>
    <definedName name="ModeReponseEl224c">'3-Elaboration.O'!$G$302</definedName>
    <definedName name="ModeReponseEl259">'3-Elaboration.O'!$G$397</definedName>
    <definedName name="ModeReponseEl260a">'3-Elaboration.O'!$G$401</definedName>
    <definedName name="ModeReponseEl266">'3-Elaboration.O'!$G$281</definedName>
    <definedName name="ModeReponseEl271">'3-Elaboration.O'!$G$365</definedName>
    <definedName name="ModeReponseEl271c">'3-Elaboration.O'!$G$367</definedName>
    <definedName name="ModeReponseEl29">'3-Elaboration.O'!$G$16</definedName>
    <definedName name="ModeReponseEl30">'3-Elaboration.O'!$G$17</definedName>
    <definedName name="ModeReponseEl304">'3-Elaboration.O'!$G$496</definedName>
    <definedName name="ModeReponseEl305">'3-Elaboration.O'!$G$497</definedName>
    <definedName name="ModeReponseEl306">'3-Elaboration.O'!$G$498</definedName>
    <definedName name="ModeReponseEl308">'3-Elaboration.O'!$G$286</definedName>
    <definedName name="ModeReponseEl308b">'3-Elaboration.O'!$G$289</definedName>
    <definedName name="ModeReponseEl316">'3-Elaboration.O'!$G$315</definedName>
    <definedName name="ModeReponseEl316a">'3-Elaboration.O'!$G$316</definedName>
    <definedName name="ModeReponseEl318">'3-Elaboration.O'!$G$333</definedName>
    <definedName name="ModeReponseEl327">'3-Elaboration.O'!$G$349</definedName>
    <definedName name="ModeReponseEl332">'3-Elaboration.O'!$G$381</definedName>
    <definedName name="ModeReponseEl333">'3-Elaboration.O'!$G$484</definedName>
    <definedName name="ModeReponseEl333b">'3-Elaboration.O'!$G$486</definedName>
    <definedName name="ModeReponseEl334">'3-Elaboration.O'!$G$488</definedName>
    <definedName name="ModeReponseEl335e">'3-Elaboration.O'!$G$493</definedName>
    <definedName name="ModeReponseEl335h">'3-Elaboration.O'!$G$494</definedName>
    <definedName name="ModeReponseEl339d">'3-Elaboration.O'!$G$419</definedName>
    <definedName name="ModeReponseEl343">'3-Elaboration.O'!$G$386</definedName>
    <definedName name="ModeReponseEl343b">'3-Elaboration.O'!$G$387</definedName>
    <definedName name="ModeReponseEl35">'3-Elaboration.O'!$G$450</definedName>
    <definedName name="ModeReponseEl351">'3-Elaboration.O'!$G$429</definedName>
    <definedName name="ModeReponseEl361">'3-Elaboration.O'!$G$474</definedName>
    <definedName name="ModeReponseEl370">'3-Elaboration.O'!$G$191</definedName>
    <definedName name="ModeReponseEl377">'3-Elaboration.O'!$G$194</definedName>
    <definedName name="ModeReponseEl387">'3-Elaboration.O'!$G$200</definedName>
    <definedName name="ModeReponseEl3c" localSheetId="7">'[1]3-Elaboration.O'!#REF!</definedName>
    <definedName name="ModeReponseEl3c" localSheetId="1">'[2]3-Elaboration.O'!#REF!</definedName>
    <definedName name="ModeReponseEl3c" localSheetId="3">'[2]3-Elaboration.O'!#REF!</definedName>
    <definedName name="ModeReponseEl3c">'3-Elaboration.O'!#REF!</definedName>
    <definedName name="ModeReponseEl3d" localSheetId="7">'[1]3-Elaboration.O'!#REF!</definedName>
    <definedName name="ModeReponseEl3d" localSheetId="1">'[2]3-Elaboration.O'!#REF!</definedName>
    <definedName name="ModeReponseEl3d" localSheetId="3">'[2]3-Elaboration.O'!#REF!</definedName>
    <definedName name="ModeReponseEl3d">'3-Elaboration.O'!#REF!</definedName>
    <definedName name="ModeReponseEl493">'3-Elaboration.O'!$G$219</definedName>
    <definedName name="ModeReponseEl500c">'3-Elaboration.O'!$G$38</definedName>
    <definedName name="ModeReponseEl506a">'3-Elaboration.O'!$G$319</definedName>
    <definedName name="ModeReponseEl510a">'3-Elaboration.O'!$G$325</definedName>
    <definedName name="ModeReponseEl59">'3-Elaboration.O'!$G$37</definedName>
    <definedName name="ModeReponseEl60b">'3-Elaboration.O'!$G$41</definedName>
    <definedName name="ModeReponseEl60c">'3-Elaboration.O'!$G$42</definedName>
    <definedName name="ModeReponseEl60d">'3-Elaboration.O'!$G$43</definedName>
    <definedName name="modereponseel73">'3-Elaboration.O'!$G$62</definedName>
    <definedName name="modereponseel73b" localSheetId="7">'[1]3-Elaboration.O'!#REF!</definedName>
    <definedName name="modereponseel73b" localSheetId="1">'[2]3-Elaboration.O'!#REF!</definedName>
    <definedName name="modereponseel73b" localSheetId="3">'[2]3-Elaboration.O'!#REF!</definedName>
    <definedName name="modereponseel73b">'3-Elaboration.O'!#REF!</definedName>
    <definedName name="modereponseel73c">'3-Elaboration.O'!$G$64</definedName>
    <definedName name="ModeReponseEl78j">'3-Elaboration.O'!$G$82</definedName>
    <definedName name="ModeReponseEl89" localSheetId="7">'[1]3-Elaboration.O'!#REF!</definedName>
    <definedName name="ModeReponseEl89" localSheetId="1">'[2]3-Elaboration.O'!#REF!</definedName>
    <definedName name="ModeReponseEl89" localSheetId="3">'[2]3-Elaboration.O'!#REF!</definedName>
    <definedName name="ModeReponseEl89">'3-Elaboration.O'!#REF!</definedName>
    <definedName name="ModeReponseEl90">'3-Elaboration.O'!$G$28</definedName>
    <definedName name="ModeReponseEl92">'3-Elaboration.O'!$G$30</definedName>
    <definedName name="ModeReponseEl96">'3-Elaboration.O'!$G$34</definedName>
    <definedName name="Non_standardisé">Feuil1!$F$29</definedName>
    <definedName name="NumeroProcedure" localSheetId="7">'[1]0-Garde'!$A$9</definedName>
    <definedName name="NumeroProcedure">'[2]0-Garde'!$A$9</definedName>
    <definedName name="O140ColonneNiveauStandardDAG_Mobilier_scolaire_et_Equipement_general" localSheetId="3">structure_question!#REF!</definedName>
    <definedName name="O140ColonneNiveauStandardDAG_Mobilier_scolaire_et_Equipement_general">'140-Standards'!$M:$M</definedName>
    <definedName name="O140ColonneNiveauStandardDAG_SOFI" localSheetId="3">structure_question!#REF!</definedName>
    <definedName name="O140ColonneNiveauStandardDAG_SOFI">'140-Standards'!$Q:$Q</definedName>
    <definedName name="O140ColonneNiveauStandardDAI" localSheetId="3">structure_question!#REF!</definedName>
    <definedName name="O140ColonneNiveauStandardDAI">'140-Standards'!$V:$V</definedName>
    <definedName name="O140ColonneNiveauStandardDAV" localSheetId="3">structure_question!#REF!</definedName>
    <definedName name="O140ColonneNiveauStandardDAV">'140-Standards'!$H:$H</definedName>
    <definedName name="O140ColonneNiveauStandardDS" localSheetId="3">structure_question!#REF!</definedName>
    <definedName name="O140ColonneNiveauStandardDS">'140-Standards'!$AD:$AD</definedName>
    <definedName name="O140ColonneNiveauStandardNon_standardisé" localSheetId="3">structure_question!#REF!</definedName>
    <definedName name="O140ColonneNiveauStandardNon_standardisé">'140-Standards'!$AL:$AL</definedName>
    <definedName name="O140ColonneOperateurStandard" localSheetId="3">structure_question!#REF!</definedName>
    <definedName name="O140ColonneOperateurStandard">'140-Standards'!$F:$F</definedName>
    <definedName name="O140ColonneReference" localSheetId="3">structure_question!$A:$A</definedName>
    <definedName name="O140ColonneReference">'140-Standards'!$A:$A</definedName>
    <definedName name="O140ColonneStandardDAG_Mobilier_scolaire_et_Equipement_general" localSheetId="3">structure_question!#REF!</definedName>
    <definedName name="O140ColonneStandardDAG_Mobilier_scolaire_et_Equipement_general">'140-Standards'!$N:$N</definedName>
    <definedName name="O140ColonneStandardDAG_SOFI" localSheetId="3">structure_question!#REF!</definedName>
    <definedName name="O140ColonneStandardDAG_SOFI">'140-Standards'!$R:$R</definedName>
    <definedName name="O140ColonneStandardDAI" localSheetId="3">structure_question!#REF!</definedName>
    <definedName name="O140ColonneStandardDAI">'140-Standards'!$W:$W</definedName>
    <definedName name="O140ColonneStandardDAV" localSheetId="3">structure_question!#REF!</definedName>
    <definedName name="O140ColonneStandardDAV">'140-Standards'!$I:$I</definedName>
    <definedName name="O140ColonneStandardDS" localSheetId="3">structure_question!#REF!</definedName>
    <definedName name="O140ColonneStandardDS">'140-Standards'!$AE:$AE</definedName>
    <definedName name="O140ColonneStandardE" localSheetId="3">structure_question!#REF!</definedName>
    <definedName name="O140ColonneStandardE">'140-Standards'!$G:$G</definedName>
    <definedName name="O140ColonneStandardNon_standardisé" localSheetId="3">structure_question!#REF!</definedName>
    <definedName name="O140ColonneStandardNon_standardisé">'140-Standards'!$AM:$AM</definedName>
    <definedName name="O140ColonneStandardUBiomedical" localSheetId="3">structure_question!#REF!</definedName>
    <definedName name="O140ColonneStandardUBiomedical">'140-Standards'!$AF:$AF</definedName>
    <definedName name="O140ColonneStandardUBureauWEB" localSheetId="3">structure_question!#REF!</definedName>
    <definedName name="O140ColonneStandardUBureauWEB">'140-Standards'!$Z:$Z</definedName>
    <definedName name="O140ColonneStandardUCopieurs" localSheetId="3">structure_question!#REF!</definedName>
    <definedName name="O140ColonneStandardUCopieurs">'140-Standards'!$X:$X</definedName>
    <definedName name="O140ColonneStandardUEQ_Lourds" localSheetId="3">structure_question!#REF!</definedName>
    <definedName name="O140ColonneStandardUEQ_Lourds">'140-Standards'!$AI:$AI</definedName>
    <definedName name="O140ColonneStandardUEQ_Soins_et_Secours" localSheetId="3">structure_question!#REF!</definedName>
    <definedName name="O140ColonneStandardUEQ_Soins_et_Secours">'140-Standards'!$AH:$AH</definedName>
    <definedName name="O140ColonneStandardUEquipement_General" localSheetId="3">structure_question!#REF!</definedName>
    <definedName name="O140ColonneStandardUEquipement_General">'140-Standards'!$P:$P</definedName>
    <definedName name="O140ColonneStandardUGAUSS" localSheetId="3">structure_question!#REF!</definedName>
    <definedName name="O140ColonneStandardUGAUSS">'140-Standards'!$AK:$AK</definedName>
    <definedName name="O140ColonneStandardUISP" localSheetId="3">structure_question!#REF!</definedName>
    <definedName name="O140ColonneStandardUISP">'140-Standards'!$L:$L</definedName>
    <definedName name="O140ColonneStandardULaboratoire" localSheetId="3">structure_question!#REF!</definedName>
    <definedName name="O140ColonneStandardULaboratoire">'140-Standards'!$AG:$AG</definedName>
    <definedName name="O140ColonneStandardULogiciels" localSheetId="3">structure_question!#REF!</definedName>
    <definedName name="O140ColonneStandardULogiciels">'140-Standards'!$AA:$AA</definedName>
    <definedName name="O140ColonneStandardUMateriel_et_Prestations" localSheetId="3">structure_question!#REF!</definedName>
    <definedName name="O140ColonneStandardUMateriel_et_Prestations">'140-Standards'!$AC:$AC</definedName>
    <definedName name="O140ColonneStandardUMatérielPrestations" localSheetId="3">structure_question!#REF!</definedName>
    <definedName name="O140ColonneStandardUMatérielPrestations">'140-Standards'!$AC$1</definedName>
    <definedName name="O140ColonneStandardUMobilier_scolaire" localSheetId="3">structure_question!#REF!</definedName>
    <definedName name="O140ColonneStandardUMobilier_scolaire">'140-Standards'!$O:$O</definedName>
    <definedName name="O140ColonneStandardUNon_standardisé" localSheetId="3">structure_question!#REF!</definedName>
    <definedName name="O140ColonneStandardUNon_standardisé">'140-Standards'!$AN:$AN</definedName>
    <definedName name="O140ColonneStandardUOffres_Financieres" localSheetId="3">structure_question!#REF!</definedName>
    <definedName name="O140ColonneStandardUOffres_Financieres">'140-Standards'!$U:$U</definedName>
    <definedName name="O140ColonneStandardUPII" localSheetId="3">structure_question!#REF!</definedName>
    <definedName name="O140ColonneStandardUPII">'140-Standards'!$AB:$AB</definedName>
    <definedName name="O140ColonneStandardUSAD" localSheetId="3">structure_question!#REF!</definedName>
    <definedName name="O140ColonneStandardUSAD">'140-Standards'!$AJ:$AJ</definedName>
    <definedName name="O140ColonneStandardUServices_aux_batiments" localSheetId="3">structure_question!#REF!</definedName>
    <definedName name="O140ColonneStandardUServices_aux_batiments">'140-Standards'!$S:$S</definedName>
    <definedName name="O140ColonneStandardUServices_aux_occupants" localSheetId="3">structure_question!#REF!</definedName>
    <definedName name="O140ColonneStandardUServices_aux_occupants">'140-Standards'!$T:$T</definedName>
    <definedName name="O140ColonneStandardUTelecom" localSheetId="3">structure_question!#REF!</definedName>
    <definedName name="O140ColonneStandardUTelecom">'140-Standards'!$Y:$Y</definedName>
    <definedName name="O140ColonneStandardUVI" localSheetId="3">structure_question!#REF!</definedName>
    <definedName name="O140ColonneStandardUVI">'140-Standards'!$J:$J</definedName>
    <definedName name="O140ColonneStandardUVL" localSheetId="3">structure_question!#REF!</definedName>
    <definedName name="O140ColonneStandardUVL">'140-Standards'!$K:$K</definedName>
    <definedName name="Offres_Financieres">Feuil1!$F$14</definedName>
    <definedName name="PII">Feuil1!$F$20</definedName>
    <definedName name="RefDirection" localSheetId="7">'[1]0-Garde'!$C$23</definedName>
    <definedName name="RefDirection">'[2]0-Garde'!$C$23</definedName>
    <definedName name="RefUnivers" localSheetId="7">'[1]0-Garde'!$C$24</definedName>
    <definedName name="RefUnivers">'[2]0-Garde'!$C$24</definedName>
    <definedName name="Reponse">'3-Elaboration.O'!$I$42</definedName>
    <definedName name="ReponseDirection">'3-Elaboration.O'!$I$2</definedName>
    <definedName name="ReponseEl0a">'3-Elaboration.O'!$I$8</definedName>
    <definedName name="ReponseEl103">'3-Elaboration.O'!$I$211</definedName>
    <definedName name="ReponseEl104">'3-Elaboration.O'!$I$104</definedName>
    <definedName name="ReponseEl104b">'3-Elaboration.O'!$I$106</definedName>
    <definedName name="ReponseEl107">'3-Elaboration.O'!$I$109</definedName>
    <definedName name="ReponseEl111">'3-Elaboration.O'!$I$118</definedName>
    <definedName name="ReponseEl114">'3-Elaboration.O'!$I$123</definedName>
    <definedName name="ReponseEl123">'3-Elaboration.O'!$I$132</definedName>
    <definedName name="ReponseEl124">'3-Elaboration.O'!$I$132</definedName>
    <definedName name="ReponseEl132">'3-Elaboration.O'!$I$144</definedName>
    <definedName name="ReponseEl132b" localSheetId="7">'[1]3-Elaboration.O'!$I$146</definedName>
    <definedName name="ReponseEl132b" localSheetId="1">'[2]3-Elaboration.O'!$I$149</definedName>
    <definedName name="ReponseEl132b" localSheetId="3">'[2]3-Elaboration.O'!$I$149</definedName>
    <definedName name="ReponseEl132b">'3-Elaboration.O'!$I$146</definedName>
    <definedName name="ReponseEl134">'3-Elaboration.O'!$I$190</definedName>
    <definedName name="ReponseEl136b" localSheetId="7">'[1]3-Elaboration.O'!$I$149</definedName>
    <definedName name="ReponseEl136b" localSheetId="1">'[2]3-Elaboration.O'!$I$152</definedName>
    <definedName name="ReponseEl136b" localSheetId="3">'[2]3-Elaboration.O'!$I$152</definedName>
    <definedName name="ReponseEl136b">'3-Elaboration.O'!$I$149</definedName>
    <definedName name="ReponseEl147">'3-Elaboration.O'!$I$217</definedName>
    <definedName name="ReponseEl150">'3-Elaboration.O'!$I$223</definedName>
    <definedName name="ReponseEl169">'3-Elaboration.O'!$I$360</definedName>
    <definedName name="ReponseEl172">'3-Elaboration.O'!$I$369</definedName>
    <definedName name="ReponseEl173">'3-Elaboration.O'!$I$375</definedName>
    <definedName name="ReponseEl177">'3-Elaboration.O'!$I$155</definedName>
    <definedName name="ReponseEl178">'3-Elaboration.O'!$I$157</definedName>
    <definedName name="ReponseEl179">'3-Elaboration.O'!$I$158</definedName>
    <definedName name="ReponseEl181">'3-Elaboration.O'!$I$161</definedName>
    <definedName name="ReponseEl181b">'3-Elaboration.O'!$I$162</definedName>
    <definedName name="ReponseEl182">'3-Elaboration.O'!$I$163</definedName>
    <definedName name="ReponseEl183">'3-Elaboration.O'!$I$170</definedName>
    <definedName name="ReponseEl183b">'3-Elaboration.O'!$I$173</definedName>
    <definedName name="ReponseEl183e">'3-Elaboration.O'!$I$175</definedName>
    <definedName name="ReponseEl183g">'3-Elaboration.O'!$I$177</definedName>
    <definedName name="ReponseEl183l">'3-Elaboration.O'!$I$171</definedName>
    <definedName name="ReponseEl184">'3-Elaboration.O'!$I$183</definedName>
    <definedName name="Reponseel186">'3-Elaboration.O'!$I$185</definedName>
    <definedName name="ReponseEl188">'3-Elaboration.O'!$I$186</definedName>
    <definedName name="ReponseEl1b">'3-Elaboration.O'!$I$7</definedName>
    <definedName name="ReponseEl205">'3-Elaboration.O'!$I$258</definedName>
    <definedName name="ReponseEl206">'3-Elaboration.O'!$I$259</definedName>
    <definedName name="ReponseEl206b">'3-Elaboration.O'!$I$260</definedName>
    <definedName name="ReponseEl208">'3-Elaboration.O'!$I$263</definedName>
    <definedName name="ReponseEl209">'3-Elaboration.O'!$I$264</definedName>
    <definedName name="ReponseEl219">'3-Elaboration.O'!$I$479</definedName>
    <definedName name="ReponseEl220">'3-Elaboration.O'!$I$296</definedName>
    <definedName name="ReponseEl224a">'3-Elaboration.O'!$I$300</definedName>
    <definedName name="ReponseEl224b">'3-Elaboration.O'!$I$301</definedName>
    <definedName name="ReponseEl224c">'3-Elaboration.O'!$I$302</definedName>
    <definedName name="ReponseEl227">'3-Elaboration.O'!$I$445</definedName>
    <definedName name="ReponseEl259">'3-Elaboration.O'!$I$397</definedName>
    <definedName name="ReponseEl260a">'3-Elaboration.O'!$I$401</definedName>
    <definedName name="Reponseel260b">'3-Elaboration.O'!$I$403</definedName>
    <definedName name="ReponseEl260c">'3-Elaboration.O'!$I$404</definedName>
    <definedName name="ReponseEl266">'3-Elaboration.O'!$I$281</definedName>
    <definedName name="ReponseEl271">'3-Elaboration.O'!$I$365</definedName>
    <definedName name="ReponseEl271c">'3-Elaboration.O'!$I$367</definedName>
    <definedName name="ReponseEl29">'3-Elaboration.O'!$I$16</definedName>
    <definedName name="ReponseEl30">'3-Elaboration.O'!$I$17</definedName>
    <definedName name="ReponseEl301">'3-Elaboration.O'!$I$53</definedName>
    <definedName name="ReponseEl304">'3-Elaboration.O'!$I$496</definedName>
    <definedName name="ReponseEl305">'3-Elaboration.O'!$I$497</definedName>
    <definedName name="ReponseEl306">'3-Elaboration.O'!$I$498</definedName>
    <definedName name="ReponseEl308">'3-Elaboration.O'!$I$286</definedName>
    <definedName name="ReponseEl308b">'3-Elaboration.O'!$I$289</definedName>
    <definedName name="ReponseEl308c" localSheetId="7">'[1]3-Elaboration.O'!$I$289</definedName>
    <definedName name="ReponseEl308c" localSheetId="1">'[2]3-Elaboration.O'!$I$293</definedName>
    <definedName name="ReponseEl308c" localSheetId="3">'[2]3-Elaboration.O'!$I$293</definedName>
    <definedName name="ReponseEl308c">'3-Elaboration.O'!$I$290</definedName>
    <definedName name="ReponseEl308d" localSheetId="7">'[1]3-Elaboration.O'!$I$290</definedName>
    <definedName name="ReponseEl308d" localSheetId="1">'[2]3-Elaboration.O'!$I$294</definedName>
    <definedName name="ReponseEl308d" localSheetId="3">'[2]3-Elaboration.O'!$I$294</definedName>
    <definedName name="ReponseEl308d">'3-Elaboration.O'!$I$291</definedName>
    <definedName name="ReponseEl308e" localSheetId="7">'[1]3-Elaboration.O'!$I$291</definedName>
    <definedName name="ReponseEl308e" localSheetId="1">'[2]3-Elaboration.O'!$I$295</definedName>
    <definedName name="ReponseEl308e" localSheetId="3">'[2]3-Elaboration.O'!$I$295</definedName>
    <definedName name="ReponseEl308e">'3-Elaboration.O'!$I$292</definedName>
    <definedName name="ReponseEl308f" localSheetId="7">'[1]3-Elaboration.O'!$I$292</definedName>
    <definedName name="ReponseEl308f" localSheetId="1">'[2]3-Elaboration.O'!$I$296</definedName>
    <definedName name="ReponseEl308f" localSheetId="3">'[2]3-Elaboration.O'!$I$296</definedName>
    <definedName name="ReponseEl308f">'3-Elaboration.O'!$I$293</definedName>
    <definedName name="ReponseEl316">'3-Elaboration.O'!$I$315</definedName>
    <definedName name="ReponseEl316a" localSheetId="7">'[1]3-Elaboration.O'!$I$315</definedName>
    <definedName name="ReponseEl316a" localSheetId="1">'[2]3-Elaboration.O'!$I$319</definedName>
    <definedName name="ReponseEl316a" localSheetId="3">'[2]3-Elaboration.O'!$I$319</definedName>
    <definedName name="ReponseEl316a">'3-Elaboration.O'!$I$316</definedName>
    <definedName name="ReponseEl318" localSheetId="7">'[1]3-Elaboration.O'!$I$332</definedName>
    <definedName name="ReponseEl318" localSheetId="1">'[2]3-Elaboration.O'!$I$336</definedName>
    <definedName name="ReponseEl318" localSheetId="3">'[2]3-Elaboration.O'!$I$336</definedName>
    <definedName name="ReponseEl318">'3-Elaboration.O'!$I$333</definedName>
    <definedName name="ReponseEl319">'3-Elaboration.O'!$I$335</definedName>
    <definedName name="ReponseEl326" localSheetId="7">'[1]3-Elaboration.O'!$I$346</definedName>
    <definedName name="ReponseEl326" localSheetId="1">'[2]3-Elaboration.O'!$I$350</definedName>
    <definedName name="ReponseEl326" localSheetId="3">'[2]3-Elaboration.O'!$I$350</definedName>
    <definedName name="ReponseEl326">'3-Elaboration.O'!$I$347</definedName>
    <definedName name="ReponseEl327" localSheetId="7">'[1]3-Elaboration.O'!$I$348</definedName>
    <definedName name="ReponseEl327" localSheetId="1">'[2]3-Elaboration.O'!$I$352</definedName>
    <definedName name="ReponseEl327" localSheetId="3">'[2]3-Elaboration.O'!$I$352</definedName>
    <definedName name="ReponseEl327">'3-Elaboration.O'!$I$349</definedName>
    <definedName name="ReponseEl329" localSheetId="7">'[1]3-Elaboration.O'!#REF!</definedName>
    <definedName name="ReponseEl329" localSheetId="1">'[2]3-Elaboration.O'!#REF!</definedName>
    <definedName name="ReponseEl329" localSheetId="3">'[2]3-Elaboration.O'!#REF!</definedName>
    <definedName name="ReponseEl329">'3-Elaboration.O'!#REF!</definedName>
    <definedName name="ReponseEl332" localSheetId="7">'[1]3-Elaboration.O'!$I$380</definedName>
    <definedName name="ReponseEl332" localSheetId="1">'[2]3-Elaboration.O'!$I$384</definedName>
    <definedName name="ReponseEl332" localSheetId="3">'[2]3-Elaboration.O'!$I$384</definedName>
    <definedName name="ReponseEl332">'3-Elaboration.O'!$I$381</definedName>
    <definedName name="ReponseEl332b" localSheetId="7">'[1]3-Elaboration.O'!$I$381</definedName>
    <definedName name="ReponseEl332b" localSheetId="1">'[2]3-Elaboration.O'!$I$385</definedName>
    <definedName name="ReponseEl332b" localSheetId="3">'[2]3-Elaboration.O'!$I$385</definedName>
    <definedName name="ReponseEl332b">'3-Elaboration.O'!$I$382</definedName>
    <definedName name="ReponseEl333">'3-Elaboration.O'!$I$484</definedName>
    <definedName name="ReponseEl333b">'3-Elaboration.O'!$I$486</definedName>
    <definedName name="ReponseEl334">'3-Elaboration.O'!$I$488</definedName>
    <definedName name="ReponseEl335e">'3-Elaboration.O'!$I$493</definedName>
    <definedName name="ReponseEl335g">'3-Elaboration.O'!$I$492</definedName>
    <definedName name="ReponseEl335h">'3-Elaboration.O'!$I$494</definedName>
    <definedName name="ReponseEl339d">'3-Elaboration.O'!$I$419</definedName>
    <definedName name="ReponseEl343">'3-Elaboration.O'!$I$386</definedName>
    <definedName name="ReponseEl343b">'3-Elaboration.O'!$I$387</definedName>
    <definedName name="ReponseEl35">'3-Elaboration.O'!$I$450</definedName>
    <definedName name="ReponseEl351">'3-Elaboration.O'!$I$429</definedName>
    <definedName name="ReponseEl360">'3-Elaboration.O'!$I$439</definedName>
    <definedName name="ReponseEl361">'3-Elaboration.O'!$I$474</definedName>
    <definedName name="ReponseEl370">'3-Elaboration.O'!$I$191</definedName>
    <definedName name="ReponseEl377">'3-Elaboration.O'!$I$194</definedName>
    <definedName name="ReponseEl387">'3-Elaboration.O'!$I$200</definedName>
    <definedName name="ReponseEl3c" localSheetId="7">'[1]3-Elaboration.O'!#REF!</definedName>
    <definedName name="ReponseEl3c" localSheetId="1">'[2]3-Elaboration.O'!#REF!</definedName>
    <definedName name="ReponseEl3c" localSheetId="3">'[2]3-Elaboration.O'!#REF!</definedName>
    <definedName name="ReponseEl3c">'3-Elaboration.O'!#REF!</definedName>
    <definedName name="ReponseEl3d" localSheetId="7">'[1]3-Elaboration.O'!#REF!</definedName>
    <definedName name="ReponseEl3d" localSheetId="1">'[2]3-Elaboration.O'!#REF!</definedName>
    <definedName name="ReponseEl3d" localSheetId="3">'[2]3-Elaboration.O'!#REF!</definedName>
    <definedName name="ReponseEl3d">'3-Elaboration.O'!#REF!</definedName>
    <definedName name="ReponseEl401">'3-Elaboration.O'!$I$268</definedName>
    <definedName name="ReponseEl488">'3-Elaboration.O'!$I$156</definedName>
    <definedName name="ReponseEl493">'3-Elaboration.O'!$I$219</definedName>
    <definedName name="ReponseEl500c">'3-Elaboration.O'!$I$38</definedName>
    <definedName name="ReponseEl506a">'3-Elaboration.O'!$I$319</definedName>
    <definedName name="ReponseEl510a">'3-Elaboration.O'!$I$325</definedName>
    <definedName name="ReponseEl510b">'3-Elaboration.O'!$I$326</definedName>
    <definedName name="ReponseEl510c">'3-Elaboration.O'!$I$327</definedName>
    <definedName name="ReponseEl59">'3-Elaboration.O'!$I$37</definedName>
    <definedName name="ReponseEl60b">'3-Elaboration.O'!$I$41</definedName>
    <definedName name="ReponseEl60c">'3-Elaboration.O'!$I$42</definedName>
    <definedName name="ReponseEl60d">'3-Elaboration.O'!$I$43</definedName>
    <definedName name="ReponseEl61">'3-Elaboration.O'!$I$44</definedName>
    <definedName name="ReponseEl71">'3-Elaboration.O'!$I$60</definedName>
    <definedName name="ReponseEl72">'3-Elaboration.O'!$I$61</definedName>
    <definedName name="ReponseEl73">'3-Elaboration.O'!$I$62</definedName>
    <definedName name="ReponseEl73b">'3-Elaboration.O'!$I$63</definedName>
    <definedName name="ReponseEl73c" localSheetId="7">'[1]3-Elaboration.O'!#REF!</definedName>
    <definedName name="ReponseEl73c" localSheetId="1">'[2]3-Elaboration.O'!#REF!</definedName>
    <definedName name="ReponseEl73c" localSheetId="3">'[2]3-Elaboration.O'!#REF!</definedName>
    <definedName name="ReponseEl73c">'3-Elaboration.O'!#REF!</definedName>
    <definedName name="ReponseEl73d">'3-Elaboration.O'!$I$64</definedName>
    <definedName name="ReponseEl73g">'3-Elaboration.O'!$I$65</definedName>
    <definedName name="ReponseEl74">'3-Elaboration.O'!$I$66</definedName>
    <definedName name="ReponseEl76" localSheetId="7">'[1]3-Elaboration.O'!#REF!</definedName>
    <definedName name="ReponseEl76" localSheetId="1">'[2]3-Elaboration.O'!#REF!</definedName>
    <definedName name="ReponseEl76" localSheetId="3">'[2]3-Elaboration.O'!#REF!</definedName>
    <definedName name="ReponseEl76">'3-Elaboration.O'!#REF!</definedName>
    <definedName name="ReponseEl78a">'3-Elaboration.O'!$I$72</definedName>
    <definedName name="ReponseEl78g">'3-Elaboration.O'!$I$79</definedName>
    <definedName name="ReponseEl78j">'3-Elaboration.O'!$I$82</definedName>
    <definedName name="ReponseEl78k">'3-Elaboration.O'!$I$83</definedName>
    <definedName name="ReponseEl78n">'3-Elaboration.O'!$I$86</definedName>
    <definedName name="ReponseEl80a" localSheetId="7">'[1]3-Elaboration.O'!$I$90</definedName>
    <definedName name="ReponseEl80a" localSheetId="1">'[2]3-Elaboration.O'!$I$93</definedName>
    <definedName name="ReponseEl80a" localSheetId="3">'[2]3-Elaboration.O'!$I$93</definedName>
    <definedName name="ReponseEl80a">'3-Elaboration.O'!$I$90</definedName>
    <definedName name="ReponseEl84b">'3-Elaboration.O'!$I$94</definedName>
    <definedName name="ReponseEl84c">'3-Elaboration.O'!$I$95</definedName>
    <definedName name="ReponseEl85b">'3-Elaboration.O'!$I$93</definedName>
    <definedName name="ReponseEl86">'3-Elaboration.O'!$I$98</definedName>
    <definedName name="ReponseEl87" localSheetId="7">'[1]3-Elaboration.O'!$I$99</definedName>
    <definedName name="ReponseEl87" localSheetId="1">'[2]3-Elaboration.O'!$I$102</definedName>
    <definedName name="ReponseEl87" localSheetId="3">'[2]3-Elaboration.O'!$I$102</definedName>
    <definedName name="ReponseEl87">'3-Elaboration.O'!$I$99</definedName>
    <definedName name="ReponseEl87b" localSheetId="7">'[1]3-Elaboration.O'!$I$100</definedName>
    <definedName name="ReponseEl87b" localSheetId="1">'[2]3-Elaboration.O'!$I$103</definedName>
    <definedName name="ReponseEl87b" localSheetId="3">'[2]3-Elaboration.O'!$I$103</definedName>
    <definedName name="ReponseEl87b">'3-Elaboration.O'!$I$100</definedName>
    <definedName name="ReponseEl88b">'3-Elaboration.O'!$I$27</definedName>
    <definedName name="ReponseEl90">'3-Elaboration.O'!$I$28</definedName>
    <definedName name="ReponseEl92">'3-Elaboration.O'!$I$30</definedName>
    <definedName name="ReponseEl96">'3-Elaboration.O'!$I$34</definedName>
    <definedName name="ReponseNonSaisie" localSheetId="7">'[1]170-Format'!$G$33</definedName>
    <definedName name="ReponseNonSaisie">'[2]170-Format'!$G$33</definedName>
    <definedName name="ReponseUnivers">'3-Elaboration.O'!$I$3</definedName>
    <definedName name="Services_aux_batiments">Feuil1!$F$12</definedName>
    <definedName name="Services_aux_occupants">Feuil1!$F$13</definedName>
    <definedName name="StandardNonApplicable" localSheetId="7">'[1]170-Format'!$G$35</definedName>
    <definedName name="StandardNonApplicable">'[2]170-Format'!$G$35</definedName>
    <definedName name="Tab_Bilan" localSheetId="7">'[1]120-REF Listes'!$C$70:$C$73</definedName>
    <definedName name="Tab_Bilan">'[2]120-REF Listes'!$C$70:$C$73</definedName>
    <definedName name="Tab_Catalogue" localSheetId="7">'[1]120-REF Listes'!$Q$70:$Q$72</definedName>
    <definedName name="Tab_Catalogue">'[2]120-REF Listes'!$Q$70:$Q$72</definedName>
    <definedName name="Tab_Département" localSheetId="7">'[1]120-REF Listes'!$G$70:$G$83</definedName>
    <definedName name="Tab_Département">'[2]120-REF Listes'!$G$70:$G$83</definedName>
    <definedName name="Tab_Intervenant">'[2]120-REF Listes'!$O$70:$O$71</definedName>
    <definedName name="Tab_Livraison" localSheetId="7">'[1]120-REF Listes'!$I$70:$I$72</definedName>
    <definedName name="Tab_Livraison">'[2]120-REF Listes'!$I$70:$I$72</definedName>
    <definedName name="Tab_Location" localSheetId="7">'[1]120-REF Listes'!$K$70:$K$72</definedName>
    <definedName name="Tab_Location">'[2]120-REF Listes'!$K$70:$K$72</definedName>
    <definedName name="TableauLotModeAttribMultiAttrib" localSheetId="7">'[1]10-Détail_Lots'!$AA$11:$AA$1048576</definedName>
    <definedName name="TableauLotModeAttribMultiAttrib">'[2]10-Détail_Lots'!$AA$11:$AA$1048576</definedName>
    <definedName name="TableauLotNbTitulairesMultiAttrib" localSheetId="7">'[1]10-Détail_Lots'!$Z$11:$Z$1048576</definedName>
    <definedName name="TableauLotNbTitulairesMultiAttrib">'[2]10-Détail_Lots'!$Z$11:$Z$1048576</definedName>
    <definedName name="TableauLotObjetLot" localSheetId="7">'[1]10-Détail_Lots'!$K$11:$K$1048576</definedName>
    <definedName name="TableauLotObjetLot">'[2]10-Détail_Lots'!$K$11:$K$1048576</definedName>
    <definedName name="Telecom">Feuil1!$F$17</definedName>
    <definedName name="temp_address">Feuil1!#REF!,Feuil1!#REF!,Feuil1!#REF!,Feuil1!#REF!,Feuil1!#REF!,Feuil1!#REF!</definedName>
    <definedName name="Univers_Non_Standardisé">Feuil1!$F$30</definedName>
    <definedName name="VBA_Biomedical">Feuil1!$F$23</definedName>
    <definedName name="VBA_BureauWEB">Feuil1!$F$18</definedName>
    <definedName name="VBA_Copieurs">Feuil1!$F$16</definedName>
    <definedName name="VBA_DAG_Mobilier_scolaire_et_Equipement_général">Feuil1!$F$8</definedName>
    <definedName name="VBA_DAG_SOFI">Feuil1!$F$11</definedName>
    <definedName name="VBA_DAI">Feuil1!$F$15</definedName>
    <definedName name="VBA_DAV">Feuil1!$F$4</definedName>
    <definedName name="VBA_DM_DMS">Feuil1!$F$27</definedName>
    <definedName name="VBA_DS">Feuil1!$F$22</definedName>
    <definedName name="VBA_E">Feuil1!$F$3</definedName>
    <definedName name="VBA_EQ_Lourds">Feuil1!$F$26</definedName>
    <definedName name="VBA_EQ_Soins_et_Secours">Feuil1!$F$25</definedName>
    <definedName name="VBA_Equipement_general">Feuil1!$F$10</definedName>
    <definedName name="VBA_GAUSS">Feuil1!$F$28</definedName>
    <definedName name="VBA_ISP">Feuil1!$F$7</definedName>
    <definedName name="VBA_Laboratoire">Feuil1!$F$24</definedName>
    <definedName name="VBA_Logiciels">Feuil1!$F$19</definedName>
    <definedName name="VBA_Materiel_et_Prestations">Feuil1!$F$21</definedName>
    <definedName name="VBA_Mobilier_scolaire">Feuil1!$F$9</definedName>
    <definedName name="VBA_Non_standardisé">Feuil1!$F$29</definedName>
    <definedName name="VBA_Offres_Financieres">Feuil1!$F$14</definedName>
    <definedName name="VBA_PII">Feuil1!$F$20</definedName>
    <definedName name="VBA_Services_aux_batiments">Feuil1!$F$12</definedName>
    <definedName name="VBA_Services_aux_occupants">Feuil1!$F$13</definedName>
    <definedName name="VBA_Telecom">Feuil1!$F$17</definedName>
    <definedName name="VBA_VI">Feuil1!$F$5</definedName>
    <definedName name="VBA_VL">Feuil1!$F$6</definedName>
    <definedName name="VI">Feuil1!$F$5</definedName>
    <definedName name="VL">Feuil1!$F$6</definedName>
    <definedName name="_xlnm.Print_Area" localSheetId="1">'140-Standards'!$A$1:$AK$498</definedName>
    <definedName name="_xlnm.Print_Area" localSheetId="0">'3-Elaboration.O'!$A$1:$R$498</definedName>
    <definedName name="_xlnm.Print_Area" localSheetId="3">structure_question!$A$1:$B$549</definedName>
  </definedNames>
  <calcPr calcId="191028"/>
  <pivotCaches>
    <pivotCache cacheId="1"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3" l="1"/>
  <c r="D5" i="3"/>
  <c r="D6" i="3"/>
  <c r="D7" i="3"/>
  <c r="D8" i="3"/>
  <c r="D9" i="3"/>
  <c r="D10" i="3"/>
  <c r="D11" i="3"/>
  <c r="D12" i="3"/>
  <c r="D13" i="3"/>
  <c r="D14" i="3"/>
  <c r="D15" i="3"/>
  <c r="D16" i="3"/>
  <c r="D17" i="3"/>
  <c r="D18" i="3"/>
  <c r="D19" i="3"/>
  <c r="D20" i="3"/>
  <c r="D21" i="3"/>
  <c r="D22" i="3"/>
  <c r="D23" i="3"/>
  <c r="D24" i="3"/>
  <c r="D25" i="3"/>
  <c r="D26" i="3"/>
  <c r="D27" i="3"/>
  <c r="D28" i="3"/>
  <c r="D29" i="3"/>
  <c r="D30" i="3"/>
  <c r="D3" i="3"/>
  <c r="R2"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L2" i="8"/>
  <c r="L3"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2" i="8"/>
  <c r="F6" i="5" l="1"/>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5" i="5"/>
  <c r="D6" i="1" l="1"/>
  <c r="D512" i="2"/>
  <c r="C512" i="2"/>
  <c r="B512" i="2"/>
  <c r="D511" i="2"/>
  <c r="C511" i="2"/>
  <c r="B511" i="2"/>
  <c r="D510" i="2"/>
  <c r="C510" i="2"/>
  <c r="B510" i="2"/>
  <c r="D509" i="2"/>
  <c r="C509" i="2"/>
  <c r="B509" i="2"/>
  <c r="D508" i="2"/>
  <c r="C508" i="2"/>
  <c r="B508" i="2"/>
  <c r="D507" i="2"/>
  <c r="C507" i="2"/>
  <c r="B507" i="2"/>
  <c r="D506" i="2"/>
  <c r="C506" i="2"/>
  <c r="B506" i="2"/>
  <c r="D505" i="2"/>
  <c r="C505" i="2"/>
  <c r="B505" i="2"/>
  <c r="D504" i="2"/>
  <c r="C504" i="2"/>
  <c r="B504" i="2"/>
  <c r="D503" i="2"/>
  <c r="C503" i="2"/>
  <c r="B503" i="2"/>
  <c r="D502" i="2"/>
  <c r="C502" i="2"/>
  <c r="B502" i="2"/>
  <c r="D501" i="2"/>
  <c r="C501" i="2"/>
  <c r="B501" i="2"/>
  <c r="D500" i="2"/>
  <c r="C500" i="2"/>
  <c r="B500" i="2"/>
  <c r="D499" i="2"/>
  <c r="C499" i="2"/>
  <c r="B499" i="2"/>
  <c r="D498" i="2"/>
  <c r="C498" i="2"/>
  <c r="B498" i="2"/>
  <c r="D497" i="2"/>
  <c r="C497" i="2"/>
  <c r="B497" i="2"/>
  <c r="D496" i="2"/>
  <c r="C496" i="2"/>
  <c r="B496" i="2"/>
  <c r="D495" i="2"/>
  <c r="C495" i="2"/>
  <c r="B495" i="2"/>
  <c r="D494" i="2"/>
  <c r="C494" i="2"/>
  <c r="B494" i="2"/>
  <c r="D493" i="2"/>
  <c r="C493" i="2"/>
  <c r="B493" i="2"/>
  <c r="D492" i="2"/>
  <c r="C492" i="2"/>
  <c r="B492" i="2"/>
  <c r="D491" i="2"/>
  <c r="C491" i="2"/>
  <c r="B491" i="2"/>
  <c r="D490" i="2"/>
  <c r="C490" i="2"/>
  <c r="B490" i="2"/>
  <c r="D489" i="2"/>
  <c r="C489" i="2"/>
  <c r="B489" i="2"/>
  <c r="D488" i="2"/>
  <c r="C488" i="2"/>
  <c r="B488" i="2"/>
  <c r="D487" i="2"/>
  <c r="C487" i="2"/>
  <c r="B487" i="2"/>
  <c r="D486" i="2"/>
  <c r="C486" i="2"/>
  <c r="B486" i="2"/>
  <c r="D485" i="2"/>
  <c r="C485" i="2"/>
  <c r="B485" i="2"/>
  <c r="D484" i="2"/>
  <c r="C484" i="2"/>
  <c r="B484" i="2"/>
  <c r="D483" i="2"/>
  <c r="C483" i="2"/>
  <c r="B483" i="2"/>
  <c r="D482" i="2"/>
  <c r="C482" i="2"/>
  <c r="B482" i="2"/>
  <c r="D481" i="2"/>
  <c r="C481" i="2"/>
  <c r="B481" i="2"/>
  <c r="D480" i="2"/>
  <c r="C480" i="2"/>
  <c r="B480" i="2"/>
  <c r="D479" i="2"/>
  <c r="C479" i="2"/>
  <c r="B479" i="2"/>
  <c r="D478" i="2"/>
  <c r="C478" i="2"/>
  <c r="B478" i="2"/>
  <c r="D477" i="2"/>
  <c r="C477" i="2"/>
  <c r="B477" i="2"/>
  <c r="D476" i="2"/>
  <c r="C476" i="2"/>
  <c r="B476" i="2"/>
  <c r="D475" i="2"/>
  <c r="C475" i="2"/>
  <c r="B475" i="2"/>
  <c r="D474" i="2"/>
  <c r="C474" i="2"/>
  <c r="B474" i="2"/>
  <c r="D473" i="2"/>
  <c r="C473" i="2"/>
  <c r="B473" i="2"/>
  <c r="D472" i="2"/>
  <c r="C472" i="2"/>
  <c r="B472" i="2"/>
  <c r="D471" i="2"/>
  <c r="C471" i="2"/>
  <c r="B471" i="2"/>
  <c r="D470" i="2"/>
  <c r="C470" i="2"/>
  <c r="B470" i="2"/>
  <c r="D469" i="2"/>
  <c r="C469" i="2"/>
  <c r="B469" i="2"/>
  <c r="D468" i="2"/>
  <c r="C468" i="2"/>
  <c r="B468" i="2"/>
  <c r="D467" i="2"/>
  <c r="C467" i="2"/>
  <c r="B467" i="2"/>
  <c r="D466" i="2"/>
  <c r="C466" i="2"/>
  <c r="B466" i="2"/>
  <c r="D465" i="2"/>
  <c r="C465" i="2"/>
  <c r="B465" i="2"/>
  <c r="D464" i="2"/>
  <c r="C464" i="2"/>
  <c r="B464" i="2"/>
  <c r="D463" i="2"/>
  <c r="C463" i="2"/>
  <c r="B463" i="2"/>
  <c r="D462" i="2"/>
  <c r="C462" i="2"/>
  <c r="B462" i="2"/>
  <c r="D461" i="2"/>
  <c r="C461" i="2"/>
  <c r="B461" i="2"/>
  <c r="D460" i="2"/>
  <c r="C460" i="2"/>
  <c r="B460" i="2"/>
  <c r="D459" i="2"/>
  <c r="C459" i="2"/>
  <c r="B459" i="2"/>
  <c r="D458" i="2"/>
  <c r="C458" i="2"/>
  <c r="B458" i="2"/>
  <c r="D457" i="2"/>
  <c r="C457" i="2"/>
  <c r="B457" i="2"/>
  <c r="D456" i="2"/>
  <c r="C456" i="2"/>
  <c r="B456" i="2"/>
  <c r="D455" i="2"/>
  <c r="C455" i="2"/>
  <c r="B455" i="2"/>
  <c r="D454" i="2"/>
  <c r="C454" i="2"/>
  <c r="B454" i="2"/>
  <c r="D453" i="2"/>
  <c r="C453" i="2"/>
  <c r="B453" i="2"/>
  <c r="D452" i="2"/>
  <c r="C452" i="2"/>
  <c r="B452" i="2"/>
  <c r="D451" i="2"/>
  <c r="C451" i="2"/>
  <c r="B451" i="2"/>
  <c r="D450" i="2"/>
  <c r="C450" i="2"/>
  <c r="B450" i="2"/>
  <c r="D449" i="2"/>
  <c r="C449" i="2"/>
  <c r="B449" i="2"/>
  <c r="D448" i="2"/>
  <c r="C448" i="2"/>
  <c r="B448" i="2"/>
  <c r="D447" i="2"/>
  <c r="C447" i="2"/>
  <c r="B447" i="2"/>
  <c r="D446" i="2"/>
  <c r="C446" i="2"/>
  <c r="B446" i="2"/>
  <c r="D445" i="2"/>
  <c r="C445" i="2"/>
  <c r="B445" i="2"/>
  <c r="D444" i="2"/>
  <c r="C444" i="2"/>
  <c r="B444" i="2"/>
  <c r="D443" i="2"/>
  <c r="C443" i="2"/>
  <c r="B443" i="2"/>
  <c r="D442" i="2"/>
  <c r="C442" i="2"/>
  <c r="B442" i="2"/>
  <c r="D441" i="2"/>
  <c r="C441" i="2"/>
  <c r="B441" i="2"/>
  <c r="D440" i="2"/>
  <c r="C440" i="2"/>
  <c r="B440" i="2"/>
  <c r="D439" i="2"/>
  <c r="C439" i="2"/>
  <c r="B439" i="2"/>
  <c r="D438" i="2"/>
  <c r="C438" i="2"/>
  <c r="B438" i="2"/>
  <c r="D437" i="2"/>
  <c r="C437" i="2"/>
  <c r="B437" i="2"/>
  <c r="D436" i="2"/>
  <c r="C436" i="2"/>
  <c r="B436" i="2"/>
  <c r="D435" i="2"/>
  <c r="C435" i="2"/>
  <c r="B435" i="2"/>
  <c r="D434" i="2"/>
  <c r="C434" i="2"/>
  <c r="B434" i="2"/>
  <c r="D433" i="2"/>
  <c r="C433" i="2"/>
  <c r="B433" i="2"/>
  <c r="D432" i="2"/>
  <c r="C432" i="2"/>
  <c r="B432" i="2"/>
  <c r="D431" i="2"/>
  <c r="C431" i="2"/>
  <c r="B431" i="2"/>
  <c r="D430" i="2"/>
  <c r="C430" i="2"/>
  <c r="B430" i="2"/>
  <c r="D429" i="2"/>
  <c r="C429" i="2"/>
  <c r="B429" i="2"/>
  <c r="D428" i="2"/>
  <c r="C428" i="2"/>
  <c r="B428" i="2"/>
  <c r="D427" i="2"/>
  <c r="C427" i="2"/>
  <c r="B427" i="2"/>
  <c r="D426" i="2"/>
  <c r="C426" i="2"/>
  <c r="B426" i="2"/>
  <c r="D425" i="2"/>
  <c r="C425" i="2"/>
  <c r="B425" i="2"/>
  <c r="D424" i="2"/>
  <c r="C424" i="2"/>
  <c r="B424" i="2"/>
  <c r="D423" i="2"/>
  <c r="C423" i="2"/>
  <c r="B423" i="2"/>
  <c r="D422" i="2"/>
  <c r="C422" i="2"/>
  <c r="B422" i="2"/>
  <c r="D421" i="2"/>
  <c r="C421" i="2"/>
  <c r="B421" i="2"/>
  <c r="D420" i="2"/>
  <c r="C420" i="2"/>
  <c r="B420" i="2"/>
  <c r="D419" i="2"/>
  <c r="C419" i="2"/>
  <c r="B419" i="2"/>
  <c r="D418" i="2"/>
  <c r="C418" i="2"/>
  <c r="B418" i="2"/>
  <c r="D417" i="2"/>
  <c r="C417" i="2"/>
  <c r="B417" i="2"/>
  <c r="D416" i="2"/>
  <c r="C416" i="2"/>
  <c r="B416" i="2"/>
  <c r="D415" i="2"/>
  <c r="C415" i="2"/>
  <c r="B415" i="2"/>
  <c r="D414" i="2"/>
  <c r="C414" i="2"/>
  <c r="B414" i="2"/>
  <c r="D413" i="2"/>
  <c r="C413" i="2"/>
  <c r="B413" i="2"/>
  <c r="D412" i="2"/>
  <c r="C412" i="2"/>
  <c r="B412" i="2"/>
  <c r="D411" i="2"/>
  <c r="C411" i="2"/>
  <c r="B411" i="2"/>
  <c r="D410" i="2"/>
  <c r="C410" i="2"/>
  <c r="B410" i="2"/>
  <c r="D409" i="2"/>
  <c r="C409" i="2"/>
  <c r="B409" i="2"/>
  <c r="D408" i="2"/>
  <c r="C408" i="2"/>
  <c r="B408" i="2"/>
  <c r="D407" i="2"/>
  <c r="C407" i="2"/>
  <c r="B407" i="2"/>
  <c r="D406" i="2"/>
  <c r="C406" i="2"/>
  <c r="B406" i="2"/>
  <c r="D405" i="2"/>
  <c r="C405" i="2"/>
  <c r="B405" i="2"/>
  <c r="D404" i="2"/>
  <c r="C404" i="2"/>
  <c r="B404" i="2"/>
  <c r="D403" i="2"/>
  <c r="C403" i="2"/>
  <c r="B403" i="2"/>
  <c r="D402" i="2"/>
  <c r="C402" i="2"/>
  <c r="B402" i="2"/>
  <c r="D401" i="2"/>
  <c r="C401" i="2"/>
  <c r="B401" i="2"/>
  <c r="D400" i="2"/>
  <c r="C400" i="2"/>
  <c r="B400" i="2"/>
  <c r="D399" i="2"/>
  <c r="C399" i="2"/>
  <c r="B399" i="2"/>
  <c r="D398" i="2"/>
  <c r="C398" i="2"/>
  <c r="B398" i="2"/>
  <c r="D397" i="2"/>
  <c r="C397" i="2"/>
  <c r="B397" i="2"/>
  <c r="D396" i="2"/>
  <c r="C396" i="2"/>
  <c r="B396" i="2"/>
  <c r="D395" i="2"/>
  <c r="C395" i="2"/>
  <c r="B395" i="2"/>
  <c r="D394" i="2"/>
  <c r="C394" i="2"/>
  <c r="B394" i="2"/>
  <c r="D393" i="2"/>
  <c r="C393" i="2"/>
  <c r="B393" i="2"/>
  <c r="D392" i="2"/>
  <c r="C392" i="2"/>
  <c r="B392" i="2"/>
  <c r="D391" i="2"/>
  <c r="C391" i="2"/>
  <c r="B391" i="2"/>
  <c r="D390" i="2"/>
  <c r="C390" i="2"/>
  <c r="B390" i="2"/>
  <c r="D389" i="2"/>
  <c r="C389" i="2"/>
  <c r="B389" i="2"/>
  <c r="D388" i="2"/>
  <c r="C388" i="2"/>
  <c r="B388" i="2"/>
  <c r="D387" i="2"/>
  <c r="C387" i="2"/>
  <c r="B387" i="2"/>
  <c r="D386" i="2"/>
  <c r="C386" i="2"/>
  <c r="B386" i="2"/>
  <c r="D385" i="2"/>
  <c r="C385" i="2"/>
  <c r="B385" i="2"/>
  <c r="D384" i="2"/>
  <c r="C384" i="2"/>
  <c r="B384" i="2"/>
  <c r="D383" i="2"/>
  <c r="C383" i="2"/>
  <c r="B383" i="2"/>
  <c r="D382" i="2"/>
  <c r="C382" i="2"/>
  <c r="B382" i="2"/>
  <c r="D381" i="2"/>
  <c r="C381" i="2"/>
  <c r="B381" i="2"/>
  <c r="D380" i="2"/>
  <c r="C380" i="2"/>
  <c r="B380" i="2"/>
  <c r="D379" i="2"/>
  <c r="C379" i="2"/>
  <c r="B379" i="2"/>
  <c r="D378" i="2"/>
  <c r="C378" i="2"/>
  <c r="B378" i="2"/>
  <c r="D377" i="2"/>
  <c r="C377" i="2"/>
  <c r="B377" i="2"/>
  <c r="D376" i="2"/>
  <c r="C376" i="2"/>
  <c r="B376" i="2"/>
  <c r="D375" i="2"/>
  <c r="C375" i="2"/>
  <c r="B375" i="2"/>
  <c r="D374" i="2"/>
  <c r="C374" i="2"/>
  <c r="B374" i="2"/>
  <c r="D373" i="2"/>
  <c r="C373" i="2"/>
  <c r="B373" i="2"/>
  <c r="D372" i="2"/>
  <c r="C372" i="2"/>
  <c r="B372" i="2"/>
  <c r="D371" i="2"/>
  <c r="C371" i="2"/>
  <c r="B371" i="2"/>
  <c r="D370" i="2"/>
  <c r="C370" i="2"/>
  <c r="B370" i="2"/>
  <c r="D369" i="2"/>
  <c r="C369" i="2"/>
  <c r="B369" i="2"/>
  <c r="D368" i="2"/>
  <c r="C368" i="2"/>
  <c r="B368" i="2"/>
  <c r="D367" i="2"/>
  <c r="C367" i="2"/>
  <c r="B367" i="2"/>
  <c r="D366" i="2"/>
  <c r="C366" i="2"/>
  <c r="B366" i="2"/>
  <c r="D365" i="2"/>
  <c r="C365" i="2"/>
  <c r="B365" i="2"/>
  <c r="D364" i="2"/>
  <c r="C364" i="2"/>
  <c r="B364" i="2"/>
  <c r="D363" i="2"/>
  <c r="C363" i="2"/>
  <c r="B363" i="2"/>
  <c r="D362" i="2"/>
  <c r="C362" i="2"/>
  <c r="B362" i="2"/>
  <c r="D361" i="2"/>
  <c r="C361" i="2"/>
  <c r="B361" i="2"/>
  <c r="D360" i="2"/>
  <c r="C360" i="2"/>
  <c r="B360" i="2"/>
  <c r="D359" i="2"/>
  <c r="C359" i="2"/>
  <c r="B359" i="2"/>
  <c r="D358" i="2"/>
  <c r="C358" i="2"/>
  <c r="B358" i="2"/>
  <c r="D357" i="2"/>
  <c r="C357" i="2"/>
  <c r="B357" i="2"/>
  <c r="D356" i="2"/>
  <c r="C356" i="2"/>
  <c r="B356" i="2"/>
  <c r="D355" i="2"/>
  <c r="C355" i="2"/>
  <c r="B355" i="2"/>
  <c r="D354" i="2"/>
  <c r="C354" i="2"/>
  <c r="B354" i="2"/>
  <c r="D353" i="2"/>
  <c r="C353" i="2"/>
  <c r="B353" i="2"/>
  <c r="D352" i="2"/>
  <c r="C352" i="2"/>
  <c r="B352" i="2"/>
  <c r="D351" i="2"/>
  <c r="C351" i="2"/>
  <c r="B351" i="2"/>
  <c r="D350" i="2"/>
  <c r="C350" i="2"/>
  <c r="B350" i="2"/>
  <c r="D349" i="2"/>
  <c r="C349" i="2"/>
  <c r="B349" i="2"/>
  <c r="D348" i="2"/>
  <c r="C348" i="2"/>
  <c r="B348" i="2"/>
  <c r="D347" i="2"/>
  <c r="C347" i="2"/>
  <c r="B347" i="2"/>
  <c r="D346" i="2"/>
  <c r="C346" i="2"/>
  <c r="B346" i="2"/>
  <c r="D345" i="2"/>
  <c r="C345" i="2"/>
  <c r="B345" i="2"/>
  <c r="D344" i="2"/>
  <c r="C344" i="2"/>
  <c r="B344" i="2"/>
  <c r="D343" i="2"/>
  <c r="C343" i="2"/>
  <c r="B343" i="2"/>
  <c r="D342" i="2"/>
  <c r="C342" i="2"/>
  <c r="B342" i="2"/>
  <c r="D341" i="2"/>
  <c r="C341" i="2"/>
  <c r="B341" i="2"/>
  <c r="D340" i="2"/>
  <c r="C340" i="2"/>
  <c r="B340" i="2"/>
  <c r="D339" i="2"/>
  <c r="C339" i="2"/>
  <c r="B339" i="2"/>
  <c r="D338" i="2"/>
  <c r="C338" i="2"/>
  <c r="B338" i="2"/>
  <c r="D337" i="2"/>
  <c r="C337" i="2"/>
  <c r="B337" i="2"/>
  <c r="D336" i="2"/>
  <c r="C336" i="2"/>
  <c r="B336" i="2"/>
  <c r="D335" i="2"/>
  <c r="C335" i="2"/>
  <c r="B335" i="2"/>
  <c r="D334" i="2"/>
  <c r="C334" i="2"/>
  <c r="B334" i="2"/>
  <c r="D333" i="2"/>
  <c r="C333" i="2"/>
  <c r="B333" i="2"/>
  <c r="D332" i="2"/>
  <c r="C332" i="2"/>
  <c r="B332" i="2"/>
  <c r="D331" i="2"/>
  <c r="C331" i="2"/>
  <c r="B331" i="2"/>
  <c r="D330" i="2"/>
  <c r="C330" i="2"/>
  <c r="B330" i="2"/>
  <c r="D329" i="2"/>
  <c r="C329" i="2"/>
  <c r="B329" i="2"/>
  <c r="D328" i="2"/>
  <c r="C328" i="2"/>
  <c r="B328" i="2"/>
  <c r="D327" i="2"/>
  <c r="C327" i="2"/>
  <c r="B327" i="2"/>
  <c r="D326" i="2"/>
  <c r="C326" i="2"/>
  <c r="B326" i="2"/>
  <c r="D325" i="2"/>
  <c r="C325" i="2"/>
  <c r="B325" i="2"/>
  <c r="D324" i="2"/>
  <c r="C324" i="2"/>
  <c r="B324" i="2"/>
  <c r="D323" i="2"/>
  <c r="C323" i="2"/>
  <c r="B323" i="2"/>
  <c r="D322" i="2"/>
  <c r="C322" i="2"/>
  <c r="B322" i="2"/>
  <c r="D321" i="2"/>
  <c r="C321" i="2"/>
  <c r="B321" i="2"/>
  <c r="D320" i="2"/>
  <c r="C320" i="2"/>
  <c r="B320" i="2"/>
  <c r="D319" i="2"/>
  <c r="C319" i="2"/>
  <c r="B319" i="2"/>
  <c r="D318" i="2"/>
  <c r="C318" i="2"/>
  <c r="B318" i="2"/>
  <c r="D317" i="2"/>
  <c r="C317" i="2"/>
  <c r="B317" i="2"/>
  <c r="D316" i="2"/>
  <c r="C316" i="2"/>
  <c r="B316" i="2"/>
  <c r="D315" i="2"/>
  <c r="C315" i="2"/>
  <c r="B315" i="2"/>
  <c r="D314" i="2"/>
  <c r="C314" i="2"/>
  <c r="B314" i="2"/>
  <c r="D313" i="2"/>
  <c r="C313" i="2"/>
  <c r="B313" i="2"/>
  <c r="D312" i="2"/>
  <c r="C312" i="2"/>
  <c r="B312" i="2"/>
  <c r="D311" i="2"/>
  <c r="C311" i="2"/>
  <c r="B311" i="2"/>
  <c r="D310" i="2"/>
  <c r="C310" i="2"/>
  <c r="B310" i="2"/>
  <c r="D309" i="2"/>
  <c r="C309" i="2"/>
  <c r="B309" i="2"/>
  <c r="D308" i="2"/>
  <c r="C308" i="2"/>
  <c r="B308" i="2"/>
  <c r="D307" i="2"/>
  <c r="C307" i="2"/>
  <c r="B307" i="2"/>
  <c r="D306" i="2"/>
  <c r="C306" i="2"/>
  <c r="B306" i="2"/>
  <c r="D305" i="2"/>
  <c r="C305" i="2"/>
  <c r="B305" i="2"/>
  <c r="D304" i="2"/>
  <c r="C304" i="2"/>
  <c r="B304" i="2"/>
  <c r="D303" i="2"/>
  <c r="C303" i="2"/>
  <c r="B303" i="2"/>
  <c r="D302" i="2"/>
  <c r="C302" i="2"/>
  <c r="B302" i="2"/>
  <c r="D301" i="2"/>
  <c r="C301" i="2"/>
  <c r="B301" i="2"/>
  <c r="D300" i="2"/>
  <c r="C300" i="2"/>
  <c r="B300" i="2"/>
  <c r="D299" i="2"/>
  <c r="C299" i="2"/>
  <c r="B299" i="2"/>
  <c r="D298" i="2"/>
  <c r="C298" i="2"/>
  <c r="B298" i="2"/>
  <c r="D297" i="2"/>
  <c r="C297" i="2"/>
  <c r="B297" i="2"/>
  <c r="D296" i="2"/>
  <c r="C296" i="2"/>
  <c r="B296" i="2"/>
  <c r="D295" i="2"/>
  <c r="C295" i="2"/>
  <c r="B295" i="2"/>
  <c r="D294" i="2"/>
  <c r="C294" i="2"/>
  <c r="B294" i="2"/>
  <c r="D293" i="2"/>
  <c r="C293" i="2"/>
  <c r="B293" i="2"/>
  <c r="D292" i="2"/>
  <c r="C292" i="2"/>
  <c r="B292" i="2"/>
  <c r="D291" i="2"/>
  <c r="C291" i="2"/>
  <c r="B291" i="2"/>
  <c r="D290" i="2"/>
  <c r="C290" i="2"/>
  <c r="B290" i="2"/>
  <c r="D289" i="2"/>
  <c r="C289" i="2"/>
  <c r="B289" i="2"/>
  <c r="D288" i="2"/>
  <c r="C288" i="2"/>
  <c r="B288" i="2"/>
  <c r="D287" i="2"/>
  <c r="C287" i="2"/>
  <c r="B287" i="2"/>
  <c r="D286" i="2"/>
  <c r="C286" i="2"/>
  <c r="B286" i="2"/>
  <c r="D285" i="2"/>
  <c r="C285" i="2"/>
  <c r="B285" i="2"/>
  <c r="D284" i="2"/>
  <c r="C284" i="2"/>
  <c r="B284" i="2"/>
  <c r="D283" i="2"/>
  <c r="C283" i="2"/>
  <c r="B283" i="2"/>
  <c r="D282" i="2"/>
  <c r="C282" i="2"/>
  <c r="B282" i="2"/>
  <c r="D281" i="2"/>
  <c r="C281" i="2"/>
  <c r="B281" i="2"/>
  <c r="D280" i="2"/>
  <c r="C280" i="2"/>
  <c r="B280" i="2"/>
  <c r="D279" i="2"/>
  <c r="C279" i="2"/>
  <c r="B279" i="2"/>
  <c r="D278" i="2"/>
  <c r="C278" i="2"/>
  <c r="B278" i="2"/>
  <c r="D277" i="2"/>
  <c r="C277" i="2"/>
  <c r="B277" i="2"/>
  <c r="D276" i="2"/>
  <c r="C276" i="2"/>
  <c r="B276" i="2"/>
  <c r="D275" i="2"/>
  <c r="C275" i="2"/>
  <c r="B275" i="2"/>
  <c r="D274" i="2"/>
  <c r="C274" i="2"/>
  <c r="B274" i="2"/>
  <c r="D273" i="2"/>
  <c r="C273" i="2"/>
  <c r="B273" i="2"/>
  <c r="D272" i="2"/>
  <c r="C272" i="2"/>
  <c r="B272" i="2"/>
  <c r="D271" i="2"/>
  <c r="C271" i="2"/>
  <c r="B271" i="2"/>
  <c r="D270" i="2"/>
  <c r="C270" i="2"/>
  <c r="B270" i="2"/>
  <c r="D269" i="2"/>
  <c r="C269" i="2"/>
  <c r="B269" i="2"/>
  <c r="D268" i="2"/>
  <c r="C268" i="2"/>
  <c r="B268" i="2"/>
  <c r="D267" i="2"/>
  <c r="C267" i="2"/>
  <c r="B267" i="2"/>
  <c r="D266" i="2"/>
  <c r="C266" i="2"/>
  <c r="B266" i="2"/>
  <c r="D265" i="2"/>
  <c r="C265" i="2"/>
  <c r="B265" i="2"/>
  <c r="D264" i="2"/>
  <c r="C264" i="2"/>
  <c r="B264" i="2"/>
  <c r="D263" i="2"/>
  <c r="C263" i="2"/>
  <c r="B263" i="2"/>
  <c r="D262" i="2"/>
  <c r="C262" i="2"/>
  <c r="B262" i="2"/>
  <c r="D261" i="2"/>
  <c r="C261" i="2"/>
  <c r="B261" i="2"/>
  <c r="D260" i="2"/>
  <c r="C260" i="2"/>
  <c r="B260" i="2"/>
  <c r="D259" i="2"/>
  <c r="C259" i="2"/>
  <c r="B259" i="2"/>
  <c r="D258" i="2"/>
  <c r="C258" i="2"/>
  <c r="B258" i="2"/>
  <c r="D257" i="2"/>
  <c r="C257" i="2"/>
  <c r="B257" i="2"/>
  <c r="D256" i="2"/>
  <c r="C256" i="2"/>
  <c r="B256" i="2"/>
  <c r="D255" i="2"/>
  <c r="C255" i="2"/>
  <c r="B255" i="2"/>
  <c r="D254" i="2"/>
  <c r="C254" i="2"/>
  <c r="B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D199" i="2"/>
  <c r="C199" i="2"/>
  <c r="B199" i="2"/>
  <c r="D198" i="2"/>
  <c r="C198" i="2"/>
  <c r="B198" i="2"/>
  <c r="D197" i="2"/>
  <c r="C197" i="2"/>
  <c r="B197" i="2"/>
  <c r="D196" i="2"/>
  <c r="C196" i="2"/>
  <c r="B196" i="2"/>
  <c r="D195" i="2"/>
  <c r="C195" i="2"/>
  <c r="B195" i="2"/>
  <c r="D194" i="2"/>
  <c r="C194" i="2"/>
  <c r="B194" i="2"/>
  <c r="D193" i="2"/>
  <c r="C193" i="2"/>
  <c r="B193" i="2"/>
  <c r="D192" i="2"/>
  <c r="C192" i="2"/>
  <c r="B192" i="2"/>
  <c r="D191" i="2"/>
  <c r="C191" i="2"/>
  <c r="B191" i="2"/>
  <c r="D190" i="2"/>
  <c r="C190" i="2"/>
  <c r="B190" i="2"/>
  <c r="D189" i="2"/>
  <c r="C189" i="2"/>
  <c r="B189" i="2"/>
  <c r="D188" i="2"/>
  <c r="C188" i="2"/>
  <c r="B188" i="2"/>
  <c r="D187" i="2"/>
  <c r="C187" i="2"/>
  <c r="B187" i="2"/>
  <c r="D186" i="2"/>
  <c r="C186" i="2"/>
  <c r="B186" i="2"/>
  <c r="D185" i="2"/>
  <c r="C185" i="2"/>
  <c r="B185" i="2"/>
  <c r="D184" i="2"/>
  <c r="C184" i="2"/>
  <c r="B184" i="2"/>
  <c r="D183" i="2"/>
  <c r="C183" i="2"/>
  <c r="B183" i="2"/>
  <c r="D182" i="2"/>
  <c r="C182" i="2"/>
  <c r="B182" i="2"/>
  <c r="D181" i="2"/>
  <c r="C181" i="2"/>
  <c r="B181" i="2"/>
  <c r="D180" i="2"/>
  <c r="C180" i="2"/>
  <c r="B180" i="2"/>
  <c r="D179" i="2"/>
  <c r="C179" i="2"/>
  <c r="B179" i="2"/>
  <c r="D178" i="2"/>
  <c r="C178" i="2"/>
  <c r="B178" i="2"/>
  <c r="D177" i="2"/>
  <c r="C177" i="2"/>
  <c r="B177" i="2"/>
  <c r="D176" i="2"/>
  <c r="C176" i="2"/>
  <c r="B176" i="2"/>
  <c r="D175" i="2"/>
  <c r="C175" i="2"/>
  <c r="B175" i="2"/>
  <c r="D174" i="2"/>
  <c r="C174" i="2"/>
  <c r="B174" i="2"/>
  <c r="D173" i="2"/>
  <c r="C173" i="2"/>
  <c r="B173" i="2"/>
  <c r="D172" i="2"/>
  <c r="C172" i="2"/>
  <c r="B172" i="2"/>
  <c r="D171" i="2"/>
  <c r="C171" i="2"/>
  <c r="B171" i="2"/>
  <c r="D170" i="2"/>
  <c r="C170" i="2"/>
  <c r="B170" i="2"/>
  <c r="D169" i="2"/>
  <c r="C169" i="2"/>
  <c r="B169" i="2"/>
  <c r="D168" i="2"/>
  <c r="C168" i="2"/>
  <c r="B168" i="2"/>
  <c r="D167" i="2"/>
  <c r="C167" i="2"/>
  <c r="B167" i="2"/>
  <c r="D166" i="2"/>
  <c r="C166" i="2"/>
  <c r="B166" i="2"/>
  <c r="D165" i="2"/>
  <c r="C165" i="2"/>
  <c r="B165" i="2"/>
  <c r="D164" i="2"/>
  <c r="C164" i="2"/>
  <c r="B164" i="2"/>
  <c r="D163" i="2"/>
  <c r="C163" i="2"/>
  <c r="B163" i="2"/>
  <c r="D162" i="2"/>
  <c r="C162" i="2"/>
  <c r="B162" i="2"/>
  <c r="D161" i="2"/>
  <c r="C161" i="2"/>
  <c r="B161" i="2"/>
  <c r="D160" i="2"/>
  <c r="C160" i="2"/>
  <c r="B160" i="2"/>
  <c r="D159" i="2"/>
  <c r="C159" i="2"/>
  <c r="B159" i="2"/>
  <c r="D158" i="2"/>
  <c r="C158" i="2"/>
  <c r="B158" i="2"/>
  <c r="D157" i="2"/>
  <c r="C157" i="2"/>
  <c r="B157" i="2"/>
  <c r="D156" i="2"/>
  <c r="C156" i="2"/>
  <c r="B156" i="2"/>
  <c r="D155" i="2"/>
  <c r="C155" i="2"/>
  <c r="B155" i="2"/>
  <c r="D154" i="2"/>
  <c r="C154" i="2"/>
  <c r="B154" i="2"/>
  <c r="D153" i="2"/>
  <c r="C153" i="2"/>
  <c r="B153" i="2"/>
  <c r="D152" i="2"/>
  <c r="C152" i="2"/>
  <c r="B152" i="2"/>
  <c r="D151" i="2"/>
  <c r="C151" i="2"/>
  <c r="B151" i="2"/>
  <c r="D150" i="2"/>
  <c r="C150" i="2"/>
  <c r="B150" i="2"/>
  <c r="D149" i="2"/>
  <c r="C149" i="2"/>
  <c r="B149" i="2"/>
  <c r="D148" i="2"/>
  <c r="C148" i="2"/>
  <c r="B148" i="2"/>
  <c r="D147" i="2"/>
  <c r="C147" i="2"/>
  <c r="B147" i="2"/>
  <c r="D146" i="2"/>
  <c r="C146" i="2"/>
  <c r="B146" i="2"/>
  <c r="D145" i="2"/>
  <c r="C145" i="2"/>
  <c r="B145" i="2"/>
  <c r="D144" i="2"/>
  <c r="C144" i="2"/>
  <c r="B144" i="2"/>
  <c r="D143" i="2"/>
  <c r="C143" i="2"/>
  <c r="B143" i="2"/>
  <c r="D142" i="2"/>
  <c r="C142" i="2"/>
  <c r="B142" i="2"/>
  <c r="D141" i="2"/>
  <c r="C141" i="2"/>
  <c r="B141" i="2"/>
  <c r="D140" i="2"/>
  <c r="C140" i="2"/>
  <c r="B140" i="2"/>
  <c r="D139" i="2"/>
  <c r="C139" i="2"/>
  <c r="B139" i="2"/>
  <c r="D138" i="2"/>
  <c r="C138" i="2"/>
  <c r="B138" i="2"/>
  <c r="D137" i="2"/>
  <c r="C137" i="2"/>
  <c r="B137" i="2"/>
  <c r="D136" i="2"/>
  <c r="C136" i="2"/>
  <c r="B136" i="2"/>
  <c r="D135" i="2"/>
  <c r="C135" i="2"/>
  <c r="B135" i="2"/>
  <c r="D134" i="2"/>
  <c r="C134" i="2"/>
  <c r="B134" i="2"/>
  <c r="D133" i="2"/>
  <c r="C133" i="2"/>
  <c r="B133" i="2"/>
  <c r="D132" i="2"/>
  <c r="C132" i="2"/>
  <c r="B132" i="2"/>
  <c r="D131" i="2"/>
  <c r="C131" i="2"/>
  <c r="B131" i="2"/>
  <c r="D130" i="2"/>
  <c r="C130" i="2"/>
  <c r="B130" i="2"/>
  <c r="D129" i="2"/>
  <c r="C129" i="2"/>
  <c r="B129" i="2"/>
  <c r="D128" i="2"/>
  <c r="C128" i="2"/>
  <c r="B128" i="2"/>
  <c r="D127" i="2"/>
  <c r="C127" i="2"/>
  <c r="B127" i="2"/>
  <c r="D126" i="2"/>
  <c r="C126" i="2"/>
  <c r="B126" i="2"/>
  <c r="D125" i="2"/>
  <c r="C125" i="2"/>
  <c r="B125" i="2"/>
  <c r="D124" i="2"/>
  <c r="B124" i="2"/>
  <c r="D123" i="2"/>
  <c r="C123" i="2"/>
  <c r="B123" i="2"/>
  <c r="D122" i="2"/>
  <c r="C122" i="2"/>
  <c r="B122" i="2"/>
  <c r="D121" i="2"/>
  <c r="C121" i="2"/>
  <c r="B121" i="2"/>
  <c r="D120" i="2"/>
  <c r="C120" i="2"/>
  <c r="B120" i="2"/>
  <c r="D119" i="2"/>
  <c r="C119" i="2"/>
  <c r="B119" i="2"/>
  <c r="D118" i="2"/>
  <c r="C118" i="2"/>
  <c r="B118" i="2"/>
  <c r="D117" i="2"/>
  <c r="C117" i="2"/>
  <c r="B117" i="2"/>
  <c r="D116" i="2"/>
  <c r="C116" i="2"/>
  <c r="B116" i="2"/>
  <c r="D115" i="2"/>
  <c r="C115" i="2"/>
  <c r="B115" i="2"/>
  <c r="D114" i="2"/>
  <c r="C114" i="2"/>
  <c r="B114" i="2"/>
  <c r="D113" i="2"/>
  <c r="C113" i="2"/>
  <c r="B113" i="2"/>
  <c r="D112" i="2"/>
  <c r="C112" i="2"/>
  <c r="B112" i="2"/>
  <c r="D111" i="2"/>
  <c r="C111" i="2"/>
  <c r="B111" i="2"/>
  <c r="D110" i="2"/>
  <c r="C110" i="2"/>
  <c r="B110" i="2"/>
  <c r="D109" i="2"/>
  <c r="C109" i="2"/>
  <c r="B109" i="2"/>
  <c r="D108" i="2"/>
  <c r="C108" i="2"/>
  <c r="B108" i="2"/>
  <c r="D107" i="2"/>
  <c r="C107" i="2"/>
  <c r="B107" i="2"/>
  <c r="D106" i="2"/>
  <c r="C106" i="2"/>
  <c r="B106" i="2"/>
  <c r="D105" i="2"/>
  <c r="C105" i="2"/>
  <c r="B105" i="2"/>
  <c r="D104" i="2"/>
  <c r="C104" i="2"/>
  <c r="B104" i="2"/>
  <c r="D103" i="2"/>
  <c r="C103" i="2"/>
  <c r="B103" i="2"/>
  <c r="D102" i="2"/>
  <c r="C102" i="2"/>
  <c r="B102" i="2"/>
  <c r="D101" i="2"/>
  <c r="C101" i="2"/>
  <c r="B101" i="2"/>
  <c r="D100" i="2"/>
  <c r="C100" i="2"/>
  <c r="B100" i="2"/>
  <c r="D99" i="2"/>
  <c r="C99" i="2"/>
  <c r="B99" i="2"/>
  <c r="D98" i="2"/>
  <c r="C98" i="2"/>
  <c r="B98" i="2"/>
  <c r="D97" i="2"/>
  <c r="C97" i="2"/>
  <c r="B97" i="2"/>
  <c r="D96" i="2"/>
  <c r="C96" i="2"/>
  <c r="B96" i="2"/>
  <c r="D95" i="2"/>
  <c r="C95" i="2"/>
  <c r="B95" i="2"/>
  <c r="D94" i="2"/>
  <c r="C94" i="2"/>
  <c r="B94" i="2"/>
  <c r="D93" i="2"/>
  <c r="C93" i="2"/>
  <c r="B93" i="2"/>
  <c r="D92" i="2"/>
  <c r="C92" i="2"/>
  <c r="B92" i="2"/>
  <c r="D91" i="2"/>
  <c r="C91" i="2"/>
  <c r="B91" i="2"/>
  <c r="D90" i="2"/>
  <c r="C90" i="2"/>
  <c r="B90" i="2"/>
  <c r="D89" i="2"/>
  <c r="C89" i="2"/>
  <c r="B89" i="2"/>
  <c r="D88" i="2"/>
  <c r="C88" i="2"/>
  <c r="B88" i="2"/>
  <c r="D87" i="2"/>
  <c r="C87" i="2"/>
  <c r="B87" i="2"/>
  <c r="D86" i="2"/>
  <c r="C86" i="2"/>
  <c r="B86" i="2"/>
  <c r="D85" i="2"/>
  <c r="C85" i="2"/>
  <c r="B85" i="2"/>
  <c r="D84" i="2"/>
  <c r="C84" i="2"/>
  <c r="B84" i="2"/>
  <c r="D83" i="2"/>
  <c r="C83" i="2"/>
  <c r="B83" i="2"/>
  <c r="D82" i="2"/>
  <c r="C82" i="2"/>
  <c r="B82" i="2"/>
  <c r="D81" i="2"/>
  <c r="C81" i="2"/>
  <c r="B81" i="2"/>
  <c r="D80" i="2"/>
  <c r="C80" i="2"/>
  <c r="B80" i="2"/>
  <c r="D79" i="2"/>
  <c r="C79" i="2"/>
  <c r="B79" i="2"/>
  <c r="D78" i="2"/>
  <c r="C78" i="2"/>
  <c r="B78" i="2"/>
  <c r="D77" i="2"/>
  <c r="C77" i="2"/>
  <c r="B77" i="2"/>
  <c r="D76" i="2"/>
  <c r="C76" i="2"/>
  <c r="B76" i="2"/>
  <c r="D75" i="2"/>
  <c r="C75" i="2"/>
  <c r="B75" i="2"/>
  <c r="D74" i="2"/>
  <c r="C74" i="2"/>
  <c r="B74" i="2"/>
  <c r="D73" i="2"/>
  <c r="C73" i="2"/>
  <c r="B73" i="2"/>
  <c r="D72" i="2"/>
  <c r="C72" i="2"/>
  <c r="B72" i="2"/>
  <c r="D71" i="2"/>
  <c r="C71" i="2"/>
  <c r="B71" i="2"/>
  <c r="D70" i="2"/>
  <c r="C70" i="2"/>
  <c r="B70" i="2"/>
  <c r="D69" i="2"/>
  <c r="C69" i="2"/>
  <c r="B69" i="2"/>
  <c r="D68" i="2"/>
  <c r="C68" i="2"/>
  <c r="B68" i="2"/>
  <c r="D67" i="2"/>
  <c r="C67" i="2"/>
  <c r="B67" i="2"/>
  <c r="D66" i="2"/>
  <c r="C66" i="2"/>
  <c r="B66" i="2"/>
  <c r="D65" i="2"/>
  <c r="C65" i="2"/>
  <c r="B65" i="2"/>
  <c r="D64" i="2"/>
  <c r="C64" i="2"/>
  <c r="B64" i="2"/>
  <c r="D63" i="2"/>
  <c r="C63" i="2"/>
  <c r="B63" i="2"/>
  <c r="D62" i="2"/>
  <c r="C62" i="2"/>
  <c r="B62" i="2"/>
  <c r="D61" i="2"/>
  <c r="C61" i="2"/>
  <c r="B61" i="2"/>
  <c r="D60" i="2"/>
  <c r="C60" i="2"/>
  <c r="B60" i="2"/>
  <c r="D59" i="2"/>
  <c r="C59" i="2"/>
  <c r="B59" i="2"/>
  <c r="D58" i="2"/>
  <c r="C58" i="2"/>
  <c r="B58" i="2"/>
  <c r="D57" i="2"/>
  <c r="C57" i="2"/>
  <c r="B57" i="2"/>
  <c r="D56" i="2"/>
  <c r="C56" i="2"/>
  <c r="B56" i="2"/>
  <c r="D55" i="2"/>
  <c r="C55" i="2"/>
  <c r="B55" i="2"/>
  <c r="D54" i="2"/>
  <c r="C54" i="2"/>
  <c r="B54" i="2"/>
  <c r="D53" i="2"/>
  <c r="C53" i="2"/>
  <c r="B53" i="2"/>
  <c r="D52" i="2"/>
  <c r="C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B29" i="2"/>
  <c r="D28" i="2"/>
  <c r="C28" i="2"/>
  <c r="B28" i="2"/>
  <c r="D27" i="2"/>
  <c r="C27" i="2"/>
  <c r="B27" i="2"/>
  <c r="D26" i="2"/>
  <c r="C26" i="2"/>
  <c r="B26" i="2"/>
  <c r="D25" i="2"/>
  <c r="C25" i="2"/>
  <c r="B25"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D2" i="2"/>
  <c r="C2" i="2"/>
  <c r="B2" i="2"/>
  <c r="M498" i="1" l="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X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Géraldine Raoul-Moineau</author>
  </authors>
  <commentList>
    <comment ref="H1" authorId="0" shapeId="0" xr:uid="{32A5F049-98A8-4FB5-B57F-7AA813957BA4}">
      <text>
        <r>
          <rPr>
            <b/>
            <sz val="9"/>
            <color indexed="81"/>
            <rFont val="Tahoma"/>
            <family val="2"/>
          </rPr>
          <t xml:space="preserve">Standard Etablissement (E) / Direction (D) / Univers (U) </t>
        </r>
        <r>
          <rPr>
            <sz val="9"/>
            <color indexed="81"/>
            <rFont val="Tahoma"/>
            <family val="2"/>
          </rPr>
          <t xml:space="preserve">
</t>
        </r>
      </text>
    </comment>
    <comment ref="M1" authorId="0" shapeId="0" xr:uid="{CFAAD5A6-312B-40C7-AD59-4FD8A0452797}">
      <text>
        <r>
          <rPr>
            <b/>
            <sz val="9"/>
            <color indexed="81"/>
            <rFont val="Tahoma"/>
            <family val="2"/>
          </rPr>
          <t xml:space="preserve">Standard Etablissement (E) / Direction (D) / Univers (U) </t>
        </r>
        <r>
          <rPr>
            <sz val="9"/>
            <color indexed="81"/>
            <rFont val="Tahoma"/>
            <family val="2"/>
          </rPr>
          <t xml:space="preserve">
</t>
        </r>
      </text>
    </comment>
    <comment ref="Q1" authorId="0" shapeId="0" xr:uid="{87E4360E-467F-4615-9E01-F3F390664F5A}">
      <text>
        <r>
          <rPr>
            <b/>
            <sz val="9"/>
            <color indexed="81"/>
            <rFont val="Tahoma"/>
            <family val="2"/>
          </rPr>
          <t xml:space="preserve">Standard Etablissement (E) / Direction (D) / Univers (U) </t>
        </r>
        <r>
          <rPr>
            <sz val="9"/>
            <color indexed="81"/>
            <rFont val="Tahoma"/>
            <family val="2"/>
          </rPr>
          <t xml:space="preserve">
</t>
        </r>
      </text>
    </comment>
  </commentList>
</comments>
</file>

<file path=xl/sharedStrings.xml><?xml version="1.0" encoding="utf-8"?>
<sst xmlns="http://schemas.openxmlformats.org/spreadsheetml/2006/main" count="48044" uniqueCount="2954">
  <si>
    <t>Numéro</t>
  </si>
  <si>
    <t>nb</t>
  </si>
  <si>
    <t>Standard Etablissement (E) / Direction (D) / Univers (U)</t>
  </si>
  <si>
    <t>Cas le plus fréquent dans l'établissement / l'univers</t>
  </si>
  <si>
    <t>CHAPITRES DU DCO</t>
  </si>
  <si>
    <t>Mode de Réponse</t>
  </si>
  <si>
    <t>Choix de réponse</t>
  </si>
  <si>
    <t>Réponses</t>
  </si>
  <si>
    <t>Question Conditionnante</t>
  </si>
  <si>
    <t>Non concerné</t>
  </si>
  <si>
    <t>Conformité au standard / spécificité</t>
  </si>
  <si>
    <t>Différence vs précédent</t>
  </si>
  <si>
    <t>Justifier de la dérogation au standard</t>
  </si>
  <si>
    <t>Commentaires</t>
  </si>
  <si>
    <t>Commentaires Intra</t>
  </si>
  <si>
    <t>Opérateur standard</t>
  </si>
  <si>
    <t>488:488,490:490,467:467,34:34,211:211,241:241,163:163,157:157,156:156,402:402,410:410,448:448,463:463,464:464,62:62,63:63,66:66,64:64,80:80,81:81,172:172,174:174,497:497,330:330,271:271</t>
  </si>
  <si>
    <t>;8;42;130;137;154;171;174;176;178;184;185;186;198;199;212;213;248;249;253;254;292;293;294;295;296;302;304;307;332;340;342;355;356;357;358;359;360;361;362;363;364;365;366;367;368;376;377;387;411;416;417;437;438;461;210;212;108;121;124;125;133;134;143;147;146;150;144;152;216;217;218;223;227;228;229;230;233;237;238;239;248;249;254;356;357;358;359;360;361;362;363;372;373;374;377;364;161;162;174;172;173;177;179;175;185;186;187;168;260;261;262;265;268;50;399;278;280;365;366;367;368;449;18;23;24;292;293;294;295;296;289;317;318;319;320;321;322;323;324;325;326;327;328;329;330;331;334;335;336;340;345;343;344;349;352;381;383;489;425;432;435;438;476;453;483;455;252;16;270;458;459;42;473;60;81;67;63;82;83;72;73;74;75;76;76;77;78;78;87;90;92;98;102;31;32;34;35;208;130;131;182;202;158;40;39;40;44;43;297;44;220;194;195;19;384;137;138;486;488;466;36;213;243;165;158;401;409;447;462;463;64;65;68;69;66;492;174;176;495;332;273;155;156;160;162;163;164;166;167;169;170;171;176;178;180;183;184;188;189;190;192;200;464;461;219</t>
  </si>
  <si>
    <t>El393</t>
  </si>
  <si>
    <t>D</t>
  </si>
  <si>
    <t>DAI</t>
  </si>
  <si>
    <t>Direction</t>
  </si>
  <si>
    <t>x</t>
  </si>
  <si>
    <t>VRAI</t>
  </si>
  <si>
    <t/>
  </si>
  <si>
    <t>El394</t>
  </si>
  <si>
    <t>U</t>
  </si>
  <si>
    <t>Logiciels</t>
  </si>
  <si>
    <t>Univers</t>
  </si>
  <si>
    <t>ElT404</t>
  </si>
  <si>
    <t>Titre</t>
  </si>
  <si>
    <t>01.0 PRESENTATION GENERALE DE L'OFFRE</t>
  </si>
  <si>
    <t>ElTT405</t>
  </si>
  <si>
    <t>01.1 Caractéristiques générales de l'offre</t>
  </si>
  <si>
    <t>El1</t>
  </si>
  <si>
    <t>Sp</t>
  </si>
  <si>
    <t>Objet de la procédure à renouveler / ou à lancer</t>
  </si>
  <si>
    <t>Texte</t>
  </si>
  <si>
    <t>Champ libre</t>
  </si>
  <si>
    <t>LABOUDI Farouk_Com1:dfgdfgdfgd</t>
  </si>
  <si>
    <t>El1b</t>
  </si>
  <si>
    <t>Numéro(s)  et dénomination de l'offre conformément à la cartographie ORECA</t>
  </si>
  <si>
    <t>Cartographie ORECA</t>
  </si>
  <si>
    <t>Préciser le numéro de l'offre correspondant à la cartographie Evactiv</t>
  </si>
  <si>
    <t>=</t>
  </si>
  <si>
    <t>El0a</t>
  </si>
  <si>
    <t>Non concerné pour la direction/univers</t>
  </si>
  <si>
    <t xml:space="preserve">Cette procédure est-elle concernée par une des définitions suivantes et si oui sélectionner les définitions concernées : </t>
  </si>
  <si>
    <t>Liste choix multiple</t>
  </si>
  <si>
    <t>Ensemble batterie;Location de batterie;Acquisition de batterie;Piles à combustibles (hydrogène);Acquisition de véhicules;Acquisition de véhicules à hydrogène;Acquisition de véhicules 100% électriques;Acquisition d'équipement de véhicules;Location de véhicules</t>
  </si>
  <si>
    <t>El7</t>
  </si>
  <si>
    <t>E</t>
  </si>
  <si>
    <t xml:space="preserve">Renouvellement d'offres avec extension </t>
  </si>
  <si>
    <t>Projet d'offre concerne un renouvellement (avec ou sans création/extension) ou le lancement d'une nouvelle offre ?</t>
  </si>
  <si>
    <t>Liste choix unique</t>
  </si>
  <si>
    <t>Offre nouvelle ; Renouvellement d'offres avec extension ; Renouvellement d'offres avec création ; Renouvellement d'offre sans création/extension; Renouvellement d'offres avec extension et création</t>
  </si>
  <si>
    <t>El7b</t>
  </si>
  <si>
    <t>En cas de renouvellement, préciser le(s) numéro(s) de la(es) précédente procédure(s) ainsi que les numéros de marchés correspondants</t>
  </si>
  <si>
    <t>Numéro d'AO</t>
  </si>
  <si>
    <t>ElTT406</t>
  </si>
  <si>
    <t>01.2 Périmètre de l'offre</t>
  </si>
  <si>
    <t>El2</t>
  </si>
  <si>
    <t>Matériel et prestations récurrentes et ponctuelles</t>
  </si>
  <si>
    <t>Etendue de l'offre</t>
  </si>
  <si>
    <t xml:space="preserve">Liste choix unique </t>
  </si>
  <si>
    <t>El2b</t>
  </si>
  <si>
    <t>Prestations associées et annexes</t>
  </si>
  <si>
    <t>Si prestations, préciser leur nature</t>
  </si>
  <si>
    <t>Prestations associées et annexes;Prestations associées;Prestations annexes</t>
  </si>
  <si>
    <t>El3b</t>
  </si>
  <si>
    <t>Non</t>
  </si>
  <si>
    <t>Les matériels ou prestations concernés par l'offre font-ils l'objet d'autres offres UGAP ?</t>
  </si>
  <si>
    <t>Oui; Non</t>
  </si>
  <si>
    <t>El395</t>
  </si>
  <si>
    <t>Si oui, préciser les conditions de commandes qui justifient cette multi attribution UGAP</t>
  </si>
  <si>
    <t>Non concerné pour l'offre</t>
  </si>
  <si>
    <t>El29</t>
  </si>
  <si>
    <t>Etat;Opérateurs de l'Etat;Etablissements Hospitaliers;Collectivités territoriales</t>
  </si>
  <si>
    <t>Etendue des Bénéficiaires</t>
  </si>
  <si>
    <t>Etat;Opérateurs de l'Etat;Etablissements Hospitaliers;Collectivités territoriales;Clients transfrontaliers; Autres;toto</t>
  </si>
  <si>
    <t>El30</t>
  </si>
  <si>
    <t>Si autres, préciser si les bénéficiaires concernés sont les Sociétés d’autoroutes pou les Délégataires de service public</t>
  </si>
  <si>
    <t>Sociétés d’autoroutes ;Délégataires de service public; Caisses et entreprises ;Autre</t>
  </si>
  <si>
    <t>El30c</t>
  </si>
  <si>
    <t>Si autres, préciser les bénéficiaires concernés</t>
  </si>
  <si>
    <t>El30b</t>
  </si>
  <si>
    <t>Oui, l'UGAP est bénéficaire de l'offre</t>
  </si>
  <si>
    <t xml:space="preserve"> l'UGAP est-elle bénéficiaire ? </t>
  </si>
  <si>
    <t>Oui, l'UGAP est bénéficiaire de l'offre;Non, l'UGAP n'est pas bénéficiaire de l'offre</t>
  </si>
  <si>
    <t>LABOUDI Farouk_Com1:sdfsdfsdfsdfsdfsdfsdf</t>
  </si>
  <si>
    <t>ElTT407</t>
  </si>
  <si>
    <t>01.3 Engagements</t>
  </si>
  <si>
    <t>El302</t>
  </si>
  <si>
    <t>Oui, le principe d'engagement maximum sans minimum s'applique</t>
  </si>
  <si>
    <t>Le principe d'engagement maximum sans minimum s'applique-t 'il ?</t>
  </si>
  <si>
    <t>Oui, le principe d'engagement maximum avec montants estimés s'applique;Non, dérogation au standard</t>
  </si>
  <si>
    <t>El303</t>
  </si>
  <si>
    <t>Si non, un engagement maximum et minimum s'applique-t 'il ?</t>
  </si>
  <si>
    <t>Oui, un engagement maximum et minimum s'applique;Non, un engagement maximum et minimum ne s'applique pas</t>
  </si>
  <si>
    <t>El303b</t>
  </si>
  <si>
    <t>Si non, expliquez l'engagement applicable</t>
  </si>
  <si>
    <t>El509</t>
  </si>
  <si>
    <t>Le montant total de la procédure est-il supérieur à 250 millions d'euros HT ?</t>
  </si>
  <si>
    <t>ElTT408</t>
  </si>
  <si>
    <t>01.4 Allotissement</t>
  </si>
  <si>
    <t>El88</t>
  </si>
  <si>
    <t>Oui, procédure avec allotissement</t>
  </si>
  <si>
    <t>Procédure avec allotissement</t>
  </si>
  <si>
    <t>Oui, procédure avec allotissement; Non, dérogation au principe d'allotissement</t>
  </si>
  <si>
    <t>El88b</t>
  </si>
  <si>
    <r>
      <t xml:space="preserve">Si oui, préciser le nombre de lots </t>
    </r>
    <r>
      <rPr>
        <i/>
        <sz val="12"/>
        <color theme="1"/>
        <rFont val="Calibri"/>
        <family val="2"/>
      </rPr>
      <t>(indiquer uniquement un chiffre)</t>
    </r>
  </si>
  <si>
    <t>Nombre</t>
  </si>
  <si>
    <t>El90</t>
  </si>
  <si>
    <t>Renseigner le tableau d'allotissement en annexe (estimation prévisionnel du nombre de lots et type d'allotissement technique, géographique ou autre…)</t>
  </si>
  <si>
    <t>Annexe 10 - Détail lots</t>
  </si>
  <si>
    <t>Annexe 10 - Détail_Lots</t>
  </si>
  <si>
    <t>10 - Détail lots</t>
  </si>
  <si>
    <t>Identique</t>
  </si>
  <si>
    <t>El91</t>
  </si>
  <si>
    <t xml:space="preserve">L'allotissement fait-il l'objet d'une évolution </t>
  </si>
  <si>
    <t>Oui, l'allotissement fait l'objet d'une évolution; Non, l'allotissement ne fait pas l'objet d'une évolution</t>
  </si>
  <si>
    <t>El92</t>
  </si>
  <si>
    <t>Si oui, préciser le(s) évolution(s) concerné(es) : Est-il envisagé d'abandonner certains lots, d'ajouter des lots, de faire évoluer les formats…</t>
  </si>
  <si>
    <t xml:space="preserve">Abandon de lots;Nouveaux lots;Evolution de format des lots reconduits </t>
  </si>
  <si>
    <t>El93</t>
  </si>
  <si>
    <t>Si oui, expliquer pourquoi et dans quel objectif ?</t>
  </si>
  <si>
    <t>El94</t>
  </si>
  <si>
    <t xml:space="preserve">Non, absence de limitation de lots </t>
  </si>
  <si>
    <t>Une limitation du nombre de lots par titulaire est-elle envisagée ?</t>
  </si>
  <si>
    <t xml:space="preserve">Oui, limitation du nombre de lots par titulaire; Non, absence de limitation de lots </t>
  </si>
  <si>
    <t>El95</t>
  </si>
  <si>
    <t>Si oui, préciser à quel stade de la procédure</t>
  </si>
  <si>
    <t xml:space="preserve">Candidature;Attribution
</t>
  </si>
  <si>
    <t>El96</t>
  </si>
  <si>
    <t>Si oui, en préciser les raisons</t>
  </si>
  <si>
    <t>Dépendance économique;Contraintes règlementaires;Risque de conflits d'intérêt;Autre</t>
  </si>
  <si>
    <t>El112c</t>
  </si>
  <si>
    <t>Si autre, en préciser la raison</t>
  </si>
  <si>
    <t>ElTT409</t>
  </si>
  <si>
    <t>01.5 Etendue géographique de l'offre</t>
  </si>
  <si>
    <t>El59</t>
  </si>
  <si>
    <t>France métropolitaine;Corse et îles littorales non desservies par un pont gratuit;DROM;COM inclus TAAF</t>
  </si>
  <si>
    <t>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</si>
  <si>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France métropolitaine;France continentale;Corse et îles littorales non desservies par un pont gratuit;DROM;COM;Etranger</t>
  </si>
  <si>
    <t>El500c</t>
  </si>
  <si>
    <t>Si couverture géographique obligatoire à l'étranger, l'étranger comprend</t>
  </si>
  <si>
    <t>Représentations françaises dans l’Union Européenne;Représentations françaises à l’étranger;Monaco, Suisse, Andorre;EEE;Autres</t>
  </si>
  <si>
    <t>El500</t>
  </si>
  <si>
    <t>Si autres, préciser la couverture géographique concernée</t>
  </si>
  <si>
    <t>El60</t>
  </si>
  <si>
    <t>Non, absence de couverture géographique facultative</t>
  </si>
  <si>
    <t>Préciser s'il existe une couverture géographique à caractère facultatif des matériels et/ou prestations à livrer ou exécuter par le titulaire</t>
  </si>
  <si>
    <t>Oui, existence d'une couverture géographique facultative; Non, absence de couverture géographique facultative</t>
  </si>
  <si>
    <t>El60b</t>
  </si>
  <si>
    <t>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</si>
  <si>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El60c</t>
  </si>
  <si>
    <t>Si couverture géographique facultative à l'étranger, l'étranger comprend</t>
  </si>
  <si>
    <t>El60d</t>
  </si>
  <si>
    <t>El61</t>
  </si>
  <si>
    <t xml:space="preserve">Préciser la nature des produits et des prestations concernées par la couverture géographique obligatoire/facultative </t>
  </si>
  <si>
    <t>Annexe 10- Couverture géographique</t>
  </si>
  <si>
    <t>Annexe 10 - Couverture géographique</t>
  </si>
  <si>
    <t>10- Couverture géographique</t>
  </si>
  <si>
    <t>ElT410</t>
  </si>
  <si>
    <t>02.0-ENVIRONNEMENT DE L'OFFRE</t>
  </si>
  <si>
    <t>ElTT411</t>
  </si>
  <si>
    <t>02.1 Secteur d'activité de l'offre</t>
  </si>
  <si>
    <t>El24</t>
  </si>
  <si>
    <t>Non, part peu importante de PME</t>
  </si>
  <si>
    <t>Le secteur d'activité a-t'il une part importante de PME</t>
  </si>
  <si>
    <t>Oui, part importante de PME;Non, part peu importante de PME</t>
  </si>
  <si>
    <t>El25</t>
  </si>
  <si>
    <t>Non, absence de relation avec une fédération ou syndicats professionnels</t>
  </si>
  <si>
    <t>L'UGAP est-elle en lien avec une fédération / syndicats professionnels / Groupement d'entreprises sur ce secteur</t>
  </si>
  <si>
    <t>Oui, relation engagée avec une fédération ou syndicats professionnels;Non, absence de relation avec une fédération ou syndicats professionnels</t>
  </si>
  <si>
    <t>El26</t>
  </si>
  <si>
    <t>Non, absence d'action envisagée</t>
  </si>
  <si>
    <t>Si oui, Une action auprès d'un de ces organismes est-elle envisagée ?</t>
  </si>
  <si>
    <t>Oui, une action est envisagée;Non, absence d'action envisagée</t>
  </si>
  <si>
    <t>Standard non applicable pour cette offre au regard des réponses précédentes apportées</t>
  </si>
  <si>
    <t>El27</t>
  </si>
  <si>
    <t>Si non, pourquoi ?</t>
  </si>
  <si>
    <t>El279</t>
  </si>
  <si>
    <t>Description du marché fournisseurs sur le périmètre de l’offre / Sa structuration / Les différences de positionnement produits/services en fonction des acteurs du marché / Le positionnement des clients éligibles à l’UGAP…</t>
  </si>
  <si>
    <t>ElTT412</t>
  </si>
  <si>
    <t>02.2 Sourcing</t>
  </si>
  <si>
    <t>El301</t>
  </si>
  <si>
    <t xml:space="preserve">Présenter le tableau des entreprises sourcées </t>
  </si>
  <si>
    <t>Annexe 10 - Entreprises sourcées</t>
  </si>
  <si>
    <t>10 - Entreprises sourcées</t>
  </si>
  <si>
    <t>El504</t>
  </si>
  <si>
    <t xml:space="preserve">Préciser quelle est la méthodologie retenue pour déterminer les fournisseurs rencontrés et assurer le respect de la concurrence ? </t>
  </si>
  <si>
    <t>El505</t>
  </si>
  <si>
    <t>Préciser la taille, la zone couverte du/des titulaires et des autres principaux fournisseurs avec, si nécessaire, les informations sur les risques pesant sur leur pérennité (rachats en cours, en période d'observation, dépendance économique, etc.).</t>
  </si>
  <si>
    <t>ElT413</t>
  </si>
  <si>
    <t>03.0-MONTAGE CONTRACTUEL</t>
  </si>
  <si>
    <t>ElTT414</t>
  </si>
  <si>
    <t>03.1 Mode de passation et typologie de l'accord-cadre</t>
  </si>
  <si>
    <t>El69</t>
  </si>
  <si>
    <t>Oui, mode de passation en Appel d'Offres Ouverts</t>
  </si>
  <si>
    <t>Le mode de passation de l'appel d'offres est-il ouvert ?</t>
  </si>
  <si>
    <t>Oui, mode de passation en Appel d'Offres Ouvert;Non, autre mode de passation</t>
  </si>
  <si>
    <t>El70</t>
  </si>
  <si>
    <t>Si non, préciser le mode de passation et justifier du choix</t>
  </si>
  <si>
    <t>Appel d'offres restreint / Dialogue compétitif / Procédure concurrentielle avec négociation / SAD avec enchères / SAD sans enchères</t>
  </si>
  <si>
    <t>El71</t>
  </si>
  <si>
    <t>AC-Bons de commande</t>
  </si>
  <si>
    <t>Type d’accords-cadres</t>
  </si>
  <si>
    <t>AC-Marchés subséquents;AC-Bons de commande; AC-Marchés subséquents et Bons de commande</t>
  </si>
  <si>
    <t>El72</t>
  </si>
  <si>
    <t>Mono attribué</t>
  </si>
  <si>
    <t>Dans le cadre d'un AC à BDC ou mixte (à BDC et Marchés subséquents), quelles sont les modalités d'attribution des accords-cadres à bons de commande</t>
  </si>
  <si>
    <t>Mono attribué;Multi attribué;Mono et Multi attribué</t>
  </si>
  <si>
    <t>El73</t>
  </si>
  <si>
    <t>Si AC BDC multi attribué ou mixte (Mono et multi attribué) préciser la modalité de multi attribution</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</si>
  <si>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t>
  </si>
  <si>
    <t>El73b</t>
  </si>
  <si>
    <t>Si autre mode de multi attribution, préciser</t>
  </si>
  <si>
    <t>El73d</t>
  </si>
  <si>
    <t>Si multi attribution sur quantité minimale d’engagement au marché, précier le mode d'attribution par titulaire</t>
  </si>
  <si>
    <t>El73g</t>
  </si>
  <si>
    <t>Si multi attribution préciser le nombre de titulaires par lot</t>
  </si>
  <si>
    <t>El74</t>
  </si>
  <si>
    <t xml:space="preserve">Si AC mixte, préciser par lot les modalités d'attribution </t>
  </si>
  <si>
    <t>El73e</t>
  </si>
  <si>
    <t>Ces modalités d'attribution sont-elles les identiques pour tous les lots?</t>
  </si>
  <si>
    <t>Oui, les modalités d'attribution identiques pour tous les lots;Non, les modalités d'attribution diffèrent selon les lots</t>
  </si>
  <si>
    <t>El73f</t>
  </si>
  <si>
    <t>Si non, préciser le détail par lot</t>
  </si>
  <si>
    <t>ElTT415</t>
  </si>
  <si>
    <t>03.2 Modalités d'intervention de l'UGAP</t>
  </si>
  <si>
    <t>El77</t>
  </si>
  <si>
    <t>Offre exécutée</t>
  </si>
  <si>
    <t>Quelles sont les modalités d’intervention de l’UGAP ?</t>
  </si>
  <si>
    <t>Offre exécutée; Offre non exécutée; Mixte</t>
  </si>
  <si>
    <t>ElTTT416</t>
  </si>
  <si>
    <t>03.2.2 Offre non exécutée</t>
  </si>
  <si>
    <t>El78a</t>
  </si>
  <si>
    <t xml:space="preserve">Préciser les modalités de passation des marchés subséquents en Accord-cadre mono et/ou en Accord-cadre multi attribué </t>
  </si>
  <si>
    <t>El78f</t>
  </si>
  <si>
    <t>Non, absence de dérogation au principe de non exclusivité</t>
  </si>
  <si>
    <t xml:space="preserve">Y’a-t-il une dérogation au principe de non exclusivité ? </t>
  </si>
  <si>
    <t>Oui, dérogation au principe de non exclusivité; Non, absence de dérogation au principe de non exclusivité</t>
  </si>
  <si>
    <t>El78b</t>
  </si>
  <si>
    <t>Non, absence de formulaire sur ugap.fr</t>
  </si>
  <si>
    <t xml:space="preserve">L’adhésion ou la renonciation se fera t’elle via un formulaire d’enquête sur Ugap.fr ? </t>
  </si>
  <si>
    <t>Oui, adhésion ou renonciation sur formulaire ugap.fr;Non, absence de formulaire sur ugap.fr</t>
  </si>
  <si>
    <t>El78c</t>
  </si>
  <si>
    <t>Charge des marchés subséquents par l'Ugap</t>
  </si>
  <si>
    <t xml:space="preserve">Dans le cadre de la passation de marchés subséquents sur AC non exécuté qui effectuera la remise en concurrence/la passation/la notification des marchés subséquents ? </t>
  </si>
  <si>
    <t>Charge des marchés subséquents par l'Ugap;Charge des marchés subséquents par le client</t>
  </si>
  <si>
    <t>El78d</t>
  </si>
  <si>
    <t>Quel est le volume estimé des marchés par an ?</t>
  </si>
  <si>
    <t>El78e</t>
  </si>
  <si>
    <t>par périodicité</t>
  </si>
  <si>
    <t>Quelles sont les modalités de passation des marchés subséquents ?</t>
  </si>
  <si>
    <t>A la survenance du besoin; par périodicité</t>
  </si>
  <si>
    <t>ElTTT417</t>
  </si>
  <si>
    <t>03.2.3 Offre exécutée</t>
  </si>
  <si>
    <t>El78g</t>
  </si>
  <si>
    <t xml:space="preserve">Préciser les modalités de passation en Accord-cadre mono et/ou en Accord-cadre multi attribué </t>
  </si>
  <si>
    <t>10-Détail_Lots'!A1</t>
  </si>
  <si>
    <t>El78h</t>
  </si>
  <si>
    <t>Passation des marchés subséquents par périodicité</t>
  </si>
  <si>
    <t>Quelles sont les modalités de passation des marchés subséquents ou de passation de bons de commandes ?</t>
  </si>
  <si>
    <t>Passation des marchés subséquents à la survenance du besoin; Passation des marchés subséquents par périodicité ; Passation des Bons de commandes sur Accord-cadre</t>
  </si>
  <si>
    <t>El78i</t>
  </si>
  <si>
    <t>El78j</t>
  </si>
  <si>
    <t xml:space="preserve">Quelle sera la forme des marchés subséquents </t>
  </si>
  <si>
    <t>Mono client;Multi client</t>
  </si>
  <si>
    <t>El78k</t>
  </si>
  <si>
    <t>Préciser les modalités de passation des marchés subséquents multi attribué ou des Accord-cadre avec BDC multi-attribué</t>
  </si>
  <si>
    <t>El78l</t>
  </si>
  <si>
    <t>A la survenance du besoin</t>
  </si>
  <si>
    <t>Quelles est la règle d'attribution des bons de commande  ?</t>
  </si>
  <si>
    <t>A la survenance du besoin;Périodicité</t>
  </si>
  <si>
    <t>El78m</t>
  </si>
  <si>
    <t>Non, le format offre plurielle ne s'applique pas</t>
  </si>
  <si>
    <t>Le format "offre plurielle" s'applique-t'il ?</t>
  </si>
  <si>
    <t>Oui, le format offre plurielle s'applique; Non, le format offre plurielle ne s'applique pas</t>
  </si>
  <si>
    <t>El78n</t>
  </si>
  <si>
    <t>Si oui, renseigner les lots concernés</t>
  </si>
  <si>
    <t>ElTT418</t>
  </si>
  <si>
    <t>03.3 Durée</t>
  </si>
  <si>
    <t>El80</t>
  </si>
  <si>
    <t>Oui, Durée de 48 mois</t>
  </si>
  <si>
    <t>La durée du(es) marchés est-elle de 48 mois (toutes reconductions comprises) ?</t>
  </si>
  <si>
    <t>Oui, Durée de 48 mois; Non, dérogation à la durée de 48 mois</t>
  </si>
  <si>
    <t>El81b</t>
  </si>
  <si>
    <t>Si non, préciser la durée du marché toutes reconductions comprises
(si durée autre que le choix sur liste, saisir directement le délai dans la réponse)</t>
  </si>
  <si>
    <t xml:space="preserve">Liste de choix ou texte </t>
  </si>
  <si>
    <t>Nombre de mois</t>
  </si>
  <si>
    <t>El80a</t>
  </si>
  <si>
    <t>36 mois</t>
  </si>
  <si>
    <t xml:space="preserve">Quelle est la durée initiale en mois du marché ? </t>
  </si>
  <si>
    <t>36 mois;autre</t>
  </si>
  <si>
    <t>El83</t>
  </si>
  <si>
    <t xml:space="preserve">Si autre, préciser la durée initiale </t>
  </si>
  <si>
    <t>El84</t>
  </si>
  <si>
    <t>Oui, Le principe de reconduction s'applique</t>
  </si>
  <si>
    <t>Le principe de reconduction s'applique t'il ?</t>
  </si>
  <si>
    <t>Oui, Le principe de reconduction s'applique;Non, dérogation au principe de reconduction</t>
  </si>
  <si>
    <t>El85b</t>
  </si>
  <si>
    <t>Tacite</t>
  </si>
  <si>
    <t>Si oui, expliquer les modalités de reconduction ?</t>
  </si>
  <si>
    <t>Expresse;Tacite</t>
  </si>
  <si>
    <t>El84b</t>
  </si>
  <si>
    <t>2 reconductions</t>
  </si>
  <si>
    <t xml:space="preserve">Si oui, Quel est le nombre de reconductions possibles ? </t>
  </si>
  <si>
    <t>1 reconduction;2 reconductions;3 reconductions; 4 reconductions</t>
  </si>
  <si>
    <t>El84c</t>
  </si>
  <si>
    <t>6 mois</t>
  </si>
  <si>
    <t xml:space="preserve">Si oui, Quelle est la durée de chaque reconduction ? </t>
  </si>
  <si>
    <t>12 mois;6 mois;4 mois;3 mois;1 fois 6 mois et 2 fois 3 mois</t>
  </si>
  <si>
    <t>El84d</t>
  </si>
  <si>
    <t>Ces modalités  s'appliquent-elles à l'ensemble des lots ?</t>
  </si>
  <si>
    <t>Oui, ces modalités  s'appliquent à l'ensemble des lots; Non, ces modalités ne s'appliquent pas à l'ensemble des lots</t>
  </si>
  <si>
    <t>El84e</t>
  </si>
  <si>
    <t>Si non, préciser les modalités particlulières pour chaque lot</t>
  </si>
  <si>
    <t>El86</t>
  </si>
  <si>
    <t>Oui, la durée des BDC demeure exécutable au-delà du support contractuel sur la base des durées annoncées dans le CCAP</t>
  </si>
  <si>
    <t xml:space="preserve">Durée d'exécution des bons de commande ou des marchés subséquents  dépassera t'elle la date de fin du support contractuel ? </t>
  </si>
  <si>
    <t>Oui, la durée des BDC demeure exécutable au-delà du support contractuel sur la base des durées annoncées dans le CCAP; Non, absence d'exécution des BDC ou MS au-delà du support contractuel</t>
  </si>
  <si>
    <t>El87</t>
  </si>
  <si>
    <t>Si oui, de combien de mois et sur quel périmètre (Ex : prestations de maintenance…) ?</t>
  </si>
  <si>
    <t>El87b</t>
  </si>
  <si>
    <t>Si oui, ces modalités  s'appliquent-elles à l'ensemble des lots ?</t>
  </si>
  <si>
    <t>El87c</t>
  </si>
  <si>
    <t>El82</t>
  </si>
  <si>
    <t>Non, absence de travaux d'interfacage ou de déploiement long</t>
  </si>
  <si>
    <t>Des travaux d'interfacage ou de déploiement long sont-ils prévus nécessitant des échanges avec le titulaire avant ouverture du marché à la commercialisation ?</t>
  </si>
  <si>
    <t>Oui, travaux d'interfacage sont prévus; Oui, un déploiement long est prévu; Oui, des travaux d'interfaçage et de déploiement long sont prévus;  Non, absence de travaux d'interfacage ou de déploiement long</t>
  </si>
  <si>
    <t>ElTT419</t>
  </si>
  <si>
    <t>03.4 Clause modificatives de marché</t>
  </si>
  <si>
    <t>El104</t>
  </si>
  <si>
    <t>Clause promo;Clause devis 5%;Clause de réexamen;Avenant</t>
  </si>
  <si>
    <t xml:space="preserve">Quelles sont les clauses modificatives applicables ?	</t>
  </si>
  <si>
    <t xml:space="preserve">Clause promo;Clause devis 5%;Clause de réexamen;Avenant;marchés de prestations similaires
</t>
  </si>
  <si>
    <t>ElTTT420</t>
  </si>
  <si>
    <t>03.4.1 Clause de réexamen</t>
  </si>
  <si>
    <t>El104b</t>
  </si>
  <si>
    <t>Pour évolutions techniques ou technologiques;Suite à évolutions techniques et règlementaires;Ajouts nécessaires à bonne exécution de marché;En cas de circonstances imprévisibles;Modifications du montant maximum</t>
  </si>
  <si>
    <t xml:space="preserve">Si clause de réexamen applicable, quel est le périmètre de la clause de réexamen </t>
  </si>
  <si>
    <t>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t>
  </si>
  <si>
    <t>El105</t>
  </si>
  <si>
    <t>Si autre, expliquer le périmètre complémentaire applicable en matière de clause de réexamen</t>
  </si>
  <si>
    <t>ElTTT422</t>
  </si>
  <si>
    <t>03.4.2 Clause promotionnelle</t>
  </si>
  <si>
    <t>El107</t>
  </si>
  <si>
    <t>Diminution du prix net d'un ou de plusieurs matériel(s)/prestations</t>
  </si>
  <si>
    <t>Si clause promotionnelle applicable, quel est le périmètre applicable ?</t>
  </si>
  <si>
    <t>Diminution du prix net d'un ou de plusieurs matériel(s)/prestations;La mise en place de conditionnements promotionnels (vente de lots);La mise en place de packages dit promotionnels regroupant plusieurs matériels, options, accessoires du marché</t>
  </si>
  <si>
    <t>ElTT423</t>
  </si>
  <si>
    <t>03.5 Gestion de la fin de contrat client</t>
  </si>
  <si>
    <t>El269</t>
  </si>
  <si>
    <t>Oui, obligations particulières à la gestion des fins de contrats</t>
  </si>
  <si>
    <t>Des obligations particulières relatives à la gestion des fins de contrats sont-elles a préciser dans des documents contractuels, processus et ou pilotées  ?</t>
  </si>
  <si>
    <t>Oui, obligations particulières à la gestion des fins de contrats; Non, absence d'obligations particulières à la gestion des fins de contrats</t>
  </si>
  <si>
    <t>El390</t>
  </si>
  <si>
    <t>Si oui, préciser l'attendu après échanges avec les référents DCDT concernés</t>
  </si>
  <si>
    <t>El391</t>
  </si>
  <si>
    <t>Non, absence d'accompagnement à la gestion des fins de contrats</t>
  </si>
  <si>
    <t>Si oui, un accompagnement est-il souhaité pour la modélisation du plan de gestion des fins de contrat ?</t>
  </si>
  <si>
    <t>Oui, Accompagnement souhaité pour la gestion des fins de contrats; Non, absence d'accompagnement à la gestion des fins de contrats</t>
  </si>
  <si>
    <t>ElT430</t>
  </si>
  <si>
    <t>04.0 DEVIS ET COMMANDE</t>
  </si>
  <si>
    <t>ElTT431</t>
  </si>
  <si>
    <t>04.1 Prérequis à l'établissement d'un devis</t>
  </si>
  <si>
    <t>El501</t>
  </si>
  <si>
    <t>Oui, l'offre prévoit un devis UGAP</t>
  </si>
  <si>
    <t>L'offre prévoit-elle un devis UGAP  ?</t>
  </si>
  <si>
    <t>Oui, l'offre prévoit un devis UGAP; Non, la proposition du titulaire se substitue au devis UGAP</t>
  </si>
  <si>
    <t>El110</t>
  </si>
  <si>
    <t>Oui, prérequis à l'établissement d'un devis</t>
  </si>
  <si>
    <t>Existe-il des prérequis à l’établissement d’un devis ?</t>
  </si>
  <si>
    <t>Oui, prérequis à l'établissement d'un devis; Non, absence de prérequis à l'établissement d'un devis</t>
  </si>
  <si>
    <t>El111</t>
  </si>
  <si>
    <t>Qualification du besoin par le titulaire et rédaction d'un dossier technique le cas échéant</t>
  </si>
  <si>
    <t>Si oui, préciser lesquels</t>
  </si>
  <si>
    <t>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t>
  </si>
  <si>
    <t>El111b</t>
  </si>
  <si>
    <t>Si oui, pour quels lots</t>
  </si>
  <si>
    <t>Numéros de lots</t>
  </si>
  <si>
    <t>El112</t>
  </si>
  <si>
    <t>Si autre, préciser lesquels</t>
  </si>
  <si>
    <t>ElTT432</t>
  </si>
  <si>
    <t>04-2 Canal d'enregistrement devis/commande / Minimum de commande</t>
  </si>
  <si>
    <t>El113</t>
  </si>
  <si>
    <t>Oui, canal d'enregistrement des devis identique à la commande</t>
  </si>
  <si>
    <t>Canal d’enregistrement des devis est-il identique à celui de la commande ?</t>
  </si>
  <si>
    <t>Oui, canal d'enregistrement des devis identique à la commande; Non, canal d'enregistrement distinct de celui de la commande</t>
  </si>
  <si>
    <t>El114</t>
  </si>
  <si>
    <t>Si non, préciser lesquels</t>
  </si>
  <si>
    <t>Devis tripartite / CCM / E-commerce / réel constaté /Autre</t>
  </si>
  <si>
    <t>El114b</t>
  </si>
  <si>
    <t>Si autre, précisez</t>
  </si>
  <si>
    <t>El112b</t>
  </si>
  <si>
    <t>Non, absence de clause</t>
  </si>
  <si>
    <t xml:space="preserve">Le marché prévoit-il une clause de devis tripartite ? </t>
  </si>
  <si>
    <t>Oui, clause obligatoire; Oui, clause facultative; Non, absence de clause</t>
  </si>
  <si>
    <t>ElTT433</t>
  </si>
  <si>
    <t xml:space="preserve">04-3 Minimum de commande </t>
  </si>
  <si>
    <t>ElTTT434</t>
  </si>
  <si>
    <t>04.3.1 Client</t>
  </si>
  <si>
    <t>El120</t>
  </si>
  <si>
    <t>Non, absence de mimimum de commande client</t>
  </si>
  <si>
    <t xml:space="preserve">Un minimum de commande client géré par l'UGAP est-il en envisagé ? 	</t>
  </si>
  <si>
    <t>Oui, un minimum de commande client est envisagé;Non, absence de mimimum de commande client</t>
  </si>
  <si>
    <t>El121</t>
  </si>
  <si>
    <t>Si oui, s'agit-il d'un montant de commande en quantité ou en montant ?</t>
  </si>
  <si>
    <t>minimum en quantité ; minimum en montant</t>
  </si>
  <si>
    <t>El507</t>
  </si>
  <si>
    <t>Si oui, la gestion du minimum de commande nécessite-'elle des paramétrages informatiques ?</t>
  </si>
  <si>
    <t>Oui, paramétrages informatiques nécessaires; Non, aucun paramétrage nécessaire</t>
  </si>
  <si>
    <t>El122</t>
  </si>
  <si>
    <t>Oui, modalités standard de commande</t>
  </si>
  <si>
    <t xml:space="preserve">Modalités standard de commande </t>
  </si>
  <si>
    <t>Oui, modalités standard de commande; Non, dérogation au standard de commande</t>
  </si>
  <si>
    <t>El123</t>
  </si>
  <si>
    <t>Si non, préciser les modalités particulières applicables</t>
  </si>
  <si>
    <t>Devis tripartite;CCM;E-commerce;réel constaté;Autre</t>
  </si>
  <si>
    <t>El124</t>
  </si>
  <si>
    <t>Si autre, préciser</t>
  </si>
  <si>
    <t>ElTTT435</t>
  </si>
  <si>
    <t>04.3.2 Fournisseur</t>
  </si>
  <si>
    <t>El140</t>
  </si>
  <si>
    <t>Non, absence de mimimum de commande fournisseur</t>
  </si>
  <si>
    <t xml:space="preserve">Un minimum de commande fournisseur géré par l'UGAP est-il en envisagé ? 	</t>
  </si>
  <si>
    <t>Oui, un minimum de commande fournisseur est envisagé;Non, absence de mimimum de commande fournisseur</t>
  </si>
  <si>
    <t>El141</t>
  </si>
  <si>
    <t>El508</t>
  </si>
  <si>
    <t>El142</t>
  </si>
  <si>
    <t>Non, absence de minimum d'achat pour l'exonération des frais de port</t>
  </si>
  <si>
    <t>Minimum d’achat est-il applicable pour exonérer des frais de port est-il prévu / envisagé</t>
  </si>
  <si>
    <t>Oui, minimum d'achat pour l'exonération des frais de port;Non,Absence de minimum d'achat pour l'exonération des frais de port</t>
  </si>
  <si>
    <t>ElTT436</t>
  </si>
  <si>
    <t>04-4 Dématerialisation des devis / Commande</t>
  </si>
  <si>
    <t>El125</t>
  </si>
  <si>
    <t>Oui, dématerialisation des commandes</t>
  </si>
  <si>
    <t>Une dématerialisation des commandes est-elle a mettre en place via SINOE ?</t>
  </si>
  <si>
    <t xml:space="preserve">Oui, dématerialisation des commandes; Non, Absence de dématerialisation des commandes </t>
  </si>
  <si>
    <t>El127</t>
  </si>
  <si>
    <t>Si oui, le délai de transmission des informations (confirmation de commande, date prévisionnelle…) est-il conforme au délai standard de 3 jours ?</t>
  </si>
  <si>
    <t>Oui, Délai de transmission des informations liées à la commande ou à la livraisons conforme à 3 jours;Non, délai de transmission des informations liées à la commande ou à la livraisons non conforme au standard</t>
  </si>
  <si>
    <t>El128</t>
  </si>
  <si>
    <t>Si délai non conforme au standard, préciser le délai applicable</t>
  </si>
  <si>
    <t>El137</t>
  </si>
  <si>
    <t xml:space="preserve">En cas d'émission de bons de commande dématérialisée autre que SINOE  : dans quels délais les informations (confirmation de la commande, date prévisionnelle…) doivent-elles être transmises ? </t>
  </si>
  <si>
    <t>El132</t>
  </si>
  <si>
    <t>Quelle est la fréquence d'émission des bons de commandes ?</t>
  </si>
  <si>
    <t>A la survenance du besoin; A échéance (mensuelle, trimestrielle, annuelle); autre ou mixte</t>
  </si>
  <si>
    <t>El133</t>
  </si>
  <si>
    <t xml:space="preserve">Si fréquence d'émission "autre" ou "mixte" apporter des précisions après échanges auprès du référent devis/commande </t>
  </si>
  <si>
    <t>El132b</t>
  </si>
  <si>
    <t>En cas de BDC à échéance, préciser s'il s'agit d'une mono, multi échéance et pour quelle échéance l'UGAP émet-elle une commande ? (mensuelle, trimestrielle, semestrielle ou annuelle)</t>
  </si>
  <si>
    <t>mensuelle,trimestrielle,semestrielle;annuelle</t>
  </si>
  <si>
    <t>ElTT438</t>
  </si>
  <si>
    <t>04-5 Modification, resiliation, annulation des BDCs</t>
  </si>
  <si>
    <t>El136</t>
  </si>
  <si>
    <t>Oui, le délai de modification/résiliation ou d'annulation du BDC est conforme à la règle des 8 jours</t>
  </si>
  <si>
    <t xml:space="preserve">Le délai de modification/résiliation ou d'annulation du BDC fournisseur est-il conforme à la règle des 8 jours </t>
  </si>
  <si>
    <t>Oui, le délai de modification/résiliation ou d'annulation du BDC est conforme à la règle des 8 jours; Non, le délai de modification/résiliation ou d'annulation du BDC n'est pas conforme à la règle des 8 jours</t>
  </si>
  <si>
    <t>El136b</t>
  </si>
  <si>
    <t>Et si non, quel est le délai</t>
  </si>
  <si>
    <t>El138</t>
  </si>
  <si>
    <t>Non, la règle d'annulation/modification ou annulation est conforme aux CGV</t>
  </si>
  <si>
    <t xml:space="preserve">En cas d’annulation/modification des bons de Commande client existe-t-il une dérogation aux CGV (=annulation le jour même)? 	</t>
  </si>
  <si>
    <t>Oui, la règle d'annulation/modification ou annulation déroge aux CGV; Non,la règle d'annulation/modification ou annulation est conforme aux CGV</t>
  </si>
  <si>
    <t>El139</t>
  </si>
  <si>
    <t>Si oui, Précisez les modalités particulières de modifications/annulations qui s'appliquent</t>
  </si>
  <si>
    <t>ElT445</t>
  </si>
  <si>
    <t>05.0 GARANTIE _SAV_MAINTENANCE</t>
  </si>
  <si>
    <t>El445</t>
  </si>
  <si>
    <t>Non,ce chapitre est non applicable</t>
  </si>
  <si>
    <t xml:space="preserve">Ce chapitre est-il applicable </t>
  </si>
  <si>
    <t>Oui, ce chapitre est applicable;Non,ce chapitre est non applicable</t>
  </si>
  <si>
    <t>ElTT446</t>
  </si>
  <si>
    <t>05.1 Garantie contractuelle de base</t>
  </si>
  <si>
    <t>El177</t>
  </si>
  <si>
    <t>Oui, Garantie de bon fonctionnement du logiciel</t>
  </si>
  <si>
    <t>Une garantie commerciale contractuelle ou une garantie de bon fonctionnement en cas de logiciel est-elle en place et applicable pour l'ensemble des lots ?</t>
  </si>
  <si>
    <t>Oui, Garantie commerciale contractuelle applicable; Non, absence de garantie commerciale contractuelle ; Oui, Garantie de bon fonctionnement du logiciel ; Non, absence de garantie de bon fonctionnement du logiciel</t>
  </si>
  <si>
    <t>El488</t>
  </si>
  <si>
    <t>Oui, durée standard applicable</t>
  </si>
  <si>
    <t>Si oui, préciser si les durées sont conformes au standard (≤ 2 ans pour les produits neufs et ≤ 1 an pour les produits reconditionnés)</t>
  </si>
  <si>
    <t>oui, durée standard applicable ; non, durée spécifique applicable</t>
  </si>
  <si>
    <t>El178</t>
  </si>
  <si>
    <t>Si non, préciser les durées applicabes</t>
  </si>
  <si>
    <t>El179</t>
  </si>
  <si>
    <t>Titulaire;Constructeur</t>
  </si>
  <si>
    <t xml:space="preserve">Si oui, préciser par qui elle est assurée </t>
  </si>
  <si>
    <t>Titulaire/Constructeur/Tiers</t>
  </si>
  <si>
    <t>El180a</t>
  </si>
  <si>
    <t>Le détail de la garantie est-il commun à l'ensemble des lots de la procédure</t>
  </si>
  <si>
    <t>Oui, le détail de la garantie est commun à l'ensemble des lots;Non, le détail de la garantie varie selon  les lots</t>
  </si>
  <si>
    <t>El180</t>
  </si>
  <si>
    <t>Si oui, préciser le détail de la garantie</t>
  </si>
  <si>
    <t>El181</t>
  </si>
  <si>
    <t xml:space="preserve">Si non, préciser pour chaque lot la durée de cette garantie, les conditions de garantie </t>
  </si>
  <si>
    <t>El181b</t>
  </si>
  <si>
    <t>à distance (logiciel)</t>
  </si>
  <si>
    <t xml:space="preserve">Quelles sont les conditions de garantie ? </t>
  </si>
  <si>
    <t>Sur site client ;Sur les lieux d'utilisation du matériel; Sur site bénéficiaire;Sur site ou en retour atelier (frais logistiques A/R à la charge du titulaire), chez le titulaire ou tiers (agent, concessionnaire, distributeur…), à distance (logiciel)</t>
  </si>
  <si>
    <t>El182</t>
  </si>
  <si>
    <t>Sous quel délai minimal le titulaire doit assurer la résolution du SAV (hors refabrication complète du matériel)</t>
  </si>
  <si>
    <t>Sous un délai de résolution fixé à 21 jours;Sous un délai de résolution fixé à 30 jours;Différent de 30 jours</t>
  </si>
  <si>
    <t>El182b</t>
  </si>
  <si>
    <t>Si délai minimal du titulaire pour assurer la résolution du SAV est non conforme au standard, préciser le délai applicable</t>
  </si>
  <si>
    <t>ElTT447</t>
  </si>
  <si>
    <t>05.2 Etendue de la garantie</t>
  </si>
  <si>
    <t>El189</t>
  </si>
  <si>
    <t>Oui, délai de prise en charge du SAV par le titulaire conforme au standard (48h en France Continentale et Corse / 72h pour DROM COM)</t>
  </si>
  <si>
    <t>Dans le cadre de la garantie le délai de prise en charge du SAV par le titulaire est-il conforme au standard (48h en France Continentale et Corse / 72h pour DROM COM)</t>
  </si>
  <si>
    <t>Oui, délai de prise en charge du SAV par le titulaire conforme au standard (48h en France Continentale et Corse / 72h pour DROM COM);Non, délai de prise en charge dy SAV par le titulaire dérogatoire au standard</t>
  </si>
  <si>
    <t>El190</t>
  </si>
  <si>
    <t xml:space="preserve">Si non, préciser le(s) délai(s) </t>
  </si>
  <si>
    <t>El192</t>
  </si>
  <si>
    <t>Non, Absence d'une Garantie en Temps de Rétablissement (GTR)</t>
  </si>
  <si>
    <t>Existe t'il une Garantie en Temps de rétablissement (GTR)</t>
  </si>
  <si>
    <t>Non, Absence d'une Garantie en Temps de Rétablissement (GTR);Oui, Existence d'une garantie en Temps de Rétablissement</t>
  </si>
  <si>
    <t>El191</t>
  </si>
  <si>
    <t>Non, Absence de produits en stock</t>
  </si>
  <si>
    <t>Y-a t'il des produits en stock</t>
  </si>
  <si>
    <t>Non, Absence de produits en stock; Oui, Existence de produits en stock</t>
  </si>
  <si>
    <t>El183</t>
  </si>
  <si>
    <t>Une fiche SAV est-elle exigée ?</t>
  </si>
  <si>
    <t>Oui, Fiche SAV exigée;Non, Fiche SAV non exigée</t>
  </si>
  <si>
    <t>El183l</t>
  </si>
  <si>
    <t>Y-a-t-il une garantie minimum de base du véhicule complet hors batterie ?</t>
  </si>
  <si>
    <t>Non, absence de garantie minimum de base du véhicule complet hors batterie; Oui, existence d'une garantie minimum de base du véhicule complet hors batterie</t>
  </si>
  <si>
    <t>El183m</t>
  </si>
  <si>
    <t>Si oui, quelle est la durée de garantie minimum de base du véhicule complet hors batterie ?</t>
  </si>
  <si>
    <t>El183b</t>
  </si>
  <si>
    <t>Y-a-t-il une garantie de disponibilité du véhicule pour chaque véhicule immobilisé à cause d’une défaillance prise en charge au titre de la garantie ?</t>
  </si>
  <si>
    <t>Non, absence de garantie de disponibilité;Oui, existence d'une garantie de disponibilité</t>
  </si>
  <si>
    <t>El183k</t>
  </si>
  <si>
    <t>Si oui, quelle est la durée maximum de jours d’immobilisation du véhicule par année ? (adapter et multiplier selon le nombre de lots)</t>
  </si>
  <si>
    <t>El183e</t>
  </si>
  <si>
    <t>Y-a-t-il une garantie de base d'autonomie de l'ensemble batterie ?</t>
  </si>
  <si>
    <t>Oui, Existence d'une garantie autonomie de l'ensemble batterie; Non, Absence de garantie autonomie de l'ensemble batterie</t>
  </si>
  <si>
    <t>El183f</t>
  </si>
  <si>
    <t>Si oui, quelle est la durée de garantie d'autonomie minimum de base (80% de la charge initiale de l'ensemble batterie)? (adapter et multiplier selon le nombre de lots)</t>
  </si>
  <si>
    <t>El183g</t>
  </si>
  <si>
    <t>Y-a-t-il une garantie contractuelle anticorrosion ?</t>
  </si>
  <si>
    <t>Oui, Existence d'une garantie contractuelle anticorrosion; Non, Absence de garantie contractuelle anticorrosion</t>
  </si>
  <si>
    <t>El183h</t>
  </si>
  <si>
    <t>Si oui, quelle est la durée garantie minimum de base (en mois/ année/ km) ? (adapter et multiplier selon le nombre de lots)</t>
  </si>
  <si>
    <t>El183i</t>
  </si>
  <si>
    <t>Oui, Fourniture par le titulaire de pièces détachées</t>
  </si>
  <si>
    <t xml:space="preserve">Le titulaire est-il tenu de fournir les pièces détachées nécessaires à la réparation du matériel ? </t>
  </si>
  <si>
    <t>Oui, Fourniture par le titulaire de pièces détachées;Non, Absence de fourniture de pièces détachées par le titulaire</t>
  </si>
  <si>
    <t>El183j</t>
  </si>
  <si>
    <t xml:space="preserve">Si oui, quel est le délai correspondant après la fin de la fabrication du dernier matériel  ?  </t>
  </si>
  <si>
    <t>5 ans; 10 ans; autre;Non concerné pour l'offre</t>
  </si>
  <si>
    <t>El489</t>
  </si>
  <si>
    <t>Si autre, préciser le délai applicable</t>
  </si>
  <si>
    <t>ElTT448</t>
  </si>
  <si>
    <t>05.3 Extension de la garantie</t>
  </si>
  <si>
    <t>El184</t>
  </si>
  <si>
    <t>Une extension de garantie doit-elle être mise en place ?</t>
  </si>
  <si>
    <t>Oui, une extension de garantie doit être mise en place; Non, absence d'extension de garantie</t>
  </si>
  <si>
    <t>El185</t>
  </si>
  <si>
    <t>Si oui, concerne t'elle un matériel référencé  par le titulaire auprès du constructeur ?</t>
  </si>
  <si>
    <t>Oui, elle concerne du matériel référencé au prix proposé par le titulaire ;Non, elle ne concerne pas du matériel référencé au prix renseigné par le titulaire</t>
  </si>
  <si>
    <t>El186</t>
  </si>
  <si>
    <t>Si oui, s'agit-il d'une extension de garantie contrôlée ?</t>
  </si>
  <si>
    <t>Oui, Extension de garantie contrôlée;Non, absence d'extension de garantie contrôlée</t>
  </si>
  <si>
    <t>El188</t>
  </si>
  <si>
    <t xml:space="preserve">Si oui, préciser la ou les durées de garantie par lot </t>
  </si>
  <si>
    <t>ElTT437</t>
  </si>
  <si>
    <t>05.4 Maintenance</t>
  </si>
  <si>
    <t>El4</t>
  </si>
  <si>
    <t>Oui, prestations de maintenance prévue à l'offre</t>
  </si>
  <si>
    <t>Des prestations de maintenance  et/ou location - maintenance sont-elles à prévoir ?</t>
  </si>
  <si>
    <t>Oui, prestations de maintenance prévue à l'offre;Non, absence de prestations de maintenance</t>
  </si>
  <si>
    <t>ElTT502</t>
  </si>
  <si>
    <t>05.4.1 Typologie, prix et durée de la maintenance</t>
  </si>
  <si>
    <t>El134</t>
  </si>
  <si>
    <t>Location maintenance ;Acquisition maintenance</t>
  </si>
  <si>
    <t>Quelles sont les typologies de commande de maintenance?</t>
  </si>
  <si>
    <t>Location maintenance ;Acquisition maintenance;Full service;Non concerné pour l'offre</t>
  </si>
  <si>
    <t>El370</t>
  </si>
  <si>
    <t>Maintenance préventive</t>
  </si>
  <si>
    <t xml:space="preserve">Quelles sont les modalités de maintenance (préventive, corrective…) prévues ? </t>
  </si>
  <si>
    <t>préventive;corrective/curative</t>
  </si>
  <si>
    <t>El372</t>
  </si>
  <si>
    <t>Préciser la durée ?</t>
  </si>
  <si>
    <t>El376</t>
  </si>
  <si>
    <t xml:space="preserve">Non, Le prix de la maintenance corrective/curative n'est pas comprise dans le prix </t>
  </si>
  <si>
    <t>Si maintenance corrective/curative son prix est-il inclus dans le prix du matériel/Logiciel/fourniture ?</t>
  </si>
  <si>
    <t>Oui, le prix de la maintenance corrective/curative est-elle incluse dans le prix;Non, Le prix de la maintenance corrective/curative n'est pas comprise dans le prix ; Non concerné pour l'offre</t>
  </si>
  <si>
    <t>El377</t>
  </si>
  <si>
    <t>Si maintenance corrective/curative, l'intervention du titulaire vise quelle remise en état ?</t>
  </si>
  <si>
    <t xml:space="preserve">remise en état des Matériels;remise en état des Installations et logiciels </t>
  </si>
  <si>
    <t>El378</t>
  </si>
  <si>
    <t xml:space="preserve">En cas de dysfonctionnement, sous quel délai le titulaire doit-il intervenir en France métropolitaine pour des prestations de maintenance corrective/curative  ? </t>
  </si>
  <si>
    <t>El379</t>
  </si>
  <si>
    <t xml:space="preserve">En cas de dysfonctionnement, sous quel délai le titulaire doit-il intervenir en outre-mer pour des prestations de maintenance corrective/curative  ?  ? </t>
  </si>
  <si>
    <t>El380</t>
  </si>
  <si>
    <t xml:space="preserve">La prestation de maintenance s'étend-elle à la fourniture et l'installation d'accessoires et options ajoutés ? </t>
  </si>
  <si>
    <t>Oui, la prestation de maintenance s'étend à la fourniture et à l'installation d'accessoires et options; Non, la prestation de maintenance ne s'étend pas à la fourniture et l'installation d'accessoires et options</t>
  </si>
  <si>
    <t>El381</t>
  </si>
  <si>
    <t xml:space="preserve">La maintenance des équipements couvre-t-elle les bris ? </t>
  </si>
  <si>
    <t>Oui, la maintenance des équipements couvre les bris;Non, la maintenance des équipements ne couvre pas les bris</t>
  </si>
  <si>
    <t>ElTT503</t>
  </si>
  <si>
    <t>05.4.2 Commande de maintenance</t>
  </si>
  <si>
    <t>El387</t>
  </si>
  <si>
    <t>Préciser l'élément déclencheur des commandes (concomitant à la commande, livraison, carte grise…), les formats de commande envisagés (mono ou multi échéance) et la périodicité des commande (unique, mensuelle, trimestrielle, annuelle, autre…)</t>
  </si>
  <si>
    <t>concomitant à la commande (volet 1) et à l’issue de l’admission du matériel (volet 2); la fin de la période de garantie; la fin de la période d'extension de garantie; Autre</t>
  </si>
  <si>
    <t>El396</t>
  </si>
  <si>
    <t>Si "autre" préciser l'élément déclencheur des commandes, les formats de commande envisagés et la périodicité</t>
  </si>
  <si>
    <t>El5c</t>
  </si>
  <si>
    <t>Mono échéance &amp; Multi échéance</t>
  </si>
  <si>
    <t>Quel est le(s) format(s) d'émission de commande d’achat envisagé(s) pour les prestations de location/maintenance ?</t>
  </si>
  <si>
    <t>Mono échéance; Multi échéance; Mixte (Mono et Multi échéance)</t>
  </si>
  <si>
    <t>El5e</t>
  </si>
  <si>
    <t xml:space="preserve">Quelle est la périodicité de commande d’achat envisagée en Multi échéance ?
</t>
  </si>
  <si>
    <t>Unique;Mensuelle;Trimestrielle;Annuelle;Autre</t>
  </si>
  <si>
    <t>ElT439</t>
  </si>
  <si>
    <t>06.0 EXECUTION FINANCIERE</t>
  </si>
  <si>
    <t>ElTT440</t>
  </si>
  <si>
    <t>06.1 Schéma de rémunération de l'UGAP</t>
  </si>
  <si>
    <t>El97</t>
  </si>
  <si>
    <t>Oui, Application de la contribution standard : 1% - 4000 € - Trimestriel</t>
  </si>
  <si>
    <t>La rémunération par le titulaire en contrepartie d’un service rendu correspond-elle a la contribution standard 1%-4000€-Trimestriel ?</t>
  </si>
  <si>
    <t>Oui, Application de la contribution standard : 1% - 4000 € - Trimestriel;Non, dérogation à la contribution standard</t>
  </si>
  <si>
    <t>El98</t>
  </si>
  <si>
    <t>Si non, préciser quel schéma de rémunération s'applique à l'offre (exemple: ristourne, délégation de marge pour compte...) justifier de cette la dérogation et préciser les modalités de calcul associées - périodicité - seuil mini d'application ou l'absence de rémunération</t>
  </si>
  <si>
    <t>El99</t>
  </si>
  <si>
    <t>Oui, Rémunération par le client standard avec distinction Grands comptes et partenaire</t>
  </si>
  <si>
    <t>La rémunération par le client correspond-elle au standard (Taux de marge applicable au PA) avec distinction grands comptes - partenaire ?</t>
  </si>
  <si>
    <t>Oui, Rémunération par le client standard avec distinction Grands comptes et partenaire;Non, dérogation à la rémunération client standard</t>
  </si>
  <si>
    <t>El100</t>
  </si>
  <si>
    <t>Si non, préciser la marge spécifique applicable (ex : taux unique, PA=PV...) et justifier de cette dérogation</t>
  </si>
  <si>
    <t>El102</t>
  </si>
  <si>
    <t>Non, absence d'exclusion de marge</t>
  </si>
  <si>
    <t>Une partie de l'offre fait-elle l'objet d'une exclusion de marge</t>
  </si>
  <si>
    <t>Oui, exclusion de marge; Non, absence d'exclusion de marge</t>
  </si>
  <si>
    <t>El103</t>
  </si>
  <si>
    <t>Si oui, préciser le contenu de l'offre concerné par l'exclusion (ex : prestation d'assurance)</t>
  </si>
  <si>
    <t>Absence d'application de marge sur les taxes d'immatriculation;Surcoût Drom Com;Indeminité et annulation et modification de commande ;Reprise de matériel</t>
  </si>
  <si>
    <t>El103c</t>
  </si>
  <si>
    <t>Si autre, préciser le contenu de l'offre concerné par l'exclusion (ex : prestation d'assurance)</t>
  </si>
  <si>
    <t>ElTT441</t>
  </si>
  <si>
    <t>06.2 Flux de facturation client</t>
  </si>
  <si>
    <t>El143</t>
  </si>
  <si>
    <t>Oui, flux facturation client standard</t>
  </si>
  <si>
    <t>Flux facturation Client standard (Facturation fournisseur déclenche facturation client)</t>
  </si>
  <si>
    <t>Oui, flux facturation client standard; Non, flux facturation client dérogatoire</t>
  </si>
  <si>
    <t>El144</t>
  </si>
  <si>
    <t>Si non, est-il prévu un autre élément déclencheur de la facture client et si oui, préciser lequel (ex :  le motif de commande - CF Annexe)</t>
  </si>
  <si>
    <t>El146</t>
  </si>
  <si>
    <t>Si non, s'agit-il d'une commande à échéance ?</t>
  </si>
  <si>
    <t>Oui, il s'agit d'une commande à échéance;Non, il ne s'agit pas d'une commande à échéance</t>
  </si>
  <si>
    <t>El147</t>
  </si>
  <si>
    <t>Multi terme (échu et échoir)</t>
  </si>
  <si>
    <t>Si oui, quel est le terme applicable</t>
  </si>
  <si>
    <t>Terme échoir;Terme échu;Multi terme (échu et échoir)</t>
  </si>
  <si>
    <t>El493test</t>
  </si>
  <si>
    <t>Mensuelle;Trimestrielle;Semestrielle;Annuelle</t>
  </si>
  <si>
    <t>tototototo</t>
  </si>
  <si>
    <t>El493</t>
  </si>
  <si>
    <t>Si oui, préciser la périodicité applicable</t>
  </si>
  <si>
    <t>Mensuelle; trimestrielle; semestrielle, annuelle</t>
  </si>
  <si>
    <t>ElTT442</t>
  </si>
  <si>
    <t>06.3 Flux de facturation fournisseur</t>
  </si>
  <si>
    <t>El148</t>
  </si>
  <si>
    <t>Oui, flux facturation fournisseur standard</t>
  </si>
  <si>
    <t>Le flux de facturation fournisseur correspond au standard (commande d'achat = facture) ?</t>
  </si>
  <si>
    <t>Oui, flux facturation fournisseur standard; Non, flux facturation fournisseur dérogatoire</t>
  </si>
  <si>
    <t>El149</t>
  </si>
  <si>
    <t>Si non, justifier et présenter le schéma de facturation dérogatoire (ex : une commande = plusieurs factures)</t>
  </si>
  <si>
    <t>El150</t>
  </si>
  <si>
    <t>Non, Facturation indépendante d'un échéancier</t>
  </si>
  <si>
    <t>Facturation dépendante d'un échéancier ?</t>
  </si>
  <si>
    <t>Oui, Facturation dépendante d'un échéancier;Oui, Facturation dépendante d'un échéancier sauf pour les prestations de maintenance;Non, Facturation indépendante d'un échéancier</t>
  </si>
  <si>
    <t>El151</t>
  </si>
  <si>
    <t>Oui, commande à échéance</t>
  </si>
  <si>
    <t xml:space="preserve">S'agit-il d'une commande à échéance ? </t>
  </si>
  <si>
    <t>Oui, Commande à échéance sauf pour les prestations de maintenance; Non, absence de commande à échéance; Oui, commande à échéance</t>
  </si>
  <si>
    <t>El151b</t>
  </si>
  <si>
    <t>Si oui, en préciser le type d'échéance</t>
  </si>
  <si>
    <t>El152</t>
  </si>
  <si>
    <t>Si mono échéance, en préciser le terme applicable</t>
  </si>
  <si>
    <t>Terme échoir ; Terme échu ; Multi terme (échu et échoir)</t>
  </si>
  <si>
    <t>El494</t>
  </si>
  <si>
    <t>Si mono échéance, préciser la périodicité applicable</t>
  </si>
  <si>
    <t>El152b</t>
  </si>
  <si>
    <t>Si multi échéance, en préciser le terme applicable</t>
  </si>
  <si>
    <t>El494b</t>
  </si>
  <si>
    <t>Si multi échéance, préciser la périodicité applicable</t>
  </si>
  <si>
    <t>El495</t>
  </si>
  <si>
    <t>Est-il prévu des prestations de travaux facturable à un sous-traitant ?</t>
  </si>
  <si>
    <t xml:space="preserve">Oui, il est prévu des prestations de travaux exécutables par des sous-traitants;Non, aucune prestation de travaux </t>
  </si>
  <si>
    <t>El153</t>
  </si>
  <si>
    <t>Oui, facturation fournisseur en totalité</t>
  </si>
  <si>
    <t>Facturation fournisseur en totalité (hors acomptes, avances…)</t>
  </si>
  <si>
    <t>Oui, facturation fournisseur en totalité;Non, facturation fournisseur partielle</t>
  </si>
  <si>
    <t>El154</t>
  </si>
  <si>
    <t>Si non, justifier de la facturation partielle</t>
  </si>
  <si>
    <t>El155</t>
  </si>
  <si>
    <t>Absence de format de facturation en xml</t>
  </si>
  <si>
    <t>Format de facturation est-il en xml (réel constaté, facturation partielle et à forte volumétrie) ?</t>
  </si>
  <si>
    <t>Absence de format de facturation en xml;format de facturation en xml</t>
  </si>
  <si>
    <t>ElTT443</t>
  </si>
  <si>
    <t xml:space="preserve">06.4 Modalités / Actions spécifiques ou particulières sont identifiées pour le paiement  </t>
  </si>
  <si>
    <t>El156</t>
  </si>
  <si>
    <t>Non, Absence de modalités particulières pour le paiement</t>
  </si>
  <si>
    <t>Des actions ou des particularités s'appliquent-elles pour le paiement du client vis-à-vis de l'UGAP et/ou de l'UGAP vis-à-vis du fournisseur ?</t>
  </si>
  <si>
    <t>Oui, Modalités particulières pour le paiement;Non, Absence de modalités particulières pour le paiement</t>
  </si>
  <si>
    <t>El157b</t>
  </si>
  <si>
    <t>Si oui, préciser si celles-ci concernent  le client et les particularités qui s'appliquent</t>
  </si>
  <si>
    <t>El158</t>
  </si>
  <si>
    <t>Si oui, préciser si celles-ci concernent le fourniseur et les particularités qui s'appliquent</t>
  </si>
  <si>
    <t>El159</t>
  </si>
  <si>
    <t>Si oui, préciser si celles-ci concernent l'UGAP et les particularités qui s'appliquent</t>
  </si>
  <si>
    <t>El156b</t>
  </si>
  <si>
    <t>Absence de système DDP</t>
  </si>
  <si>
    <t xml:space="preserve">L'offre prévoit-elle un DDP ou Delivered Duty Paid (Rendu droits acquittés) en cas de livraison outre-mer </t>
  </si>
  <si>
    <t>Absence de système DDP; Présence de système DDP</t>
  </si>
  <si>
    <t>ElTT444</t>
  </si>
  <si>
    <t>06.5 Avances / Acomptes</t>
  </si>
  <si>
    <t>El160</t>
  </si>
  <si>
    <t>Oui, les modalités sont conformes au code de la commande publique</t>
  </si>
  <si>
    <t>Les modalités envisagées en terme d'avance sont-elles conformes au code de la commande publique :
Son taux est fixé à 5 %.
Le montant de l’avance versée au titulaire n’est ni révisable ni actualisable ?</t>
  </si>
  <si>
    <t>Oui, les modalités sont conformes au code de la commande publique; Non, les modalités sont distinctes du code de la commande publique</t>
  </si>
  <si>
    <t>El160b</t>
  </si>
  <si>
    <t>Si non, préciser</t>
  </si>
  <si>
    <t>El161</t>
  </si>
  <si>
    <t>Non, le montant total des acomptes est dérogatoire</t>
  </si>
  <si>
    <t>Le montant total des acomptes est conforme au standard et ne peut pas excéder 90% du montant hors taxe de la commande concernée.</t>
  </si>
  <si>
    <t>Oui, le montant total des acomptes est conforme au standard; Non, le montant total des acomptes est dérogatoire</t>
  </si>
  <si>
    <t>El161b</t>
  </si>
  <si>
    <t>Le pourcentage de 90% est trop élevé pour principalement un report d'exécution</t>
  </si>
  <si>
    <t>Si non, justifier de la dérogation au standard de 90%</t>
  </si>
  <si>
    <t>El161c</t>
  </si>
  <si>
    <t>Si non, indiquer le pourcentage</t>
  </si>
  <si>
    <t>El162</t>
  </si>
  <si>
    <t>Non, Absence d'acompte pour approvisionnement</t>
  </si>
  <si>
    <t>Un acompte pour approvisionnement est-il prévu ?</t>
  </si>
  <si>
    <t>Oui, un acompte pour approvisonnement est prévu;Non, Absence d'acompte pour approvisionnement</t>
  </si>
  <si>
    <t>El163</t>
  </si>
  <si>
    <t>Si oui, est-il conforme au standard:
- Montant est supérieur à 50 K€
- Délai de la prestation est supérieur à 90 jours 
- Montant d'acompte fixé au maximum à 40% du montant TTC du BDC?</t>
  </si>
  <si>
    <t>Acompte conforme au standard dont le montant est supérieur à 50 000 euros, dont le délai de prestation est supérieur à 90 jours, Maximum 40%, Garantie à première demande; Acompte non conforme au standard</t>
  </si>
  <si>
    <t>El163b</t>
  </si>
  <si>
    <t>Si non, préciser montant, delai et  le pourcentage</t>
  </si>
  <si>
    <t>El163c</t>
  </si>
  <si>
    <t>Oui, Acompte pour report de livraison d'exécution de plus de 30 jours</t>
  </si>
  <si>
    <t>Le marché prévoit-il un acompte pour report de livraison/ d'exécution de plus de trente jours ?</t>
  </si>
  <si>
    <t>Oui, Acompte pour report de livraison d'exécution de plus de 30 jours;Non, absence d'acompte report de livraison ou d'exécution de plus de 30 jours</t>
  </si>
  <si>
    <t>El163d</t>
  </si>
  <si>
    <t>Oui, acompte conforme au standard des 80% du montant € HT du BDC</t>
  </si>
  <si>
    <t>Si oui, le montant de cet acompte est-il conforme au standard de 80% du montant HT du BDC?</t>
  </si>
  <si>
    <t>Oui, acompte conforme au standard des 80% du montant € HT du BDC;Non, acompte dérogatoire au standard</t>
  </si>
  <si>
    <t>El392</t>
  </si>
  <si>
    <t>Si non, préciser le pourcentage applicabe</t>
  </si>
  <si>
    <t>El163e</t>
  </si>
  <si>
    <t>Le marché prévoit-il un acompte pour remise de la tête de série?</t>
  </si>
  <si>
    <t>Oui, Acompte pour remise de la tête de série;Non, absence d'acompte pour remise de la tête de série</t>
  </si>
  <si>
    <t>El163f</t>
  </si>
  <si>
    <t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t>
  </si>
  <si>
    <t>Oui, acompte conforme au standard;Non, acompte dérogatoire au standard</t>
  </si>
  <si>
    <t>ElT449</t>
  </si>
  <si>
    <t>07.0 PILOTER LA PERFORMANCE FOURNISSEUR</t>
  </si>
  <si>
    <t>ElTT450</t>
  </si>
  <si>
    <t>07.1 Qualité de service et suivi des titulaires</t>
  </si>
  <si>
    <t>El205a</t>
  </si>
  <si>
    <t>Oui, une clause relative aux réunions de suivi doit être prévue au marché</t>
  </si>
  <si>
    <t xml:space="preserve">Une clause relative aux réunions de suivi doit-elle être prévue ? </t>
  </si>
  <si>
    <t>Oui, une clause relative aux réunions de suivi doit être prévue au marché; Non, pas de clause de réunion de suivi à prévoir</t>
  </si>
  <si>
    <t>EL492</t>
  </si>
  <si>
    <t>Non, il n'est pas prévu de dispositif de Bonus/Malus</t>
  </si>
  <si>
    <t xml:space="preserve">Est-il prévu un dispositif Bonus/Malus pour inciter les fournisseurs à améliorer la qualité de service ? </t>
  </si>
  <si>
    <t>Oui, il est prévu un dispositif de Bonus/Malus; Non, il n'est pas prévu de dispositif de Bonus/Malus</t>
  </si>
  <si>
    <t>El205</t>
  </si>
  <si>
    <t>Critères prévus dans le cadre de l’analyse multicritère des offres</t>
  </si>
  <si>
    <t xml:space="preserve">La mesure de la qualité de service et du suivi des titulaires sont réalisés au travers des critères </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</si>
  <si>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</si>
  <si>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El206</t>
  </si>
  <si>
    <t>Indicateurs SINOE</t>
  </si>
  <si>
    <t>Si pilotage avec KPI, indiquer les indicateurs envisager pour suivre l'exécution</t>
  </si>
  <si>
    <t>Indicateurs SINOE;Autre</t>
  </si>
  <si>
    <t>El206b</t>
  </si>
  <si>
    <t>Si autre, indiquer les indicateurs envisager pour suivre l'exécution (en cas de sélection autre, saisir directement les indicateurs en texte libre)</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</si>
  <si>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</si>
  <si>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El207</t>
  </si>
  <si>
    <t>En cas d'absence de critère qualité de service, justifier pourquoi</t>
  </si>
  <si>
    <t>ElTT451</t>
  </si>
  <si>
    <t>07.2 Pénalités</t>
  </si>
  <si>
    <t>El208</t>
  </si>
  <si>
    <t>Non, Absence de pénalités pour non respect de la GTI/GTR</t>
  </si>
  <si>
    <t>Le marché prévoit-il dans le cadre du SAV des pénalités pour non respect de la GTI/GTR (Garantie en Temps d'Intervention/Garantie en Temps de Rétablissement)?</t>
  </si>
  <si>
    <t>Oui, le marché prévoit des pénalités pour non respect de la GTI/GTR;Non, Absence de pénalités pour non respect de la GTI/GTR</t>
  </si>
  <si>
    <t>El209</t>
  </si>
  <si>
    <t>Si oui, renseigner le tableau d'allotissement</t>
  </si>
  <si>
    <t>El210</t>
  </si>
  <si>
    <t>Oui, Pénalités relatives à la clause d'insertion prévues au marché</t>
  </si>
  <si>
    <t>Existe-il des pénalités de défaut de mise en œuvre de la clause d'insertion</t>
  </si>
  <si>
    <t xml:space="preserve">Oui, Pénalités relatives à la clause d'insertion prévues au marché; Non, Absence de pénalités relatives à la  clause d'insertion </t>
  </si>
  <si>
    <t>El211</t>
  </si>
  <si>
    <t>Oui, les pénalités relatives à la clause d'insertion prévues au marché correspondent au standard</t>
  </si>
  <si>
    <t>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t>
  </si>
  <si>
    <t>Oui, les pénalités relatives à la clause d'insertion prévues au marché correspondent au standard; Non, une ou plusieurs pénalités relatives à la  clause d'insertion sont dérogatoiures</t>
  </si>
  <si>
    <t>El213</t>
  </si>
  <si>
    <t xml:space="preserve">Si non, préciser le montant de chaque pénalité applicable ? </t>
  </si>
  <si>
    <t>El401</t>
  </si>
  <si>
    <t>Non, absence de pénalités pour non respect du délai de réparation</t>
  </si>
  <si>
    <t>Le marché prévoit-il dans le cadre de la maintenance des pénalités pour non respect du délai de réparation ?</t>
  </si>
  <si>
    <t>Oui, le marché prévoit des pénalités pour non respect du délai de réparation;Non, absence de pénalités pour non respect du délai de réparation</t>
  </si>
  <si>
    <t>El402</t>
  </si>
  <si>
    <t>Le cas échéant, quel est le montant par lot ?</t>
  </si>
  <si>
    <t>Annexe Allotissement</t>
  </si>
  <si>
    <t>El199</t>
  </si>
  <si>
    <t>Préciser la formule de pénalités de retard de livraison/d'exécution ou d'indisponibilité</t>
  </si>
  <si>
    <t>Champ libre ou annexe</t>
  </si>
  <si>
    <t>El199b</t>
  </si>
  <si>
    <t>30% du bon de commande HT</t>
  </si>
  <si>
    <t>Le plafond des pénalités est-il conforme au standard établi?</t>
  </si>
  <si>
    <t>Oui, le plafond des pénalités est conforme au standard établi;Non, le plafond des pénalités est dérogatoire au standard établi</t>
  </si>
  <si>
    <t>El199c</t>
  </si>
  <si>
    <t>En cas de plafond de pénaité dérogatoire au standard, préciser le pourcentage du bon de commande ou le montant du plafond</t>
  </si>
  <si>
    <t>ElTT452</t>
  </si>
  <si>
    <t>07.3 Performance de l'offre</t>
  </si>
  <si>
    <t>El200</t>
  </si>
  <si>
    <t>Non, absence de clause de performance</t>
  </si>
  <si>
    <t>Une clause de performance est-elle prévue ?</t>
  </si>
  <si>
    <t>Oui, Existence d'une clause de performance;Non, absence de clause de performance</t>
  </si>
  <si>
    <t>ElT453</t>
  </si>
  <si>
    <t xml:space="preserve">08.0  CONFORMITE - Protection des données personnelles </t>
  </si>
  <si>
    <t>El263</t>
  </si>
  <si>
    <t>Non, les données personnelles n'ont pas vocation à transiter/intgérer le SI de l'UGAP</t>
  </si>
  <si>
    <r>
      <t xml:space="preserve">Les données personnelles des utilisateurs finaux (distincts de l’interlocuteur client en charge de la passation de la commande) de la prestation/du produit ont-elles vocation à transiter / intégrer le système d’information de l’UGAP ? 
</t>
    </r>
    <r>
      <rPr>
        <i/>
        <sz val="12"/>
        <color theme="1"/>
        <rFont val="Calibri"/>
        <family val="2"/>
        <scheme val="minor"/>
      </rPr>
      <t xml:space="preserve">Exemple : données des patients (nom – prénom, notamment) sur les factures générées dans le cadre d’offres médicales – données des stagiaires (nom – prénom, notamment) sur les factures générées dans le cadre de l’offre formation professionnelle </t>
    </r>
  </si>
  <si>
    <t>Oui, les données personnelles ont vocation à transiter/intégrer le SI de l'UGAP; Non, les données personnelles n'ont pas vocation à transiter/intgérer le SI de l'UGAP</t>
  </si>
  <si>
    <t>El264</t>
  </si>
  <si>
    <t>Si oui, contacter dès à présent le chargé de mission NTIC et le DPD afin de pouvoir apporter les justifications nécessaires</t>
  </si>
  <si>
    <t>El490</t>
  </si>
  <si>
    <t>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t>
  </si>
  <si>
    <t>Oui, le traitement des données personnelles concernent des données sensibles, personnes vulnérables, à usage innovant…; Non, le traitement des données personnelles ne concernent pas les données sensibles, personnes vulnérables, à usage innovant</t>
  </si>
  <si>
    <t>El265</t>
  </si>
  <si>
    <t>Non, absence d'analyse d'impact par le RGPD</t>
  </si>
  <si>
    <t>Si oui, une analyse d'impact au sens RGPD doit-elle être mise en œuvre après échanges avec le chargé de mission NTIC et le DPD ?</t>
  </si>
  <si>
    <t>Oui, une analyse d’impact relative à la protection des données est requise par le RGPD;Non, absence d'analyse d'impact par le RGPD</t>
  </si>
  <si>
    <t>ElT491</t>
  </si>
  <si>
    <t>09.0 DROITS DE PROPRIETE INTELECTUELLE</t>
  </si>
  <si>
    <t>El266</t>
  </si>
  <si>
    <t>Oui, logiciels concédés prévus</t>
  </si>
  <si>
    <t>Est-il prévu des logiciels dans les éléments cédés ou concédés ?</t>
  </si>
  <si>
    <t>Non, Pas de logiciels prévus dans les éléments concédés ou cédés; Oui, logiciesl cédés prévus; Oui, logiciels concédés prévus</t>
  </si>
  <si>
    <t>El268</t>
  </si>
  <si>
    <t>Dans un délai de 7 jours</t>
  </si>
  <si>
    <t>Si oui, à compter de quel délai le titulaire s'engage à communiquer au bénéficiaire le droit d'utilisation des logiciels concédés ? 
(si délai autre que le choix sur liste, saisir directement le délai dans la réponse)</t>
  </si>
  <si>
    <t>ElT454</t>
  </si>
  <si>
    <t>10.0  PRIX</t>
  </si>
  <si>
    <t>ElTT455</t>
  </si>
  <si>
    <t>10.1 Forme des prix et composition des prix</t>
  </si>
  <si>
    <t>El307</t>
  </si>
  <si>
    <t>Unitaire</t>
  </si>
  <si>
    <t>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t>
  </si>
  <si>
    <t>Unitaire;Forfaitaire;Mixte</t>
  </si>
  <si>
    <t>El308</t>
  </si>
  <si>
    <t>Préciser les modalités particulières de prix applicables</t>
  </si>
  <si>
    <t>Référence forfaitaire petite commande;Minima de commande;Politique de remise (ex remise sur tarif public);Barème dégressif en fonction des quantités;Conditions de livraison;surcoût (îles littorales)</t>
  </si>
  <si>
    <t>El309</t>
  </si>
  <si>
    <t>El310</t>
  </si>
  <si>
    <t>El308b</t>
  </si>
  <si>
    <t>Franco France Métropolitaine</t>
  </si>
  <si>
    <t>Quels sont les prix applicables?</t>
  </si>
  <si>
    <t>Franco France Métropolitaine;FEC (Entrepôt UGAP); Départ Usine;Franco France Continentale</t>
  </si>
  <si>
    <t>El308c</t>
  </si>
  <si>
    <t>Si FFM, quels sont les lots concernés</t>
  </si>
  <si>
    <t>El308d</t>
  </si>
  <si>
    <t>Si FFC, quels sont les lots concernés</t>
  </si>
  <si>
    <t>El308e</t>
  </si>
  <si>
    <t>Si DU, quels sont les lots concernés</t>
  </si>
  <si>
    <t>El308f</t>
  </si>
  <si>
    <t>Si FEC, quels sont les lots concernés</t>
  </si>
  <si>
    <t>El308g</t>
  </si>
  <si>
    <t>Si DU, le prix des modalités DU correspond-il à un % de minoration</t>
  </si>
  <si>
    <t>Oui, il correspond à un pourcentage de minoration;Non, il ne correspond pas à un pourcentage de minoration</t>
  </si>
  <si>
    <t>El308h</t>
  </si>
  <si>
    <t>Si  FEC, le prix des modalités FEC correspond-il à un % de minoration</t>
  </si>
  <si>
    <t>El220</t>
  </si>
  <si>
    <t>Non, Absence de surcoût outre-mer</t>
  </si>
  <si>
    <t>S'il existe un surcoût, préciser lequel</t>
  </si>
  <si>
    <t>Oui, surcoût outre-mer ;Non, Absence de surcoût outre-mer</t>
  </si>
  <si>
    <t>El221</t>
  </si>
  <si>
    <t>Si surcoût outre-mer, préciser si celui comprend des éléments supplémentaires à tropicalisation, emballage, étiquetage spécifique pour l'envoi du matériel/produit, frais afférents à la préparation technique et administrative des matériels/produits</t>
  </si>
  <si>
    <t>El222</t>
  </si>
  <si>
    <t xml:space="preserve">De quelle façon s'exprime le surcoût étranger ? </t>
  </si>
  <si>
    <t>sur devis; en pourcentage</t>
  </si>
  <si>
    <t>El223</t>
  </si>
  <si>
    <t>Oui, taxes spécifiques applicables</t>
  </si>
  <si>
    <t>L'offre comprend-elle des taxes spécifiques (TVA différente de 20%, éco contribution, taxe parafiscale…)</t>
  </si>
  <si>
    <t>Oui, taxes spécifiques applicables;Non, absence de taxes spécifiques applicables</t>
  </si>
  <si>
    <t>El224a</t>
  </si>
  <si>
    <t>Prestation locale hors France Métropolitaine (TVA 0%);Prestation locale hors France Métropolitaine (TVA 8,5%) ;Prestation locale DROM/COM (TVA Achat 20%_Vente 8,5%)</t>
  </si>
  <si>
    <t>Si oui préciser si elles sont liées à des prestations locales</t>
  </si>
  <si>
    <t>Prestation locale hors France Métropolitaine (TVA 0%);Prestation locale hors France Métropolitaine (TVA 8,5%);Prestation locale DROM/COM (TVA Achat 20%_Vente 8,5%)</t>
  </si>
  <si>
    <t>El224b</t>
  </si>
  <si>
    <t>Si oui préciser si elles concernent l'immatriculation de véhicules</t>
  </si>
  <si>
    <t>Oui, elles concernent l'immatriculation de véhicules;Non, elles ne concernent pas l'immatriculation de véhicules</t>
  </si>
  <si>
    <t>El224c</t>
  </si>
  <si>
    <t>Si oui préciser si elles concernent les frais de transport</t>
  </si>
  <si>
    <t>Frais de transport, pour les livraisons hors France Métropolitaine (TVA 0%);Frais de transport, pour les livraisons hors France Métropolitaine (TVA 8,5%);Frais de transport, pour les livraisons hors France Métropolitaine (TVA 20%)</t>
  </si>
  <si>
    <t>El224d</t>
  </si>
  <si>
    <t>Si oui préciser si elles concernent l'assurance livraison</t>
  </si>
  <si>
    <t>Oui, Assurance pour les livraisons hors France Métropolitaine (TVA 0%);Non, Absence d'assurance pour la livraison</t>
  </si>
  <si>
    <t>ElTTT455</t>
  </si>
  <si>
    <t>10.1.1 - Remise</t>
  </si>
  <si>
    <t>El311</t>
  </si>
  <si>
    <t>Oui, remise sur catalogue exigée</t>
  </si>
  <si>
    <t>Est-il demandé aux candidats une remise sur catalogue ?</t>
  </si>
  <si>
    <t>Oui, remise sur catalogue exigée;Non, absence de remsie sur catalogue</t>
  </si>
  <si>
    <t>El312</t>
  </si>
  <si>
    <t xml:space="preserve">Si oui, préciser sur quoi porte cette remise </t>
  </si>
  <si>
    <t>Pièces détachées;Matériels figurant en annexe à l'AE</t>
  </si>
  <si>
    <t>ElTTT456</t>
  </si>
  <si>
    <t xml:space="preserve">10.1.2 Frais </t>
  </si>
  <si>
    <t>El313</t>
  </si>
  <si>
    <t>Oui, les frais couvrent l'hébergement, le transport et la restauration</t>
  </si>
  <si>
    <t xml:space="preserve">Les prix couvrent-ils les frais d'hébergement, de transport et de restauration en lien avec les prestations ? </t>
  </si>
  <si>
    <t>Oui, les frais couvrent l'hébergement, le transport et la restauration; Non, les frais ne couvrent pas l'hébergement, le transport et la restauration</t>
  </si>
  <si>
    <t>El314</t>
  </si>
  <si>
    <t>Inclus dans les prix</t>
  </si>
  <si>
    <t xml:space="preserve">Si oui, préciser </t>
  </si>
  <si>
    <t>Sur devis;Inclus dans les prix</t>
  </si>
  <si>
    <t>El313b</t>
  </si>
  <si>
    <t>Non, absence de frais de modification ou relivraison</t>
  </si>
  <si>
    <t xml:space="preserve">Y'a-t-il des frais de modification ou relivraison  ? </t>
  </si>
  <si>
    <t>Oui, frais de modification ou relivraisons prévus; Non, absence de frais de modification ou relivraison</t>
  </si>
  <si>
    <t>ElTTT457</t>
  </si>
  <si>
    <t xml:space="preserve">10.1.3  Support d'enregistrement </t>
  </si>
  <si>
    <t>El315</t>
  </si>
  <si>
    <t>Oui, l'offre prévoit des supports d'enregistrement</t>
  </si>
  <si>
    <t>L'offre prévoit-elle des supports d'enregistrement (cles USB, disques durs, CD, …)?</t>
  </si>
  <si>
    <t>Oui, l'offre prévoit des supports d'enregistrement;Non, l'offre ne prévoit pas de supports d'enregistrement</t>
  </si>
  <si>
    <t>El315b</t>
  </si>
  <si>
    <t>Non, absence de rémunération pour copie privée</t>
  </si>
  <si>
    <t xml:space="preserve">Si oui, une rémunération pour copie privée est-elle prévue ? </t>
  </si>
  <si>
    <t>Oui, une rémunération pour copie privée est prévue; Non, absence de rémunération pour copie privée</t>
  </si>
  <si>
    <t>ElTT458</t>
  </si>
  <si>
    <t>10.2 - Variation des prix ou taux de remise</t>
  </si>
  <si>
    <t>El316</t>
  </si>
  <si>
    <t>Révisable</t>
  </si>
  <si>
    <t>Quelles sont les modalités de variation des prix   ?</t>
  </si>
  <si>
    <t>Prix fermes;Prix révisables sur tarif public à la date d'anniversaire;Prix révisables sur tarif public à tout moment;Prix révisables sur tarif public à date fixe;Prix révisables sur indice;Taux de remise sur tarif public;Autre</t>
  </si>
  <si>
    <t>El316a</t>
  </si>
  <si>
    <t>Préciser le périmètre concerné par l'actualisation des prix fermes</t>
  </si>
  <si>
    <t>des matériels;des prestations annexes;des prestations de maintenance;des modulations de garantie</t>
  </si>
  <si>
    <t>El403</t>
  </si>
  <si>
    <t>Si révision sur indice, préciser les modalités de variation par lot</t>
  </si>
  <si>
    <t>Annexe 10-Révision des prix sur indice</t>
  </si>
  <si>
    <t>El506</t>
  </si>
  <si>
    <t>Si révision sur tarif public à tout moment, préciser les lots</t>
  </si>
  <si>
    <t>El506a</t>
  </si>
  <si>
    <t>Préciser le périmètre concerné par la révision sur tarif public à tout moment</t>
  </si>
  <si>
    <t>El506b</t>
  </si>
  <si>
    <t>Si révision sur tarif public à tout moment, date de départ de la première période de révision, à la baisse uniquement, pour une durée de 6 mois</t>
  </si>
  <si>
    <t>date de notification du présent contrat;date de départ de la durée initiale du contrat figurant dans l’ordre de service</t>
  </si>
  <si>
    <t>El506c</t>
  </si>
  <si>
    <t>Si révision sur tarif public à tout moment, préciser le rythme de révision après la première période de 6 mois</t>
  </si>
  <si>
    <t>six (6) mois glissants;douze (12) mois glissants;Autre rythme de révision</t>
  </si>
  <si>
    <t>El506d</t>
  </si>
  <si>
    <t xml:space="preserve">Si autre de ryhtme de révision sur tarif public à tout moment, préciser </t>
  </si>
  <si>
    <t>El506e</t>
  </si>
  <si>
    <t>Date d'entrée en vigueur du nouveau prix sur tarif public</t>
  </si>
  <si>
    <t>date acceptée ou fixée par l’UGAP dans le courrier adressé au titulaire;trente (30) jours calendaires à compter de la validation de l’UGAP</t>
  </si>
  <si>
    <t>El510</t>
  </si>
  <si>
    <t>Si révision sur tarif public à date fixe ou anniversaire, préciser les lot</t>
  </si>
  <si>
    <t>El510a</t>
  </si>
  <si>
    <t>Préciser le périmètre concerné par la révision sur tarif public à date fixe ou anniversaire</t>
  </si>
  <si>
    <t>El510b</t>
  </si>
  <si>
    <t>Si révision sur tarif public à date fixe ou anniversaire, préciser la date de révision</t>
  </si>
  <si>
    <t>le 1er avril;le 1er septembre;le 1er février;Autre date</t>
  </si>
  <si>
    <t>El510c</t>
  </si>
  <si>
    <t>Si révision sur tarif public à date fixe ou anniversaire à une autre date, préciser</t>
  </si>
  <si>
    <t>jour mois</t>
  </si>
  <si>
    <t>El510d</t>
  </si>
  <si>
    <t>Les prix figurant au tarif public du titulaire, objet du présent marché sont révisables à date fixe ou anniversaire, à l'exception du prix suivant</t>
  </si>
  <si>
    <t>la date de notification;la date de départ de la durée initiale du marché</t>
  </si>
  <si>
    <t>El510e</t>
  </si>
  <si>
    <t>Date butoir de communication de son nouveau tarif à l'UGAP par le titulaire</t>
  </si>
  <si>
    <t>Date</t>
  </si>
  <si>
    <t>El510f</t>
  </si>
  <si>
    <t>Si autre date butoir, préciser</t>
  </si>
  <si>
    <t>El317</t>
  </si>
  <si>
    <t>Le taux de remise peut-il varier?</t>
  </si>
  <si>
    <t>Oui, le taux de remise peut varier;Non,le taux de remise est ferme</t>
  </si>
  <si>
    <t>El317a</t>
  </si>
  <si>
    <t>Le surcoût outer-mer peut-il varier?</t>
  </si>
  <si>
    <t>Oui, le surcoût outer-mer peut varier;Non,le surcoût outer-mer est ferme</t>
  </si>
  <si>
    <t>El318</t>
  </si>
  <si>
    <t xml:space="preserve">Si le taux de remise peut varier, préciser les modalités de variation du taux dans le cadre de la mise en œuvre de la formule de révision des prix ou des offres promotionnelles </t>
  </si>
  <si>
    <t>Variation taux de remise à la hausse ou à la baisse dans la limite du taux minimum indiqué en annexe à l’acte d’engagement;Variation taux de remise dans le cadre de la mise en œuvre de la révision des prix à date fixe ou des offres promotionnelles</t>
  </si>
  <si>
    <t>El318a</t>
  </si>
  <si>
    <t>Ces modalités particulières s'appliquent-elles à l'ensemble des lots ?</t>
  </si>
  <si>
    <t>Oui, modalités applicables à l'ensemble des lots;Non, modalités différentes en fonction des lots</t>
  </si>
  <si>
    <t>El319</t>
  </si>
  <si>
    <t>ElTTT459</t>
  </si>
  <si>
    <t>10.2.1  Clause de première révision des prix</t>
  </si>
  <si>
    <t>El320</t>
  </si>
  <si>
    <t>Oui, Existence d'une première clause de 1ère révision des prix</t>
  </si>
  <si>
    <t>Existe-il une première clause de 1ère révision des prix</t>
  </si>
  <si>
    <t>Oui, Existence d'une première clause de 1ère révision des prix;Non,absence d'une première clause de 1ère révision des prix</t>
  </si>
  <si>
    <t>El321</t>
  </si>
  <si>
    <t>Sur tarif public</t>
  </si>
  <si>
    <t>Si oui, laquelle est la première révision des prix</t>
  </si>
  <si>
    <t>Première révision classique;Par seuil de déclenchement;Sur indices;Sur tarif public</t>
  </si>
  <si>
    <t>El322</t>
  </si>
  <si>
    <t>Si révision sur indice, préciser la formule de révision applicable</t>
  </si>
  <si>
    <t>ElTTT460</t>
  </si>
  <si>
    <t>10.2.2 Ecocontribution</t>
  </si>
  <si>
    <t>El223d</t>
  </si>
  <si>
    <t>Existance d'une écocontribution / Multi contributions pour un même produit</t>
  </si>
  <si>
    <t>Oui, existence d'écocontribution; Oui, existence d'une multi écocontribution ;Non, absence d'écocontribution</t>
  </si>
  <si>
    <t>El187</t>
  </si>
  <si>
    <t>Oui, affichage de l'écocontribution systématisé</t>
  </si>
  <si>
    <t>Si oui, l'affichage de l'écocontribution est-il sytématisé ?</t>
  </si>
  <si>
    <t>Oui, affichage de l'écocontribution systématisé; Non, absence d'affichage de l'écocontribution</t>
  </si>
  <si>
    <t>El223e</t>
  </si>
  <si>
    <t xml:space="preserve">Si oui, quel(s) sont / est le(s) lot(s) concerné(s) ? </t>
  </si>
  <si>
    <t>Numéros de lot</t>
  </si>
  <si>
    <t>El324</t>
  </si>
  <si>
    <t>Oui, variation de l'écocontribution</t>
  </si>
  <si>
    <t xml:space="preserve">Si oui, Y-a-t'il une variation de l'écocontribution ? </t>
  </si>
  <si>
    <t>Oui, variation de l'écocontribution; Non, absence de variation de l'écocontribution</t>
  </si>
  <si>
    <t>ElTTT461</t>
  </si>
  <si>
    <t>10.2.3 Clause de sauvegarde</t>
  </si>
  <si>
    <t>El325</t>
  </si>
  <si>
    <t>Oui, application d'une clause de sauvegarde</t>
  </si>
  <si>
    <t>Une clause de sauvegarde est-elle prévue ?</t>
  </si>
  <si>
    <t>Oui, application d'une clause de sauvegarde;Non,absence de clause de sauvegarde</t>
  </si>
  <si>
    <t>El326</t>
  </si>
  <si>
    <t>Oui, le pourcentage est conforme au standard de 3%</t>
  </si>
  <si>
    <t>Si oui, le pourcentage est-il conforme au standard ?</t>
  </si>
  <si>
    <t>Oui, le pourcentage est conforme au standard de 3%; Non, le pourcentage est dérogatoire au standard</t>
  </si>
  <si>
    <t>El326b</t>
  </si>
  <si>
    <t>Si le pourcentage est dérogatoire, préciser la valeur ?</t>
  </si>
  <si>
    <t>El327</t>
  </si>
  <si>
    <t>Dernier prix révisé;Dernier indice révisé</t>
  </si>
  <si>
    <t>Si oui, quelle est la base de calcul de la clause de sauvegarde</t>
  </si>
  <si>
    <t>Prix initial;Dernier prix révisé;indice inital;dernier indice révisé</t>
  </si>
  <si>
    <t>El328</t>
  </si>
  <si>
    <t>12 mois</t>
  </si>
  <si>
    <t>Si oui, préciser la période de calcul (X mois / X périodes successives / Autre)</t>
  </si>
  <si>
    <t>X mois / X périodes successives / Autre</t>
  </si>
  <si>
    <t>El328b</t>
  </si>
  <si>
    <t>ElT462</t>
  </si>
  <si>
    <t>11.0 MODALITES D'EXECUTION</t>
  </si>
  <si>
    <t>ElTT463</t>
  </si>
  <si>
    <t>11.1 Distribution sur stock et transport (Offre de produits exécutés)</t>
  </si>
  <si>
    <t>El164a</t>
  </si>
  <si>
    <t>ce chapitre est non applicable</t>
  </si>
  <si>
    <t>El164</t>
  </si>
  <si>
    <t>Les produits sont-ils soumis à une réglementation spécifique de stockage (autorisations=, ICPE, produit inflammable…)</t>
  </si>
  <si>
    <t>Oui, les produits sont soumis à une réglementation spécifique de stockage;Non, les produits ne sont pas soumis à une réglementation spécifique</t>
  </si>
  <si>
    <t>El165</t>
  </si>
  <si>
    <t xml:space="preserve">Si oui, laquelle </t>
  </si>
  <si>
    <t>El166</t>
  </si>
  <si>
    <t>Quels sont les conditionnements envisagés (cartons, palettes…)</t>
  </si>
  <si>
    <t>El167</t>
  </si>
  <si>
    <t>Pour les emballages à qui appartiennent-ils ?</t>
  </si>
  <si>
    <t>Bénéficiaire;Titulaire</t>
  </si>
  <si>
    <t>El168</t>
  </si>
  <si>
    <t>Une distribution stock est-elle prévue pour tout ou partie ?</t>
  </si>
  <si>
    <t>Oui, distribution sur stock prévue;Non, absence de distribution sur stock</t>
  </si>
  <si>
    <t>El169</t>
  </si>
  <si>
    <t>Si oui, préciser les modalités de stockage</t>
  </si>
  <si>
    <t>Stockage UGAP chez le titulaire (déporté vente);Stockage UGAP au profit du titulaire (consignation);Stockage Intermédiaire;Stockage en plateforme externalisée;Stock de consignation</t>
  </si>
  <si>
    <t>El170</t>
  </si>
  <si>
    <t>Précisions, le cas échéant</t>
  </si>
  <si>
    <t>El171</t>
  </si>
  <si>
    <t>Préciser les modalités de transport utilisées et les services associés (tracking, garantie..)</t>
  </si>
  <si>
    <t>El174</t>
  </si>
  <si>
    <t>Est-il prévu de mettre à disposition sur ugap.fr l'affichage du stock disponible ?</t>
  </si>
  <si>
    <t>Oui, affichage du stock sur Ugap.fr;Non, absence d'affichage du stock sur Ugap.fr</t>
  </si>
  <si>
    <t>El270</t>
  </si>
  <si>
    <t>L'offre antérieure affiche-t'elle un stock fournisseur  ?</t>
  </si>
  <si>
    <t>Oui, l'offre antérieure affiche un stock fournisseur;Non, l'offre antérieure n'affiche pas de stock fournisseur</t>
  </si>
  <si>
    <t>El271</t>
  </si>
  <si>
    <t xml:space="preserve">Si oui, préciser à la charge de qui </t>
  </si>
  <si>
    <t xml:space="preserve">Client;Fournisseur (Web service) ;UGAP
</t>
  </si>
  <si>
    <t>El271b</t>
  </si>
  <si>
    <t>Une clause de stockage est-elle a intégrer dans le CCAP ?</t>
  </si>
  <si>
    <t>Oui, clause de stockage à intégrer dans le CCAP; Non, absence de clause de stockage</t>
  </si>
  <si>
    <t>El271c</t>
  </si>
  <si>
    <t>Si oui, quelle clause est applicable</t>
  </si>
  <si>
    <t>Stock Savigny le Temple;Stock déporté chez le fournisseur;Stock en plateforme externalisée (La Poste) ;Possibilité de faire du stock de consignation chez le fournisseur</t>
  </si>
  <si>
    <t>ElTT464</t>
  </si>
  <si>
    <t>11.2 Conditions d'achat</t>
  </si>
  <si>
    <t>El172</t>
  </si>
  <si>
    <t>Quelles sont les conditions d'achat applicables ?</t>
  </si>
  <si>
    <t>Franco France Métropolitaine;FEC (Entrepôt UGAP);Départ Usine;Franco France Continentale</t>
  </si>
  <si>
    <t>El172b</t>
  </si>
  <si>
    <t>Champs libre</t>
  </si>
  <si>
    <t>El172c</t>
  </si>
  <si>
    <t>El172d</t>
  </si>
  <si>
    <t>El172e</t>
  </si>
  <si>
    <t>ElTT465</t>
  </si>
  <si>
    <t>11.3 Modalités de livraison</t>
  </si>
  <si>
    <t>El173</t>
  </si>
  <si>
    <t>Quelles sont les modalités de livraison (hors France métropolitaine)</t>
  </si>
  <si>
    <t>Chez le transitaire du bénéficiaire en France Métropolitaine;Sur le site du bénéficiaire avec prise en charge des frais d'emballage de transport et de dédouanement</t>
  </si>
  <si>
    <t>El173b</t>
  </si>
  <si>
    <t>Livraison Tête de série?</t>
  </si>
  <si>
    <t>Oui, livraison tête de série;Non, absence de livraison tête de série</t>
  </si>
  <si>
    <t>ElTT466</t>
  </si>
  <si>
    <t>11.4 Délais</t>
  </si>
  <si>
    <t>El330</t>
  </si>
  <si>
    <t>Non, offre non concernée par les délais courts/réduits</t>
  </si>
  <si>
    <t>L'offre est-elle concernée par des délais courts/ délai réduit (stock savigny le temple ou stock plateforme externalisée - Ugap Pack service plus)</t>
  </si>
  <si>
    <t>Oui, Offre concernée par les délais courts/délai réduits; Non, offre non concernée par les délais courts/réduits</t>
  </si>
  <si>
    <t>El330b</t>
  </si>
  <si>
    <t>Préciser les délais maximum de livraison / d'intervention / d'exécution attendu pour chaque lot</t>
  </si>
  <si>
    <t>El331</t>
  </si>
  <si>
    <t>Si oui, préciser le / les délais maximum par lots/produits concernés concernés</t>
  </si>
  <si>
    <t>El332</t>
  </si>
  <si>
    <t>Non, aucune période de neutralisation</t>
  </si>
  <si>
    <t>Une période de neutralisation des prestations (hors SAV) est-elle à prévoir ?</t>
  </si>
  <si>
    <t>Non, aucune période de neutralisation; Période de congés;Changement de modèle;impact industriel lourd;Autre</t>
  </si>
  <si>
    <t>El332b</t>
  </si>
  <si>
    <t>Quelle est sa durée maximale et le délai de prévenance ?</t>
  </si>
  <si>
    <t>Durée maximale de 40 jours et délai de prévenance de 6 mois;Autre</t>
  </si>
  <si>
    <t>El332c</t>
  </si>
  <si>
    <t>Si autre, préciser la durée maximale et le délai de prévenance</t>
  </si>
  <si>
    <t>ElTT467</t>
  </si>
  <si>
    <t>11.5 Modalités particulières d'exécution</t>
  </si>
  <si>
    <t>El342</t>
  </si>
  <si>
    <t>Oui, exécution des prestations iles littorales et/ou DROM-COM</t>
  </si>
  <si>
    <t>Exécution des prestations Iles littorales et/ou DROM – COM (offres de produits)</t>
  </si>
  <si>
    <t>Oui, exécution des prestations iles littorales et/ou DROM-COM; Non, absence d'exécution des prestations iles littorales et/ou DROM-COM</t>
  </si>
  <si>
    <t>El343</t>
  </si>
  <si>
    <t>Si oui, préciser si un traitement particulier doit être mis en place sur les iles littorales (mise en œuvre de la garantie contractuelle, prestations associées de base, recette technique le cas échéant, prestations associées optionnelles, autres...</t>
  </si>
  <si>
    <t>Les îles littorales :
o	Garantie contractuelle,
o	Prestations incluses dans le prix du matériel de base,
o	Prestations annexes non incluses dans le prix du matériel de base.</t>
  </si>
  <si>
    <t>El343b</t>
  </si>
  <si>
    <t>Si oui, préciser si un traitement particulier doit être mis en place sur les DROM-COM (mise en œuvre de la garantie contractuelle, prestations associées de base, recette technique le cas échéant, prestations associées optionnelles, autres...</t>
  </si>
  <si>
    <t>DROM-COM : Garantie contractuelle;DROM-COM : Prestations incluses dans le prix du matériel de base;DROM-COM : Prestations annexes non incluses dans le prix du matériel de base.</t>
  </si>
  <si>
    <t>El344</t>
  </si>
  <si>
    <t>Oui, reprise de matériel</t>
  </si>
  <si>
    <t>Retour du matériel (offres de produits)</t>
  </si>
  <si>
    <t>Oui, reprise de matériel;Non, absence de reprise de matériel</t>
  </si>
  <si>
    <t>El345</t>
  </si>
  <si>
    <t>Si oui, détailler les modalités de retour de produit par typologie</t>
  </si>
  <si>
    <t>El346</t>
  </si>
  <si>
    <t>Oui, modalités particulières d'exécution</t>
  </si>
  <si>
    <t>Autres modalités particulières d’exécution (toute offre)</t>
  </si>
  <si>
    <t>Oui, modalités particulières d'exécution; Non, absence de modalités particulières d'exécution</t>
  </si>
  <si>
    <t>El347</t>
  </si>
  <si>
    <t>Si oui, préciser lesquelles et par qui (client / Fournisseur / UGAP)</t>
  </si>
  <si>
    <t>ElTT468</t>
  </si>
  <si>
    <t>11.6 Politiques publiques</t>
  </si>
  <si>
    <t>El258</t>
  </si>
  <si>
    <t>Oui, une considération environnementale est intégrée à chaque lot</t>
  </si>
  <si>
    <t>Une considération environnementale est-elle intégrée à chaque lot ?</t>
  </si>
  <si>
    <t>Oui, une considération environnementale est intégrée à chaque lot ; Non, Tout ou partie des lots n'intègre pas de considération environnementale</t>
  </si>
  <si>
    <t>El258b</t>
  </si>
  <si>
    <t>Préciser par lot la considération environnementale applicable (spécification technique, condition d'exécution et critère environnemental)</t>
  </si>
  <si>
    <t>El258c</t>
  </si>
  <si>
    <t>L'offre inclut-elle des exigences en matière d'impact environnemental du transport?</t>
  </si>
  <si>
    <t>Oui, l'offre inclut des exigences en matière d'impact environnemental du transport;Oui, l'offre n'inclut pas d'exigences en matière d'impact environnemental du transport</t>
  </si>
  <si>
    <t>El258d</t>
  </si>
  <si>
    <t>L'offre prévoit-elle un plan de progrès décarbonation du transport?</t>
  </si>
  <si>
    <t>Oui, l'offre prévoit un plan de progrès décarbonation du transport;Non, l'offre ne prévoit pas de plan de progrès décarbonation du transport</t>
  </si>
  <si>
    <t>El259</t>
  </si>
  <si>
    <t>L'offre est-elle concernée par une ou plusieurs REP (Responsabilité Elargie des Producteurs) ?</t>
  </si>
  <si>
    <t>Tout ou partie des lots sont concernés par une ou plusieurs REP ; Aucun lot n'est concerné par une REP</t>
  </si>
  <si>
    <t>El260</t>
  </si>
  <si>
    <t>Si tout ou partie des lots concernés, préciser lesquels</t>
  </si>
  <si>
    <t>El496</t>
  </si>
  <si>
    <t>L'offre est-elle concernée par de la reprise 1 pour 1</t>
  </si>
  <si>
    <t>Tout ou partie des lots sont concernés par de la reprise 1 pour 1; Aucun lot n'est concerné par de la reprise 1 pour 1</t>
  </si>
  <si>
    <t>El497</t>
  </si>
  <si>
    <t>El260a</t>
  </si>
  <si>
    <t>Oui, l'offre/les lots intègre(nt) des produits issus du réemploi/réutilisation</t>
  </si>
  <si>
    <t>Les produits issus du réemploi/réutilisation sont-ils intégrés dans l'offre (exemple : architecture lot dédié, facultatif libre ...)?</t>
  </si>
  <si>
    <t xml:space="preserve">Oui, l'offre intègre des produits issus du réemploi/réutilisation; Non, l'offre n'intègre pas des produits issus du réemploi/réutilisation </t>
  </si>
  <si>
    <t>El499</t>
  </si>
  <si>
    <t>El260b</t>
  </si>
  <si>
    <t>Oui, l'offre/les lots prévoi(en)t pour le titulaire l'obligation de remettre pendant l'exécution du marché ces informations</t>
  </si>
  <si>
    <t>Une obligation imposant aux fournisseurs de remettre pendant l'exécution du marché l'information sur l'intégration de matière recyclée dans les produits est-elle bien intégrée pour les lots le nécessitant (produits textiles, consommables d'impression, papier, engins de transports...)?</t>
  </si>
  <si>
    <t>Oui, l'offre prévoit pour le titulaire l'obligation de remettre pendant l'exécution du marché ces informations; Non, l'offre ne prévoit pas la remise de ces informations</t>
  </si>
  <si>
    <t>El260c</t>
  </si>
  <si>
    <t>Oui, une considération sociale est intégrée à minima à chaque lot</t>
  </si>
  <si>
    <t>Une considération sociale est elle intégrée à chaque lot (spécifications sociales, conditions d'exécution, critère social avec questionnaire, ots réservés…)  ?</t>
  </si>
  <si>
    <t xml:space="preserve">Oui, une considération sociale est intégrée à minima à chaque lot ; Non, Tout ou partie des lots n'intègre pas de considération sociale
</t>
  </si>
  <si>
    <t>El260d</t>
  </si>
  <si>
    <t>Si oui, préciser par lot la considération sociale applicable (Spécification technique sociale (dont l'objet du marché), condition d'exécution sociale et critère social)</t>
  </si>
  <si>
    <t>El260i</t>
  </si>
  <si>
    <t>Si  non,préciser les lots concernés par cette clause</t>
  </si>
  <si>
    <t>El260e</t>
  </si>
  <si>
    <t>L'offre comprend elle des lots réservés ?</t>
  </si>
  <si>
    <t>Oui,au moins un lot réservé ; Non, absence de lots réservés</t>
  </si>
  <si>
    <t>El498</t>
  </si>
  <si>
    <t>Si oui, préciser le publics concernés par les lots réservés dans l'annexe tableau allotissement</t>
  </si>
  <si>
    <t>El260f</t>
  </si>
  <si>
    <t>Si oui, préciser le publics concernés par les lots réservés</t>
  </si>
  <si>
    <t>El260g</t>
  </si>
  <si>
    <t>Les lots prévoient-ils une traçabilité sociale des chaines d'approvisionnement ?</t>
  </si>
  <si>
    <t>Oui, traçabilité sociale des chaines d'approvisionnement pour tous les lots des univers concernés ; Non, pas de traçabilité sociale des chaines d'approvisionnement pour tous les lots des univers concernés.</t>
  </si>
  <si>
    <t>El260h</t>
  </si>
  <si>
    <t>Oui, cette clause est intégrée pour chaque lot</t>
  </si>
  <si>
    <t>Une  clause imposant aux fournisseurs de remettre pendant l'exécution du marché l'information sur l'origine des produits est-elle bien intégrée pour chaque lot ?</t>
  </si>
  <si>
    <t>Oui, cette clause est intégrée pour chaque lot ; Non, cette clause n'est pas intégrée pour chaque lot</t>
  </si>
  <si>
    <t>ElTT469</t>
  </si>
  <si>
    <t>11.7 Admission des prestations</t>
  </si>
  <si>
    <t>El336</t>
  </si>
  <si>
    <t xml:space="preserve">Oui, Modalités particulières de vérification/d'admission sont envisagées </t>
  </si>
  <si>
    <t>Des modalités particulières de vérification/d'admission sont-elles envisagées ?</t>
  </si>
  <si>
    <t xml:space="preserve">Oui, Modalités particulières de vérification/d'admission sont envisagées ;Non, absence de modalités particulières de vérification/d'admission </t>
  </si>
  <si>
    <t>El337</t>
  </si>
  <si>
    <t>Si oui, préciser lesquelles (VA/VSR, contrôle qualité, attestation de service fait à produire…) et préciser notamment quelles sont les actions attendues du client</t>
  </si>
  <si>
    <t>El337b</t>
  </si>
  <si>
    <t>Une vérification d'aptitude technique est-elle prévue?</t>
  </si>
  <si>
    <t>Oui, vérification d'aptitude technique;Non, absence de vérification d'aptitude technique</t>
  </si>
  <si>
    <t>El338</t>
  </si>
  <si>
    <t>Pour les offres de produits, la réalisation d'une recette technique réalisée par l'UGAP est-elle envisagée ?</t>
  </si>
  <si>
    <t>Oui, réalisation d'une recette technique;Non, absence de recette technique réalisée par l'UGAP</t>
  </si>
  <si>
    <t>El339b</t>
  </si>
  <si>
    <t>Oui, des documents doivent être fournis par le titulaire au moment de la livraison</t>
  </si>
  <si>
    <t xml:space="preserve">Des documents doivent-ils être fournis par le titulaire au moment de la livraison? (notice, carnet d'entretien, liste des distributeurs/agents et réparateurs agréés) </t>
  </si>
  <si>
    <t>Oui, des documents doivent être fournis par le titulaire au moment de la livraison; Non, absence de documents à fournir</t>
  </si>
  <si>
    <t>El339c</t>
  </si>
  <si>
    <t>Oui, un audit est prévu dans le cadre de l'exécution du marché</t>
  </si>
  <si>
    <t>La possibilité de réalisation d'un audit lors de l'exécution du marché est-il prévu à l'offre?</t>
  </si>
  <si>
    <t>Oui, un audit est prévu au démarrage des prestations; Non, absence d'audit prévu au démarrage des prestations</t>
  </si>
  <si>
    <t>El339d</t>
  </si>
  <si>
    <t>A la livraison</t>
  </si>
  <si>
    <t>Le transfert de propriété au profit du bénéficiaire s'effectue</t>
  </si>
  <si>
    <t>A la livraison;A la mise en service;Au jour de l'admission</t>
  </si>
  <si>
    <t>ElT470</t>
  </si>
  <si>
    <t>12.0 MODALITES D'ANALYSE DES CANDIDATURES ET DES OFFRES</t>
  </si>
  <si>
    <t>ElTT471</t>
  </si>
  <si>
    <t>12.1 - Analyse des candidatures</t>
  </si>
  <si>
    <t>ElTTT472</t>
  </si>
  <si>
    <t>12.1.1 - Forme de la candidature</t>
  </si>
  <si>
    <t>El348</t>
  </si>
  <si>
    <t>Groupement solidaire et conjoint (avec mandataire solidaire)</t>
  </si>
  <si>
    <t>Quelle forme de candidature est-elle acceptée ?</t>
  </si>
  <si>
    <t>Groupement solidaire obligatoire;Groupement solidaire et conjoint (avec mandataire solidaire)</t>
  </si>
  <si>
    <t>El349</t>
  </si>
  <si>
    <t>Si groupement solidaire obligatoire, justifier de ce choix</t>
  </si>
  <si>
    <t>ElTTT473</t>
  </si>
  <si>
    <t>12.1.2 -Capacité financière</t>
  </si>
  <si>
    <t>El350</t>
  </si>
  <si>
    <t>CA global du candidat réalisé au cours des 3 derniers exercices disponibles</t>
  </si>
  <si>
    <t xml:space="preserve">Eléments pris en compte </t>
  </si>
  <si>
    <t xml:space="preserve">CA global du candidat réalisé au cours des 3 derniers exercices disponibles;CA du candidat concernant la fourniture/service objet du marché, réalisé au cours des 3 derniers exercices disponibles </t>
  </si>
  <si>
    <t>El352</t>
  </si>
  <si>
    <t>Chiffres d’affaires minimum en montant</t>
  </si>
  <si>
    <t xml:space="preserve">Modalités de sélection </t>
  </si>
  <si>
    <t>Pas de niveau minimal imposé; Chiffres d’affaires minimum en montant; Ratio financier inférieur ou égal à un pourcentage du CA global du candidat; Ratio financier inférieur ou égal à un pourcentage du CA objet du (des) lot(s) du candidat</t>
  </si>
  <si>
    <t>ElTTT474</t>
  </si>
  <si>
    <t>12.1.3 -Capacité professionnelle et technique</t>
  </si>
  <si>
    <t>El351</t>
  </si>
  <si>
    <t>Effectifs moyens annuels et importance du personnel d’encadrement, pour chacune des 3 dernières années</t>
  </si>
  <si>
    <t>Eléments pris en compte pour l'analyse du critère capacité professionnelles et techniques</t>
  </si>
  <si>
    <t>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t>
  </si>
  <si>
    <t>El353</t>
  </si>
  <si>
    <t>Non, Pas de niveau minimal imposé</t>
  </si>
  <si>
    <t>Un minimum est-il imposé sur ce critère ?</t>
  </si>
  <si>
    <t>Non, Pas de niveau minimal imposé;Oui, Niveau minimal imposé</t>
  </si>
  <si>
    <t>El353b</t>
  </si>
  <si>
    <t>Si oui, apporter la justification</t>
  </si>
  <si>
    <t>ElTTT475</t>
  </si>
  <si>
    <t>12.1.4 -Convenance des prix</t>
  </si>
  <si>
    <t>El356</t>
  </si>
  <si>
    <t>L’analyse de la convenance des prix se fera sur la base du panel articles visé ci-dessus dans la partie « performance de l’offre »</t>
  </si>
  <si>
    <t>Analyse de la convenance des prix</t>
  </si>
  <si>
    <t>L’analyse de la convenance des prix se fera sur la base du panel articles visé ci-dessus dans la partie « performance de l’offre »; L’analyse de la convenance est prévue sur une autre configuration</t>
  </si>
  <si>
    <t>El357</t>
  </si>
  <si>
    <t>Présenter et motiver le choix d'une analyse de la convenance sur une autre configuration</t>
  </si>
  <si>
    <t xml:space="preserve">Texte </t>
  </si>
  <si>
    <t>ElTTT476</t>
  </si>
  <si>
    <t>12.1.5 -Spécimens</t>
  </si>
  <si>
    <t>El358</t>
  </si>
  <si>
    <t>Nécessité de demander des spécimens dans le cadre de l'analyse des offres ?</t>
  </si>
  <si>
    <t>Oui, nécessité de spécimens dans le cadre de l'analyse de l'offre; Non, pas de spécimen demandé</t>
  </si>
  <si>
    <t>El359</t>
  </si>
  <si>
    <t>Si oui, le versement d'une prime est-elle envisagée ?</t>
  </si>
  <si>
    <t>Oui / Non</t>
  </si>
  <si>
    <t>ElTT477</t>
  </si>
  <si>
    <t>12.2 - Analyse des offres</t>
  </si>
  <si>
    <t>El360</t>
  </si>
  <si>
    <t>Quels sont les critères de pondération et pondération applicables</t>
  </si>
  <si>
    <t>Annexe 10 - Analyse Critères</t>
  </si>
  <si>
    <t>Annexe 10 - Analyse critères</t>
  </si>
  <si>
    <t>10 - Analyse Critères</t>
  </si>
  <si>
    <t>ElTT478</t>
  </si>
  <si>
    <t>12.3 - Gain à l'achat</t>
  </si>
  <si>
    <t>El285</t>
  </si>
  <si>
    <t>Oui,Accompagnement nécessaire pour le calcul des gains à l'achat</t>
  </si>
  <si>
    <t xml:space="preserve"> Un accompagnement est-il nécessaire pour le calcul du gain achat ?</t>
  </si>
  <si>
    <t>Oui,Accompagnement nécessaire pour le calcul des gains à l'achat; Non, Aucun accompagnement nécessaire pour la calcul des gains à l'achat</t>
  </si>
  <si>
    <t>El291</t>
  </si>
  <si>
    <t>Panel articles</t>
  </si>
  <si>
    <t>ElT479</t>
  </si>
  <si>
    <t>13.0- COMMERCIALISATION - COMMUNICATION - PROMOTION</t>
  </si>
  <si>
    <t>ElTT480</t>
  </si>
  <si>
    <t>13.1 Référencement</t>
  </si>
  <si>
    <t>Une réunion de criticité est-elle à réaliser par le référent référencement ?</t>
  </si>
  <si>
    <t>Oui, une réunion de criticité est à réaliser; Non, pas de réunion de criticité</t>
  </si>
  <si>
    <t>El227</t>
  </si>
  <si>
    <t xml:space="preserve">Conclusion de la réunion criticité du référencement </t>
  </si>
  <si>
    <t>Annexe 10 - Criticité référencement</t>
  </si>
  <si>
    <t>Annexe 10 - Criticité Référencement</t>
  </si>
  <si>
    <t>10 - Criticité référencement</t>
  </si>
  <si>
    <t>El217</t>
  </si>
  <si>
    <t xml:space="preserve">Un comité de référencement est-il à prévoir suite à l'analyse de la criticité du référencement menée par le référent référencement ? </t>
  </si>
  <si>
    <t>Oui, un comité de référencement 1 est à prévoir; Non, pas de comité de référencement 1</t>
  </si>
  <si>
    <t>El218</t>
  </si>
  <si>
    <t xml:space="preserve">Si oui, sur quelle problématique/thématique du référencement ? </t>
  </si>
  <si>
    <t>ElTT481</t>
  </si>
  <si>
    <t>13.2 Promotion de l'offre</t>
  </si>
  <si>
    <t>El35</t>
  </si>
  <si>
    <t>Web (ugap.fr);Animation (emailing, communiqué de presse, push…)</t>
  </si>
  <si>
    <t>Supports utilisés</t>
  </si>
  <si>
    <t>Print (catalogue général, catalogue spécialisé, plaquettes fournisseurs…);Web (ugap.fr);Animation (emailing, communiqué de presse, push…)</t>
  </si>
  <si>
    <t>El36</t>
  </si>
  <si>
    <t>Non, absence de catalogue privatif</t>
  </si>
  <si>
    <t>Un ou des catalogues privatifs sont-ils en place ?</t>
  </si>
  <si>
    <t>Oui, Catalogue privatif en place; Non, absence de catalogue privatif</t>
  </si>
  <si>
    <t>El37</t>
  </si>
  <si>
    <t>Si oui, préciser</t>
  </si>
  <si>
    <t>El38</t>
  </si>
  <si>
    <t>Non, absence d'une e-boutique spécifique</t>
  </si>
  <si>
    <t>Une e-boutique spécifique est-elle en place ?</t>
  </si>
  <si>
    <t>Oui, une e-boutique spécifique est en place; Non, absence d'une e-boutique spécifique</t>
  </si>
  <si>
    <t>El38b</t>
  </si>
  <si>
    <t>ElTT482</t>
  </si>
  <si>
    <t>13.3 Canaux de vente</t>
  </si>
  <si>
    <t>El40</t>
  </si>
  <si>
    <t>Non, absence de commercialisation sur le WEB</t>
  </si>
  <si>
    <t>Commercialisation de l'offre sur le WEB ?</t>
  </si>
  <si>
    <t>Oui, commercialisation de l'offre sur le WEB; Non, absence de commercialisation sur le WEB</t>
  </si>
  <si>
    <t>El41</t>
  </si>
  <si>
    <t>Non, pas d'exclusivité sur le WEB</t>
  </si>
  <si>
    <t xml:space="preserve">Si oui exclusivement sur le web ? </t>
  </si>
  <si>
    <t>Oui, commercialisation exclusive sur le WEB; Non, pas d'exclusivité sur le WEB</t>
  </si>
  <si>
    <t>El41b</t>
  </si>
  <si>
    <t>Préciser sur toute ou partie de l'offre</t>
  </si>
  <si>
    <t>Totalement;Partiellement</t>
  </si>
  <si>
    <t>El41c</t>
  </si>
  <si>
    <t>Non, absence de configurateur</t>
  </si>
  <si>
    <t>Un configurateur est-il en place ?</t>
  </si>
  <si>
    <t>Oui, un configurateur est en place; Non, absence de configurateur</t>
  </si>
  <si>
    <t>El43</t>
  </si>
  <si>
    <t>Si oui, préciser le type de configurateur</t>
  </si>
  <si>
    <t>UGAP; Titulaire</t>
  </si>
  <si>
    <t>El44</t>
  </si>
  <si>
    <t>Si oui à la commercialisation sur le WEB, Un contrôle/accès restreint à typologie de clients/utilisateurs chez le client est-il en place ?</t>
  </si>
  <si>
    <t>Oui, contrôle/accès restreint à typologie de clients/utilisateurs chez le client; Non, Absence de contrôle/accès restreint à typologie de clients/utilisateurs chez le client</t>
  </si>
  <si>
    <t>El45</t>
  </si>
  <si>
    <t xml:space="preserve">Si oui à la commercialisation sur le WEB, L'offre nécessite-elle une connexion à une plateforme tierce </t>
  </si>
  <si>
    <t xml:space="preserve">Oui, connexion à une plateforme tierce; Non, Absence de connexion à une plateforme tierce </t>
  </si>
  <si>
    <t>El46</t>
  </si>
  <si>
    <t xml:space="preserve">Si oui à la commercialisation sur le WEB, L'offre est-elle en e-procurement ? </t>
  </si>
  <si>
    <t>Oui, offre en e-procurement ;Non, Absence de e-procurement</t>
  </si>
  <si>
    <t>El33</t>
  </si>
  <si>
    <t>100 % vente Assistée</t>
  </si>
  <si>
    <t>Répartition client Vente Assistée / Vente à Distance envisagée</t>
  </si>
  <si>
    <t>100 % Vente Assistée; 50% Vente A Distance;50% Vente Assistée / 50% Vente A Distance;Autre</t>
  </si>
  <si>
    <t>El33b</t>
  </si>
  <si>
    <t xml:space="preserve">Si autre répartion Vente Assistée / Vente A distance, préciser </t>
  </si>
  <si>
    <t>El47</t>
  </si>
  <si>
    <t>Non, exclusion du canal de vente CCM</t>
  </si>
  <si>
    <t>Commercialisation de l'offre par le CCM  (prise de commande)</t>
  </si>
  <si>
    <t>Oui, commercialisation de l'offre par le CCM; Non, exclusion du canal de vente CCM</t>
  </si>
  <si>
    <t>El48</t>
  </si>
  <si>
    <t>Oui, commercialisation de l'offre par le réseau</t>
  </si>
  <si>
    <t>Commercialisation de l'offre par le Réseau</t>
  </si>
  <si>
    <t>Oui, commercialisation de l'offre par le réseau; Non, exclusion du commercialisation par le réseau</t>
  </si>
  <si>
    <t>El49</t>
  </si>
  <si>
    <t>Non, exclusion d'une commercialisation par la SMAR</t>
  </si>
  <si>
    <t>SMAR (Gestion centralisée des commandes/ facturation)</t>
  </si>
  <si>
    <t>Oui, commercialisation par la SMAR; Non, exclusion d'une commercialisation par la SMAR</t>
  </si>
  <si>
    <t>ElTT483</t>
  </si>
  <si>
    <t>13.4 Schémas de vente</t>
  </si>
  <si>
    <t>El62</t>
  </si>
  <si>
    <t>Oui, Schéma de vente disponible sous la base de Co</t>
  </si>
  <si>
    <t xml:space="preserve">Schéma de vente opérationnel est-il disponible sous la base de Co ?	</t>
  </si>
  <si>
    <t>Oui, Schéma de vente disponible sous la base de Co; Non, absence du schéma de vente sur la base de co</t>
  </si>
  <si>
    <t>El63</t>
  </si>
  <si>
    <t>Schéma de vente offre tripartite</t>
  </si>
  <si>
    <t xml:space="preserve">Type de schéma de vente </t>
  </si>
  <si>
    <t>Schéma de vente offre tripartite;Schéma de vente offre avec prestations associées;Schéma de vente offre sans prestation associée;Autre</t>
  </si>
  <si>
    <t>El64</t>
  </si>
  <si>
    <t>Si autre ou si le schéma de vente de l'offre précédente a présenté des écarts ou des problématiques sur le parcours client, présenter le nouveau schéma de vente applicable résultant des échanges avec le référent</t>
  </si>
  <si>
    <t>ElTT484</t>
  </si>
  <si>
    <t>13.5 - Support de vente</t>
  </si>
  <si>
    <t>El361</t>
  </si>
  <si>
    <t>Fiches technico-commerciales;Images numériques;Publipostages</t>
  </si>
  <si>
    <t xml:space="preserve">Le titulaire s'engage a fournir : </t>
  </si>
  <si>
    <t xml:space="preserve">Fiches technico-commerciales; images numériques; Publipostages;Nuanciers; Une banque de donnée de type AUTOCAD;Matériel de démonstration; Guide de vente </t>
  </si>
  <si>
    <t>El361b</t>
  </si>
  <si>
    <t xml:space="preserve">Dans le cadre du guide vente préciser  les lot(s) concerné(s) ? </t>
  </si>
  <si>
    <t>ElTT485</t>
  </si>
  <si>
    <t>13.6- Documents contractuels clients</t>
  </si>
  <si>
    <t>El116</t>
  </si>
  <si>
    <t>Oui, existence d'une convention client "valant BDC"</t>
  </si>
  <si>
    <t>Existence d'une convention client?</t>
  </si>
  <si>
    <t>Oui, existence d'une convention client "valant BDC"; Oui existence d'une convention client d'embarquement ; Non, absence de convention client</t>
  </si>
  <si>
    <t>El117</t>
  </si>
  <si>
    <t>Si oui préciser l'étendue</t>
  </si>
  <si>
    <t>El219</t>
  </si>
  <si>
    <t>Réseau</t>
  </si>
  <si>
    <t>Si oui, préciser qui traite la convention</t>
  </si>
  <si>
    <t>Réseau;SMAR</t>
  </si>
  <si>
    <t>El118</t>
  </si>
  <si>
    <t>Oui, existence de CGE</t>
  </si>
  <si>
    <t>Existence de CGE ?</t>
  </si>
  <si>
    <t>Oui, existence de CGE; Non, absence de CGE</t>
  </si>
  <si>
    <t>El369</t>
  </si>
  <si>
    <t>Non, absence d'autres documents commerciaux</t>
  </si>
  <si>
    <t>Existence d'autres documents commerciaux (exemples : kit de remise en concurrence/passation de marché subséquent, trame type rapport d'analyse, lettre de rejet…)</t>
  </si>
  <si>
    <t>Oui, existence d'autres documents commerciaux; Non, absence d'autres documents commerciaux</t>
  </si>
  <si>
    <t>El389</t>
  </si>
  <si>
    <t>Si oui lesquels ?</t>
  </si>
  <si>
    <t>ElTT486</t>
  </si>
  <si>
    <t>13.7 - Eléments attendus du titulaire</t>
  </si>
  <si>
    <t>El333</t>
  </si>
  <si>
    <t>Réunion de lancement avec le titulaire;Présentation synthétique de son organisation dédiée au marché;Annuaires des contacts;Formation;Information des collaborateurs de l'UGAP</t>
  </si>
  <si>
    <t>Préciser les éléments attendus de la part du titulaire concernant la formation et l'information</t>
  </si>
  <si>
    <t>Réunion de lancement avec le titulaire;Présentation synthétique de son organisation dédiée au marché;Annuaires des contacts;Formation;Information des collaborateurs de l'UGAP;Autre</t>
  </si>
  <si>
    <t>El333c</t>
  </si>
  <si>
    <t>Si autres éléments attendus de la part du titulaire concernant la formation et l'information, préciser</t>
  </si>
  <si>
    <t>El333b</t>
  </si>
  <si>
    <t>Alimentation et ou validation du référencement;Documentation SAV;Outils;Eléments pour publication (ex : photo)</t>
  </si>
  <si>
    <t>Préciser les éléments attendus de la part du titulaire concernant le déploiement, la commercialisation et l'exécution de l'offre</t>
  </si>
  <si>
    <t>Alimentation et ou validation du référencement;Documentation SAV;Outils;Impératifs logistiques UGAP (tracabilité…);Eléments pour publication (ex : photo);Aides à la commercialisation (prêt de matériel...);Autre</t>
  </si>
  <si>
    <t>El333d</t>
  </si>
  <si>
    <t>Si autres éléments attendus de la part du titulaire concernant le déploiement, la commercialisation et l'exécution de l'offre, préciser</t>
  </si>
  <si>
    <t>El334</t>
  </si>
  <si>
    <t>Si autre, préciser (en cas de cas non listé, préciser directement les information en texte libre)</t>
  </si>
  <si>
    <t>El335a</t>
  </si>
  <si>
    <t>Oui, la contractualisation d'un interlocuteur dédié est à prévoir dans le CCAP</t>
  </si>
  <si>
    <t>La contractualisation d'un interlocuteur dédié dans le CCAP est-elle à prévoir ?</t>
  </si>
  <si>
    <t>Oui, la contractualisation d'un interlocuteur dédié est à prévoir dans le CCAP;Non, absence de mention de contractualisation d'un interlocuteur dédié dans le CCAP</t>
  </si>
  <si>
    <t>El335</t>
  </si>
  <si>
    <t>Si oui, décrire le niveau d'exigences associé et les documents associés (CCAP, CCTP, Annexes….) et les modalités retenues afin d'assurer la disponibilité des données produits ou services nécessaires notamment au déploiement de l'offre (Données, produits, certificats, images...)</t>
  </si>
  <si>
    <t>El335f</t>
  </si>
  <si>
    <t>Si non, cette obligation fait-elle l'objet d'un critère d'analyse des offres ?</t>
  </si>
  <si>
    <t>Oui, cette obligation fait l'objet d'un critère d'analyse des offres;Non, absence de critère d'analyse des offres</t>
  </si>
  <si>
    <t>El335g</t>
  </si>
  <si>
    <t>Quelles sont les annexes à l'acte d'engagement pour chaque lot?</t>
  </si>
  <si>
    <t>Annexe 10 - Listes Annexes AE</t>
  </si>
  <si>
    <t>10 - Listes Annexes AE</t>
  </si>
  <si>
    <t>El335e</t>
  </si>
  <si>
    <t>Quels sont les autres documents du marché?</t>
  </si>
  <si>
    <t>CCP-COD;CCAP sans annexe;CCAP avec annexes;CCTP;Dossier Technique;Mémoire technique du titulaire;Fiches technico-commerciale;CCF</t>
  </si>
  <si>
    <t>El335h</t>
  </si>
  <si>
    <t>Si présence d'annexes au CCAP, préciser lesquelles</t>
  </si>
  <si>
    <t>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t>
  </si>
  <si>
    <t>ElTT487</t>
  </si>
  <si>
    <t>13.8 Embarquement client - Identifier et préciser de manière synthétique si des obligations / actions particulières/spécifiques sont envisagées en avant-vente (recueil besoin, devis, commande) à la charge :</t>
  </si>
  <si>
    <t>El304</t>
  </si>
  <si>
    <t>Client</t>
  </si>
  <si>
    <t>Définition du besoin, acceptation du devis UGAP;Emission d’une commande client et signature des CGE;Non concerné pour l'offre</t>
  </si>
  <si>
    <t>El305</t>
  </si>
  <si>
    <t>Fournisseur</t>
  </si>
  <si>
    <t>Recueil des besoins;Remise d’un dossier technique à l’appui du devis qualification et solution technique;Non concerné pour l'offre</t>
  </si>
  <si>
    <t>El306</t>
  </si>
  <si>
    <t>UGAP</t>
  </si>
  <si>
    <t>Accompagnement client et réalisation devis/commande;Application du process de commande et veille à ce que celui-ci soit respecté tout au long du marché;D’une manière générale, amélioration de la qualité de service rendue au client;Non concerné pour l'offre</t>
  </si>
  <si>
    <t>Référence</t>
  </si>
  <si>
    <t>Alimente CCAP</t>
  </si>
  <si>
    <t>DAV_Standard Etablissement (E) / Direction (D) / Univers (U)</t>
  </si>
  <si>
    <t>DAV</t>
  </si>
  <si>
    <t>U_VI</t>
  </si>
  <si>
    <t>U_VL</t>
  </si>
  <si>
    <t>U_ISP</t>
  </si>
  <si>
    <t>DAG_Mobilier_scolaire_et_Equipement_general_Standard Etablissement (E) / Direction (D) / Univers (U)</t>
  </si>
  <si>
    <t>DAG_Mobilier_scolaire_et_Equipement_general</t>
  </si>
  <si>
    <t>U_Mobilier_scolaire</t>
  </si>
  <si>
    <t>U_Equipement_general</t>
  </si>
  <si>
    <t>DAG_SOFI_Standard Etablissement (E) / Direction (D) / Univers (U)</t>
  </si>
  <si>
    <t>DAG_SOFI</t>
  </si>
  <si>
    <t>U_Services_aux_batiments</t>
  </si>
  <si>
    <t>U_Services_aux_occupants</t>
  </si>
  <si>
    <t>U_Offres_Financieres</t>
  </si>
  <si>
    <t>DAI_Standard Etablissement (E) / Direction (D) / Univers (U)</t>
  </si>
  <si>
    <t>U_Copieurs</t>
  </si>
  <si>
    <t>U_Telecom</t>
  </si>
  <si>
    <t>U_BureauWEB</t>
  </si>
  <si>
    <t>U_Logiciels</t>
  </si>
  <si>
    <t>U_PII</t>
  </si>
  <si>
    <t>U_Materiel_et_Prestations</t>
  </si>
  <si>
    <t>DS_Standard Etablissement (E) / Direction (D) / Univers (U)</t>
  </si>
  <si>
    <t>DS</t>
  </si>
  <si>
    <t>U_Biomedical</t>
  </si>
  <si>
    <t>U_Laboratoire</t>
  </si>
  <si>
    <t>U_EQ_Soins_et_Secours</t>
  </si>
  <si>
    <t>U_EQ_Lourds</t>
  </si>
  <si>
    <t>U_DM_DMS</t>
  </si>
  <si>
    <t>U_GAUSS</t>
  </si>
  <si>
    <t>Non_standardisé_Standard Etablissement (E) / Direction (D) / Univers (U)</t>
  </si>
  <si>
    <t>Non_standardisé</t>
  </si>
  <si>
    <t>U_Non_standardisé</t>
  </si>
  <si>
    <t>Dav</t>
  </si>
  <si>
    <t>O140ColonneStandardDAG_Mobilier_scolaire_et_Equipement_general</t>
  </si>
  <si>
    <t>O140ColonneNiveauStandardDAG_Mobilier_scolaire_et_Equipement_general</t>
  </si>
  <si>
    <t>Non_standardisee</t>
  </si>
  <si>
    <t>VI</t>
  </si>
  <si>
    <t>VL</t>
  </si>
  <si>
    <t>ISP</t>
  </si>
  <si>
    <t>Mobilier</t>
  </si>
  <si>
    <t>Equipement_General</t>
  </si>
  <si>
    <t>Services_aux_batiments</t>
  </si>
  <si>
    <t>Services_aux_occupants</t>
  </si>
  <si>
    <t>Offres_Financieres</t>
  </si>
  <si>
    <t>Copieurs</t>
  </si>
  <si>
    <t>Telecom</t>
  </si>
  <si>
    <t>BureauWEB</t>
  </si>
  <si>
    <t>PII</t>
  </si>
  <si>
    <t>Materiel_et_Prestations</t>
  </si>
  <si>
    <t>Biomedical</t>
  </si>
  <si>
    <t>Laboratoire</t>
  </si>
  <si>
    <t>EQ_Soins_et_Secours</t>
  </si>
  <si>
    <t>EQ_Lourds</t>
  </si>
  <si>
    <t>DM_DMS</t>
  </si>
  <si>
    <t>GAUSS</t>
  </si>
  <si>
    <t>Non_standardise</t>
  </si>
  <si>
    <t>Oui</t>
  </si>
  <si>
    <t>Ensemble batterie;Location de batterie;Acquisition de batterie;Piles à combustibles (hydrogène);Réservoirs hydrogène</t>
  </si>
  <si>
    <t>Prestations récurrentes et ponctuelles</t>
  </si>
  <si>
    <t>Matériel et prestations ponctuelles</t>
  </si>
  <si>
    <t>Prestations associées</t>
  </si>
  <si>
    <t>Prestations annexes</t>
  </si>
  <si>
    <t>Etat;Opérateurs de l'Etat;Etablissements Hospitaliers;Collectivités territoriales;Clients transfrontaliers;Autres</t>
  </si>
  <si>
    <t>Sociétés d’autoroutes;Délégataires de service public</t>
  </si>
  <si>
    <t>Caisses;Entreprises</t>
  </si>
  <si>
    <t>Oui;Non</t>
  </si>
  <si>
    <t>Oui, l'allotissement fait l'objet d'une évolution</t>
  </si>
  <si>
    <t>Dépendance économique;Risque de conflits d'intérêt</t>
  </si>
  <si>
    <t>France métropolitaine;France continentale</t>
  </si>
  <si>
    <t>France métropolitaine</t>
  </si>
  <si>
    <t>France métropolitaine;Corse et îles littorales non desservies par un pont gratuit;Autres</t>
  </si>
  <si>
    <t>France métropolitaine;Corse et îles littorales non desservies par un pont gratuit;DROM;COM inclus TAAF;Etranger</t>
  </si>
  <si>
    <t>Représentations françaises à l’étranger</t>
  </si>
  <si>
    <t>Oui, existence d'une couverture géographique facultative</t>
  </si>
  <si>
    <t>Etranger</t>
  </si>
  <si>
    <t>COM inclus TAAF;Etranger</t>
  </si>
  <si>
    <t>DROM;COM inclus TAAF;Etranger</t>
  </si>
  <si>
    <t>DROM;COM inclus TAAF</t>
  </si>
  <si>
    <t>Représentations françaises à l’étranger;Monaco, Suisse, Andorre;Pays de l'Espace Economique Européen (EEE)</t>
  </si>
  <si>
    <t>Oui, part importante de PME</t>
  </si>
  <si>
    <t>Oui, relation engagée avec une fédération ou syndicats professionnels</t>
  </si>
  <si>
    <t>Oui, une action est envisagée</t>
  </si>
  <si>
    <t>SAD sans enchères</t>
  </si>
  <si>
    <t>Mono et Multi attribué</t>
  </si>
  <si>
    <t>Multi attribué</t>
  </si>
  <si>
    <t>1.Période initiale de 48 mois ferme pour l’ensemble des produits et prestations objets du marché
2.2nde période de 96 mois ferme restreinte aux commandes rattachées à une commande initiale sur le périmètre limitatif</t>
  </si>
  <si>
    <t>L’exécution des prestations, objet du présent marché, nécessitant des investissements amortissables sur une durée de sept ans, le marché est conclu pour une durée maximum de 11 ans à compter de sa date de notification.
Cette durée est décomposée de la façon suivante :
 Les commandes des configurations de base du produit 1 ne peuvent être passées qu’à partir de la notification jusqu’au 31 décembre 2022. Cette première période peut être reconduite à deux reprises : une première période de douze mois de reconduction, et une seconde période de reconduction d’une durée permettant d’aller jusqu’à une durée totale du marché de 48 mois. Chaque reconduction s’opère sur décision expresse du représentant du pouvoir adjudicateur, intervenant au plus tard trente (30) jours avant l’échéance de la période en cours d’exécution. Le titulaire ne peut pas s’opposer à la reconduction du marché.
En tout état de cause, la durée de la dernière reconduction ne peut intervenir que dans la limite des 48 mois correspondant à la durée maximale du marché.
La décision de non reconduction n’ouvre droit à aucune indemnité au profit du titulaire.
 Les années suivantes, seules les commandes relatives aux prestations annexes et équipements (hors configurations de base du produit 1) peuvent être passées.</t>
  </si>
  <si>
    <t>Non, absence de travaux d'interfacage ou de déploiement</t>
  </si>
  <si>
    <t>Oui, des travaux d'interfaçage et de déploiement sont prévus</t>
  </si>
  <si>
    <t>Oui, des travaux d'interfaçage et de déploiement long sont prévus</t>
  </si>
  <si>
    <t>Oui, un déploiement long est prévu</t>
  </si>
  <si>
    <t>Clause de réexamen classique + ajout des modalités particulières relatives à la commande de matériel reconditionné 
Le prix des matériels reconditionnés donne lieu à l'établissement d'un devis préalable dûment accepté par l'UGAP et le bénéficiaire. 
À cet effet et à l'appui du devis, le titulaire communique à l'UGAP tous les justificatifs et notamment l’historique des contrôles, entretiens, réparations, révisions ainsi que les caractéristiques techniques et fonctionnelles du matériel reconditionné. 
A cette occasion le titulaire communique également la durée de la garantie particulière applicable au matériel reconditionné concerné, si elle est différente de la durée de la garantie applicable au matériel neuf. En l'absence de précision, la durée est la même que celle attachée à un matériel neuf. 
Antérieurement à l'émission du bon de commande, l'UGAP peut exiger tout autre justificatif qu'elle juge nécessaire. 
Dans le cadre de son devoir d’information et de conseil, le titulaire est tenu de donner toute information utile et nécessaire à l’UGAP dès qu’il est saisi d’une demande de devis de matériel reconditionné. A défaut sa responsabilité peut être engagée.</t>
  </si>
  <si>
    <t>Non, absence d'obligations particulières à la gestion des fins de contrats</t>
  </si>
  <si>
    <t>Oui, Accompagnement souhaité pour la gestion des fins de contrats</t>
  </si>
  <si>
    <t>Oui, Accompagnement souhaité pour la gestion des fins de contrat</t>
  </si>
  <si>
    <t>Non, absence de prérequis à l'établissement d'un devis</t>
  </si>
  <si>
    <t>Qualification du besoin par le titulaire et rédaction d'un dossier technique le cas échéant;Fiche de vente;Prévisite du titulaire;Questionnaire client (offre plurielle)</t>
  </si>
  <si>
    <t>Qualification du besoin par le titulaire et rédaction d'un dossier technique le cas échéant;Fiche de vente;Prévisite du titulaire;Questionnaire client (offre plurielle);Fiche de recensement;Eprocurement;Attestation de complément de parc;Devis tripartite avec outillage;Convention d'embarquement</t>
  </si>
  <si>
    <t>Devis tripartite avec outillage</t>
  </si>
  <si>
    <t>Qualification du besoin par le titulaire et rédaction d'un dossier technique le cas échéant;Prévisite du titulaire;Attestation de complément de parc</t>
  </si>
  <si>
    <t>Qualification du besoin par le titulaire et rédaction d'un dossier technique le cas échéant;Prévisite du titulaire</t>
  </si>
  <si>
    <t>Qualification du besoin par le titulaire et rédaction d'un dossier technique le cas échéant;Prévisite du titulaire;Convention d'embarquement</t>
  </si>
  <si>
    <t>Qualification du besoin par le titulaire et rédaction d'un dossier technique le cas échéant;Fiche de vente;Prévisite du titulaire</t>
  </si>
  <si>
    <t>Non, canal d'enregistrement distinct de celui de la commande</t>
  </si>
  <si>
    <t>Devis tripartite;Réel constaté</t>
  </si>
  <si>
    <t>Oui, clause facultative</t>
  </si>
  <si>
    <t>Oui, un minimum de commande client est envisagé</t>
  </si>
  <si>
    <t>minimum en montant</t>
  </si>
  <si>
    <t>Renseigner valeur!</t>
  </si>
  <si>
    <t>Non, dérogation au standard de commande</t>
  </si>
  <si>
    <t>Autre</t>
  </si>
  <si>
    <t>Pour la location-maintenance, un volet 1 (livraison de l’équipement) est émis au moment de la passation de la commande client et un volet 2 (ordres d’exécution) dès lors que le matériel est installé.</t>
  </si>
  <si>
    <t>Oui, un minimum de commande fournisseur est envisagé</t>
  </si>
  <si>
    <t>Non, délai de transmission des informations liées à la commande ou à la livraisons non conforme au standard</t>
  </si>
  <si>
    <t>Oui, Délai de transmission des informations liées à la commande ou à la livraisons conforme à 3 jours</t>
  </si>
  <si>
    <t>autre ou mixte</t>
  </si>
  <si>
    <t>Mixte</t>
  </si>
  <si>
    <t>Trimestrielle pour la maintenance</t>
  </si>
  <si>
    <t xml:space="preserve">Trimestrielle pour la maintenance tous risques ; Mensuelle pour la location-maintenance et la MAD </t>
  </si>
  <si>
    <t xml:space="preserve">Trimestrielle pour la maintenance ; Mensuelle pour la location-maintenance </t>
  </si>
  <si>
    <t>L’acheteur (ou usager) peut demander l’annulation ou la modification de sa commande le jour même de sa commande.
Aucune demande d’annulation ou de modification de commande n’est acceptée dans le cas où les fournitures sont livrées dans un délai inférieur à 72 heures.
Passé ces délais, l’acheteur (ou usager) peut néanmoins solliciter auprès du service compétent de l’UGAP, par écrit, l’annulation ou la modification de sa commande. Dans ce cas, toute annulation ou modification intervient aux frais et risques de l’acheteur (ou usager). Un bon de commande de produits peut être annulé ou modifié sans frais pour l’UGAP sous réserve que l’annulation intervienne dans un délai de 8 jours maximum à compter de l’émission du bon de commande. 
Si un litige imputable au titulaire, est à l’origine de la modification ou de l’annulation d’un bon de commande, les frais en découlant sont à la charge du titulaire.</t>
  </si>
  <si>
    <t>Un bon de commande peut être modifié résilié ou annulé sur demande de l’UGAP, totalement ou partiellement, selon les modalités décrites pour la traçabilité du bon de commande, dans les conditions suivantes :
- Un bon de commande peut être annulé ou modifié sans frais pour l’UGAP sous réserve que l’annulation ou la modification intervienne dans un délai de 2 jours ouvrés maximum à compter de la réception du bon de commande.
- Au-delà de 2 jours ouvrés un bon de commande peut être modifié, résilié ou annulé. Si la modification, la résiliation ou l’annulation d'un bon de commande est à l’initiative de l’UGAP, sans faute du titulaire, les frais en découlant, prévus en annexe à l’acte d’engagement, sont à la charge de l’UGAP.
- Si un litige imputable au titulaire, est à l’origine de la modification, de la résiliation ou de l’annulation d’un bon de commande, les frais en découlant sont à la charge du titulaire</t>
  </si>
  <si>
    <t>Oui, ce chapitre est applicable</t>
  </si>
  <si>
    <t>Oui, Garantie commerciale contractuelle applicable</t>
  </si>
  <si>
    <t>Non, absence de garantie commerciale contractuelle</t>
  </si>
  <si>
    <t>24 mois minimum</t>
  </si>
  <si>
    <t>Titulaire</t>
  </si>
  <si>
    <t>Sur site ou en retour atelier (frais logistiques A/R à la charge du titulaire)</t>
  </si>
  <si>
    <t>Sur site bénéficiare</t>
  </si>
  <si>
    <t>Sous un délai de résolution fixé à 30 jours</t>
  </si>
  <si>
    <t>Sous un délai de résolution fixé à 21 jours</t>
  </si>
  <si>
    <t>Oui, Existence d'une garantie en Temps de Rétablissement</t>
  </si>
  <si>
    <t>Oui, Existence de produits en stock</t>
  </si>
  <si>
    <t>Oui, Fiche SAV exigée</t>
  </si>
  <si>
    <t>Non, Fiche SAV non exigée</t>
  </si>
  <si>
    <t>Non, absence de garantie de disponibilité</t>
  </si>
  <si>
    <t>Oui, existence d"une garantie de disponibilité</t>
  </si>
  <si>
    <t>Oui, Existence d'une garantie autonomie de l'ensemble batterie</t>
  </si>
  <si>
    <t>Oui, Existence d'une garantie contractuelle anticorrosion</t>
  </si>
  <si>
    <t>Non, Absence de fourniture de pièces détachées par le titulaire</t>
  </si>
  <si>
    <t>5 ans</t>
  </si>
  <si>
    <t>Oui, une extension de garantie doit être mise en place</t>
  </si>
  <si>
    <t>Non, absence d'extension de garantie</t>
  </si>
  <si>
    <t>Oui, elle concerne du matériel référencé</t>
  </si>
  <si>
    <t>Oui, elle concerne du matériel référencé au prix proposé par le titulaire</t>
  </si>
  <si>
    <t>Non, absence d'extension de garantie contrôlée</t>
  </si>
  <si>
    <t>Oui, Extension de garantie contrôlée</t>
  </si>
  <si>
    <t>Non, absence de prestations de maintenance</t>
  </si>
  <si>
    <t>Acquisition maintenance</t>
  </si>
  <si>
    <t>Acquisition maintenance;Maintenance Full service</t>
  </si>
  <si>
    <t>Location maintenance ;Acquisition maintenance;Maintenance Full service</t>
  </si>
  <si>
    <t>Maintenance préventive;Maintenance corrective/curative</t>
  </si>
  <si>
    <t>il s’agira d’une prestation « annexe » trimestrielle.</t>
  </si>
  <si>
    <t>Non, Le prix de la maintenance corrective/curative n'est pas comprise dans le prix</t>
  </si>
  <si>
    <t>Oui, le prix de la maintenance corrective/curative est-elle incluse dans le prix</t>
  </si>
  <si>
    <t>Remise en état des Matériels;Remise en état des Installations et logiciels</t>
  </si>
  <si>
    <t>Oui, la prestation de maintenance s'étend à la fourniture et à l'installation d'accessoires et options</t>
  </si>
  <si>
    <t>Non, la prestation de maintenance ne s'étend pas à la fourniture et l'installation d'accessoires et options</t>
  </si>
  <si>
    <t>Oui, la maintenance des équipements couvre les bris</t>
  </si>
  <si>
    <t>Non, la maintenance des équipements ne couvre pas les bris</t>
  </si>
  <si>
    <t>concomitant à la commande (volet 1) et à l’issue de l’admission du matériel (volet 2)</t>
  </si>
  <si>
    <t>Concomitant à la commande (volet 1) et à l’issue de l’admission du matériel (volet 2);La fin de la période de garantie;La fin de la période d'extension de garantie;Autre</t>
  </si>
  <si>
    <t>Multi échéance</t>
  </si>
  <si>
    <t>Mono échéance</t>
  </si>
  <si>
    <t>Mensuelle</t>
  </si>
  <si>
    <t>Mensuelle;Trimestrielle;Annuelle</t>
  </si>
  <si>
    <t>Non dérogation à la contribution standard
Ristourne</t>
  </si>
  <si>
    <t>PA=PV</t>
  </si>
  <si>
    <t>Oui, exclusion de marge</t>
  </si>
  <si>
    <t>Absence d'application de marge sur les taxes d'immatriculation</t>
  </si>
  <si>
    <t>Surcoût Drom Com;Indeminité et annulation et modification de commande;Reprise de matériel</t>
  </si>
  <si>
    <t>Terme échu</t>
  </si>
  <si>
    <t>Oui, il s'agit d'une commande à échéance</t>
  </si>
  <si>
    <t>DAV toto</t>
  </si>
  <si>
    <t>Mob toto</t>
  </si>
  <si>
    <t>Mensuelle;Annuelle</t>
  </si>
  <si>
    <t>Santé toto</t>
  </si>
  <si>
    <t>Oui, Facturation dépendante d'un échéancier</t>
  </si>
  <si>
    <t>Oui, Facturation dépendante d'un échéancier;Non, Facturation indépendante d'un échéancier</t>
  </si>
  <si>
    <t>Non, absence de commande à échéance</t>
  </si>
  <si>
    <t xml:space="preserve">Terme échu </t>
  </si>
  <si>
    <t>mensuelle</t>
  </si>
  <si>
    <t xml:space="preserve">Non, aucune prestation de travaux </t>
  </si>
  <si>
    <t>Oui, il est prévu des prestations de travaux exécutables par des sous-traitants</t>
  </si>
  <si>
    <t>format de facturation en xml</t>
  </si>
  <si>
    <t>Oui, Modalités particulières pour le paiement</t>
  </si>
  <si>
    <t>Le client doit compléter et signer l’attestation d’admission</t>
  </si>
  <si>
    <t>Emettre la facture après admission du matériel et joindre « l’attestation d’admission par le bénéficiaire (issue de la vérification d’aptitude technique) » complétée et signée par le client</t>
  </si>
  <si>
    <t>Emission de facture client, paiement du fournisseur en déduction des acomptes perçus, paiement fournisseur…</t>
  </si>
  <si>
    <t>Présence de système DDP</t>
  </si>
  <si>
    <t xml:space="preserve"> Présence de système DDP</t>
  </si>
  <si>
    <t>Oui, le montant total des acomptes est conforme au standard</t>
  </si>
  <si>
    <t>Oui, un acompte pour approvisonnement est prévu</t>
  </si>
  <si>
    <t>Acompte conforme au standard dont le montant est supérieur à 50 000 euros, dont le délai de prestation est supérieur à 90 jours, Maximum 40%, Garantie à première demande</t>
  </si>
  <si>
    <t>Acompte non conforme au standard</t>
  </si>
  <si>
    <t>Montant supérieur à 40 K€, délai de 90 jours et maximum fixé à 90%</t>
  </si>
  <si>
    <t>Le report de plus de trente jours de la date d’achèvement des opérations de livraison et des prestations associées, du fait du bénéficiaire ou à la demande de l’UGAP, ouvre droit à acompte dans la limite de 90 % du montant hors taxe du bon de commande.</t>
  </si>
  <si>
    <t>El492</t>
  </si>
  <si>
    <t>Critères prévus dans le cadre de l’analyse multicritère des offres;Pilotage avec KPI (key performance indicator – indicateurs clés de performance)</t>
  </si>
  <si>
    <t>Critères prévus dans le cadre de l’analyse multicritère des offres;Définition de l’objet du (des) lot(s) et/ou éléments obligatoires du cahier des charges;Pilotage avec KPI (key performance indicator – indicateurs clés de performance)</t>
  </si>
  <si>
    <t>Absence de pilotage par KPI</t>
  </si>
  <si>
    <t>Nb fichiers traçabilité traités;Délai transmission fichiers  traçabilité;Tx d prise en compte des commande;Fiabilité livraison prév.;Fiabilité date livraison prév.;Conformité facturation fournisseur;Tx prise en charge des commentaires;Taux litiges résolus</t>
  </si>
  <si>
    <t>Absence de pénalités pour non respect de la GTI/GTR</t>
  </si>
  <si>
    <t>Oui, le marché prévoit des pénalités pour non respect de la GTI/GTR</t>
  </si>
  <si>
    <t xml:space="preserve">Non, Absence de pénalités relatives à la  clause d'insertion </t>
  </si>
  <si>
    <t>Oui, le marché prévoit des pénalités pour non respect du délai de réparation</t>
  </si>
  <si>
    <t>Non, le traitement des données personnelles ne concernent pas les données sensibles, personnes vulnérables, à usage innovant</t>
  </si>
  <si>
    <t>Oui, le traitement des données personnelles concernent des données sensibles, personnes vulnérables, à usage innovant…</t>
  </si>
  <si>
    <t>Non, Pas de logiciels prévus dans les éléments concédés ou cédés</t>
  </si>
  <si>
    <t>Oui, logiciesl cédés prévus</t>
  </si>
  <si>
    <t>Oui, logiciesl cédés prévus;Oui, logiciels concédés prévus</t>
  </si>
  <si>
    <t>Dans un délai de 30 jours</t>
  </si>
  <si>
    <t>Politique de remise (ex remise sur tarif public)</t>
  </si>
  <si>
    <t>Politique de remise (ex remise sur tarif public);Barème dégressif en fonction des quantités;Surcoût (îles littorales)</t>
  </si>
  <si>
    <t>Forfaitaire</t>
  </si>
  <si>
    <t>Référence forfaitaire petite commande;Minima de commande;Politique de remise (ex remise sur tarif public);Barème dégressif en fonction des quantités;Conditions de livraison</t>
  </si>
  <si>
    <t>Minima de commande;Politique de remise (ex remise sur tarif public);Barème dégressif en fonction des quantités</t>
  </si>
  <si>
    <t>Oui, ces modalités  s'appliquent à l'ensemble des lots</t>
  </si>
  <si>
    <t>Non, ces modalités ne s'appliquent pas à l'ensemble des lots</t>
  </si>
  <si>
    <t>Franco France Continentale</t>
  </si>
  <si>
    <t>Oui, surcoût outre-mer</t>
  </si>
  <si>
    <t>en pourcentage</t>
  </si>
  <si>
    <t>Devis</t>
  </si>
  <si>
    <t>Non, absence de taxes spécifiques applicables</t>
  </si>
  <si>
    <t>Prestation locale hors France Métropolitaine (TVA 0%);Prestation locale hors France Métropolitaine (TVA 8,5%)</t>
  </si>
  <si>
    <t>Oui, Assurance pour les livraisons hors France Métropolitaine (TVA 0%)</t>
  </si>
  <si>
    <t>Non, absence de remise sur catalogue</t>
  </si>
  <si>
    <t>Non, absence de remsie sur catalogue</t>
  </si>
  <si>
    <t>Oui, remise sur catalogue exigée sur une partie des matériels (accessoires)</t>
  </si>
  <si>
    <t>Oui, frais de modification ou relivraisons prévus</t>
  </si>
  <si>
    <t>Non, l'offre ne prévoit pas de supports d'enregistrement</t>
  </si>
  <si>
    <t>Oui, une rémunération pour copie privée est prévue</t>
  </si>
  <si>
    <t>Oui, le taux de remise peut varier</t>
  </si>
  <si>
    <t>Non, le taux de remise est ferme</t>
  </si>
  <si>
    <t>Oui, modalités applicables à l'ensemble des lots</t>
  </si>
  <si>
    <t>Sur indice</t>
  </si>
  <si>
    <t>Sur indices</t>
  </si>
  <si>
    <t>Non, absence d'écocontribution</t>
  </si>
  <si>
    <t>Oui, existence d'écocontribution</t>
  </si>
  <si>
    <t>sp</t>
  </si>
  <si>
    <t>Non,ce chapitre est non applicablE</t>
  </si>
  <si>
    <t>Non, les produits ne sont pas soumis à une réglementation spécifique</t>
  </si>
  <si>
    <t>Bénéficiaire</t>
  </si>
  <si>
    <t>Oui, distribution sur stock prévue</t>
  </si>
  <si>
    <t>Stockage UGAP chez le titulaire (déporté vente);Stockage UGAP au profit du titulaire (consignation)</t>
  </si>
  <si>
    <t>Non, absence d'affichage du stock sur Ugap.fr</t>
  </si>
  <si>
    <t>Non, l'offre antérieure n'affiche pas de stock fournisseur</t>
  </si>
  <si>
    <t>Oui, clause de stockage à intégrer dans le CCAP</t>
  </si>
  <si>
    <t>Stock Savigny le Temple;Stock déporté chez le fournisseur;Stock en plateforme externalisée (la poste);Possibilité de faire du stock de consignation chez le fournisseur</t>
  </si>
  <si>
    <t>Franco France Métropolitaine;Départ Usine</t>
  </si>
  <si>
    <t>Franco France Métropolitaine;FEC (Entrepôt UGAP)</t>
  </si>
  <si>
    <t>Chez le transitaire du bénéficiaire en France Métropolitaine</t>
  </si>
  <si>
    <t>Non concernée par l'offre</t>
  </si>
  <si>
    <t>Oui, Offre concernée par les délais courts/délai réduits</t>
  </si>
  <si>
    <t>Oui, Offre concernée par les délais courts/délai réduit</t>
  </si>
  <si>
    <t>Période de congés</t>
  </si>
  <si>
    <t>Oui, En Chine pendant Golden Week et Nouvel An Chinois</t>
  </si>
  <si>
    <t>Durée maximale de 40 jours et délai de prévenance de 6 mois</t>
  </si>
  <si>
    <t>Les îles littorales : Garantie contractuelle;Les îles littorales : Prestations incluses dans le prix du matériel de base;Les îles littorales : Prestations annexes non incluses dans le prix du matériel de base.</t>
  </si>
  <si>
    <t xml:space="preserve">Dispositions particulières pour les départements - régions et collectivités d’Outre-mer (DROM-COM). Les prestations livrables dans les DROM COM sont toutes facultatives. </t>
  </si>
  <si>
    <t>Non, absence de reprise de matériel</t>
  </si>
  <si>
    <t>Non, absence de modalités particulières d'exécution</t>
  </si>
  <si>
    <t>_•	Mesure de l’activité en cas de facturation en « Coût Paramètre prescrit rendu » 
•	Disposition spécifique pour la vente d’équipements aux pays membres de l’espace économique européen (EEE), les coûts supplémentaires s’effectue sur devis.
•	Disposition spécifique pour le matériel reconditionné (article 10 - Matériel reconditionné de la procédure 19U048) :</t>
  </si>
  <si>
    <t>Aucun lot n'est concerné par une REP</t>
  </si>
  <si>
    <t>Aucun lot n'est concerné par de la reprise 1 pour 1</t>
  </si>
  <si>
    <t>el260b</t>
  </si>
  <si>
    <t>el260c</t>
  </si>
  <si>
    <t>el260d</t>
  </si>
  <si>
    <t>el260i</t>
  </si>
  <si>
    <t>el260e</t>
  </si>
  <si>
    <t>Non, absence de lots réservés</t>
  </si>
  <si>
    <t>el498</t>
  </si>
  <si>
    <t>el260f</t>
  </si>
  <si>
    <t>el260g</t>
  </si>
  <si>
    <t>Non, pas de traçabilité sociale des chaines d'approvisionnement pour tous les lots des univers concernés</t>
  </si>
  <si>
    <t>Oui, traçabilité sociale des chaines d'approvisionnement pour tous les lots des univers concernés</t>
  </si>
  <si>
    <t>el260h</t>
  </si>
  <si>
    <t>Non, absence de modalités particulières de vérification/d'admission</t>
  </si>
  <si>
    <t>Oui, Modalités particulières de vérification/d'admission sont envisagées</t>
  </si>
  <si>
    <t xml:space="preserve">Non, absence de modalités particulières de vérification/d'admission </t>
  </si>
  <si>
    <t xml:space="preserve">Sur demande de l’UGAP, le titulaire produit l’attestation d’admission en annexe du CCAP, signée du bénéficiaire sans réserve, mentionnant les références de la commande, la date effective de livraison/mise en service des produits ou de réalisation des prestations. </t>
  </si>
  <si>
    <t>Attestation d'admission dans le cadre de la location maintenance</t>
  </si>
  <si>
    <t>Non, absence de vérification d'aptitude technique</t>
  </si>
  <si>
    <t>Non, absence de recette technique réalisée par l'UGAP</t>
  </si>
  <si>
    <t>Oui, réalisation d'une recette technique</t>
  </si>
  <si>
    <t>Au jour de l'admission</t>
  </si>
  <si>
    <t>A la mise en service;Au jour de l'admission</t>
  </si>
  <si>
    <t>SO</t>
  </si>
  <si>
    <t>Pas de niveau minimal imposé</t>
  </si>
  <si>
    <t>Non, pas de spécimen demandé</t>
  </si>
  <si>
    <t>Oui, nécessité de spécimens dans le cadre de l'analyse de l'offre</t>
  </si>
  <si>
    <t>Non, Aucun accompagnement nécessaire pour la calcul des gains à l'achat</t>
  </si>
  <si>
    <t>Oui, une réunion de criticité est à réaliser</t>
  </si>
  <si>
    <t>Oui, un comité de référencement 1 est à prévoir</t>
  </si>
  <si>
    <t>Oui, Catalogue privatif en place</t>
  </si>
  <si>
    <t xml:space="preserve"> Non, absence d'une e-boutique spécifique</t>
  </si>
  <si>
    <t>Oui, une e-boutique spécifique est en place</t>
  </si>
  <si>
    <t>Oui, commercialisation de l'offre sur le WEB</t>
  </si>
  <si>
    <t>Oui, commercialisation partielle de l'offre sur le WEB;</t>
  </si>
  <si>
    <t>Oui, commercialisation exclusive sur le WEB</t>
  </si>
  <si>
    <t>Partiellement</t>
  </si>
  <si>
    <t>Totalement</t>
  </si>
  <si>
    <t>Oui, un configurateur est en place</t>
  </si>
  <si>
    <t>UGAP ou Titulaire</t>
  </si>
  <si>
    <t xml:space="preserve"> Titulaire</t>
  </si>
  <si>
    <t>Non, Absence de contrôle/accès restreint à typologie de clients/utilisateurs chez le client</t>
  </si>
  <si>
    <t xml:space="preserve">Non, Absence de connexion à une plateforme tierce </t>
  </si>
  <si>
    <t>Oui, connexion à une plateforme tierce</t>
  </si>
  <si>
    <t>Non, Absence de e-procurement</t>
  </si>
  <si>
    <t>Oui, offre en e-procurement</t>
  </si>
  <si>
    <t>100 % Vente Assistée</t>
  </si>
  <si>
    <t>50% Vente Assistée / 50% Vente A Distance</t>
  </si>
  <si>
    <t>Oui, commercialisation de l'offre par le CCM</t>
  </si>
  <si>
    <t>Oui, commercialisation partielle de l'offre par le CCM</t>
  </si>
  <si>
    <t>Oui, commercialisation par la SMAR</t>
  </si>
  <si>
    <t>Non, absence du schéma de vente sur la base de co</t>
  </si>
  <si>
    <t>Schéma de vente offre avec prestations associées</t>
  </si>
  <si>
    <t>Non concerné par l'offre</t>
  </si>
  <si>
    <t>Fiches technico-commerciales; images numériques; Publipostages</t>
  </si>
  <si>
    <t>Fiches technico-commerciales;Images numériques;Publipostages;Nuanciers;Banque de donnée de type AUTOCAD;Matériel de démonstration;Guide de vente</t>
  </si>
  <si>
    <t>Fiches technico-commerciales; images numériques; Publipostages;Nuanciers; Une banque de donnée de type AUTOCAD;Matériel de démonstration; Guide de vente</t>
  </si>
  <si>
    <t>Fiches technico-commerciales;Images numériques</t>
  </si>
  <si>
    <t>Non, absence de convention client</t>
  </si>
  <si>
    <t>Oui existence d'une convention client d'embarquement</t>
  </si>
  <si>
    <t xml:space="preserve">Oui existence d'une convention client d'embarquement </t>
  </si>
  <si>
    <t>SMAR</t>
  </si>
  <si>
    <t>Oui, existence d'autres documents commerciaux</t>
  </si>
  <si>
    <t>Oui, existence d'autres documents commerciaux;</t>
  </si>
  <si>
    <t>Alimentation et ou validation du référencement;Outils;Eléments pour publication (ex : photo);Aides à la commercialisation (prêt de matériel...);Autre</t>
  </si>
  <si>
    <t>Alimentation et ou validation du référencement;Documentation SAV;Outils;Impératifs logistiques UGAP (tracabilité…);Eléments pour publication (ex : photo);Aides à la commercialisation (prêt de matériel...)</t>
  </si>
  <si>
    <t>Alimentation et ou validation du référencement;Documentation SAV;Eléments pour publication (ex : photo);Aides à la commercialisation (prêt de matériel...)</t>
  </si>
  <si>
    <t>Exécution de prestations annexes (CCAP, Annexe 1 à l’acte d’engagement);Accompagnement au déploiement auprès des bénéficiaires de l’UGAP (CCAP, Questionnaire Qualité de service)</t>
  </si>
  <si>
    <t>Documentation/obligation liée au MDR et CE IVD-R</t>
  </si>
  <si>
    <t>Définition du besoin, acceptation du devis UGAP;Emission d’une commande client et signature des CGE</t>
  </si>
  <si>
    <t>Signature de convention client pour les tranches supérieures à 1, pour la MAD et CPPR</t>
  </si>
  <si>
    <t>Recueil des besoins;Remise d’un dossier technique à l’appui du devis qualification et solution technique</t>
  </si>
  <si>
    <t>Pré visite pour certains marchés et réalisation d’études économiques pour la location maintenance et la MAD</t>
  </si>
  <si>
    <t>Accompagnement client et réalisation devis/commande;Application du process de commande et veille à ce que celui-ci soit respecté tout au long du marché;D’une manière générale, amélioration de la qualité de service rendue au client</t>
  </si>
  <si>
    <t>chapitre</t>
  </si>
  <si>
    <t>theme</t>
  </si>
  <si>
    <t>sous theme</t>
  </si>
  <si>
    <t>CHAP_1</t>
  </si>
  <si>
    <t>THEME_1</t>
  </si>
  <si>
    <t>SST_1</t>
  </si>
  <si>
    <t>Caractéristiques générales de l'offre</t>
  </si>
  <si>
    <t>THEME_2</t>
  </si>
  <si>
    <t>SST_2</t>
  </si>
  <si>
    <t>Périmètre de l'offre</t>
  </si>
  <si>
    <t>THEME_3</t>
  </si>
  <si>
    <t>SST_3</t>
  </si>
  <si>
    <t>Engagements</t>
  </si>
  <si>
    <t>THEME_4</t>
  </si>
  <si>
    <t>SST_4</t>
  </si>
  <si>
    <t>Allotissement</t>
  </si>
  <si>
    <t>Si oui, préciser le nombre de lots (indiquer uniquement un chiffre)</t>
  </si>
  <si>
    <t>THEME_5</t>
  </si>
  <si>
    <t>SST_5</t>
  </si>
  <si>
    <t>Etendue géographique de l'offre</t>
  </si>
  <si>
    <t>CHAP_2</t>
  </si>
  <si>
    <t>THEME_6</t>
  </si>
  <si>
    <t>SST_6</t>
  </si>
  <si>
    <t>Secteur d'activité de l'offre</t>
  </si>
  <si>
    <t>THEME_7</t>
  </si>
  <si>
    <t>SST_7</t>
  </si>
  <si>
    <t>Sourcing</t>
  </si>
  <si>
    <t>CHAP_3</t>
  </si>
  <si>
    <t>THEME_8</t>
  </si>
  <si>
    <t>SST_8</t>
  </si>
  <si>
    <t>Mode de passation et typologie de l'accord-cadre</t>
  </si>
  <si>
    <t>THEME_9</t>
  </si>
  <si>
    <t>SST_9</t>
  </si>
  <si>
    <t>Modalités d'intervention</t>
  </si>
  <si>
    <t>SST_10</t>
  </si>
  <si>
    <t>SST_11</t>
  </si>
  <si>
    <t>THEME_10</t>
  </si>
  <si>
    <t>SST_12</t>
  </si>
  <si>
    <t>Durée</t>
  </si>
  <si>
    <t>THEME_11</t>
  </si>
  <si>
    <t>SST_13</t>
  </si>
  <si>
    <t>Clause modificatives de marché</t>
  </si>
  <si>
    <t>SST_14</t>
  </si>
  <si>
    <t>SST_15</t>
  </si>
  <si>
    <t>THEME_12</t>
  </si>
  <si>
    <t>SST_16</t>
  </si>
  <si>
    <t>Gestion de la fin de contrat client</t>
  </si>
  <si>
    <t>CHAP_4</t>
  </si>
  <si>
    <t>THEME_13</t>
  </si>
  <si>
    <t>SST_17</t>
  </si>
  <si>
    <t>Prérequis à l'établissement d'un devis</t>
  </si>
  <si>
    <t>THEME_14</t>
  </si>
  <si>
    <t>SST_18</t>
  </si>
  <si>
    <t>Canal d'enregistrement</t>
  </si>
  <si>
    <t>THEME_15</t>
  </si>
  <si>
    <t>SST_19</t>
  </si>
  <si>
    <t>SST_20</t>
  </si>
  <si>
    <t>THEME_16</t>
  </si>
  <si>
    <t>SST_21</t>
  </si>
  <si>
    <t>Dématerialisation des devis / Commande</t>
  </si>
  <si>
    <t>THEME_17</t>
  </si>
  <si>
    <t>SST_22</t>
  </si>
  <si>
    <t>Modification, resiliation, annulation des BDCs</t>
  </si>
  <si>
    <t>CHAP_5</t>
  </si>
  <si>
    <t>THEME_18</t>
  </si>
  <si>
    <t>GARANTIE _SAV_MAINTENANCE</t>
  </si>
  <si>
    <t>SST_23</t>
  </si>
  <si>
    <t>THEME_19</t>
  </si>
  <si>
    <t>SST_24</t>
  </si>
  <si>
    <t>Garantie contractuelle de base</t>
  </si>
  <si>
    <t>THEME_20</t>
  </si>
  <si>
    <t>SST_25</t>
  </si>
  <si>
    <t>Etendue de la garantie</t>
  </si>
  <si>
    <t>THEME_21</t>
  </si>
  <si>
    <t>SST_26</t>
  </si>
  <si>
    <t>THEME_22</t>
  </si>
  <si>
    <t>SST_27</t>
  </si>
  <si>
    <t>Maintenance</t>
  </si>
  <si>
    <t>SST_28</t>
  </si>
  <si>
    <t>SST_29</t>
  </si>
  <si>
    <t>CHAP_6</t>
  </si>
  <si>
    <t>THEME_23</t>
  </si>
  <si>
    <t>SST_30</t>
  </si>
  <si>
    <t>Schéma de rémunération de l'UGAP</t>
  </si>
  <si>
    <t>THEME_24</t>
  </si>
  <si>
    <t>SST_31</t>
  </si>
  <si>
    <t>Flux de facturation client</t>
  </si>
  <si>
    <t>THEME_25</t>
  </si>
  <si>
    <t>SST_32</t>
  </si>
  <si>
    <t>Flux de facturation fournisseur</t>
  </si>
  <si>
    <t>THEME_26</t>
  </si>
  <si>
    <t>SST_33</t>
  </si>
  <si>
    <t xml:space="preserve">Modalités / Actions spécifiques ou particulières sont identifiées pour le paiement  </t>
  </si>
  <si>
    <t>THEME_27</t>
  </si>
  <si>
    <t>SST_34</t>
  </si>
  <si>
    <t>Avances / Acomptes</t>
  </si>
  <si>
    <t>CHAP_7</t>
  </si>
  <si>
    <t>THEME_28</t>
  </si>
  <si>
    <t>SST_35</t>
  </si>
  <si>
    <t>Qualité de service et suivi des titulaires</t>
  </si>
  <si>
    <t>THEME_29</t>
  </si>
  <si>
    <t>SST_36</t>
  </si>
  <si>
    <t>Pénalités</t>
  </si>
  <si>
    <t>THEME_30</t>
  </si>
  <si>
    <t>SST_37</t>
  </si>
  <si>
    <t>CHAP_8</t>
  </si>
  <si>
    <t>THEME_31</t>
  </si>
  <si>
    <t xml:space="preserve">CONFORMITE - Protection des données personnelles </t>
  </si>
  <si>
    <t>SST_38</t>
  </si>
  <si>
    <t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t>
  </si>
  <si>
    <t>THEME_32</t>
  </si>
  <si>
    <t>SST_39</t>
  </si>
  <si>
    <t>DROITS DE PROPRIETE INTELECTUELLE</t>
  </si>
  <si>
    <t>CHAP_9</t>
  </si>
  <si>
    <t>THEME_33</t>
  </si>
  <si>
    <t>SST_40</t>
  </si>
  <si>
    <t>Forme des prix et composition des prix</t>
  </si>
  <si>
    <t>SST_41</t>
  </si>
  <si>
    <t>SST_42</t>
  </si>
  <si>
    <t>SST_43</t>
  </si>
  <si>
    <t>THEME_34</t>
  </si>
  <si>
    <t>SST_44</t>
  </si>
  <si>
    <t>Variation des prix ou taux de remise</t>
  </si>
  <si>
    <t>SST_45</t>
  </si>
  <si>
    <t>SST_46</t>
  </si>
  <si>
    <t>SST_47</t>
  </si>
  <si>
    <t>CHAP_10</t>
  </si>
  <si>
    <t>THEME_35</t>
  </si>
  <si>
    <t>SST_48</t>
  </si>
  <si>
    <t>Distribution sur stock et transport (Offre de produits exécutés)</t>
  </si>
  <si>
    <t>THEME_36</t>
  </si>
  <si>
    <t>SST_49</t>
  </si>
  <si>
    <t>Conditions d'achat</t>
  </si>
  <si>
    <t>THEME_37</t>
  </si>
  <si>
    <t>SST_50</t>
  </si>
  <si>
    <t>Modalités de livraison</t>
  </si>
  <si>
    <t>THEME_38</t>
  </si>
  <si>
    <t>SST_51</t>
  </si>
  <si>
    <t>Délais</t>
  </si>
  <si>
    <t>THEME_39</t>
  </si>
  <si>
    <t>SST_52</t>
  </si>
  <si>
    <t>Modalités particulières d'exécution</t>
  </si>
  <si>
    <t>THEME_40</t>
  </si>
  <si>
    <t>SST_53</t>
  </si>
  <si>
    <t>Politiques publiques</t>
  </si>
  <si>
    <t>THEME_41</t>
  </si>
  <si>
    <t>SST_54</t>
  </si>
  <si>
    <t>Admission des prestations</t>
  </si>
  <si>
    <t>CHAP_11</t>
  </si>
  <si>
    <t>THEME_42</t>
  </si>
  <si>
    <t>SST_55</t>
  </si>
  <si>
    <t>SST_56</t>
  </si>
  <si>
    <t>SST_57</t>
  </si>
  <si>
    <t>SST_58</t>
  </si>
  <si>
    <t>SST_59</t>
  </si>
  <si>
    <t>THEME_43</t>
  </si>
  <si>
    <t>SST_60</t>
  </si>
  <si>
    <t>Analyse des offres</t>
  </si>
  <si>
    <t>THEME_44</t>
  </si>
  <si>
    <t>SST_61</t>
  </si>
  <si>
    <t>Gain à l'achat</t>
  </si>
  <si>
    <t>CHAP_12</t>
  </si>
  <si>
    <t>THEME_45</t>
  </si>
  <si>
    <t>SST_62</t>
  </si>
  <si>
    <t>Référencement</t>
  </si>
  <si>
    <t>THEME_46</t>
  </si>
  <si>
    <t>SST_63</t>
  </si>
  <si>
    <t>Promotion de l'offre</t>
  </si>
  <si>
    <t>THEME_47</t>
  </si>
  <si>
    <t>SST_64</t>
  </si>
  <si>
    <t>Canaux de vente</t>
  </si>
  <si>
    <t>THEME_48</t>
  </si>
  <si>
    <t>SST_65</t>
  </si>
  <si>
    <t>Schémas de vente</t>
  </si>
  <si>
    <t>THEME_49</t>
  </si>
  <si>
    <t>SST_66</t>
  </si>
  <si>
    <t>Support de vente</t>
  </si>
  <si>
    <t>THEME_50</t>
  </si>
  <si>
    <t>SST_67</t>
  </si>
  <si>
    <t>Documents contractuels clients</t>
  </si>
  <si>
    <t>THEME_51</t>
  </si>
  <si>
    <t>SST_68</t>
  </si>
  <si>
    <t>Eléments attendus du titulaire</t>
  </si>
  <si>
    <t>THEME_52</t>
  </si>
  <si>
    <t>SST_69</t>
  </si>
  <si>
    <t>Embarquement client</t>
  </si>
  <si>
    <t>col</t>
  </si>
  <si>
    <t>QuestionAAfficher</t>
  </si>
  <si>
    <t>Question conditionnante</t>
  </si>
  <si>
    <t>Si</t>
  </si>
  <si>
    <t>Condition Pour Afficher</t>
  </si>
  <si>
    <t>&lt;&gt;</t>
  </si>
  <si>
    <t>clause de réexamen</t>
  </si>
  <si>
    <t>Autres</t>
  </si>
  <si>
    <t>Clause promo</t>
  </si>
  <si>
    <t>Non conforme</t>
  </si>
  <si>
    <t>échéance</t>
  </si>
  <si>
    <t>mono</t>
  </si>
  <si>
    <t>multi</t>
  </si>
  <si>
    <t>Matériel</t>
  </si>
  <si>
    <t>Départ Usine</t>
  </si>
  <si>
    <t>FEC (Entrepôt UGAP)</t>
  </si>
  <si>
    <t>outre</t>
  </si>
  <si>
    <t>véhicule</t>
  </si>
  <si>
    <t>Pilotage avec KPI</t>
  </si>
  <si>
    <t>Pas de critère Qualité de Service</t>
  </si>
  <si>
    <t>Tout ou partie</t>
  </si>
  <si>
    <t>Si oui, justifier pourquoi et prendre attache auprès du chargé de mission NTIC et le Délégué de Protection des Données</t>
  </si>
  <si>
    <t xml:space="preserve">Les données personnelles relatives aux utilisateurs finaux de la prestation ont-elles vocation à transiter / intégrer le système d’information de l’UGAP ? </t>
  </si>
  <si>
    <t>prestation</t>
  </si>
  <si>
    <t>FEC</t>
  </si>
  <si>
    <t>ferme</t>
  </si>
  <si>
    <t>indice</t>
  </si>
  <si>
    <t xml:space="preserve"> tarif public à tout mo</t>
  </si>
  <si>
    <t>autre</t>
  </si>
  <si>
    <t xml:space="preserve"> tarif public à date fixe</t>
  </si>
  <si>
    <t>El323</t>
  </si>
  <si>
    <t>Si 1ère révision des prix, préciser la fréquence</t>
  </si>
  <si>
    <t>El323b</t>
  </si>
  <si>
    <t xml:space="preserve">Si 1ère révision des prix, préciser le type de date applicable </t>
  </si>
  <si>
    <t>El323c</t>
  </si>
  <si>
    <t>Date à préciser</t>
  </si>
  <si>
    <t>Groupement solidaire obligatoire</t>
  </si>
  <si>
    <t>Oui. Niveau minimal imposé</t>
  </si>
  <si>
    <t>L’analyse de la convenance est prévue sur une autre configuration</t>
  </si>
  <si>
    <t xml:space="preserve">Guide de vente </t>
  </si>
  <si>
    <t>Marchés subséquents</t>
  </si>
  <si>
    <t>et</t>
  </si>
  <si>
    <t>Offre non exécutée</t>
  </si>
  <si>
    <t>Renouvellement d'offre</t>
  </si>
  <si>
    <t>El335b</t>
  </si>
  <si>
    <t xml:space="preserve">Y a-t-il des annexes au CCAP ? </t>
  </si>
  <si>
    <t>maintenance</t>
  </si>
  <si>
    <t>non</t>
  </si>
  <si>
    <t>oui</t>
  </si>
  <si>
    <t>etranger</t>
  </si>
  <si>
    <t>OM</t>
  </si>
  <si>
    <t>corrective</t>
  </si>
  <si>
    <t>Différent</t>
  </si>
  <si>
    <t>engagement</t>
  </si>
  <si>
    <t>CCAP avec annexes</t>
  </si>
  <si>
    <t>taux de remise</t>
  </si>
  <si>
    <t>Question fille</t>
  </si>
  <si>
    <t>Question mère</t>
  </si>
  <si>
    <t>nb question filles</t>
  </si>
  <si>
    <t>nb de Q mère</t>
  </si>
  <si>
    <t>EST Q mère</t>
  </si>
  <si>
    <t>EST Q fille</t>
  </si>
  <si>
    <t>El511</t>
  </si>
  <si>
    <t>CHAP_13</t>
  </si>
  <si>
    <t>DAG Mobilier scolaire et Equipement_général</t>
  </si>
  <si>
    <t>DAG Mobilier scolaire et Equipement général</t>
  </si>
  <si>
    <t>Mobilier scolaire</t>
  </si>
  <si>
    <t>Equipement general</t>
  </si>
  <si>
    <t>DAG SOFI</t>
  </si>
  <si>
    <t>Services aux batiments</t>
  </si>
  <si>
    <t>Services aux occupants</t>
  </si>
  <si>
    <t>Offres Financieres</t>
  </si>
  <si>
    <t>Materiel et Prestations</t>
  </si>
  <si>
    <t>EQ Soins et Secours</t>
  </si>
  <si>
    <t>EQ Lourds</t>
  </si>
  <si>
    <t>DM DMS</t>
  </si>
  <si>
    <t>VBA_</t>
  </si>
  <si>
    <t>Direction Non standardisé</t>
  </si>
  <si>
    <t>Univers Non Standardisé</t>
  </si>
  <si>
    <t>DAG</t>
  </si>
  <si>
    <t>Non_Standardisé</t>
  </si>
  <si>
    <t>Dag_Sofi</t>
  </si>
  <si>
    <t>version</t>
  </si>
  <si>
    <t>date</t>
  </si>
  <si>
    <t>source</t>
  </si>
  <si>
    <t>note</t>
  </si>
  <si>
    <t>1</t>
  </si>
  <si>
    <t>2026-10-15</t>
  </si>
  <si>
    <t>02_PhaseElaborationOffre_DossierConception_V4_07072026.xlsm</t>
  </si>
  <si>
    <t>Migration initiale depuis l'outil d'origine</t>
  </si>
  <si>
    <t>id</t>
  </si>
  <si>
    <t>type</t>
  </si>
  <si>
    <t>libelle</t>
  </si>
  <si>
    <t>parent</t>
  </si>
  <si>
    <t>ordre</t>
  </si>
  <si>
    <t>CHAPITRE</t>
  </si>
  <si>
    <t>THEME</t>
  </si>
  <si>
    <t>2</t>
  </si>
  <si>
    <t>SST_ElTT405</t>
  </si>
  <si>
    <t>SOUS_THEME</t>
  </si>
  <si>
    <t>3</t>
  </si>
  <si>
    <t>4</t>
  </si>
  <si>
    <t>SST_ElTT406</t>
  </si>
  <si>
    <t>5</t>
  </si>
  <si>
    <t>6</t>
  </si>
  <si>
    <t>SST_ElTT407</t>
  </si>
  <si>
    <t>7</t>
  </si>
  <si>
    <t>8</t>
  </si>
  <si>
    <t>SST_ElTT408</t>
  </si>
  <si>
    <t>9</t>
  </si>
  <si>
    <t>10</t>
  </si>
  <si>
    <t>SST_ElTT409</t>
  </si>
  <si>
    <t>11</t>
  </si>
  <si>
    <t>12</t>
  </si>
  <si>
    <t>13</t>
  </si>
  <si>
    <t>SST_ElTT411</t>
  </si>
  <si>
    <t>14</t>
  </si>
  <si>
    <t>15</t>
  </si>
  <si>
    <t>SST_ElTT412</t>
  </si>
  <si>
    <t>16</t>
  </si>
  <si>
    <t>17</t>
  </si>
  <si>
    <t>18</t>
  </si>
  <si>
    <t>SST_ElTT414</t>
  </si>
  <si>
    <t>19</t>
  </si>
  <si>
    <t>20</t>
  </si>
  <si>
    <t>SST_ElTT415</t>
  </si>
  <si>
    <t>Modalités d'intervention de l'UGAP</t>
  </si>
  <si>
    <t>21</t>
  </si>
  <si>
    <t>22</t>
  </si>
  <si>
    <t>23</t>
  </si>
  <si>
    <t>24</t>
  </si>
  <si>
    <t>SST_ElTT418</t>
  </si>
  <si>
    <t>25</t>
  </si>
  <si>
    <t>26</t>
  </si>
  <si>
    <t>SST_ElTT419</t>
  </si>
  <si>
    <t>27</t>
  </si>
  <si>
    <t>28</t>
  </si>
  <si>
    <t>29</t>
  </si>
  <si>
    <t>30</t>
  </si>
  <si>
    <t>SST_ElTT423</t>
  </si>
  <si>
    <t>31</t>
  </si>
  <si>
    <t>32</t>
  </si>
  <si>
    <t>33</t>
  </si>
  <si>
    <t>SST_ElTT431</t>
  </si>
  <si>
    <t>34</t>
  </si>
  <si>
    <t>35</t>
  </si>
  <si>
    <t>SST_ElTT432</t>
  </si>
  <si>
    <t>Canal d'enregistrement devis/commande / Minimum de commande</t>
  </si>
  <si>
    <t>36</t>
  </si>
  <si>
    <t>04-3 Minimum de commande</t>
  </si>
  <si>
    <t>37</t>
  </si>
  <si>
    <t>38</t>
  </si>
  <si>
    <t>39</t>
  </si>
  <si>
    <t>40</t>
  </si>
  <si>
    <t>SST_ElTT436</t>
  </si>
  <si>
    <t>41</t>
  </si>
  <si>
    <t>42</t>
  </si>
  <si>
    <t>SST_ElTT438</t>
  </si>
  <si>
    <t>43</t>
  </si>
  <si>
    <t>44</t>
  </si>
  <si>
    <t>THM_ElT445</t>
  </si>
  <si>
    <t>Généralités</t>
  </si>
  <si>
    <t>45</t>
  </si>
  <si>
    <t>SST_THM_ElT445</t>
  </si>
  <si>
    <t>46</t>
  </si>
  <si>
    <t>47</t>
  </si>
  <si>
    <t>SST_ElTT446</t>
  </si>
  <si>
    <t>48</t>
  </si>
  <si>
    <t>49</t>
  </si>
  <si>
    <t>SST_ElTT447</t>
  </si>
  <si>
    <t>50</t>
  </si>
  <si>
    <t>51</t>
  </si>
  <si>
    <t>SST_ElTT448</t>
  </si>
  <si>
    <t>Extension de la garantie</t>
  </si>
  <si>
    <t>52</t>
  </si>
  <si>
    <t>53</t>
  </si>
  <si>
    <t>SST_ElTT437</t>
  </si>
  <si>
    <t>54</t>
  </si>
  <si>
    <t>55</t>
  </si>
  <si>
    <t>SST_ElTT502</t>
  </si>
  <si>
    <t>Typologie, prix et durée de la maintenance</t>
  </si>
  <si>
    <t>56</t>
  </si>
  <si>
    <t>57</t>
  </si>
  <si>
    <t>SST_ElTT503</t>
  </si>
  <si>
    <t>Commande de maintenance</t>
  </si>
  <si>
    <t>58</t>
  </si>
  <si>
    <t>59</t>
  </si>
  <si>
    <t>60</t>
  </si>
  <si>
    <t>SST_ElTT440</t>
  </si>
  <si>
    <t>61</t>
  </si>
  <si>
    <t>62</t>
  </si>
  <si>
    <t>SST_ElTT441</t>
  </si>
  <si>
    <t>63</t>
  </si>
  <si>
    <t>64</t>
  </si>
  <si>
    <t>SST_ElTT442</t>
  </si>
  <si>
    <t>65</t>
  </si>
  <si>
    <t>06.4 Modalités / Actions spécifiques ou particulières sont identifiées pour le paiement</t>
  </si>
  <si>
    <t>66</t>
  </si>
  <si>
    <t>SST_ElTT443</t>
  </si>
  <si>
    <t>Modalités / Actions spécifiques ou particulières sont identifiées pour le paiement</t>
  </si>
  <si>
    <t>67</t>
  </si>
  <si>
    <t>68</t>
  </si>
  <si>
    <t>SST_ElTT444</t>
  </si>
  <si>
    <t>69</t>
  </si>
  <si>
    <t>70</t>
  </si>
  <si>
    <t>71</t>
  </si>
  <si>
    <t>SST_ElTT450</t>
  </si>
  <si>
    <t>72</t>
  </si>
  <si>
    <t>73</t>
  </si>
  <si>
    <t>SST_ElTT451</t>
  </si>
  <si>
    <t>74</t>
  </si>
  <si>
    <t>75</t>
  </si>
  <si>
    <t>SST_ElTT452</t>
  </si>
  <si>
    <t>Performance de l'offre</t>
  </si>
  <si>
    <t>76</t>
  </si>
  <si>
    <t>08.0  CONFORMITE - Protection des données personnelles</t>
  </si>
  <si>
    <t>77</t>
  </si>
  <si>
    <t>THM_ElT453</t>
  </si>
  <si>
    <t>CONFORMITE - Protection des données personnelles</t>
  </si>
  <si>
    <t>78</t>
  </si>
  <si>
    <t>SST_THM_ElT453</t>
  </si>
  <si>
    <t>79</t>
  </si>
  <si>
    <t>80</t>
  </si>
  <si>
    <t>THM_ElT491</t>
  </si>
  <si>
    <t>81</t>
  </si>
  <si>
    <t>SST_THM_ElT491</t>
  </si>
  <si>
    <t>82</t>
  </si>
  <si>
    <t>83</t>
  </si>
  <si>
    <t>84</t>
  </si>
  <si>
    <t>SST_ElTT455</t>
  </si>
  <si>
    <t>85</t>
  </si>
  <si>
    <t>86</t>
  </si>
  <si>
    <t>10.1.2 Frais</t>
  </si>
  <si>
    <t>87</t>
  </si>
  <si>
    <t>10.1.3  Support d'enregistrement</t>
  </si>
  <si>
    <t>88</t>
  </si>
  <si>
    <t>89</t>
  </si>
  <si>
    <t>SST_ElTT458</t>
  </si>
  <si>
    <t>90</t>
  </si>
  <si>
    <t>91</t>
  </si>
  <si>
    <t>92</t>
  </si>
  <si>
    <t>93</t>
  </si>
  <si>
    <t>94</t>
  </si>
  <si>
    <t>95</t>
  </si>
  <si>
    <t>SST_ElTT463</t>
  </si>
  <si>
    <t>96</t>
  </si>
  <si>
    <t>97</t>
  </si>
  <si>
    <t>SST_ElTT464</t>
  </si>
  <si>
    <t>98</t>
  </si>
  <si>
    <t>99</t>
  </si>
  <si>
    <t>SST_ElTT465</t>
  </si>
  <si>
    <t>100</t>
  </si>
  <si>
    <t>101</t>
  </si>
  <si>
    <t>SST_ElTT466</t>
  </si>
  <si>
    <t>102</t>
  </si>
  <si>
    <t>103</t>
  </si>
  <si>
    <t>SST_ElTT467</t>
  </si>
  <si>
    <t>104</t>
  </si>
  <si>
    <t>105</t>
  </si>
  <si>
    <t>SST_ElTT468</t>
  </si>
  <si>
    <t>106</t>
  </si>
  <si>
    <t>107</t>
  </si>
  <si>
    <t>SST_ElTT469</t>
  </si>
  <si>
    <t>108</t>
  </si>
  <si>
    <t>109</t>
  </si>
  <si>
    <t>110</t>
  </si>
  <si>
    <t>111</t>
  </si>
  <si>
    <t>112</t>
  </si>
  <si>
    <t>113</t>
  </si>
  <si>
    <t>114</t>
  </si>
  <si>
    <t>115</t>
  </si>
  <si>
    <t>116</t>
  </si>
  <si>
    <t>SST_ElTT477</t>
  </si>
  <si>
    <t>117</t>
  </si>
  <si>
    <t>118</t>
  </si>
  <si>
    <t>SST_ElTT478</t>
  </si>
  <si>
    <t>119</t>
  </si>
  <si>
    <t>120</t>
  </si>
  <si>
    <t>121</t>
  </si>
  <si>
    <t>SST_ElTT480</t>
  </si>
  <si>
    <t>122</t>
  </si>
  <si>
    <t>123</t>
  </si>
  <si>
    <t>SST_ElTT481</t>
  </si>
  <si>
    <t>124</t>
  </si>
  <si>
    <t>125</t>
  </si>
  <si>
    <t>SST_ElTT482</t>
  </si>
  <si>
    <t>126</t>
  </si>
  <si>
    <t>127</t>
  </si>
  <si>
    <t>SST_ElTT483</t>
  </si>
  <si>
    <t>128</t>
  </si>
  <si>
    <t>129</t>
  </si>
  <si>
    <t>SST_ElTT484</t>
  </si>
  <si>
    <t>130</t>
  </si>
  <si>
    <t>131</t>
  </si>
  <si>
    <t>SST_ElTT485</t>
  </si>
  <si>
    <t>132</t>
  </si>
  <si>
    <t>133</t>
  </si>
  <si>
    <t>SST_ElTT486</t>
  </si>
  <si>
    <t>134</t>
  </si>
  <si>
    <t>135</t>
  </si>
  <si>
    <t>SST_ElTT487</t>
  </si>
  <si>
    <t>Embarquement client - Identifier et préciser de manière synthétique si des obligations / actions particulières/spécifiques sont envisagées en avant-vente (recueil besoin, devis, commande) à la charge :</t>
  </si>
  <si>
    <t>136</t>
  </si>
  <si>
    <t>sous_theme</t>
  </si>
  <si>
    <t>mode</t>
  </si>
  <si>
    <t>choix</t>
  </si>
  <si>
    <t>operateur</t>
  </si>
  <si>
    <t>alimente_ccap</t>
  </si>
  <si>
    <t>active</t>
  </si>
  <si>
    <t>systeme</t>
  </si>
  <si>
    <t>Direction (standard de direction)</t>
  </si>
  <si>
    <t>Univers (standard d'univers)</t>
  </si>
  <si>
    <t>Numéro et objet de la procédure à renouveler / ou à lancer</t>
  </si>
  <si>
    <t>Cette procédure est-elle concernée par une des définitions suivantes et si oui sélectionner les définitions concernées :</t>
  </si>
  <si>
    <t>Ensemble batterie|Location de batterie|Acquisition de batterie|Piles à combustibles (hydrogène)|Acquisition de véhicules|Acquisition de véhicules à hydrogène|Acquisition de véhicules 100% électriques|Acquisition d'équipement de véhicules|Location de véhicules</t>
  </si>
  <si>
    <t>Offre nouvelle|Renouvellement d'offres avec extension|Renouvellement d'offres avec création|Renouvellement d'offre sans création/extension|Renouvellement d'offres avec extension et création</t>
  </si>
  <si>
    <t>Matériel|Prestations récurrentes|Prestations ponctuelles|Matériel et prestations récurrentes|Matériel et prestations ponctuelles|Matériel et prestations récurrentes et ponctuelles|Prestations récurrentes et ponctuelles</t>
  </si>
  <si>
    <t>Prestations associées et annexes|Prestations associées|Prestations annexes</t>
  </si>
  <si>
    <t>Oui|Non</t>
  </si>
  <si>
    <t>Etat|Opérateurs de l'Etat|Etablissements Hospitaliers|Collectivités territoriales|Clients transfrontaliers|Autres</t>
  </si>
  <si>
    <t>Sociétés d’autoroutes|Délégataires de service public|Caisses et entreprises|Autre</t>
  </si>
  <si>
    <t>l'UGAP est-elle bénéficiaire ?</t>
  </si>
  <si>
    <t>Oui, l'UGAP est bénéficaire de l'offre|Non, l'UGAP n'est pas bénéficiaire de l'offre</t>
  </si>
  <si>
    <t>Oui, le principe d'engagement maximum sans minimum s'applique|Non, dérogation au standard</t>
  </si>
  <si>
    <t>Oui, un engagement maximum et minimum s'applique|Non, un engagement maximum et minimum ne s'applique pas</t>
  </si>
  <si>
    <t>Le montant total estimé de la procédure est-il supérieur à 250 millions d'euros HT ?</t>
  </si>
  <si>
    <t>Oui, procédure avec allotissement|Non, dérogation au principe d'allotissement</t>
  </si>
  <si>
    <t>L'allotissement fait-il l'objet d'une évolution</t>
  </si>
  <si>
    <t>Oui, l'allotissement fait l'objet d'une évolution|Non, l'allotissement ne fait pas l'objet d'une évolution</t>
  </si>
  <si>
    <t>Abandon de lots|Nouveaux lots|Evolution de format des lots reconduits</t>
  </si>
  <si>
    <t>Oui, limitation du nombre de lots par titulaire|Non, absence de limitation de lots</t>
  </si>
  <si>
    <t>Candidature|Attribution</t>
  </si>
  <si>
    <t>Dépendance économique|Contraintes règlementaires|Risque de conflits d'intérêt|Autre</t>
  </si>
  <si>
    <t>France métropolitaine|France continentale|Corse et îles littorales non desservies par un pont gratuit|DROM|COM|Etranger</t>
  </si>
  <si>
    <t>Représentations françaises dans l’Union Européenne|Représentations françaises à l’étranger|Monaco, Suisse, Andorre|EEE|Autres</t>
  </si>
  <si>
    <t>Oui, existence d'une couverture géographique facultative|Non, absence de couverture géographique facultative</t>
  </si>
  <si>
    <t>Préciser la nature des produits et des prestations concernées par la couverture géographique obligatoire/facultative</t>
  </si>
  <si>
    <t>Oui, part importante de PME|Non, part peu importante de PME</t>
  </si>
  <si>
    <t>Oui, relation engagée avec une fédération ou syndicats professionnels|Non, absence de relation avec une fédération ou syndicats professionnels</t>
  </si>
  <si>
    <t>Oui, une action est envisagée|Non, absence d'action envisagée</t>
  </si>
  <si>
    <t>Présenter le tableau des entreprises sourcées</t>
  </si>
  <si>
    <t>Préciser quelle est la méthodologie retenue pour déterminer les fournisseurs rencontrés et assurer le respect de la concurrence ?</t>
  </si>
  <si>
    <t>Oui, mode de passation en Appel d'Offres Ouverts|Non, autre mode de passation</t>
  </si>
  <si>
    <t>Appel d'offres restreint|Dialogue compétitif|Procédure concurrentielle avec négociation|SAD avec enchères|SAD sans enchères|Non concerné pour l'offre</t>
  </si>
  <si>
    <t>AC-Bons de commande|AC-Bons de commande|AC-Marchés subséquents et Bons de commande</t>
  </si>
  <si>
    <t>Mono attribué|Multi attribué|Mono et Multi attribué</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</si>
  <si>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défaillance|Sur règle d'attribution à la défaillance temporaire et/ou définitive|Autres</t>
  </si>
  <si>
    <t>Si AC mixte, préciser par lot les modalités d'attribution</t>
  </si>
  <si>
    <t>Oui, les modalités d'attribution identiques pour tous les lots|Non, les modalités d'attribution diffèrent selon les lots</t>
  </si>
  <si>
    <t>Offre exécutée|Offre non exécutée|Offre exécutée &amp; Offre non exécutée</t>
  </si>
  <si>
    <t>Préciser les modalités de passation des marchés subséquents en Accord-cadre mono et/ou en Accord-cadre multi attribué</t>
  </si>
  <si>
    <t>Y’a-t-il une dérogation au principe de non exclusivité ?</t>
  </si>
  <si>
    <t>Oui, dérogation au principe de non exclusivité|Non, absence de dérogation au principe de non exclusivité</t>
  </si>
  <si>
    <t>L’adhésion ou la renonciation se fera t’elle via un formulaire d’enquête sur Ugap.fr ?</t>
  </si>
  <si>
    <t>Oui, adhésion ou renonciation sur formulaire ugap.fr|Non, absence de formulaire sur ugap.fr</t>
  </si>
  <si>
    <t>Dans le cadre de la passation de marchés subséquents sur AC non exécuté qui effectuera la remise en concurrence/la passation/la notification des marchés subséquents ?</t>
  </si>
  <si>
    <t>Charge des marchés subséquents par l'Ugap|Charge des marchés subséquents par le client</t>
  </si>
  <si>
    <t>A la survenance du besoin|par périodicité</t>
  </si>
  <si>
    <t>Préciser les modalités de passation en Accord-cadre mono et/ou en Accord-cadre multi attribué</t>
  </si>
  <si>
    <t>Passation des marchés subséquents à la survenance du besoin|Passation des marchés subséquents par périodicité|Passation des Bons de commandes sur Accord-cadre</t>
  </si>
  <si>
    <t>Quelle sera la forme des marchés subséquents</t>
  </si>
  <si>
    <t>Mono client|Multi client</t>
  </si>
  <si>
    <t>Oui, le format offre plurielle s'applique|Non, le format offre plurielle ne s'applique pas</t>
  </si>
  <si>
    <t>Oui, Durée de 48 mois|Non, dérogation à la durée de 48 mois</t>
  </si>
  <si>
    <t>Liste de choix ou texte</t>
  </si>
  <si>
    <t>Quelle est la durée initiale en mois du marché ?</t>
  </si>
  <si>
    <t>36 mois|autre</t>
  </si>
  <si>
    <t>Si autre, préciser la durée initiale</t>
  </si>
  <si>
    <t>Oui, Le principe de reconduction s'applique|Non, dérogation au principe de reconduction</t>
  </si>
  <si>
    <t>Expresse|Tacite</t>
  </si>
  <si>
    <t>Si oui, Quel est le nombre de reconductions possibles ?</t>
  </si>
  <si>
    <t>1 reconduction|2 reconductions|3 reconductions|4 reconductions</t>
  </si>
  <si>
    <t>Si oui, Quelle est la durée de chaque reconduction ?</t>
  </si>
  <si>
    <t>12 mois|6 mois|4 mois|3 mois|1 fois 6 mois et 2 fois 3 mois</t>
  </si>
  <si>
    <t>Oui, ces modalités  s'appliquent à l'ensemble des lots|Non, ces modalités ne s'appliquent pas à l'ensemble des lots</t>
  </si>
  <si>
    <t>Durée d'exécution des bons de commande ou des marchés subséquents  dépassera t'elle la date de fin du support contractuel ?</t>
  </si>
  <si>
    <t>Oui, la durée des BDC demeure exécutable au-delà du support contractuel sur la base des durées annoncées dans le CCAP|Non, absence d'exécution des BDC ou MS au-delà du support contractuel</t>
  </si>
  <si>
    <t>Oui, un déploiement long est prévu|Oui, des travaux d'interfaçage et de déploiement long sont prévus|Non, absence de travaux d'interfacage ou de déploiement long</t>
  </si>
  <si>
    <t>Quelles sont les clauses modificatives applicables ?</t>
  </si>
  <si>
    <t>Clause promo|Clause devis 5%|Clause de réexamen|Avenant|marchés de prestations similaires</t>
  </si>
  <si>
    <t>Si clause de réexamen applicable, quel est le périmètre de la clause de réexamen</t>
  </si>
  <si>
    <t>Pour évolutions techniques ou technologiques|Suite à évolutions techniques et règlementaires|Ajouts nécessaires à bonne exécution de marché|En cas de circonstances imprévisibles|Modifications du montant maximum|Autres</t>
  </si>
  <si>
    <t>Diminution du prix net d'un ou de plusieurs matériel(s)/prestations|La mise en place de conditionnements promotionnels (vente de lots)|La mise en place de packages dit promotionnels regroupant plusieurs matériels, options, accessoires du marché</t>
  </si>
  <si>
    <t>Oui, obligations particulières à la gestion des fins de contrats|Non, absence d'obligations particulières à la gestion des fins de contrats</t>
  </si>
  <si>
    <t>Oui, Accompagnement souhaité pour la gestion des fins de contrats|Non, absence d'accompagnement à la gestion des fins de contrats</t>
  </si>
  <si>
    <t>Oui, l'offre prévoit un devis UGAP|Non, la proposition du titulaire se substitue au devis UGAP</t>
  </si>
  <si>
    <t>Oui, prérequis à l'établissement d'un devis|Non, absence de prérequis à l'établissement d'un devis</t>
  </si>
  <si>
    <t>Qualification du besoin par le titulaire et rédaction d’un dossier technique le cas échéant|fiche de vente|prévisite du titulaire|questionnaire client (offre plurielle)|fiche de recensement|attestation de complément de parc|eprocurement|devis tripartite avec outillage|convention d'embarquement|autre</t>
  </si>
  <si>
    <t>Oui, canal d'enregistrement des devis identique à la commande|Non, canal d'enregistrement distinct de celui de la commande</t>
  </si>
  <si>
    <t>Le marché prévoit-il une clause de devis tripartite ?</t>
  </si>
  <si>
    <t>Oui, clause obligatoire|Oui, clause facultative|Non, absence de clause</t>
  </si>
  <si>
    <t>Un minimum de commande client géré par l'UGAP est-il en envisagé ?</t>
  </si>
  <si>
    <t>Oui, un minimum de commande client est envisagé|Non, absence de mimimum de commande client</t>
  </si>
  <si>
    <t>minimum en quantité|minimum en montant</t>
  </si>
  <si>
    <t>Si oui, la gestion du minimum de commande nécessite-t-elle des paramétrages informatiques ?</t>
  </si>
  <si>
    <t>Oui, paramétrages informatiques nécessaires|Non, aucun paramétrage nécessaire</t>
  </si>
  <si>
    <t>Modalités standard de commande</t>
  </si>
  <si>
    <t>Oui, modalités standard de commande|Non, dérogation au standard de commande</t>
  </si>
  <si>
    <t>Devis tripartite|CCM|E-commerce|réel constaté|Autre</t>
  </si>
  <si>
    <t>Un minimum de commande fournisseur géré par l'UGAP est-il en envisagé ?</t>
  </si>
  <si>
    <t>Oui, un minimum de commande fournisseur est envisagé|Non, absence de mimimum de commande fournisseur</t>
  </si>
  <si>
    <t>Oui, minimum d'achat pour l'exonération des frais de port|Non, absence de minimum d'achat pour l'exonération des frais de port</t>
  </si>
  <si>
    <t>Oui, dématerialisation des commandes|Non, Absence de dématerialisation des commandes</t>
  </si>
  <si>
    <t>Oui, Délai de transmission des informations liées à la commande ou à la livraisons conforme à 3 jours|Non, délai de transmission des informations liées à la commande ou à la livraisons non conforme au standard</t>
  </si>
  <si>
    <t>En cas d'émission de bons de commande dématérialisée autre que SINOE  : dans quels délais les informations (confirmation de la commande, date prévisionnelle…) doivent-elles être transmises ?</t>
  </si>
  <si>
    <t>Oui|Délai de transmission des informations liées à la commande ou à la livraisons conforme à 3 jours|Non|délai de transmission des informations liées à la commande ou à la livraisons non conforme au standard</t>
  </si>
  <si>
    <t>A la survenance du besoin|A échéance (mensuelle|trimestrielle|annuelle)|autre ou mixte</t>
  </si>
  <si>
    <t>Si fréquence d'émission "autre" ou "mixte" apporter des précisions après échanges auprès du référent devis/commande</t>
  </si>
  <si>
    <t>A la survenance du besoin|A échéance|Autre</t>
  </si>
  <si>
    <t>mensuelle,trimestrielle,semestrielle|annuelle</t>
  </si>
  <si>
    <t>Le délai de modification/résiliation ou d'annulation du BDC fournisseur est-il conforme à la règle des 8 jours</t>
  </si>
  <si>
    <t>Oui, le délai de modification/résiliation ou d'annulation du BDC est conforme à la règle des 8 jours|Non, le délai de modification/résiliation ou d'annulation du BDC n'est pas conforme à la règle des 8 jours</t>
  </si>
  <si>
    <t>En cas d’annulation/modification des bons de Commande client existe-t-il une dérogation aux CGV (=annulation le jour même)?</t>
  </si>
  <si>
    <t>Oui, la règle d'annulation/modification ou annulation déroge aux CGV|Non, la règle d'annulation/modification ou annulation est conforme aux CGV</t>
  </si>
  <si>
    <t>Ce chapitre est-il applicable</t>
  </si>
  <si>
    <t>Oui, ce chapitre est applicable|Non,ce chapitre est non applicable</t>
  </si>
  <si>
    <t>Oui, Garantie commerciale contractuelle applicable|Non, absence de garantie commerciale contractuelle|Oui, Garantie de bon fonctionnement du logiciel|Non, absence de garantie de bon fonctionnement du logiciel</t>
  </si>
  <si>
    <t>oui|durée standard applicable|non|durée spécifique applicable</t>
  </si>
  <si>
    <t>Si oui, préciser par qui elle est assurée</t>
  </si>
  <si>
    <t>Oui, le détail de la garantie est commun à l'ensemble des lots|Non, le détail de la garantie varie selon  les lots</t>
  </si>
  <si>
    <t>Si non, préciser pour chaque lot la durée de cette garantie, les conditions de garantie</t>
  </si>
  <si>
    <t>Quelles sont les conditions de garantie ?</t>
  </si>
  <si>
    <t>Sur site client|Sur les lieux d'utilisation du matériel|Sur site bénéficiaire|Sur site ou en retour atelier (frais logistiques A/R à la charge du titulaire), chez le titulaire ou tiers (agent, concessionnaire, distributeur…), à distance (logiciel)</t>
  </si>
  <si>
    <t>Sous un délai de résolution fixé à 21 jours|Sous un délai de résolution fixé à 30 jours|Différent de 30 jours</t>
  </si>
  <si>
    <t>Oui, délai de prise en charge du SAV par le titulaire conforme au standard (48h en France Continentale et Corse / 72h pour DROM COM)|Non, délai de prise en charge du SAV par le titulaire dérogatoire au standard</t>
  </si>
  <si>
    <t>Si non, préciser le(s) délai(s)</t>
  </si>
  <si>
    <t>137</t>
  </si>
  <si>
    <t>Non, Absence d'une Garantie en Temps de Rétablissement (GTR)|Oui, Existence d'une garantie en Temps de Rétablissement</t>
  </si>
  <si>
    <t>138</t>
  </si>
  <si>
    <t>Oui, Existence de produits en stock|Non, Absence de produits en stock</t>
  </si>
  <si>
    <t>139</t>
  </si>
  <si>
    <t>Oui, Fiche SAV exigée|Non, Fiche SAV non exigée</t>
  </si>
  <si>
    <t>140</t>
  </si>
  <si>
    <t>Oui, existence d'une garantie minimum de base du véhicule complet hors batterie|Non, absence de garantie minimum de base du véhicule complet hors batterie</t>
  </si>
  <si>
    <t>141</t>
  </si>
  <si>
    <t>142</t>
  </si>
  <si>
    <t>Oui, existence d'une garantie de disponibilité|Non, absence de garantie de disponibilité</t>
  </si>
  <si>
    <t>143</t>
  </si>
  <si>
    <t>144</t>
  </si>
  <si>
    <t>Oui|existence d'une garantie autonomie de l'ensemble batterie|Non|absence de garantie autonomie de l'ensemble batterie</t>
  </si>
  <si>
    <t>145</t>
  </si>
  <si>
    <t>146</t>
  </si>
  <si>
    <t>Oui, Existence d'une garantie contractuelle anticorrosion|Non, Absence de garantie contractuelle anticorrosion</t>
  </si>
  <si>
    <t>147</t>
  </si>
  <si>
    <t>Le titulaire est-il tenu de fournir les pièces détachées nécessaires à la réparation du matériel ?</t>
  </si>
  <si>
    <t>148</t>
  </si>
  <si>
    <t>Oui, Fourniture par le titulaire de pièces détachées|Non, Absence de fourniture de pièces détachées par le titulaire</t>
  </si>
  <si>
    <t>Si oui, quel est le délai correspondant après la fin de la fabrication du dernier matériel  ?</t>
  </si>
  <si>
    <t>149</t>
  </si>
  <si>
    <t>5 ans|Autre</t>
  </si>
  <si>
    <t>150</t>
  </si>
  <si>
    <t>5 ans|10 ans|autre</t>
  </si>
  <si>
    <t>151</t>
  </si>
  <si>
    <t>Oui|une extension de garantie doit être mise en place|Non|absence d'extension de garantie</t>
  </si>
  <si>
    <t>152</t>
  </si>
  <si>
    <t>Non, elle ne concerne pas du matériel référencé au prix renseigné par le titulaire|Oui, elle concerne du matériel référencé au prix proposé par le titulaire</t>
  </si>
  <si>
    <t>153</t>
  </si>
  <si>
    <t>Oui|Extension de garantie contrôlée|Non|absence d'extension de garantie contrôlée</t>
  </si>
  <si>
    <t>Si oui, préciser la ou les durées de garantie par lot</t>
  </si>
  <si>
    <t>154</t>
  </si>
  <si>
    <t>155</t>
  </si>
  <si>
    <t>Oui, prestations de maintenance prévue à l'offre|Non, absence de prestations de maintenance</t>
  </si>
  <si>
    <t>156</t>
  </si>
  <si>
    <t>Location maintenance|Acquisition maintenance|Full service|Non concerné pour l'offre</t>
  </si>
  <si>
    <t>Quelles sont les modalités de maintenance (préventive, corrective…) prévues ?</t>
  </si>
  <si>
    <t>157</t>
  </si>
  <si>
    <t>préventive|corrective/curative</t>
  </si>
  <si>
    <t>158</t>
  </si>
  <si>
    <t>159</t>
  </si>
  <si>
    <t>Oui, le prix de la maintenance corrective/curative est-elle incluse dans le prix|Non, Le prix de la maintenance corrective/curative n'est pas comprise dans le prix|Non concerné pour l'offre</t>
  </si>
  <si>
    <t>160</t>
  </si>
  <si>
    <t>remise en état des Matériels|remise en état des Installations et logiciels</t>
  </si>
  <si>
    <t>En cas de dysfonctionnement, sous quel délai le titulaire doit-il intervenir en France métropolitaine pour des prestations de maintenance corrective/curative  ?</t>
  </si>
  <si>
    <t>161</t>
  </si>
  <si>
    <t>En cas de dysfonctionnement, sous quel délai le titulaire doit-il intervenir en outre-mer pour des prestations de maintenance corrective/curative  ?  ?</t>
  </si>
  <si>
    <t>162</t>
  </si>
  <si>
    <t>La prestation de maintenance s'étend-elle à la fourniture et l'installation d'accessoires et options ajoutés ?</t>
  </si>
  <si>
    <t>163</t>
  </si>
  <si>
    <t>Oui, la prestation de maintenance s'étend à la fourniture et à l'installation d'accessoires et options|Non, la prestation de maintenance ne s'étend pas à la fourniture et l'installation d'accessoires et options</t>
  </si>
  <si>
    <t>La maintenance des équipements couvre-t-elle les bris ?</t>
  </si>
  <si>
    <t>164</t>
  </si>
  <si>
    <t>Oui, la maintenance des équipements couvre les bris|Non, la maintenance des équipements ne couvre pas les bris</t>
  </si>
  <si>
    <t>165</t>
  </si>
  <si>
    <t>concomitant à la commande (volet 1) et à l’issue de l’admission du matériel (volet 2)|la fin de la période de garantie|la fin de la période d'extension de garantie|Autre</t>
  </si>
  <si>
    <t>166</t>
  </si>
  <si>
    <t>167</t>
  </si>
  <si>
    <t>Mono échéance|Multi échéance|Mono échéance &amp; Multi échéance</t>
  </si>
  <si>
    <t>Quelle est la périodicité de commande d’achat envisagée en Multi échéance ?</t>
  </si>
  <si>
    <t>168</t>
  </si>
  <si>
    <t>Unique|Mensuelle|Trimestrielle|Annuelle|Autre|Non concerné pour l'offre</t>
  </si>
  <si>
    <t>169</t>
  </si>
  <si>
    <t>Oui, Application de la contribution standard : 1% - 4000 € - Trimestriel|Non, dérogation à la contribution standard</t>
  </si>
  <si>
    <t>170</t>
  </si>
  <si>
    <t>171</t>
  </si>
  <si>
    <t>Oui, Rémunération par le client standard avec distinction Grands comptes et partenaire|Non, dérogation à la rémunération client standard</t>
  </si>
  <si>
    <t>172</t>
  </si>
  <si>
    <t>173</t>
  </si>
  <si>
    <t>Oui, exclusion de marge|Non, absence d'exclusion de marge</t>
  </si>
  <si>
    <t>174</t>
  </si>
  <si>
    <t>Absence d'application de marge sur les taxes d'immatriculation|Surcoût Drom Com|Indeminité et annulation et modification de commande|Reprise de matériel</t>
  </si>
  <si>
    <t>175</t>
  </si>
  <si>
    <t>176</t>
  </si>
  <si>
    <t>Oui, flux facturation client standard|Non, flux facturation client dérogatoire</t>
  </si>
  <si>
    <t>177</t>
  </si>
  <si>
    <t>178</t>
  </si>
  <si>
    <t>Oui, il s'agit d'une commande à échéance|Non, il ne s'agit pas d'une commande à échéance</t>
  </si>
  <si>
    <t>179</t>
  </si>
  <si>
    <t>Terme échoir|Terme échu|Multi terme (échu et échoir)</t>
  </si>
  <si>
    <t>180</t>
  </si>
  <si>
    <t>Mensuelle|trimestrielle|semestrielle, annuelle</t>
  </si>
  <si>
    <t>181</t>
  </si>
  <si>
    <t>Oui, flux facturation fournisseur standard|Non, flux facturation fournisseur dérogatoire</t>
  </si>
  <si>
    <t>182</t>
  </si>
  <si>
    <t>183</t>
  </si>
  <si>
    <t>Oui, Facturation dépendante d'un échéancier|Non, Facturation indépendante d'un échéancier</t>
  </si>
  <si>
    <t>S'agit-il d'une commande à échéance ?</t>
  </si>
  <si>
    <t>184</t>
  </si>
  <si>
    <t>Oui, commande à échéance|Non, absence de commande à échéance</t>
  </si>
  <si>
    <t>185</t>
  </si>
  <si>
    <t>186</t>
  </si>
  <si>
    <t>Terme échoir|Terme échu|Non concerné pour l'offre</t>
  </si>
  <si>
    <t>187</t>
  </si>
  <si>
    <t>Paiement unique|mensuelle|trimestrielle|Semestrielle|annuelle</t>
  </si>
  <si>
    <t>188</t>
  </si>
  <si>
    <t>189</t>
  </si>
  <si>
    <t>190</t>
  </si>
  <si>
    <t>Oui, il est prévu des prestations de travaux exécutables par des sous-traitants|Non, aucune prestation de travaux</t>
  </si>
  <si>
    <t>191</t>
  </si>
  <si>
    <t>Oui, facturation fournisseur en totalité|Non, facturation fournisseur partielle</t>
  </si>
  <si>
    <t>192</t>
  </si>
  <si>
    <t>193</t>
  </si>
  <si>
    <t>Absence de format de facturation en xml|format de facturation en xml</t>
  </si>
  <si>
    <t>194</t>
  </si>
  <si>
    <t>Oui, Modalités particulières pour le paiement|Non, Absence de modalités particulières pour le paiement</t>
  </si>
  <si>
    <t>195</t>
  </si>
  <si>
    <t>Le client doit compléter et signer l’attestation d’admission|Non concerné pour l’offre</t>
  </si>
  <si>
    <t>196</t>
  </si>
  <si>
    <t>Emettre la facture après admission du matériel et joindre « l’attestation d’admission par le bénéficiaire (issue de la vérification d’aptitude technique) » complétée et signée par le client|Non concerné pour l’offre</t>
  </si>
  <si>
    <t>197</t>
  </si>
  <si>
    <t>Emission de facture client|paiement du fournisseur en déduction des acomptes perçus|paiement fournisseur…|Non concerné pour l’offre</t>
  </si>
  <si>
    <t>L'offre prévoit-elle un DDP ou Delivered Duty Paid (Rendu droits acquittés) en cas de livraison outre-mer</t>
  </si>
  <si>
    <t>198</t>
  </si>
  <si>
    <t>Absence de système DDP|Présence de système DDP</t>
  </si>
  <si>
    <t>199</t>
  </si>
  <si>
    <t>Oui, les modalités sont conformes au code de la commande publique|Non, les modalités sont distinctes du code de la commande publique</t>
  </si>
  <si>
    <t>200</t>
  </si>
  <si>
    <t>201</t>
  </si>
  <si>
    <t>Oui, le montant total des acomptes est conforme au standard|Non, le montant total des acomptes est dérogatoire</t>
  </si>
  <si>
    <t>202</t>
  </si>
  <si>
    <t>Le pourcentage de 90% est trop élevé pour principalement un report d'exécution|Autre</t>
  </si>
  <si>
    <t>203</t>
  </si>
  <si>
    <t>30%|60%|70%</t>
  </si>
  <si>
    <t>204</t>
  </si>
  <si>
    <t>Oui, un acompte pour approvisonnement est prévu|Non, Absence d'acompte pour approvisionnement</t>
  </si>
  <si>
    <t>205</t>
  </si>
  <si>
    <t>Acompte conforme au standard dont le montant est supérieur à 50 000 euros|dont le délai de prestation est supérieur à 90 jours|Maximum 40%|Garantie à première demande|Acompte non conforme au standard</t>
  </si>
  <si>
    <t>206</t>
  </si>
  <si>
    <t>207</t>
  </si>
  <si>
    <t>Oui, Acompte pour report de livraison d'exécution de plus de 30 jours|Non, absence d'acompte report de livraison ou d'exécution de plus de 30 jours</t>
  </si>
  <si>
    <t>208</t>
  </si>
  <si>
    <t>Oui, acompte conforme au standard des 80% du montant € HT du BDC|Non, acompte dérogatoire au standard</t>
  </si>
  <si>
    <t>Si non, préciser le pourcentage applicable</t>
  </si>
  <si>
    <t>209</t>
  </si>
  <si>
    <t>Oui|acompte conforme au standard des 80% du montant € HT du BDC|Non|acompte dérogatoire au standard</t>
  </si>
  <si>
    <t>210</t>
  </si>
  <si>
    <t>Oui, Acompte pour remise de la tête de série|Non, absence d'acompte pour remise de la tête de série</t>
  </si>
  <si>
    <t>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t>
  </si>
  <si>
    <t>211</t>
  </si>
  <si>
    <t>Oui, acompte conforme au standard|Non, acompte dérogatoire au standard</t>
  </si>
  <si>
    <t>Une clause relative aux réunions de suivi doit-elle être prévue ?</t>
  </si>
  <si>
    <t>212</t>
  </si>
  <si>
    <t>Oui, une clause relative aux réunions de suivi doit être prévue au marché|Non, pas de clause de réunion de suivi à prévoir</t>
  </si>
  <si>
    <t>Est-il prévu un dispositif Bonus/Malus pour inciter les fournisseurs à améliorer la qualité de service ?</t>
  </si>
  <si>
    <t>213</t>
  </si>
  <si>
    <t>Oui, il est prévu un dispositif de Bonus/Malus|Non, il n'est pas prévu de dispositif de Bonus/Malus</t>
  </si>
  <si>
    <t>La mesure de la qualité de service et du suivi des titulaires sont réalisés au travers des critères</t>
  </si>
  <si>
    <t>214</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</si>
  <si>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</si>
  <si>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215</t>
  </si>
  <si>
    <t>Indicateurs SINOE|Autre</t>
  </si>
  <si>
    <t>216</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</si>
  <si>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</si>
  <si>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217</t>
  </si>
  <si>
    <t>218</t>
  </si>
  <si>
    <t>Oui, le marché prévoit des pénalités pour non respect de la GTI/GTR|Non, Absence de pénalités pour non respect de la GTI/GTR</t>
  </si>
  <si>
    <t>219</t>
  </si>
  <si>
    <t>220</t>
  </si>
  <si>
    <t>Oui, Pénalités relatives à la clause d'insertion prévues au marché|Non, Absence de pénalités relatives à la  clause d'insertion</t>
  </si>
  <si>
    <t>221</t>
  </si>
  <si>
    <t>Oui, les pénalités relatives à la clause d'insertion prévues au marché correspondent au standard|Non, une ou plusieurs pénalités relatives à la  clause d'insertion sont dérogatoiures</t>
  </si>
  <si>
    <t>Si non, préciser le montant de chaque pénalité applicable ?</t>
  </si>
  <si>
    <t>222</t>
  </si>
  <si>
    <t>223</t>
  </si>
  <si>
    <t>Oui, le marché prévoit des pénalités pour non respect du délai de réparation|Non, absence de pénalités pour non respect du délai de réparation</t>
  </si>
  <si>
    <t>224</t>
  </si>
  <si>
    <t>225</t>
  </si>
  <si>
    <t>226</t>
  </si>
  <si>
    <t>Oui, le plafond des pénalités est conforme au standard de 30% du bon de commande HT|Non, le plafond des pénalités est dérogatoire au standard établi</t>
  </si>
  <si>
    <t>227</t>
  </si>
  <si>
    <t>228</t>
  </si>
  <si>
    <t>Oui, Existence d'une clause de performance|Non, absence de clause de performance</t>
  </si>
  <si>
    <t>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t>
  </si>
  <si>
    <t>229</t>
  </si>
  <si>
    <t>Oui, les données personnelles ont vocation à transiter/intégrer le SI de l'UGAP|Non, les données personnelles n'ont pas vocation à transiter/intgérer le SI de l'UGAP</t>
  </si>
  <si>
    <t>230</t>
  </si>
  <si>
    <t>231</t>
  </si>
  <si>
    <t>Oui, le traitement des données personnelles concernent des données sensibles, personnes vulnérables, à usage innovant…|Non, le traitement des données personnelles ne concernent pas les données sensibles, personnes vulnérables, à usage innovant</t>
  </si>
  <si>
    <t>232</t>
  </si>
  <si>
    <t>Oui, une analyse d’impact relative à la protection des données est requise par le RGPD|Non, absence d'analyse d'impact par le RGPD</t>
  </si>
  <si>
    <t>233</t>
  </si>
  <si>
    <t>Non, Pas de logiciels prévus dans les éléments concédés ou cédés|Oui, logiciesl cédés prévus|Oui, logiciels concédés prévus</t>
  </si>
  <si>
    <t>234</t>
  </si>
  <si>
    <t>Dans un délai de 30 jours|Dans un délai de 7 jours</t>
  </si>
  <si>
    <t>235</t>
  </si>
  <si>
    <t>Unitaire|Forfaitaire|Mixte</t>
  </si>
  <si>
    <t>236</t>
  </si>
  <si>
    <t>Référence forfaitaire petite commande|Minima de commande|Politique de remise (ex remise sur tarif public)|Barème dégressif en fonction des quantités|Conditions de livraison|surcoût (îles littorales)</t>
  </si>
  <si>
    <t>237</t>
  </si>
  <si>
    <t>238</t>
  </si>
  <si>
    <t>239</t>
  </si>
  <si>
    <t>Franco France Métropolitaine|FEC (Entrepôt UGAP)|Départ Usine|Franco France Continentale</t>
  </si>
  <si>
    <t>240</t>
  </si>
  <si>
    <t>241</t>
  </si>
  <si>
    <t>242</t>
  </si>
  <si>
    <t>243</t>
  </si>
  <si>
    <t>244</t>
  </si>
  <si>
    <t>Oui, il correspond à un pourcentage de minoration|Non, il ne correspond pas à un pourcentage de minoration</t>
  </si>
  <si>
    <t>245</t>
  </si>
  <si>
    <t>246</t>
  </si>
  <si>
    <t>Oui, surcoût outre-mer|Non, Absence de surcoût outre-mer</t>
  </si>
  <si>
    <t>247</t>
  </si>
  <si>
    <t>De quelle façon s'exprime le surcoût étranger ?</t>
  </si>
  <si>
    <t>248</t>
  </si>
  <si>
    <t>249</t>
  </si>
  <si>
    <t>Oui, taxes spécifiques applicables|Non, absence de taxes spécifiques applicables</t>
  </si>
  <si>
    <t>250</t>
  </si>
  <si>
    <t>251</t>
  </si>
  <si>
    <t>Oui, elles concernent l'immatriculation de véhicules|Non, elles ne concernent pas l'immatriculation de véhicules</t>
  </si>
  <si>
    <t>252</t>
  </si>
  <si>
    <t>253</t>
  </si>
  <si>
    <t>Oui|Assurance pour les livraisons hors France Métropolitaine (TVA 0%)|Non|Absence d'assurance pour la livraison</t>
  </si>
  <si>
    <t>254</t>
  </si>
  <si>
    <t>Oui, remise sur catalogue exigée|Non, absence de remsie sur catalogue</t>
  </si>
  <si>
    <t>Si oui, préciser sur quoi porte cette remise</t>
  </si>
  <si>
    <t>255</t>
  </si>
  <si>
    <t>Pièces détachées|Matériels figurant en annexe à l'AE</t>
  </si>
  <si>
    <t>Les prix couvrent-ils les frais d'hébergement, de transport et de restauration en lien avec les prestations ?</t>
  </si>
  <si>
    <t>256</t>
  </si>
  <si>
    <t>Oui, les frais couvrent l'hébergement, le transport et la restauration|Non, les frais ne couvrent pas l'hébergement, le transport et la restauration</t>
  </si>
  <si>
    <t>257</t>
  </si>
  <si>
    <t>Sur devis|Inclus dans les prix|Non concerné pour la direction/univers|Non concerné pour l'offre</t>
  </si>
  <si>
    <t>Y'a-t-il des frais de modification ou relivraison  ?</t>
  </si>
  <si>
    <t>258</t>
  </si>
  <si>
    <t>Oui, frais de modification ou relivraison prévus|Non, absence de frais de modification ou relivraison</t>
  </si>
  <si>
    <t>259</t>
  </si>
  <si>
    <t>Oui, l'offre prévoit des supports d'enregistrement|Non, l'offre ne prévoit pas de supports d'enregistrement</t>
  </si>
  <si>
    <t>Si oui, une rémunération pour copie privée est-elle prévue ?</t>
  </si>
  <si>
    <t>260</t>
  </si>
  <si>
    <t>Oui, une rémunération pour copie privée est prévue|Non, absence de rémunération pour copie privée</t>
  </si>
  <si>
    <t>261</t>
  </si>
  <si>
    <t>Prix fermes|Prix révisables sur tarif public à la date d'anniversaire|Prix révisables sur tarif public à tout moment|Prix révisables sur tarif public à date fixe|Prix révisables sur indice|Taux de remise sur tarif public|Autre</t>
  </si>
  <si>
    <t>262</t>
  </si>
  <si>
    <t>Oui|les modalités de variation des prix sont identiques pour tous les lots|Non|les modalités de variation des prix sont différentes en fonction des lots</t>
  </si>
  <si>
    <t>263</t>
  </si>
  <si>
    <t>264</t>
  </si>
  <si>
    <t>265</t>
  </si>
  <si>
    <t>266</t>
  </si>
  <si>
    <t>date de notification du présent contrat|date de départ de la durée initiale du contrat figurant dans l’ordre de service</t>
  </si>
  <si>
    <t>267</t>
  </si>
  <si>
    <t>six (6) mois glissants|douze (12) mois glissants|Autre rythme de révision</t>
  </si>
  <si>
    <t>Si autre rythme de révision sur tarif public à tout moment, préciser</t>
  </si>
  <si>
    <t>268</t>
  </si>
  <si>
    <t>269</t>
  </si>
  <si>
    <t>date acceptée ou fixée par l’UGAP dans le courrier adressé au titulaire|trente (30) jours calendaires à compter de la validation de l’UGAP</t>
  </si>
  <si>
    <t>270</t>
  </si>
  <si>
    <t>271</t>
  </si>
  <si>
    <t>272</t>
  </si>
  <si>
    <t>le 1er avril|le 1er septembre|le 1er février|Autre date</t>
  </si>
  <si>
    <t>273</t>
  </si>
  <si>
    <t>274</t>
  </si>
  <si>
    <t>la date de notification|la date de départ de la durée initiale du marché</t>
  </si>
  <si>
    <t>275</t>
  </si>
  <si>
    <t>avant le 31 octobre à minuit de l’année précédente|pour une révision au 1er février|avant le 30 juin à minuit de la même année|pour une révision au 1er septembre|autre date butoir</t>
  </si>
  <si>
    <t>276</t>
  </si>
  <si>
    <t>277</t>
  </si>
  <si>
    <t>Oui, le taux de remise peut varier|Non,le taux de remise est ferme</t>
  </si>
  <si>
    <t>Le surcoût outre-mer peut-il varier?</t>
  </si>
  <si>
    <t>278</t>
  </si>
  <si>
    <t>Oui, le surcoût outre-mer peut varier|Non,le surcoût outre-mer est ferme</t>
  </si>
  <si>
    <t>Si le taux de remise peut varier, préciser les modalités de variation du taux dans le cadre de la mise en œuvre de la formule de révision des prix ou des offres promotionnelles</t>
  </si>
  <si>
    <t>279</t>
  </si>
  <si>
    <t>Variation taux de remise à la hausse ou à la baisse dans la limite du taux minimum indiqué en annexe à l’acte d’engagement|Variation taux de remise dans le cadre de la mise en œuvre de la révision des prix à date fixe ou des offres promotionnelles</t>
  </si>
  <si>
    <t>280</t>
  </si>
  <si>
    <t>Oui, modalités applicables à l'ensemble des lots|Non, modalités différentes en fonction des lots</t>
  </si>
  <si>
    <t>281</t>
  </si>
  <si>
    <t>282</t>
  </si>
  <si>
    <t>Oui, Existence d'une première clause de 1ère révision des prix|Non,absence d'une première clause de 1ère révision des prix</t>
  </si>
  <si>
    <t>283</t>
  </si>
  <si>
    <t>Par seuil de déclenchement|Sur indices|Sur tarif public</t>
  </si>
  <si>
    <t>284</t>
  </si>
  <si>
    <t>285</t>
  </si>
  <si>
    <t>Oui, existence d'écocontribution|Oui, existence d'une multi écocontribution|Non, absence d'écocontribution</t>
  </si>
  <si>
    <t>286</t>
  </si>
  <si>
    <t>Oui, affichage de l'écocontribution systématisé|Non, absence d'affichage de l'écocontribution</t>
  </si>
  <si>
    <t>Si oui, quel(s) sont / est le(s) lot(s) concerné(s) ?</t>
  </si>
  <si>
    <t>287</t>
  </si>
  <si>
    <t>Si oui, Y-a-t'il une variation de l'écocontribution ?</t>
  </si>
  <si>
    <t>288</t>
  </si>
  <si>
    <t>Oui, variation de l'écocontribution|Non, absence de variation de l'écocontribution</t>
  </si>
  <si>
    <t>289</t>
  </si>
  <si>
    <t>Oui, application d'une clause de sauvegarde|Non, absence de clause de sauvegarde</t>
  </si>
  <si>
    <t>290</t>
  </si>
  <si>
    <t>Oui, le pourcentage est conforme au standard de 3%|Non, le pourcentage est dérogatoire au standard</t>
  </si>
  <si>
    <t>291</t>
  </si>
  <si>
    <t>292</t>
  </si>
  <si>
    <t>Prix initial|Dernier prix révisé|indice inital|dernier indice révisé</t>
  </si>
  <si>
    <t>293</t>
  </si>
  <si>
    <t>12 mois|Autre</t>
  </si>
  <si>
    <t>294</t>
  </si>
  <si>
    <t>295</t>
  </si>
  <si>
    <t>296</t>
  </si>
  <si>
    <t>Oui, les produits sont soumis à une réglementation spécifique de stockage|Non, les produits ne sont pas soumis à une réglementation spécifique</t>
  </si>
  <si>
    <t>Si oui, laquelle</t>
  </si>
  <si>
    <t>297</t>
  </si>
  <si>
    <t>298</t>
  </si>
  <si>
    <t>299</t>
  </si>
  <si>
    <t>Bénéficiaire|Titulaire</t>
  </si>
  <si>
    <t>300</t>
  </si>
  <si>
    <t>Oui, distribution sur stock prévue|Non, absence de distribution sur stock</t>
  </si>
  <si>
    <t>301</t>
  </si>
  <si>
    <t>Stockage UGAP chez le titulaire (déporté vente)|Stockage UGAP au profit du titulaire (consignation)|Stockage Intermédiaire|Stockage en plateforme externalisée|Stock de consignation</t>
  </si>
  <si>
    <t>302</t>
  </si>
  <si>
    <t>303</t>
  </si>
  <si>
    <t>304</t>
  </si>
  <si>
    <t>Oui, affichage du stock sur Ugap.fr|Non, absence d'affichage du stock sur Ugap.fr</t>
  </si>
  <si>
    <t>305</t>
  </si>
  <si>
    <t>Oui|l'offre antérieure affiche un stock fournisseur|Non|l'offre antérieure n'affiche pas de stock fournisseur</t>
  </si>
  <si>
    <t>Si oui, préciser à la charge de qui</t>
  </si>
  <si>
    <t>306</t>
  </si>
  <si>
    <t>Client|Fournisseur (Web service)|UGAP</t>
  </si>
  <si>
    <t>307</t>
  </si>
  <si>
    <t>Oui, clause de stockage à intégrer dans le CCAP|Non, absence de clause de stockage</t>
  </si>
  <si>
    <t>308</t>
  </si>
  <si>
    <t>Stock Savigny le Temple|Stock déporté chez le fournisseur|Stock en plateforme externalisée (La Poste)|Possibilité de faire du stock de consignation chez le fournisseur</t>
  </si>
  <si>
    <t>309</t>
  </si>
  <si>
    <t>310</t>
  </si>
  <si>
    <t>311</t>
  </si>
  <si>
    <t>312</t>
  </si>
  <si>
    <t>313</t>
  </si>
  <si>
    <t>314</t>
  </si>
  <si>
    <t>Chez le transitaire du bénéficiaire en France Métropolitaine|Sur le site du bénéficiaire avec prise en charge des frais d'emballage de transport et de dédouanement</t>
  </si>
  <si>
    <t>315</t>
  </si>
  <si>
    <t>Oui, livraison tête de série|Non, absence de livraison tête de série</t>
  </si>
  <si>
    <t>316</t>
  </si>
  <si>
    <t>Oui, Offre concernée par les délais courts/délai réduits|Non, offre non concernée par les délais courts/réduits</t>
  </si>
  <si>
    <t>317</t>
  </si>
  <si>
    <t>318</t>
  </si>
  <si>
    <t>319</t>
  </si>
  <si>
    <t>Non, aucune période de neutralisation|Période de congés|Changement de modèle|impact industriel lourd|Autre</t>
  </si>
  <si>
    <t>320</t>
  </si>
  <si>
    <t>Durée maximale de 40 jours et délai de prévenance de 6 mois|Autre</t>
  </si>
  <si>
    <t>321</t>
  </si>
  <si>
    <t>322</t>
  </si>
  <si>
    <t>Oui, exécution des prestations iles littorales et/ou DROM-COM|Non, absence d'exécution des prestations iles littorales et/ou DROM-COM</t>
  </si>
  <si>
    <t>323</t>
  </si>
  <si>
    <t>324</t>
  </si>
  <si>
    <t>DROM-COM : Garantie contractuelle|DROM-COM : Prestations incluses dans le prix du matériel de base|DROM-COM : Prestations annexes non incluses dans le prix du matériel de base.</t>
  </si>
  <si>
    <t>325</t>
  </si>
  <si>
    <t>Oui, reprise de matériel|Non, absence de reprise de matériel</t>
  </si>
  <si>
    <t>326</t>
  </si>
  <si>
    <t>327</t>
  </si>
  <si>
    <t>Oui, modalités particulières d'exécution|Non, absence de modalités particulières d'exécution</t>
  </si>
  <si>
    <t>328</t>
  </si>
  <si>
    <t>329</t>
  </si>
  <si>
    <t>Oui, une considération environnementale est intégrée à chaque lot|Non, Tout ou partie des lots n'intègre pas de considération environnementale</t>
  </si>
  <si>
    <t>330</t>
  </si>
  <si>
    <t>331</t>
  </si>
  <si>
    <t>Oui, l'offre inclut des exigences en matière d'impact environnemental du transport|Non, l'offre n'inclut pas d'exigences en matière d'impact environnemental du transport</t>
  </si>
  <si>
    <t>332</t>
  </si>
  <si>
    <t>Oui, l'offre prévoit un plan de progrès décarbonation du transport|Non, l'offre ne prévoit pas de plan de progrès décarbonation du transport</t>
  </si>
  <si>
    <t>333</t>
  </si>
  <si>
    <t>Tout ou partie des lots sont concernés par une ou plusieurs REP|Aucun lot n'est concerné par une REP</t>
  </si>
  <si>
    <t>334</t>
  </si>
  <si>
    <t>335</t>
  </si>
  <si>
    <t>Tout ou partie des lots sont concernés par de la reprise 1 pour 1|Aucun lot n'est concerné par de la reprise 1 pour 1</t>
  </si>
  <si>
    <t>336</t>
  </si>
  <si>
    <t>337</t>
  </si>
  <si>
    <t>Oui, l'offre/les lots intègre(nt) des produits issus du réemploi/réutilisation|Non, l'offre n'intègre pas des produits issus du réemploi/réutilisation</t>
  </si>
  <si>
    <t>338</t>
  </si>
  <si>
    <t>339</t>
  </si>
  <si>
    <t>Oui, l'offre/les lots prévoi(en)t pour le titulaire l'obligation de remettre pendant l'exécution du marché ces informations|Non, l'offre ne prévoit pas la remise de ces informations</t>
  </si>
  <si>
    <t>340</t>
  </si>
  <si>
    <t>Oui, une considération sociale est intégrée à minima à chaque lot|Non, Tout ou partie des lots n'intègre pas de considération sociale</t>
  </si>
  <si>
    <t>341</t>
  </si>
  <si>
    <t>342</t>
  </si>
  <si>
    <t>343</t>
  </si>
  <si>
    <t>Oui,au moins un lot réservé|Non, absence de lots réservés</t>
  </si>
  <si>
    <t>344</t>
  </si>
  <si>
    <t>345</t>
  </si>
  <si>
    <t>346</t>
  </si>
  <si>
    <t>Oui, traçabilité sociale des chaines d'approvisionnement pour tous les lots des univers concernés|Non, pas de traçabilité sociale des chaines d'approvisionnement pour tous les lots des univers concernés</t>
  </si>
  <si>
    <t>347</t>
  </si>
  <si>
    <t>Oui, cette clause est intégrée pour chaque lot|Non, cette clause n'est pas intégrée pour chaque lot</t>
  </si>
  <si>
    <t>348</t>
  </si>
  <si>
    <t>Oui, Modalités particulières de vérification/d'admission sont envisagées|Non, absence de modalités particulières de vérification/d'admission</t>
  </si>
  <si>
    <t>349</t>
  </si>
  <si>
    <t>350</t>
  </si>
  <si>
    <t>Oui, vérification d'aptitude technique|Non, absence de vérification d'aptitude technique</t>
  </si>
  <si>
    <t>351</t>
  </si>
  <si>
    <t>Oui, réalisation d'une recette technique|Non, absence de recette technique réalisée par l'UGAP</t>
  </si>
  <si>
    <t>Des documents doivent-ils être fournis par le titulaire au moment de la livraison? (notice, carnet d'entretien, liste des distributeurs/agents et réparateurs agréés)</t>
  </si>
  <si>
    <t>352</t>
  </si>
  <si>
    <t>Oui, des documents doivent être fournis par le titulaire au moment de la livraison|Non, absence de documents à fournir</t>
  </si>
  <si>
    <t>353</t>
  </si>
  <si>
    <t>Oui, un audit est prévu dans le cadre de l'exécution du marché|Non absence d'audit prévu au marché</t>
  </si>
  <si>
    <t>354</t>
  </si>
  <si>
    <t>A la livraison|A la mise en service|Au jour de l'admission</t>
  </si>
  <si>
    <t>355</t>
  </si>
  <si>
    <t>Groupement solidaire obligatoire|Groupement solidaire et conjoint (avec mandataire solidaire)</t>
  </si>
  <si>
    <t>356</t>
  </si>
  <si>
    <t>Eléments pris en compte</t>
  </si>
  <si>
    <t>357</t>
  </si>
  <si>
    <t>CA global du candidat réalisé au cours des 3 derniers exercices disponibles|CA du candidat concernant la fourniture/service objet du marché, réalisé au cours des 3 derniers exercices disponibles</t>
  </si>
  <si>
    <t>Modalités de sélection</t>
  </si>
  <si>
    <t>358</t>
  </si>
  <si>
    <t>Pas de niveau minimal imposé|Chiffres d’affaires minimum en montant|Ratio financier inférieur ou égal à XX% - CA global du candidat|Ratio financier inférieur ou égal à XX% - CA objet du (des) lot(s) du candidat</t>
  </si>
  <si>
    <t>359</t>
  </si>
  <si>
    <t>liste des principales fournitures ou services effectuées au cours des 3 dernières années|Titres d’études et professionnels de l’opérateur économique et/ou des cadres de l’entreprise, et notamment des responsables de prestations de services de même nature que celle du marché|Certificats de qualifications professionnelles ou équivalents établis par des organismes indépendants, Certificats de qualité ou équivalent|Indication des systèmes de gestion et de suivi de la chaine d’approvisionnement que le candidat pourra mettre en œuvre|Outillage, matériel et équipement technique dont le candidat dispose pour la réalisation du marché|Effectifs moyens annuels et importance du personnel d’encadrement, pour chacune des 3 dernières années.</t>
  </si>
  <si>
    <t>360</t>
  </si>
  <si>
    <t>Non, Pas de niveau minimal imposé|Oui, Niveau minimal imposé</t>
  </si>
  <si>
    <t>361</t>
  </si>
  <si>
    <t>362</t>
  </si>
  <si>
    <t>L’analyse de la convenance des prix se fera sur la base du panel articles visé ci-dessous dans la partie « gain à l'achat »|L’analyse de la convenance est prévue sur une autre configuration</t>
  </si>
  <si>
    <t>363</t>
  </si>
  <si>
    <t>364</t>
  </si>
  <si>
    <t>Oui, nécessité de spécimens dans le cadre de l'analyse de l'offre|Non, pas de spécimen demandé</t>
  </si>
  <si>
    <t>365</t>
  </si>
  <si>
    <t>366</t>
  </si>
  <si>
    <t>Un accompagnement est-il nécessaire pour le calcul du gain achat ?</t>
  </si>
  <si>
    <t>367</t>
  </si>
  <si>
    <t>Oui,Accompagnement nécessaire pour le calcul des gains à l'achat|Non, Aucun accompagnement nécessaire pour la calcul des gains à l'achat</t>
  </si>
  <si>
    <t>368</t>
  </si>
  <si>
    <t>369</t>
  </si>
  <si>
    <t>Oui, une réunion de criticité est à réaliser|Non, pas de réunion de criticité</t>
  </si>
  <si>
    <t>Conclusion de la réunion criticité du référencement</t>
  </si>
  <si>
    <t>370</t>
  </si>
  <si>
    <t>Un comité de référencement est-il à prévoir suite à l'analyse de la criticité du référencement menée par le référent référencement ?</t>
  </si>
  <si>
    <t>371</t>
  </si>
  <si>
    <t>Oui, un comité de référencement 1 est à prévoir|Non, pas de comité de référencement 1</t>
  </si>
  <si>
    <t>Si oui, sur quelle problématique/thématique du référencement ?</t>
  </si>
  <si>
    <t>372</t>
  </si>
  <si>
    <t>373</t>
  </si>
  <si>
    <t>Print (catalogue général, catalogue spécialisé, plaquettes fournisseurs…)|Web (ugap.fr)|Animation (emailing, communiqué de presse, push…)</t>
  </si>
  <si>
    <t>374</t>
  </si>
  <si>
    <t>Oui, Catalogue privatif en place|Non, absence de catalogue privatif</t>
  </si>
  <si>
    <t>375</t>
  </si>
  <si>
    <t>376</t>
  </si>
  <si>
    <t>Oui, une e-boutique spécifique est en place|Non, absence d'une e-boutique spécifique</t>
  </si>
  <si>
    <t>377</t>
  </si>
  <si>
    <t>378</t>
  </si>
  <si>
    <t>Oui, commercialisation de l'offre sur le WEB|Non, absence de commercialisation sur le WEB</t>
  </si>
  <si>
    <t>Si oui exclusivement sur le web ?</t>
  </si>
  <si>
    <t>379</t>
  </si>
  <si>
    <t>Oui, commercialisation exclusive sur le WEB|Non, pas d'exclusivité sur le WEB</t>
  </si>
  <si>
    <t>380</t>
  </si>
  <si>
    <t>Totalement|Partiellement</t>
  </si>
  <si>
    <t>381</t>
  </si>
  <si>
    <t>Oui, un configurateur est en place|Non, absence de configurateur</t>
  </si>
  <si>
    <t>382</t>
  </si>
  <si>
    <t>UGAP|Titulaire</t>
  </si>
  <si>
    <t>383</t>
  </si>
  <si>
    <t>Oui, contrôle/accès restreint à typologie de clients/utilisateurs chez le client|Non, Absence de contrôle/accès restreint à typologie de clients/utilisateurs chez le client</t>
  </si>
  <si>
    <t>Si oui à la commercialisation sur le WEB, L'offre nécessite-elle une connexion à une plateforme tierce</t>
  </si>
  <si>
    <t>384</t>
  </si>
  <si>
    <t>Oui, connexion à une plateforme tierce|Non, Absence de connexion à une plateforme tierce</t>
  </si>
  <si>
    <t>Si oui à la commercialisation sur le WEB, L'offre est-elle en e-procurement ?</t>
  </si>
  <si>
    <t>385</t>
  </si>
  <si>
    <t>Oui, offre en e-procurement|Non, Absence de e-procurement</t>
  </si>
  <si>
    <t>386</t>
  </si>
  <si>
    <t>100 % Vente Assistée|50% Vente A Distance|50% Vente Assistée / 50% Vente A Distance|Autre</t>
  </si>
  <si>
    <t>Si autre répartion Vente Assistée / Vente A distance, préciser</t>
  </si>
  <si>
    <t>387</t>
  </si>
  <si>
    <t>388</t>
  </si>
  <si>
    <t>Oui, commercialisation de l'offre par le CCM|Non, exclusion du canal de vente CCM</t>
  </si>
  <si>
    <t>389</t>
  </si>
  <si>
    <t>Oui, commercialisation de l'offre par le réseau|Non, exclusion du commercialisation par le réseau</t>
  </si>
  <si>
    <t>390</t>
  </si>
  <si>
    <t>Oui, commercialisation par la SMAR|Non, exclusion d'une commercialisation par la SMAR</t>
  </si>
  <si>
    <t>Schéma de vente opérationnel est-il disponible sous la base de Co ?</t>
  </si>
  <si>
    <t>391</t>
  </si>
  <si>
    <t>Oui, Schéma de vente disponible sous la base de Co|Non, absence du schéma de vente sur la base de co</t>
  </si>
  <si>
    <t>Type de schéma de vente</t>
  </si>
  <si>
    <t>392</t>
  </si>
  <si>
    <t>Schéma de vente offre tripartite|Schéma de vente offre avec prestations associées|Schéma de vente offre sans prestation associée|Autre</t>
  </si>
  <si>
    <t>393</t>
  </si>
  <si>
    <t>Le titulaire s'engage a fournir :</t>
  </si>
  <si>
    <t>394</t>
  </si>
  <si>
    <t>Fiches technico-commerciales|images numériques|Publipostages|Nuanciers|Une banque de donnée de type AUTOCAD|Matériel de démonstration|Guide de vente</t>
  </si>
  <si>
    <t>Dans le cadre du guide vente préciser  les lot(s) concerné(s) ?</t>
  </si>
  <si>
    <t>395</t>
  </si>
  <si>
    <t>396</t>
  </si>
  <si>
    <t>Oui, existence d'une convention client "valant BDC"|Oui existence d'une convention client d'embarquement|Non, absence de convention client</t>
  </si>
  <si>
    <t>397</t>
  </si>
  <si>
    <t>398</t>
  </si>
  <si>
    <t>Réseau|SMAR</t>
  </si>
  <si>
    <t>399</t>
  </si>
  <si>
    <t>Oui, existence de CGE|Non, absence de CGE</t>
  </si>
  <si>
    <t>400</t>
  </si>
  <si>
    <t>Oui, existence d'autres documents commerciaux|Non, absence d'autres documents commerciaux</t>
  </si>
  <si>
    <t>401</t>
  </si>
  <si>
    <t>402</t>
  </si>
  <si>
    <t>Réunion de lancement avec le titulaire|Présentation synthétique de son organisation dédiée au marché|Annuaires des contacts|Formation|Information des collaborateurs de l'UGAP|Autre</t>
  </si>
  <si>
    <t>403</t>
  </si>
  <si>
    <t>404</t>
  </si>
  <si>
    <t>Alimentation et ou validation du référencement|Documentation SAV|Outils|Impératifs logistiques UGAP (tracabilité…)|Eléments pour publication (ex : photo)|Aides à la commercialisation (prêt de matériel...)|Autre</t>
  </si>
  <si>
    <t>405</t>
  </si>
  <si>
    <t>406</t>
  </si>
  <si>
    <t>407</t>
  </si>
  <si>
    <t>Oui, la contractualisation d'un interlocuteur dédié est à prévoir dans le CCAP|Non, absence de mention de contractualisation d'un interlocuteur dédié dans le CCAP</t>
  </si>
  <si>
    <t>408</t>
  </si>
  <si>
    <t>409</t>
  </si>
  <si>
    <t>Oui, cette obligation fait l'objet d'un critère d'analyse des offres|Oui, cette obligation fait l'objet d'un critère d'analyse des offres;Non, absence de critère d'analyse des offres</t>
  </si>
  <si>
    <t>410</t>
  </si>
  <si>
    <t>411</t>
  </si>
  <si>
    <t>CCP-COD|CCAP sans annexe|CCAP avec annexes|CCTP|Dossier Technique|Mémoire technique du titulaire|Fiches technico-commerciale|CCF</t>
  </si>
  <si>
    <t>412</t>
  </si>
  <si>
    <t>Attestation d’admission par le bénéficiaire|Tableau des étendues géographiques et prestations annexes|Questionnaire relatif au besoin client|Attestation de restitution de la batterie en fin de location|Spécifications détaillées relatives à la facturation en UBL Invoice version 2.1</t>
  </si>
  <si>
    <t>413</t>
  </si>
  <si>
    <t>Définition du besoin, acceptation du devis UGAP|Emission d’une commande client et transmission des CGE|Non concerné pour l'offre</t>
  </si>
  <si>
    <t>414</t>
  </si>
  <si>
    <t>Recueil des besoins|Remise d’un dossier technique à l’appui du devis qualification et solution technique|Non concerné pour l'offre</t>
  </si>
  <si>
    <t>415</t>
  </si>
  <si>
    <t>Accompagnement client et réalisation devis/commande|Application du process de commande et veille à ce que celui-ci soit respecté tout au long du marché|D’une manière générale, amélioration de la qualité de service rendue au client|Non concerné pour l'offre</t>
  </si>
  <si>
    <t>fille</t>
  </si>
  <si>
    <t>mere</t>
  </si>
  <si>
    <t>critere</t>
  </si>
  <si>
    <t>question</t>
  </si>
  <si>
    <t>cible</t>
  </si>
  <si>
    <t>niveau</t>
  </si>
  <si>
    <t>valeur</t>
  </si>
  <si>
    <t>Mobilier_scolaire</t>
  </si>
  <si>
    <t>Equipement_general</t>
  </si>
  <si>
    <t>Qualification du besoin par le titulaire et rédaction d’un dossier technique le cas échéant; devis tripartite avec outillage</t>
  </si>
  <si>
    <t>Oui, clause obligatoire</t>
  </si>
  <si>
    <t>0.6</t>
  </si>
  <si>
    <t>0.7</t>
  </si>
  <si>
    <t>0.3</t>
  </si>
  <si>
    <t>L’analyse de la convenance des prix se fera sur la base du panel articles visé ci-dessous dans la partie « gain à l'achat »</t>
  </si>
  <si>
    <t>Définition du besoin, acceptation du devis UGAP;Emission d’une commande client et transmission des CGE</t>
  </si>
  <si>
    <t>code</t>
  </si>
  <si>
    <t>a_standards</t>
  </si>
  <si>
    <t>ACHAT</t>
  </si>
  <si>
    <t>Direction des achats Véhicules</t>
  </si>
  <si>
    <t>Direction Santé</t>
  </si>
  <si>
    <t>Direction des achats Informatiques</t>
  </si>
  <si>
    <t>Direction des achats Généraux</t>
  </si>
  <si>
    <t>STANDARD</t>
  </si>
  <si>
    <t>DAG_Energie_et_environnement</t>
  </si>
  <si>
    <t>UNIVERS</t>
  </si>
  <si>
    <t>test</t>
  </si>
  <si>
    <t>direction / univers</t>
  </si>
  <si>
    <t>attendu</t>
  </si>
  <si>
    <t>obtenu</t>
  </si>
  <si>
    <t>détail</t>
  </si>
  <si>
    <t>Aucun écart.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</si>
</sst>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theme="0"/>
      <name val="Calibri"/>
      <family val="2"/>
      <scheme val="minor"/>
    </font>
    <font>
      <sz val="10"/>
      <name val="Calibri"/>
      <family val="2"/>
      <scheme val="minor"/>
    </font>
    <font>
      <sz val="12"/>
      <color theme="0"/>
      <name val="Calibri"/>
      <family val="2"/>
      <scheme val="minor"/>
    </font>
    <font>
      <sz val="18"/>
      <color theme="0"/>
      <name val="Calibri"/>
      <family val="2"/>
      <scheme val="minor"/>
    </font>
    <font>
      <sz val="12"/>
      <name val="Calibri"/>
      <family val="2"/>
      <scheme val="minor"/>
    </font>
    <font>
      <i/>
      <sz val="12"/>
      <color rgb="FF00B0F0"/>
      <name val="Calibri"/>
      <family val="2"/>
      <scheme val="minor"/>
    </font>
    <font>
      <i/>
      <sz val="12"/>
      <name val="Calibri"/>
      <family val="2"/>
      <scheme val="minor"/>
    </font>
    <font>
      <i/>
      <sz val="12"/>
      <name val="Calibri"/>
      <family val="2"/>
    </font>
    <font>
      <sz val="10"/>
      <color theme="0"/>
      <name val="Calibri"/>
      <family val="2"/>
      <scheme val="minor"/>
    </font>
    <font>
      <i/>
      <sz val="12"/>
      <color theme="0"/>
      <name val="Calibri"/>
      <family val="2"/>
      <scheme val="minor"/>
    </font>
    <font>
      <sz val="12"/>
      <color rgb="FFC00000"/>
      <name val="Calibri"/>
      <family val="2"/>
      <scheme val="minor"/>
    </font>
    <font>
      <sz val="10"/>
      <color rgb="FF00B050"/>
      <name val="Calibri"/>
      <family val="2"/>
      <scheme val="minor"/>
    </font>
    <font>
      <sz val="12"/>
      <color theme="0"/>
      <name val="Calibri"/>
      <family val="2"/>
    </font>
    <font>
      <i/>
      <sz val="12"/>
      <color rgb="FF00B050"/>
      <name val="Calibri"/>
      <family val="2"/>
      <scheme val="minor"/>
    </font>
    <font>
      <sz val="12"/>
      <color theme="1"/>
      <name val="Calibri"/>
      <family val="2"/>
    </font>
    <font>
      <sz val="12"/>
      <name val="Calibri"/>
      <family val="2"/>
    </font>
    <font>
      <u/>
      <sz val="11"/>
      <color theme="0"/>
      <name val="Calibri"/>
      <family val="2"/>
      <scheme val="minor"/>
    </font>
    <font>
      <sz val="12"/>
      <color theme="1"/>
      <name val="Calibri"/>
      <family val="2"/>
      <scheme val="minor"/>
    </font>
    <font>
      <i/>
      <sz val="12"/>
      <color rgb="FF00B0F0"/>
      <name val="Calibri"/>
      <family val="2"/>
    </font>
    <font>
      <sz val="12"/>
      <color theme="1" tint="4.9989318521683403E-2"/>
      <name val="Calibri"/>
      <family val="2"/>
    </font>
    <font>
      <sz val="12"/>
      <color rgb="FF00B050"/>
      <name val="Calibri"/>
      <family val="2"/>
      <scheme val="minor"/>
    </font>
    <font>
      <i/>
      <sz val="12"/>
      <color theme="1"/>
      <name val="Calibri"/>
      <family val="2"/>
    </font>
    <font>
      <sz val="12"/>
      <color theme="5"/>
      <name val="Calibri"/>
      <family val="2"/>
      <scheme val="minor"/>
    </font>
    <font>
      <i/>
      <sz val="12"/>
      <color theme="0"/>
      <name val="Calibri"/>
      <family val="2"/>
    </font>
    <font>
      <sz val="12"/>
      <color theme="4"/>
      <name val="Calibri"/>
      <family val="2"/>
      <scheme val="minor"/>
    </font>
    <font>
      <i/>
      <sz val="11"/>
      <color rgb="FF00B0F0"/>
      <name val="Calibri"/>
      <family val="2"/>
      <scheme val="minor"/>
    </font>
    <font>
      <sz val="12"/>
      <color theme="0" tint="-4.9989318521683403E-2"/>
      <name val="Calibri"/>
      <family val="2"/>
      <scheme val="minor"/>
    </font>
    <font>
      <i/>
      <sz val="12"/>
      <color theme="1"/>
      <name val="Calibri"/>
      <family val="2"/>
      <scheme val="minor"/>
    </font>
    <font>
      <sz val="12"/>
      <color theme="0" tint="-4.9989318521683403E-2"/>
      <name val="Calibri"/>
      <family val="2"/>
    </font>
    <font>
      <sz val="11"/>
      <name val="Calibri"/>
      <family val="2"/>
      <scheme val="minor"/>
    </font>
    <font>
      <sz val="36"/>
      <color rgb="FFFF0000"/>
      <name val="Calibri"/>
      <family val="2"/>
      <scheme val="minor"/>
    </font>
    <font>
      <sz val="12"/>
      <color rgb="FFFF0000"/>
      <name val="Calibri"/>
      <family val="2"/>
      <scheme val="minor"/>
    </font>
    <font>
      <sz val="12"/>
      <color theme="5"/>
      <name val="Calibri"/>
      <family val="2"/>
    </font>
    <font>
      <sz val="12"/>
      <color theme="2"/>
      <name val="Calibri"/>
      <family val="2"/>
      <scheme val="minor"/>
    </font>
    <font>
      <i/>
      <sz val="11"/>
      <color theme="1"/>
      <name val="Calibri"/>
      <family val="2"/>
      <scheme val="minor"/>
    </font>
    <font>
      <sz val="11"/>
      <color rgb="FFFF0000"/>
      <name val="Calibri"/>
      <family val="2"/>
      <scheme val="minor"/>
    </font>
    <font>
      <b/>
      <sz val="10"/>
      <color theme="0"/>
      <name val="Calibri"/>
      <family val="2"/>
      <scheme val="minor"/>
    </font>
    <font>
      <b/>
      <sz val="12"/>
      <color theme="0"/>
      <name val="Calibri"/>
      <family val="2"/>
    </font>
    <font>
      <b/>
      <sz val="12"/>
      <name val="Calibri"/>
      <family val="2"/>
      <scheme val="minor"/>
    </font>
    <font>
      <sz val="11"/>
      <color theme="4"/>
      <name val="Calibri"/>
      <family val="2"/>
      <scheme val="minor"/>
    </font>
    <font>
      <b/>
      <sz val="9"/>
      <color indexed="81"/>
      <name val="Tahoma"/>
      <family val="2"/>
    </font>
    <font>
      <sz val="9"/>
      <color indexed="81"/>
      <name val="Tahoma"/>
      <family val="2"/>
    </font>
    <font>
      <sz val="8"/>
      <name val="Calibri"/>
      <family val="2"/>
      <scheme val="minor"/>
    </font>
    <font>
      <sz val="11"/>
      <color theme="1"/>
      <name val="Calibri"/>
      <family val="2"/>
    </font>
    <font>
      <sz val="11"/>
      <color rgb="FF000000"/>
      <name val="Calibri"/>
      <family val="2"/>
    </font>
  </fonts>
  <fills count="31">
    <fill>
      <patternFill patternType="none"/>
    </fill>
    <fill>
      <patternFill patternType="gray125"/>
    </fill>
    <fill>
      <patternFill patternType="solid">
        <fgColor rgb="FFC00000"/>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50"/>
        <bgColor theme="1"/>
      </patternFill>
    </fill>
    <fill>
      <patternFill patternType="solid">
        <fgColor rgb="FFFFFF00"/>
        <bgColor indexed="64"/>
      </patternFill>
    </fill>
    <fill>
      <patternFill patternType="solid">
        <fgColor theme="0"/>
        <bgColor indexed="64"/>
      </patternFill>
    </fill>
    <fill>
      <patternFill patternType="solid">
        <fgColor theme="0"/>
        <bgColor theme="1"/>
      </patternFill>
    </fill>
    <fill>
      <patternFill patternType="solid">
        <fgColor rgb="FFBFBFBF"/>
        <bgColor indexed="64"/>
      </patternFill>
    </fill>
    <fill>
      <patternFill patternType="solid">
        <fgColor rgb="FFD31116"/>
        <bgColor theme="1"/>
      </patternFill>
    </fill>
    <fill>
      <patternFill patternType="solid">
        <fgColor theme="5" tint="0.79998168889431442"/>
        <bgColor indexed="64"/>
      </patternFill>
    </fill>
    <fill>
      <patternFill patternType="solid">
        <fgColor theme="5" tint="0.79998168889431442"/>
        <bgColor theme="1"/>
      </patternFill>
    </fill>
    <fill>
      <patternFill patternType="solid">
        <fgColor rgb="FFC00000"/>
        <bgColor theme="1"/>
      </patternFill>
    </fill>
    <fill>
      <patternFill patternType="solid">
        <fgColor theme="4"/>
        <bgColor indexed="64"/>
      </patternFill>
    </fill>
    <fill>
      <patternFill patternType="solid">
        <fgColor theme="4"/>
        <bgColor theme="1"/>
      </patternFill>
    </fill>
    <fill>
      <patternFill patternType="solid">
        <fgColor rgb="FF4472C4"/>
        <bgColor indexed="64"/>
      </patternFill>
    </fill>
    <fill>
      <patternFill patternType="solid">
        <fgColor rgb="FF4472C4"/>
        <bgColor theme="1"/>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A6A6A6"/>
        <bgColor indexed="64"/>
      </patternFill>
    </fill>
    <fill>
      <patternFill patternType="solid">
        <fgColor rgb="FFFFFFFF"/>
        <bgColor indexed="64"/>
      </patternFill>
    </fill>
    <fill>
      <patternFill patternType="solid">
        <fgColor rgb="FFD31116"/>
        <bgColor indexed="64"/>
      </patternFill>
    </fill>
    <fill>
      <patternFill patternType="solid">
        <fgColor theme="0" tint="-0.34998626667073579"/>
        <bgColor indexed="64"/>
      </patternFill>
    </fill>
    <fill>
      <patternFill patternType="solid">
        <fgColor rgb="FFA6A6A6"/>
        <bgColor theme="1"/>
      </patternFill>
    </fill>
    <fill>
      <patternFill patternType="solid">
        <fgColor rgb="FFFFFFFF"/>
        <bgColor theme="1"/>
      </patternFill>
    </fill>
    <fill>
      <patternFill patternType="solid">
        <fgColor theme="0" tint="-0.34998626667073579"/>
        <bgColor theme="1"/>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1" fillId="0" borderId="0"/>
    <xf numFmtId="0" fontId="1" fillId="0" borderId="0"/>
  </cellStyleXfs>
  <cellXfs count="316">
    <xf numFmtId="0" fontId="0" fillId="0" borderId="0" xfId="0"/>
    <xf numFmtId="0" fontId="6" fillId="2" borderId="1" xfId="3" applyFont="1" applyFill="1" applyBorder="1" applyAlignment="1">
      <alignment horizontal="center" vertical="center" wrapText="1"/>
    </xf>
    <xf numFmtId="0" fontId="7" fillId="0" borderId="1" xfId="3" applyFont="1" applyBorder="1" applyAlignment="1">
      <alignment horizontal="center" vertical="center" textRotation="90"/>
    </xf>
    <xf numFmtId="0" fontId="8" fillId="2" borderId="1" xfId="3" applyFont="1" applyFill="1" applyBorder="1" applyAlignment="1">
      <alignment horizontal="center" vertical="center" wrapText="1"/>
    </xf>
    <xf numFmtId="0" fontId="7" fillId="0" borderId="1" xfId="3" applyFont="1" applyBorder="1" applyAlignment="1">
      <alignment horizontal="center" vertical="center" textRotation="90" wrapText="1"/>
    </xf>
    <xf numFmtId="0" fontId="9" fillId="2" borderId="1" xfId="3" applyFont="1" applyFill="1" applyBorder="1" applyAlignment="1">
      <alignment horizontal="left" vertical="center" wrapText="1"/>
    </xf>
    <xf numFmtId="0" fontId="9" fillId="2" borderId="1" xfId="3" applyFont="1" applyFill="1" applyBorder="1" applyAlignment="1">
      <alignment horizontal="center" vertical="center" wrapText="1"/>
    </xf>
    <xf numFmtId="0" fontId="9" fillId="2" borderId="1" xfId="3" applyFont="1" applyFill="1" applyBorder="1" applyAlignment="1">
      <alignment vertical="center" wrapText="1"/>
    </xf>
    <xf numFmtId="0" fontId="8" fillId="2" borderId="1" xfId="3"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4" fillId="0" borderId="0" xfId="0" applyFont="1" applyAlignment="1">
      <alignment vertical="center"/>
    </xf>
    <xf numFmtId="0" fontId="10" fillId="3" borderId="1" xfId="3" applyFont="1" applyFill="1" applyBorder="1" applyAlignment="1">
      <alignment horizontal="center" vertical="center"/>
    </xf>
    <xf numFmtId="0" fontId="7" fillId="0" borderId="1" xfId="3" applyFont="1" applyBorder="1" applyAlignment="1">
      <alignment horizontal="center" vertical="center"/>
    </xf>
    <xf numFmtId="0" fontId="10" fillId="0" borderId="1" xfId="3" applyFont="1" applyBorder="1" applyAlignment="1">
      <alignment horizontal="center" vertical="center" wrapText="1"/>
    </xf>
    <xf numFmtId="0" fontId="7" fillId="0" borderId="1" xfId="3" applyFont="1" applyBorder="1" applyAlignment="1">
      <alignment horizontal="center" vertical="center" wrapText="1"/>
    </xf>
    <xf numFmtId="0" fontId="8" fillId="2" borderId="1" xfId="3" applyFont="1" applyFill="1" applyBorder="1" applyAlignment="1">
      <alignment horizontal="left" vertical="center" wrapText="1"/>
    </xf>
    <xf numFmtId="0" fontId="8" fillId="2" borderId="1" xfId="3" applyFont="1" applyFill="1" applyBorder="1" applyAlignment="1">
      <alignment vertical="center" wrapText="1"/>
    </xf>
    <xf numFmtId="0" fontId="11" fillId="0" borderId="1" xfId="3" applyFont="1" applyBorder="1" applyAlignment="1" applyProtection="1">
      <alignment vertical="center" wrapText="1"/>
      <protection locked="0"/>
    </xf>
    <xf numFmtId="0" fontId="12" fillId="0" borderId="1" xfId="3" applyFont="1" applyBorder="1" applyAlignment="1">
      <alignment horizontal="left" vertical="center" wrapText="1"/>
    </xf>
    <xf numFmtId="0" fontId="13" fillId="0" borderId="1" xfId="3" applyFont="1" applyBorder="1" applyAlignment="1" applyProtection="1">
      <alignment horizontal="left" vertical="center" wrapText="1"/>
      <protection locked="0"/>
    </xf>
    <xf numFmtId="0" fontId="12" fillId="0" borderId="1" xfId="3" applyFont="1" applyBorder="1" applyAlignment="1" applyProtection="1">
      <alignment horizontal="left" vertical="center" wrapText="1"/>
      <protection locked="0"/>
    </xf>
    <xf numFmtId="0" fontId="12" fillId="0" borderId="1" xfId="3" applyFont="1" applyBorder="1" applyAlignment="1">
      <alignment horizontal="center" vertical="center" wrapText="1"/>
    </xf>
    <xf numFmtId="0" fontId="8" fillId="2" borderId="1" xfId="3" applyFont="1" applyFill="1" applyBorder="1" applyAlignment="1">
      <alignment horizontal="center" vertical="center"/>
    </xf>
    <xf numFmtId="0" fontId="14" fillId="2" borderId="1" xfId="3" applyFont="1" applyFill="1" applyBorder="1" applyAlignment="1">
      <alignment horizontal="center" vertical="center" wrapText="1"/>
    </xf>
    <xf numFmtId="0" fontId="15" fillId="2" borderId="1" xfId="3" applyFont="1" applyFill="1" applyBorder="1" applyAlignment="1" applyProtection="1">
      <alignment vertical="center" wrapText="1"/>
      <protection locked="0"/>
    </xf>
    <xf numFmtId="0" fontId="10" fillId="2" borderId="1" xfId="3" applyFont="1" applyFill="1" applyBorder="1" applyAlignment="1">
      <alignment horizontal="center" vertical="center" wrapText="1"/>
    </xf>
    <xf numFmtId="0" fontId="10" fillId="2" borderId="1" xfId="3" applyFont="1" applyFill="1" applyBorder="1" applyAlignment="1">
      <alignment horizontal="left" vertical="center" wrapText="1"/>
    </xf>
    <xf numFmtId="0" fontId="16" fillId="2" borderId="1" xfId="3" applyFont="1" applyFill="1" applyBorder="1" applyAlignment="1">
      <alignment horizontal="left" vertical="center" wrapText="1"/>
    </xf>
    <xf numFmtId="0" fontId="14" fillId="4" borderId="1" xfId="3" applyFont="1" applyFill="1" applyBorder="1" applyAlignment="1">
      <alignment horizontal="center" vertical="center"/>
    </xf>
    <xf numFmtId="0" fontId="17" fillId="4" borderId="1" xfId="3" applyFont="1" applyFill="1" applyBorder="1" applyAlignment="1">
      <alignment horizontal="center" vertical="center" wrapText="1"/>
    </xf>
    <xf numFmtId="0" fontId="7" fillId="4" borderId="1" xfId="3" applyFont="1" applyFill="1" applyBorder="1" applyAlignment="1">
      <alignment horizontal="center" vertical="center" wrapText="1"/>
    </xf>
    <xf numFmtId="0" fontId="14" fillId="0" borderId="1" xfId="3" applyFont="1" applyBorder="1" applyAlignment="1">
      <alignment horizontal="center" vertical="center" wrapText="1"/>
    </xf>
    <xf numFmtId="0" fontId="8" fillId="4" borderId="1" xfId="3" applyFont="1" applyFill="1" applyBorder="1" applyAlignment="1">
      <alignment vertical="center" wrapText="1"/>
    </xf>
    <xf numFmtId="0" fontId="18" fillId="5" borderId="1" xfId="3" applyFont="1" applyFill="1" applyBorder="1" applyAlignment="1">
      <alignment horizontal="left" vertical="center" wrapText="1"/>
    </xf>
    <xf numFmtId="0" fontId="8" fillId="4" borderId="1" xfId="3" applyFont="1" applyFill="1" applyBorder="1" applyAlignment="1">
      <alignment horizontal="left" vertical="center" wrapText="1"/>
    </xf>
    <xf numFmtId="0" fontId="11" fillId="4" borderId="1" xfId="3" applyFont="1" applyFill="1" applyBorder="1" applyAlignment="1" applyProtection="1">
      <alignment vertical="center" wrapText="1"/>
      <protection locked="0"/>
    </xf>
    <xf numFmtId="0" fontId="10" fillId="4" borderId="1" xfId="3" applyFont="1" applyFill="1" applyBorder="1" applyAlignment="1">
      <alignment horizontal="center" vertical="center" wrapText="1"/>
    </xf>
    <xf numFmtId="0" fontId="12" fillId="4" borderId="1" xfId="3" applyFont="1" applyFill="1" applyBorder="1" applyAlignment="1">
      <alignment horizontal="left" vertical="center" wrapText="1"/>
    </xf>
    <xf numFmtId="0" fontId="19" fillId="4" borderId="1" xfId="3" applyFont="1" applyFill="1" applyBorder="1" applyAlignment="1">
      <alignment horizontal="left" vertical="center" wrapText="1"/>
    </xf>
    <xf numFmtId="0" fontId="12" fillId="4" borderId="1" xfId="3" applyFont="1" applyFill="1" applyBorder="1" applyAlignment="1">
      <alignment horizontal="center" vertical="center" wrapText="1"/>
    </xf>
    <xf numFmtId="20" fontId="10" fillId="6" borderId="1" xfId="3" applyNumberFormat="1" applyFont="1" applyFill="1" applyBorder="1" applyAlignment="1">
      <alignment horizontal="center" vertical="center"/>
    </xf>
    <xf numFmtId="20" fontId="10" fillId="7" borderId="1" xfId="3" applyNumberFormat="1" applyFont="1" applyFill="1" applyBorder="1" applyAlignment="1">
      <alignment horizontal="center" vertical="center" wrapText="1"/>
    </xf>
    <xf numFmtId="20" fontId="7" fillId="0" borderId="1" xfId="3" applyNumberFormat="1" applyFont="1" applyBorder="1" applyAlignment="1">
      <alignment horizontal="center" vertical="center" wrapText="1"/>
    </xf>
    <xf numFmtId="20" fontId="20" fillId="7" borderId="1" xfId="3" applyNumberFormat="1" applyFont="1" applyFill="1" applyBorder="1" applyAlignment="1">
      <alignment horizontal="left" vertical="center" wrapText="1"/>
    </xf>
    <xf numFmtId="20" fontId="21" fillId="8" borderId="1" xfId="3" applyNumberFormat="1" applyFont="1" applyFill="1" applyBorder="1" applyAlignment="1">
      <alignment horizontal="left" vertical="center" wrapText="1"/>
    </xf>
    <xf numFmtId="20" fontId="11" fillId="0" borderId="1" xfId="3" applyNumberFormat="1" applyFont="1" applyBorder="1" applyAlignment="1" applyProtection="1">
      <alignment vertical="center" wrapText="1"/>
      <protection locked="0"/>
    </xf>
    <xf numFmtId="20" fontId="10" fillId="0" borderId="1" xfId="3" applyNumberFormat="1" applyFont="1" applyBorder="1" applyAlignment="1">
      <alignment horizontal="center" vertical="center" wrapText="1"/>
    </xf>
    <xf numFmtId="20" fontId="12" fillId="0" borderId="1" xfId="3" applyNumberFormat="1" applyFont="1" applyBorder="1" applyAlignment="1">
      <alignment horizontal="left" vertical="center" wrapText="1"/>
    </xf>
    <xf numFmtId="20" fontId="13" fillId="8" borderId="1" xfId="3" applyNumberFormat="1" applyFont="1" applyFill="1" applyBorder="1" applyAlignment="1" applyProtection="1">
      <alignment horizontal="left" vertical="center" wrapText="1"/>
      <protection locked="0"/>
    </xf>
    <xf numFmtId="20" fontId="12" fillId="0" borderId="1" xfId="3" applyNumberFormat="1" applyFont="1" applyBorder="1" applyAlignment="1" applyProtection="1">
      <alignment horizontal="left" vertical="center" wrapText="1"/>
      <protection locked="0"/>
    </xf>
    <xf numFmtId="20" fontId="12" fillId="0" borderId="1" xfId="3" applyNumberFormat="1" applyFont="1" applyBorder="1" applyAlignment="1">
      <alignment horizontal="center" vertical="center" wrapText="1"/>
    </xf>
    <xf numFmtId="20" fontId="0" fillId="0" borderId="0" xfId="0" applyNumberFormat="1" applyAlignment="1">
      <alignment vertical="center"/>
    </xf>
    <xf numFmtId="20" fontId="10" fillId="9" borderId="1" xfId="3" applyNumberFormat="1" applyFont="1" applyFill="1" applyBorder="1" applyAlignment="1">
      <alignment horizontal="center" vertical="center"/>
    </xf>
    <xf numFmtId="20" fontId="10" fillId="7" borderId="1" xfId="3" quotePrefix="1" applyNumberFormat="1" applyFont="1" applyFill="1" applyBorder="1" applyAlignment="1">
      <alignment horizontal="center" vertical="center" wrapText="1"/>
    </xf>
    <xf numFmtId="20" fontId="21" fillId="7" borderId="1" xfId="3" applyNumberFormat="1" applyFont="1" applyFill="1" applyBorder="1" applyAlignment="1">
      <alignment horizontal="left" vertical="center" wrapText="1"/>
    </xf>
    <xf numFmtId="20" fontId="22" fillId="10" borderId="1" xfId="2" applyNumberFormat="1" applyFont="1" applyFill="1" applyBorder="1" applyAlignment="1" applyProtection="1">
      <alignment horizontal="left" vertical="center" wrapText="1"/>
    </xf>
    <xf numFmtId="20" fontId="23" fillId="7" borderId="1" xfId="3" applyNumberFormat="1" applyFont="1" applyFill="1" applyBorder="1" applyAlignment="1">
      <alignment horizontal="left" vertical="center" wrapText="1"/>
    </xf>
    <xf numFmtId="20" fontId="22" fillId="2" borderId="1" xfId="2" applyNumberFormat="1" applyFont="1" applyFill="1" applyBorder="1" applyAlignment="1" applyProtection="1">
      <alignment horizontal="left" vertical="center" wrapText="1"/>
    </xf>
    <xf numFmtId="20" fontId="11" fillId="0" borderId="1" xfId="3" applyNumberFormat="1" applyFont="1" applyBorder="1" applyAlignment="1">
      <alignment vertical="center" wrapText="1"/>
    </xf>
    <xf numFmtId="20" fontId="13" fillId="0" borderId="1" xfId="3" applyNumberFormat="1" applyFont="1" applyBorder="1" applyAlignment="1" applyProtection="1">
      <alignment horizontal="left" vertical="center" wrapText="1"/>
      <protection locked="0"/>
    </xf>
    <xf numFmtId="20" fontId="10" fillId="11" borderId="1" xfId="3" applyNumberFormat="1" applyFont="1" applyFill="1" applyBorder="1" applyAlignment="1">
      <alignment horizontal="center" vertical="center" wrapText="1"/>
    </xf>
    <xf numFmtId="20" fontId="21" fillId="12" borderId="1" xfId="3" applyNumberFormat="1" applyFont="1" applyFill="1" applyBorder="1" applyAlignment="1">
      <alignment horizontal="left" vertical="center" wrapText="1"/>
    </xf>
    <xf numFmtId="20" fontId="11" fillId="11" borderId="1" xfId="3" applyNumberFormat="1" applyFont="1" applyFill="1" applyBorder="1" applyAlignment="1" applyProtection="1">
      <alignment vertical="center" wrapText="1"/>
      <protection locked="0"/>
    </xf>
    <xf numFmtId="20" fontId="12" fillId="11" borderId="1" xfId="3" applyNumberFormat="1" applyFont="1" applyFill="1" applyBorder="1" applyAlignment="1">
      <alignment horizontal="left" vertical="center" wrapText="1"/>
    </xf>
    <xf numFmtId="20" fontId="12" fillId="11" borderId="1" xfId="3" applyNumberFormat="1" applyFont="1" applyFill="1" applyBorder="1" applyAlignment="1" applyProtection="1">
      <alignment horizontal="left" vertical="center" wrapText="1"/>
      <protection locked="0"/>
    </xf>
    <xf numFmtId="20" fontId="7" fillId="0" borderId="1" xfId="3" applyNumberFormat="1" applyFont="1" applyBorder="1" applyAlignment="1" applyProtection="1">
      <alignment horizontal="center" vertical="center" wrapText="1"/>
      <protection locked="0"/>
    </xf>
    <xf numFmtId="20" fontId="12" fillId="11" borderId="1" xfId="3" applyNumberFormat="1" applyFont="1" applyFill="1" applyBorder="1" applyAlignment="1">
      <alignment horizontal="center" vertical="center" wrapText="1"/>
    </xf>
    <xf numFmtId="0" fontId="18" fillId="4" borderId="1" xfId="3" applyFont="1" applyFill="1" applyBorder="1" applyAlignment="1">
      <alignment horizontal="left" vertical="center" wrapText="1"/>
    </xf>
    <xf numFmtId="0" fontId="10" fillId="9" borderId="1" xfId="3" applyFont="1" applyFill="1" applyBorder="1" applyAlignment="1">
      <alignment horizontal="center" vertical="center"/>
    </xf>
    <xf numFmtId="0" fontId="10" fillId="7" borderId="1" xfId="3" applyFont="1" applyFill="1" applyBorder="1" applyAlignment="1">
      <alignment horizontal="center" vertical="center" wrapText="1"/>
    </xf>
    <xf numFmtId="0" fontId="20" fillId="0" borderId="1" xfId="3" applyFont="1" applyBorder="1" applyAlignment="1">
      <alignment horizontal="left" vertical="center" wrapText="1"/>
    </xf>
    <xf numFmtId="0" fontId="21" fillId="8" borderId="1" xfId="3" applyFont="1" applyFill="1" applyBorder="1" applyAlignment="1">
      <alignment horizontal="left" vertical="center" wrapText="1"/>
    </xf>
    <xf numFmtId="0" fontId="10" fillId="11" borderId="1" xfId="3" applyFont="1" applyFill="1" applyBorder="1" applyAlignment="1">
      <alignment horizontal="center" vertical="center" wrapText="1"/>
    </xf>
    <xf numFmtId="0" fontId="20" fillId="12" borderId="1" xfId="3" applyFont="1" applyFill="1" applyBorder="1" applyAlignment="1">
      <alignment horizontal="left" vertical="center" wrapText="1"/>
    </xf>
    <xf numFmtId="0" fontId="21" fillId="12" borderId="1" xfId="3" applyFont="1" applyFill="1" applyBorder="1" applyAlignment="1">
      <alignment horizontal="left" vertical="center" wrapText="1"/>
    </xf>
    <xf numFmtId="0" fontId="24" fillId="12" borderId="1" xfId="3" applyFont="1" applyFill="1" applyBorder="1" applyAlignment="1" applyProtection="1">
      <alignment vertical="center" wrapText="1"/>
      <protection locked="0"/>
    </xf>
    <xf numFmtId="0" fontId="12" fillId="11" borderId="1" xfId="3" applyFont="1" applyFill="1" applyBorder="1" applyAlignment="1">
      <alignment horizontal="left" vertical="center" wrapText="1"/>
    </xf>
    <xf numFmtId="0" fontId="12" fillId="11" borderId="1" xfId="3" applyFont="1" applyFill="1" applyBorder="1" applyAlignment="1" applyProtection="1">
      <alignment horizontal="left" vertical="center" wrapText="1"/>
      <protection locked="0"/>
    </xf>
    <xf numFmtId="0" fontId="7" fillId="0" borderId="1" xfId="3" applyFont="1" applyBorder="1" applyAlignment="1" applyProtection="1">
      <alignment horizontal="center" vertical="center" wrapText="1"/>
      <protection locked="0"/>
    </xf>
    <xf numFmtId="0" fontId="12" fillId="11" borderId="1" xfId="3" applyFont="1" applyFill="1" applyBorder="1" applyAlignment="1">
      <alignment horizontal="center" vertical="center" wrapText="1"/>
    </xf>
    <xf numFmtId="0" fontId="7" fillId="7" borderId="1" xfId="3" applyFont="1" applyFill="1" applyBorder="1" applyAlignment="1">
      <alignment horizontal="center" vertical="center" wrapText="1"/>
    </xf>
    <xf numFmtId="0" fontId="25" fillId="0" borderId="1" xfId="3" applyFont="1" applyBorder="1" applyAlignment="1">
      <alignment horizontal="left" vertical="center" wrapText="1"/>
    </xf>
    <xf numFmtId="0" fontId="20" fillId="8" borderId="1" xfId="3" applyFont="1" applyFill="1" applyBorder="1" applyAlignment="1">
      <alignment horizontal="left" vertical="center" wrapText="1"/>
    </xf>
    <xf numFmtId="0" fontId="7" fillId="11" borderId="1" xfId="3" applyFont="1" applyFill="1" applyBorder="1" applyAlignment="1">
      <alignment horizontal="center" vertical="center" wrapText="1"/>
    </xf>
    <xf numFmtId="0" fontId="25" fillId="12" borderId="1" xfId="3" applyFont="1" applyFill="1" applyBorder="1" applyAlignment="1">
      <alignment horizontal="left" vertical="center" wrapText="1"/>
    </xf>
    <xf numFmtId="0" fontId="11" fillId="11" borderId="1" xfId="3" applyFont="1" applyFill="1" applyBorder="1" applyAlignment="1" applyProtection="1">
      <alignment vertical="center" wrapText="1"/>
      <protection locked="0"/>
    </xf>
    <xf numFmtId="0" fontId="23" fillId="7" borderId="1" xfId="3" applyFont="1" applyFill="1" applyBorder="1" applyAlignment="1">
      <alignment vertical="center" wrapText="1"/>
    </xf>
    <xf numFmtId="0" fontId="22" fillId="2" borderId="1" xfId="2" applyFont="1" applyFill="1" applyBorder="1" applyAlignment="1" applyProtection="1">
      <alignment horizontal="left" vertical="center" wrapText="1"/>
    </xf>
    <xf numFmtId="0" fontId="23" fillId="7" borderId="1" xfId="3" applyFont="1" applyFill="1" applyBorder="1" applyAlignment="1">
      <alignment horizontal="left" vertical="center" wrapText="1"/>
    </xf>
    <xf numFmtId="0" fontId="11" fillId="0" borderId="1" xfId="3" applyFont="1" applyBorder="1" applyAlignment="1">
      <alignment vertical="center" wrapText="1"/>
    </xf>
    <xf numFmtId="0" fontId="13" fillId="8" borderId="1" xfId="3" applyFont="1" applyFill="1" applyBorder="1" applyAlignment="1" applyProtection="1">
      <alignment horizontal="left" vertical="center" wrapText="1"/>
      <protection locked="0"/>
    </xf>
    <xf numFmtId="0" fontId="23" fillId="11" borderId="1" xfId="3" applyFont="1" applyFill="1" applyBorder="1" applyAlignment="1">
      <alignment horizontal="left" vertical="center" wrapText="1"/>
    </xf>
    <xf numFmtId="0" fontId="11" fillId="11" borderId="1" xfId="3" applyFont="1" applyFill="1" applyBorder="1" applyAlignment="1">
      <alignment vertical="center" wrapText="1"/>
    </xf>
    <xf numFmtId="0" fontId="10" fillId="6" borderId="1" xfId="3" applyFont="1" applyFill="1" applyBorder="1" applyAlignment="1">
      <alignment horizontal="center" vertical="center"/>
    </xf>
    <xf numFmtId="0" fontId="23" fillId="0" borderId="1" xfId="3" applyFont="1" applyBorder="1" applyAlignment="1">
      <alignment vertical="center" wrapText="1"/>
    </xf>
    <xf numFmtId="0" fontId="21" fillId="0" borderId="1" xfId="3" applyFont="1" applyBorder="1" applyAlignment="1">
      <alignment horizontal="left" vertical="center" wrapText="1"/>
    </xf>
    <xf numFmtId="0" fontId="26" fillId="4" borderId="1" xfId="3" applyFont="1" applyFill="1" applyBorder="1" applyAlignment="1">
      <alignment horizontal="center" vertical="center" wrapText="1"/>
    </xf>
    <xf numFmtId="0" fontId="24" fillId="5" borderId="1" xfId="3" applyFont="1" applyFill="1" applyBorder="1" applyAlignment="1" applyProtection="1">
      <alignment vertical="center" wrapText="1"/>
      <protection locked="0"/>
    </xf>
    <xf numFmtId="0" fontId="21" fillId="5" borderId="1" xfId="3" applyFont="1" applyFill="1" applyBorder="1" applyAlignment="1">
      <alignment horizontal="center" vertical="center" wrapText="1"/>
    </xf>
    <xf numFmtId="0" fontId="21" fillId="12" borderId="1" xfId="3" applyFont="1" applyFill="1" applyBorder="1" applyAlignment="1">
      <alignment vertical="center" wrapText="1"/>
    </xf>
    <xf numFmtId="0" fontId="23" fillId="11" borderId="1" xfId="3" applyFont="1" applyFill="1" applyBorder="1" applyAlignment="1">
      <alignment vertical="center" wrapText="1"/>
    </xf>
    <xf numFmtId="0" fontId="13" fillId="12" borderId="1" xfId="3" applyFont="1" applyFill="1" applyBorder="1" applyAlignment="1" applyProtection="1">
      <alignment horizontal="left" vertical="center" wrapText="1"/>
      <protection locked="0"/>
    </xf>
    <xf numFmtId="0" fontId="23" fillId="0" borderId="1" xfId="3" applyFont="1" applyBorder="1" applyAlignment="1">
      <alignment horizontal="left" vertical="center" wrapText="1"/>
    </xf>
    <xf numFmtId="0" fontId="20" fillId="11" borderId="1" xfId="3" applyFont="1" applyFill="1" applyBorder="1" applyAlignment="1">
      <alignment horizontal="left" vertical="center" wrapText="1"/>
    </xf>
    <xf numFmtId="0" fontId="28" fillId="7" borderId="1" xfId="3" applyFont="1" applyFill="1" applyBorder="1" applyAlignment="1">
      <alignment vertical="center" wrapText="1"/>
    </xf>
    <xf numFmtId="0" fontId="5" fillId="0" borderId="1" xfId="2" quotePrefix="1" applyFill="1" applyBorder="1" applyAlignment="1" applyProtection="1">
      <alignment vertical="center" wrapText="1"/>
    </xf>
    <xf numFmtId="0" fontId="8" fillId="4" borderId="1" xfId="3" applyFont="1" applyFill="1" applyBorder="1" applyAlignment="1">
      <alignment horizontal="center" vertical="center"/>
    </xf>
    <xf numFmtId="0" fontId="1" fillId="0" borderId="1" xfId="2" quotePrefix="1" applyFont="1" applyFill="1" applyBorder="1" applyAlignment="1" applyProtection="1">
      <alignment vertical="center" wrapText="1"/>
    </xf>
    <xf numFmtId="0" fontId="16" fillId="2" borderId="1" xfId="3" applyFont="1" applyFill="1" applyBorder="1" applyAlignment="1">
      <alignment horizontal="center" vertical="center" wrapText="1"/>
    </xf>
    <xf numFmtId="0" fontId="18" fillId="13" borderId="1" xfId="3" applyFont="1" applyFill="1" applyBorder="1" applyAlignment="1">
      <alignment horizontal="left" vertical="center" wrapText="1"/>
    </xf>
    <xf numFmtId="0" fontId="29" fillId="13" borderId="1" xfId="3" applyFont="1" applyFill="1" applyBorder="1" applyAlignment="1" applyProtection="1">
      <alignment vertical="center" wrapText="1"/>
      <protection locked="0"/>
    </xf>
    <xf numFmtId="0" fontId="12" fillId="2" borderId="1" xfId="3" applyFont="1" applyFill="1" applyBorder="1" applyAlignment="1">
      <alignment horizontal="left" vertical="center" wrapText="1"/>
    </xf>
    <xf numFmtId="0" fontId="12" fillId="2" borderId="1" xfId="3" applyFont="1" applyFill="1" applyBorder="1" applyAlignment="1">
      <alignment horizontal="center" vertical="center" wrapText="1"/>
    </xf>
    <xf numFmtId="0" fontId="23" fillId="4" borderId="1" xfId="3" applyFont="1" applyFill="1" applyBorder="1" applyAlignment="1">
      <alignment vertical="center" wrapText="1"/>
    </xf>
    <xf numFmtId="0" fontId="1" fillId="7" borderId="1" xfId="2" quotePrefix="1" applyFont="1" applyFill="1" applyBorder="1" applyAlignment="1" applyProtection="1">
      <alignment vertical="center" wrapText="1"/>
    </xf>
    <xf numFmtId="0" fontId="23" fillId="4" borderId="1" xfId="3" applyFont="1" applyFill="1" applyBorder="1" applyAlignment="1">
      <alignment horizontal="center" vertical="center" wrapText="1"/>
    </xf>
    <xf numFmtId="0" fontId="21" fillId="11" borderId="1" xfId="3" applyFont="1" applyFill="1" applyBorder="1" applyAlignment="1">
      <alignment horizontal="left" vertical="center" wrapText="1"/>
    </xf>
    <xf numFmtId="0" fontId="5" fillId="11" borderId="1" xfId="2" quotePrefix="1" applyFill="1" applyBorder="1" applyAlignment="1" applyProtection="1">
      <alignment vertical="center" wrapText="1"/>
    </xf>
    <xf numFmtId="0" fontId="21" fillId="5" borderId="1" xfId="3" applyFont="1" applyFill="1" applyBorder="1" applyAlignment="1">
      <alignment horizontal="left" vertical="center" wrapText="1"/>
    </xf>
    <xf numFmtId="0" fontId="21" fillId="7" borderId="1" xfId="3" applyFont="1" applyFill="1" applyBorder="1" applyAlignment="1">
      <alignment horizontal="left" vertical="center" wrapText="1"/>
    </xf>
    <xf numFmtId="0" fontId="24" fillId="0" borderId="1" xfId="3" applyFont="1" applyBorder="1" applyAlignment="1" applyProtection="1">
      <alignment vertical="center" wrapText="1"/>
      <protection locked="0"/>
    </xf>
    <xf numFmtId="0" fontId="8" fillId="14" borderId="1" xfId="3" applyFont="1" applyFill="1" applyBorder="1" applyAlignment="1">
      <alignment horizontal="center" vertical="center"/>
    </xf>
    <xf numFmtId="0" fontId="30" fillId="14" borderId="1" xfId="3" applyFont="1" applyFill="1" applyBorder="1" applyAlignment="1">
      <alignment horizontal="center" vertical="center" wrapText="1"/>
    </xf>
    <xf numFmtId="0" fontId="10" fillId="14" borderId="1" xfId="3" applyFont="1" applyFill="1" applyBorder="1" applyAlignment="1">
      <alignment horizontal="center" vertical="center" wrapText="1"/>
    </xf>
    <xf numFmtId="0" fontId="18" fillId="14" borderId="1" xfId="3" applyFont="1" applyFill="1" applyBorder="1" applyAlignment="1">
      <alignment horizontal="left" vertical="center" wrapText="1"/>
    </xf>
    <xf numFmtId="0" fontId="18" fillId="15" borderId="1" xfId="3" applyFont="1" applyFill="1" applyBorder="1" applyAlignment="1">
      <alignment horizontal="left" vertical="center" wrapText="1"/>
    </xf>
    <xf numFmtId="0" fontId="24" fillId="15" borderId="1" xfId="3" applyFont="1" applyFill="1" applyBorder="1" applyAlignment="1" applyProtection="1">
      <alignment vertical="center" wrapText="1"/>
      <protection locked="0"/>
    </xf>
    <xf numFmtId="0" fontId="18" fillId="15" borderId="1" xfId="3" applyFont="1" applyFill="1" applyBorder="1" applyAlignment="1">
      <alignment horizontal="center" vertical="center" wrapText="1"/>
    </xf>
    <xf numFmtId="0" fontId="29" fillId="15" borderId="1" xfId="3" applyFont="1" applyFill="1" applyBorder="1" applyAlignment="1">
      <alignment horizontal="left" vertical="center" wrapText="1"/>
    </xf>
    <xf numFmtId="0" fontId="29" fillId="15" borderId="1" xfId="3" applyFont="1" applyFill="1" applyBorder="1" applyAlignment="1">
      <alignment horizontal="center" vertical="center" wrapText="1"/>
    </xf>
    <xf numFmtId="0" fontId="0" fillId="0" borderId="0" xfId="0" applyAlignment="1">
      <alignment horizontal="center" vertical="center" wrapText="1"/>
    </xf>
    <xf numFmtId="0" fontId="5" fillId="7" borderId="1" xfId="2" quotePrefix="1" applyFill="1" applyBorder="1" applyAlignment="1" applyProtection="1">
      <alignment vertical="center" wrapText="1"/>
      <protection locked="0"/>
    </xf>
    <xf numFmtId="0" fontId="22" fillId="13" borderId="1" xfId="2" applyFont="1" applyFill="1" applyBorder="1" applyAlignment="1">
      <alignment horizontal="left" vertical="center" wrapText="1"/>
    </xf>
    <xf numFmtId="0" fontId="0" fillId="11" borderId="1" xfId="0" applyFill="1" applyBorder="1" applyAlignment="1">
      <alignment vertical="center" wrapText="1"/>
    </xf>
    <xf numFmtId="0" fontId="28" fillId="11" borderId="1" xfId="3" applyFont="1" applyFill="1" applyBorder="1" applyAlignment="1">
      <alignment vertical="center" wrapText="1"/>
    </xf>
    <xf numFmtId="0" fontId="0" fillId="7" borderId="1" xfId="0" applyFill="1" applyBorder="1" applyAlignment="1">
      <alignment vertical="center" wrapText="1"/>
    </xf>
    <xf numFmtId="0" fontId="10" fillId="7" borderId="1" xfId="3" quotePrefix="1" applyFont="1" applyFill="1" applyBorder="1" applyAlignment="1">
      <alignment horizontal="center" vertical="center" wrapText="1"/>
    </xf>
    <xf numFmtId="0" fontId="31" fillId="0" borderId="1" xfId="0" applyFont="1" applyBorder="1" applyAlignment="1" applyProtection="1">
      <alignment vertical="center" wrapText="1"/>
      <protection locked="0"/>
    </xf>
    <xf numFmtId="0" fontId="12" fillId="0" borderId="1" xfId="3" quotePrefix="1" applyFont="1" applyBorder="1" applyAlignment="1" applyProtection="1">
      <alignment horizontal="left" vertical="center" wrapText="1"/>
      <protection locked="0"/>
    </xf>
    <xf numFmtId="0" fontId="22" fillId="2" borderId="1" xfId="2" applyFont="1" applyFill="1" applyBorder="1" applyAlignment="1">
      <alignment vertical="center" wrapText="1"/>
    </xf>
    <xf numFmtId="0" fontId="8" fillId="16" borderId="1" xfId="3" applyFont="1" applyFill="1" applyBorder="1" applyAlignment="1">
      <alignment horizontal="center" vertical="center"/>
    </xf>
    <xf numFmtId="0" fontId="30" fillId="16" borderId="1" xfId="3" applyFont="1" applyFill="1" applyBorder="1" applyAlignment="1">
      <alignment horizontal="center" vertical="center" wrapText="1"/>
    </xf>
    <xf numFmtId="0" fontId="10" fillId="16" borderId="1" xfId="3" applyFont="1" applyFill="1" applyBorder="1" applyAlignment="1">
      <alignment horizontal="center" vertical="center" wrapText="1"/>
    </xf>
    <xf numFmtId="0" fontId="32" fillId="16" borderId="1" xfId="3" applyFont="1" applyFill="1" applyBorder="1" applyAlignment="1">
      <alignment horizontal="left" vertical="center" wrapText="1"/>
    </xf>
    <xf numFmtId="0" fontId="0" fillId="16" borderId="1" xfId="0" applyFill="1" applyBorder="1" applyAlignment="1">
      <alignment vertical="center" wrapText="1"/>
    </xf>
    <xf numFmtId="0" fontId="23" fillId="16" borderId="1" xfId="3" applyFont="1" applyFill="1" applyBorder="1" applyAlignment="1">
      <alignment horizontal="left" vertical="center" wrapText="1"/>
    </xf>
    <xf numFmtId="0" fontId="11" fillId="16" borderId="1" xfId="3" applyFont="1" applyFill="1" applyBorder="1" applyAlignment="1" applyProtection="1">
      <alignment vertical="center" wrapText="1"/>
      <protection locked="0"/>
    </xf>
    <xf numFmtId="0" fontId="33" fillId="16" borderId="1" xfId="3" applyFont="1" applyFill="1" applyBorder="1" applyAlignment="1">
      <alignment horizontal="left" vertical="center" wrapText="1"/>
    </xf>
    <xf numFmtId="0" fontId="33" fillId="16" borderId="1" xfId="3" applyFont="1" applyFill="1" applyBorder="1" applyAlignment="1">
      <alignment horizontal="center" vertical="center" wrapText="1"/>
    </xf>
    <xf numFmtId="0" fontId="23" fillId="16" borderId="1" xfId="3" applyFont="1" applyFill="1" applyBorder="1" applyAlignment="1">
      <alignment vertical="center" wrapText="1"/>
    </xf>
    <xf numFmtId="0" fontId="34" fillId="5" borderId="1" xfId="3" applyFont="1" applyFill="1" applyBorder="1" applyAlignment="1">
      <alignment horizontal="left" vertical="center" wrapText="1"/>
    </xf>
    <xf numFmtId="0" fontId="21" fillId="13" borderId="1" xfId="3" applyFont="1" applyFill="1" applyBorder="1" applyAlignment="1">
      <alignment horizontal="left" vertical="center" wrapText="1"/>
    </xf>
    <xf numFmtId="0" fontId="8" fillId="0" borderId="1" xfId="3" applyFont="1" applyBorder="1" applyAlignment="1">
      <alignment vertical="center" wrapText="1"/>
    </xf>
    <xf numFmtId="0" fontId="0" fillId="4" borderId="1" xfId="0" applyFill="1" applyBorder="1" applyAlignment="1">
      <alignment vertical="center" wrapText="1"/>
    </xf>
    <xf numFmtId="0" fontId="21" fillId="17" borderId="1" xfId="3" applyFont="1" applyFill="1" applyBorder="1" applyAlignment="1">
      <alignment horizontal="left" vertical="center" wrapText="1"/>
    </xf>
    <xf numFmtId="0" fontId="10" fillId="7" borderId="1" xfId="3" applyFont="1" applyFill="1" applyBorder="1" applyAlignment="1">
      <alignment vertical="center" wrapText="1"/>
    </xf>
    <xf numFmtId="0" fontId="10" fillId="11" borderId="1" xfId="3" applyFont="1" applyFill="1" applyBorder="1" applyAlignment="1">
      <alignment vertical="center" wrapText="1"/>
    </xf>
    <xf numFmtId="0" fontId="20" fillId="12" borderId="1" xfId="3" applyFont="1" applyFill="1" applyBorder="1" applyAlignment="1">
      <alignment horizontal="center" vertical="center" wrapText="1"/>
    </xf>
    <xf numFmtId="0" fontId="35" fillId="11" borderId="1" xfId="3" applyFont="1" applyFill="1" applyBorder="1" applyAlignment="1">
      <alignment horizontal="center" vertical="center" wrapText="1"/>
    </xf>
    <xf numFmtId="0" fontId="21" fillId="7" borderId="1" xfId="0" applyFont="1" applyFill="1" applyBorder="1" applyAlignment="1">
      <alignment horizontal="left" vertical="center" wrapText="1"/>
    </xf>
    <xf numFmtId="0" fontId="21" fillId="8" borderId="1" xfId="3" applyFont="1" applyFill="1" applyBorder="1" applyAlignment="1">
      <alignment horizontal="center" vertical="center" wrapText="1"/>
    </xf>
    <xf numFmtId="0" fontId="11" fillId="0" borderId="1" xfId="0" applyFont="1" applyBorder="1" applyAlignment="1" applyProtection="1">
      <alignment vertical="center" wrapText="1"/>
      <protection locked="0"/>
    </xf>
    <xf numFmtId="0" fontId="8" fillId="14" borderId="1" xfId="3" applyFont="1" applyFill="1" applyBorder="1" applyAlignment="1">
      <alignment horizontal="center" vertical="center" wrapText="1"/>
    </xf>
    <xf numFmtId="0" fontId="14" fillId="14" borderId="1" xfId="3" applyFont="1" applyFill="1" applyBorder="1" applyAlignment="1">
      <alignment horizontal="center" vertical="center" wrapText="1"/>
    </xf>
    <xf numFmtId="0" fontId="8" fillId="16" borderId="1" xfId="3" applyFont="1" applyFill="1" applyBorder="1" applyAlignment="1">
      <alignment vertical="center" wrapText="1"/>
    </xf>
    <xf numFmtId="0" fontId="15" fillId="14" borderId="1" xfId="3" applyFont="1" applyFill="1" applyBorder="1" applyAlignment="1" applyProtection="1">
      <alignment vertical="center" wrapText="1"/>
      <protection locked="0"/>
    </xf>
    <xf numFmtId="0" fontId="15" fillId="14" borderId="1" xfId="3" applyFont="1" applyFill="1" applyBorder="1" applyAlignment="1">
      <alignment horizontal="left" vertical="center" wrapText="1"/>
    </xf>
    <xf numFmtId="0" fontId="29" fillId="15" borderId="1" xfId="3" applyFont="1" applyFill="1" applyBorder="1" applyAlignment="1" applyProtection="1">
      <alignment horizontal="left" vertical="center" wrapText="1"/>
      <protection locked="0"/>
    </xf>
    <xf numFmtId="0" fontId="15" fillId="14" borderId="1" xfId="3" applyFont="1" applyFill="1" applyBorder="1" applyAlignment="1" applyProtection="1">
      <alignment horizontal="left" vertical="center" wrapText="1"/>
      <protection locked="0"/>
    </xf>
    <xf numFmtId="0" fontId="15" fillId="14" borderId="1" xfId="3" applyFont="1" applyFill="1" applyBorder="1" applyAlignment="1">
      <alignment horizontal="center" vertical="center" wrapText="1"/>
    </xf>
    <xf numFmtId="0" fontId="2" fillId="0" borderId="0" xfId="0" applyFont="1" applyAlignment="1">
      <alignment vertical="center"/>
    </xf>
    <xf numFmtId="0" fontId="22" fillId="2" borderId="1" xfId="2" applyFont="1" applyFill="1" applyBorder="1" applyAlignment="1" applyProtection="1">
      <alignment vertical="center" wrapText="1"/>
    </xf>
    <xf numFmtId="0" fontId="23" fillId="2" borderId="1" xfId="3" applyFont="1" applyFill="1" applyBorder="1" applyAlignment="1">
      <alignment vertical="center" wrapText="1"/>
    </xf>
    <xf numFmtId="0" fontId="36" fillId="11" borderId="1" xfId="3" applyFont="1" applyFill="1" applyBorder="1" applyAlignment="1">
      <alignment horizontal="center" vertical="center" wrapText="1"/>
    </xf>
    <xf numFmtId="0" fontId="37" fillId="3" borderId="1" xfId="3" applyFont="1" applyFill="1" applyBorder="1" applyAlignment="1">
      <alignment horizontal="center" vertical="center"/>
    </xf>
    <xf numFmtId="9" fontId="11" fillId="11" borderId="1" xfId="3" applyNumberFormat="1" applyFont="1" applyFill="1" applyBorder="1" applyAlignment="1" applyProtection="1">
      <alignment vertical="center" wrapText="1"/>
      <protection locked="0"/>
    </xf>
    <xf numFmtId="0" fontId="38" fillId="12" borderId="1" xfId="3" applyFont="1" applyFill="1" applyBorder="1" applyAlignment="1">
      <alignment horizontal="left" vertical="center" wrapText="1"/>
    </xf>
    <xf numFmtId="0" fontId="10" fillId="0" borderId="1" xfId="3" quotePrefix="1" applyFont="1" applyBorder="1" applyAlignment="1">
      <alignment horizontal="center" vertical="center" wrapText="1"/>
    </xf>
    <xf numFmtId="0" fontId="38" fillId="8" borderId="1" xfId="3" applyFont="1" applyFill="1" applyBorder="1" applyAlignment="1">
      <alignment horizontal="left" vertical="center" wrapText="1"/>
    </xf>
    <xf numFmtId="0" fontId="10" fillId="4" borderId="1" xfId="3" quotePrefix="1" applyFont="1" applyFill="1" applyBorder="1" applyAlignment="1">
      <alignment horizontal="center" vertical="center" wrapText="1"/>
    </xf>
    <xf numFmtId="0" fontId="7" fillId="18" borderId="1" xfId="3" applyFont="1" applyFill="1" applyBorder="1" applyAlignment="1">
      <alignment horizontal="center" vertical="center" wrapText="1"/>
    </xf>
    <xf numFmtId="0" fontId="1" fillId="0" borderId="0" xfId="0" applyFont="1" applyAlignment="1">
      <alignment vertical="center"/>
    </xf>
    <xf numFmtId="0" fontId="20" fillId="8" borderId="1" xfId="0" applyFont="1" applyFill="1" applyBorder="1" applyAlignment="1">
      <alignment horizontal="left" vertical="center" wrapText="1"/>
    </xf>
    <xf numFmtId="0" fontId="20" fillId="12" borderId="1" xfId="3" applyFont="1" applyFill="1" applyBorder="1" applyAlignment="1">
      <alignment vertical="center" wrapText="1"/>
    </xf>
    <xf numFmtId="0" fontId="8" fillId="14" borderId="1" xfId="3" applyFont="1" applyFill="1" applyBorder="1" applyAlignment="1">
      <alignment vertical="center" wrapText="1"/>
    </xf>
    <xf numFmtId="0" fontId="20" fillId="8" borderId="1" xfId="3" applyFont="1" applyFill="1" applyBorder="1" applyAlignment="1">
      <alignment vertical="center" wrapText="1"/>
    </xf>
    <xf numFmtId="9" fontId="10" fillId="11" borderId="1" xfId="3" applyNumberFormat="1" applyFont="1" applyFill="1" applyBorder="1" applyAlignment="1">
      <alignment horizontal="center" vertical="center" wrapText="1"/>
    </xf>
    <xf numFmtId="9" fontId="11" fillId="11" borderId="1" xfId="1" applyFont="1" applyFill="1" applyBorder="1" applyAlignment="1" applyProtection="1">
      <alignment vertical="center" wrapText="1"/>
      <protection locked="0"/>
    </xf>
    <xf numFmtId="0" fontId="31" fillId="11" borderId="1" xfId="0" applyFont="1" applyFill="1" applyBorder="1" applyAlignment="1">
      <alignment vertical="center" wrapText="1"/>
    </xf>
    <xf numFmtId="0" fontId="31" fillId="11" borderId="1" xfId="0" applyFont="1" applyFill="1" applyBorder="1" applyAlignment="1" applyProtection="1">
      <alignment vertical="center" wrapText="1"/>
      <protection locked="0"/>
    </xf>
    <xf numFmtId="0" fontId="8" fillId="4" borderId="1" xfId="3" applyFont="1" applyFill="1" applyBorder="1" applyAlignment="1">
      <alignment horizontal="center" vertical="center" wrapText="1"/>
    </xf>
    <xf numFmtId="0" fontId="0" fillId="0" borderId="1" xfId="0" applyBorder="1" applyAlignment="1">
      <alignment vertical="center" wrapText="1"/>
    </xf>
    <xf numFmtId="0" fontId="28" fillId="0" borderId="1" xfId="3" applyFont="1" applyBorder="1" applyAlignment="1">
      <alignment vertical="center" wrapText="1"/>
    </xf>
    <xf numFmtId="0" fontId="11" fillId="11" borderId="1" xfId="2" quotePrefix="1" applyFont="1" applyFill="1" applyBorder="1" applyAlignment="1" applyProtection="1">
      <alignment vertical="center" wrapText="1"/>
      <protection locked="0"/>
    </xf>
    <xf numFmtId="0" fontId="7" fillId="11" borderId="1" xfId="3" applyFont="1" applyFill="1" applyBorder="1" applyAlignment="1" applyProtection="1">
      <alignment horizontal="center" vertical="center" wrapText="1"/>
      <protection locked="0"/>
    </xf>
    <xf numFmtId="0" fontId="13" fillId="11" borderId="1" xfId="3" applyFont="1" applyFill="1" applyBorder="1" applyAlignment="1" applyProtection="1">
      <alignment horizontal="left" vertical="center" wrapText="1"/>
      <protection locked="0"/>
    </xf>
    <xf numFmtId="0" fontId="21" fillId="0" borderId="1" xfId="0" applyFont="1" applyBorder="1" applyAlignment="1">
      <alignment vertical="center" wrapText="1"/>
    </xf>
    <xf numFmtId="0" fontId="23" fillId="7" borderId="1" xfId="0" applyFont="1" applyFill="1" applyBorder="1" applyAlignment="1">
      <alignment vertical="center" wrapText="1"/>
    </xf>
    <xf numFmtId="0" fontId="23" fillId="11" borderId="1" xfId="0" applyFont="1" applyFill="1" applyBorder="1" applyAlignment="1">
      <alignment vertical="center" wrapText="1"/>
    </xf>
    <xf numFmtId="0" fontId="11" fillId="16" borderId="1" xfId="3" applyFont="1" applyFill="1" applyBorder="1" applyAlignment="1">
      <alignment vertical="center" wrapText="1"/>
    </xf>
    <xf numFmtId="0" fontId="8" fillId="16" borderId="1" xfId="3" applyFont="1" applyFill="1" applyBorder="1" applyAlignment="1" applyProtection="1">
      <alignment vertical="center" wrapText="1"/>
      <protection locked="0"/>
    </xf>
    <xf numFmtId="0" fontId="23" fillId="0" borderId="1" xfId="0" applyFont="1" applyBorder="1" applyAlignment="1">
      <alignment vertical="center" wrapText="1"/>
    </xf>
    <xf numFmtId="0" fontId="23" fillId="11" borderId="1" xfId="0" applyFont="1" applyFill="1" applyBorder="1" applyAlignment="1">
      <alignment horizontal="left" vertical="center" wrapText="1"/>
    </xf>
    <xf numFmtId="0" fontId="33" fillId="7" borderId="1" xfId="3" applyFont="1" applyFill="1" applyBorder="1" applyAlignment="1" applyProtection="1">
      <alignment horizontal="left" vertical="center" wrapText="1"/>
      <protection locked="0"/>
    </xf>
    <xf numFmtId="0" fontId="11" fillId="4" borderId="1" xfId="3" applyFont="1" applyFill="1" applyBorder="1" applyAlignment="1">
      <alignment vertical="center" wrapText="1"/>
    </xf>
    <xf numFmtId="0" fontId="19" fillId="4" borderId="1" xfId="3" applyFont="1" applyFill="1" applyBorder="1" applyAlignment="1">
      <alignment vertical="center" wrapText="1"/>
    </xf>
    <xf numFmtId="0" fontId="11" fillId="4" borderId="1" xfId="3" applyFont="1" applyFill="1" applyBorder="1" applyAlignment="1">
      <alignment horizontal="center" vertical="center" wrapText="1"/>
    </xf>
    <xf numFmtId="0" fontId="12" fillId="7" borderId="1" xfId="3" applyFont="1" applyFill="1" applyBorder="1" applyAlignment="1">
      <alignment horizontal="left" vertical="center" wrapText="1"/>
    </xf>
    <xf numFmtId="0" fontId="12" fillId="7" borderId="1" xfId="3" applyFont="1" applyFill="1" applyBorder="1" applyAlignment="1" applyProtection="1">
      <alignment horizontal="left" vertical="center" wrapText="1"/>
      <protection locked="0"/>
    </xf>
    <xf numFmtId="0" fontId="12" fillId="7" borderId="1" xfId="3" applyFont="1" applyFill="1" applyBorder="1" applyAlignment="1">
      <alignment horizontal="center" vertical="center" wrapText="1"/>
    </xf>
    <xf numFmtId="0" fontId="21" fillId="8" borderId="1" xfId="3" applyFont="1" applyFill="1" applyBorder="1" applyAlignment="1">
      <alignment vertical="center" wrapText="1"/>
    </xf>
    <xf numFmtId="0" fontId="39" fillId="4" borderId="1" xfId="3" applyFont="1" applyFill="1" applyBorder="1" applyAlignment="1">
      <alignment vertical="center" wrapText="1"/>
    </xf>
    <xf numFmtId="0" fontId="1" fillId="11" borderId="1" xfId="4" applyFill="1" applyBorder="1" applyAlignment="1">
      <alignment vertical="center" wrapText="1"/>
    </xf>
    <xf numFmtId="0" fontId="10" fillId="0" borderId="1" xfId="3" applyFont="1" applyBorder="1" applyAlignment="1">
      <alignment vertical="center" wrapText="1"/>
    </xf>
    <xf numFmtId="0" fontId="0" fillId="7" borderId="1" xfId="2" quotePrefix="1" applyFont="1" applyFill="1" applyBorder="1" applyAlignment="1" applyProtection="1">
      <alignment vertical="center" wrapText="1"/>
    </xf>
    <xf numFmtId="0" fontId="21" fillId="8" borderId="1" xfId="0" applyFont="1" applyFill="1" applyBorder="1" applyAlignment="1">
      <alignment horizontal="left" vertical="center" wrapText="1"/>
    </xf>
    <xf numFmtId="0" fontId="22" fillId="13" borderId="1" xfId="2" applyFont="1" applyFill="1" applyBorder="1" applyAlignment="1" applyProtection="1">
      <alignment horizontal="left" vertical="center" wrapText="1"/>
    </xf>
    <xf numFmtId="0" fontId="3" fillId="0" borderId="0" xfId="0" applyFont="1" applyAlignment="1">
      <alignment vertical="center"/>
    </xf>
    <xf numFmtId="0" fontId="0" fillId="0" borderId="0" xfId="0" applyAlignment="1">
      <alignment vertical="center" wrapText="1"/>
    </xf>
    <xf numFmtId="0" fontId="40" fillId="0" borderId="0" xfId="0" applyFont="1" applyAlignment="1">
      <alignment horizontal="left" vertical="center" wrapText="1"/>
    </xf>
    <xf numFmtId="0" fontId="40" fillId="0" borderId="0" xfId="0" applyFont="1" applyAlignment="1">
      <alignment horizontal="center" vertical="center" wrapText="1"/>
    </xf>
    <xf numFmtId="0" fontId="4" fillId="0" borderId="0" xfId="0" applyFont="1" applyAlignment="1">
      <alignment vertical="center" wrapText="1"/>
    </xf>
    <xf numFmtId="0" fontId="0" fillId="0" borderId="0" xfId="0" applyAlignment="1">
      <alignment horizontal="left" vertical="center" wrapText="1"/>
    </xf>
    <xf numFmtId="0" fontId="42" fillId="2" borderId="1" xfId="3" applyFont="1" applyFill="1" applyBorder="1" applyAlignment="1">
      <alignment horizontal="center" vertical="center"/>
    </xf>
    <xf numFmtId="0" fontId="43" fillId="14" borderId="1" xfId="3" applyFont="1" applyFill="1" applyBorder="1" applyAlignment="1">
      <alignment horizontal="center" vertical="center" wrapText="1"/>
    </xf>
    <xf numFmtId="0" fontId="43" fillId="16" borderId="1" xfId="3" applyFont="1" applyFill="1" applyBorder="1" applyAlignment="1">
      <alignment horizontal="center" vertical="center" wrapText="1"/>
    </xf>
    <xf numFmtId="0" fontId="44" fillId="3" borderId="1" xfId="3" applyFont="1" applyFill="1" applyBorder="1" applyAlignment="1">
      <alignment horizontal="center" vertical="center"/>
    </xf>
    <xf numFmtId="0" fontId="0" fillId="19" borderId="1" xfId="0" applyFill="1" applyBorder="1" applyAlignment="1">
      <alignment vertical="center" wrapText="1"/>
    </xf>
    <xf numFmtId="0" fontId="0" fillId="19" borderId="1" xfId="0" applyFill="1" applyBorder="1" applyAlignment="1">
      <alignment horizontal="center" vertical="center" wrapText="1"/>
    </xf>
    <xf numFmtId="0" fontId="0" fillId="20" borderId="1" xfId="0" applyFill="1" applyBorder="1" applyAlignment="1">
      <alignment vertical="center" wrapText="1"/>
    </xf>
    <xf numFmtId="0" fontId="0" fillId="0" borderId="1" xfId="0" applyBorder="1" applyAlignment="1">
      <alignment horizontal="center" vertical="center" wrapText="1"/>
    </xf>
    <xf numFmtId="0" fontId="0" fillId="21" borderId="1" xfId="0" applyFill="1" applyBorder="1" applyAlignment="1">
      <alignment vertical="center" wrapText="1"/>
    </xf>
    <xf numFmtId="0" fontId="0" fillId="20" borderId="1" xfId="0" applyFill="1" applyBorder="1" applyAlignment="1">
      <alignment horizontal="center" vertical="center" wrapText="1"/>
    </xf>
    <xf numFmtId="0" fontId="0" fillId="21" borderId="1" xfId="0" applyFill="1" applyBorder="1" applyAlignment="1">
      <alignment horizontal="center" vertical="center" wrapText="1"/>
    </xf>
    <xf numFmtId="0" fontId="6" fillId="2" borderId="1" xfId="3" applyFont="1" applyFill="1" applyBorder="1" applyAlignment="1">
      <alignment vertical="center"/>
    </xf>
    <xf numFmtId="0" fontId="6" fillId="20" borderId="1" xfId="3" applyFont="1" applyFill="1" applyBorder="1" applyAlignment="1">
      <alignment vertical="center"/>
    </xf>
    <xf numFmtId="0" fontId="6" fillId="2" borderId="1" xfId="3" applyFont="1" applyFill="1" applyBorder="1" applyAlignment="1">
      <alignment horizontal="center" vertical="center"/>
    </xf>
    <xf numFmtId="0" fontId="6" fillId="20" borderId="1" xfId="3" applyFont="1" applyFill="1" applyBorder="1" applyAlignment="1">
      <alignment horizontal="center" vertical="center"/>
    </xf>
    <xf numFmtId="0" fontId="4" fillId="4"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20" borderId="1" xfId="0" applyFont="1" applyFill="1" applyBorder="1" applyAlignment="1">
      <alignment vertical="center" wrapText="1"/>
    </xf>
    <xf numFmtId="0" fontId="4" fillId="20" borderId="1" xfId="0" applyFont="1" applyFill="1" applyBorder="1" applyAlignment="1">
      <alignment horizontal="center" vertical="center" wrapText="1"/>
    </xf>
    <xf numFmtId="0" fontId="6" fillId="4" borderId="1" xfId="3" applyFont="1" applyFill="1" applyBorder="1" applyAlignment="1">
      <alignment vertical="center"/>
    </xf>
    <xf numFmtId="0" fontId="35" fillId="21" borderId="1" xfId="0" applyFont="1" applyFill="1" applyBorder="1" applyAlignment="1">
      <alignment vertical="center" wrapText="1"/>
    </xf>
    <xf numFmtId="0" fontId="35" fillId="21" borderId="1" xfId="0" applyFont="1" applyFill="1" applyBorder="1" applyAlignment="1">
      <alignment horizontal="center" vertical="center" wrapText="1"/>
    </xf>
    <xf numFmtId="0" fontId="35" fillId="20" borderId="1" xfId="0" applyFont="1" applyFill="1" applyBorder="1" applyAlignment="1">
      <alignment vertical="center" wrapText="1"/>
    </xf>
    <xf numFmtId="0" fontId="0" fillId="7" borderId="1" xfId="0" applyFill="1" applyBorder="1" applyAlignment="1">
      <alignment horizontal="center" vertical="center" wrapText="1"/>
    </xf>
    <xf numFmtId="0" fontId="4" fillId="22" borderId="1" xfId="0" applyFont="1" applyFill="1" applyBorder="1" applyAlignment="1">
      <alignment vertical="center" wrapText="1"/>
    </xf>
    <xf numFmtId="0" fontId="0" fillId="23" borderId="1" xfId="0" applyFill="1" applyBorder="1" applyAlignment="1">
      <alignment vertical="center" wrapText="1"/>
    </xf>
    <xf numFmtId="0" fontId="6" fillId="21" borderId="1" xfId="3" applyFont="1" applyFill="1" applyBorder="1" applyAlignment="1">
      <alignment vertical="center"/>
    </xf>
    <xf numFmtId="0" fontId="6" fillId="23" borderId="1" xfId="3" applyFont="1" applyFill="1" applyBorder="1" applyAlignment="1">
      <alignment vertical="center"/>
    </xf>
    <xf numFmtId="0" fontId="6" fillId="21" borderId="1" xfId="3" applyFont="1" applyFill="1" applyBorder="1" applyAlignment="1">
      <alignment horizontal="center" vertical="center"/>
    </xf>
    <xf numFmtId="0" fontId="0" fillId="23" borderId="1" xfId="0" applyFill="1" applyBorder="1" applyAlignment="1">
      <alignment horizontal="center" vertical="center" wrapText="1"/>
    </xf>
    <xf numFmtId="0" fontId="0" fillId="22" borderId="1" xfId="0" applyFill="1" applyBorder="1" applyAlignment="1">
      <alignment vertical="center" wrapText="1"/>
    </xf>
    <xf numFmtId="0" fontId="43" fillId="15" borderId="1" xfId="3" applyFont="1" applyFill="1" applyBorder="1" applyAlignment="1">
      <alignment horizontal="left" vertical="center"/>
    </xf>
    <xf numFmtId="0" fontId="43" fillId="15" borderId="1" xfId="3" applyFont="1" applyFill="1" applyBorder="1" applyAlignment="1">
      <alignment horizontal="center" vertical="center"/>
    </xf>
    <xf numFmtId="0" fontId="43" fillId="24" borderId="1" xfId="3" applyFont="1" applyFill="1" applyBorder="1" applyAlignment="1">
      <alignment horizontal="left" vertical="center"/>
    </xf>
    <xf numFmtId="0" fontId="43" fillId="24" borderId="1" xfId="3" applyFont="1" applyFill="1" applyBorder="1" applyAlignment="1">
      <alignment horizontal="center" vertical="center"/>
    </xf>
    <xf numFmtId="0" fontId="43" fillId="25" borderId="1" xfId="3" applyFont="1" applyFill="1" applyBorder="1" applyAlignment="1">
      <alignment horizontal="left" vertical="center"/>
    </xf>
    <xf numFmtId="0" fontId="43" fillId="26" borderId="1" xfId="3" applyFont="1" applyFill="1" applyBorder="1" applyAlignment="1">
      <alignment horizontal="left" vertical="center"/>
    </xf>
    <xf numFmtId="0" fontId="43" fillId="25" borderId="1" xfId="3" applyFont="1" applyFill="1" applyBorder="1" applyAlignment="1">
      <alignment horizontal="center" vertical="center"/>
    </xf>
    <xf numFmtId="0" fontId="10" fillId="27" borderId="1" xfId="3" applyFont="1" applyFill="1" applyBorder="1" applyAlignment="1">
      <alignment horizontal="center" vertical="center"/>
    </xf>
    <xf numFmtId="0" fontId="0" fillId="21" borderId="1" xfId="0" applyFill="1" applyBorder="1" applyAlignment="1">
      <alignment horizontal="left" vertical="center" wrapText="1"/>
    </xf>
    <xf numFmtId="0" fontId="0" fillId="20" borderId="1" xfId="0" applyFill="1" applyBorder="1" applyAlignment="1">
      <alignment horizontal="left" vertical="center" wrapText="1"/>
    </xf>
    <xf numFmtId="0" fontId="41" fillId="20" borderId="1" xfId="0" applyFont="1" applyFill="1" applyBorder="1" applyAlignment="1">
      <alignment vertical="center" wrapText="1"/>
    </xf>
    <xf numFmtId="0" fontId="0" fillId="0" borderId="0" xfId="0" applyAlignment="1">
      <alignment horizontal="center" vertical="center"/>
    </xf>
    <xf numFmtId="0" fontId="6" fillId="14" borderId="1" xfId="3" applyFont="1" applyFill="1" applyBorder="1" applyAlignment="1">
      <alignment horizontal="center" vertical="center"/>
    </xf>
    <xf numFmtId="0" fontId="4" fillId="14" borderId="1" xfId="0" applyFont="1" applyFill="1" applyBorder="1" applyAlignment="1">
      <alignment vertical="center" wrapText="1"/>
    </xf>
    <xf numFmtId="0" fontId="4" fillId="14" borderId="1" xfId="0" applyFont="1" applyFill="1" applyBorder="1" applyAlignment="1">
      <alignment horizontal="center" vertical="center" wrapText="1"/>
    </xf>
    <xf numFmtId="0" fontId="4" fillId="14" borderId="0" xfId="0" applyFont="1" applyFill="1" applyAlignment="1">
      <alignment vertical="center"/>
    </xf>
    <xf numFmtId="0" fontId="0" fillId="20" borderId="1" xfId="0" applyFill="1" applyBorder="1" applyAlignment="1">
      <alignment vertical="center"/>
    </xf>
    <xf numFmtId="0" fontId="0" fillId="20" borderId="1" xfId="0" applyFill="1" applyBorder="1" applyAlignment="1">
      <alignment horizontal="center" vertical="center"/>
    </xf>
    <xf numFmtId="0" fontId="4" fillId="20" borderId="1" xfId="0" applyFont="1" applyFill="1" applyBorder="1" applyAlignment="1">
      <alignment vertical="center"/>
    </xf>
    <xf numFmtId="0" fontId="4" fillId="20" borderId="1" xfId="0" applyFont="1" applyFill="1" applyBorder="1" applyAlignment="1">
      <alignment horizontal="center" vertical="center"/>
    </xf>
    <xf numFmtId="0" fontId="10" fillId="23" borderId="1" xfId="3" applyFont="1" applyFill="1" applyBorder="1" applyAlignment="1">
      <alignment horizontal="center" vertical="center"/>
    </xf>
    <xf numFmtId="0" fontId="0" fillId="20" borderId="0" xfId="0" applyFill="1" applyAlignment="1">
      <alignment vertical="center"/>
    </xf>
    <xf numFmtId="0" fontId="0" fillId="20" borderId="0" xfId="0" applyFill="1" applyAlignment="1">
      <alignment horizontal="center" vertical="center"/>
    </xf>
    <xf numFmtId="9" fontId="35" fillId="21" borderId="1" xfId="0" applyNumberFormat="1" applyFont="1" applyFill="1" applyBorder="1" applyAlignment="1">
      <alignment vertical="center" wrapText="1"/>
    </xf>
    <xf numFmtId="9" fontId="0" fillId="21" borderId="1" xfId="0" applyNumberFormat="1" applyFill="1" applyBorder="1" applyAlignment="1">
      <alignment vertical="center" wrapText="1"/>
    </xf>
    <xf numFmtId="9" fontId="0" fillId="21" borderId="1" xfId="0" applyNumberFormat="1" applyFill="1" applyBorder="1" applyAlignment="1">
      <alignment horizontal="center" vertical="center" wrapText="1"/>
    </xf>
    <xf numFmtId="4" fontId="0" fillId="21" borderId="1" xfId="0" applyNumberFormat="1" applyFill="1" applyBorder="1" applyAlignment="1">
      <alignment vertical="center" wrapText="1"/>
    </xf>
    <xf numFmtId="0" fontId="35" fillId="20" borderId="1" xfId="0" applyFont="1" applyFill="1" applyBorder="1" applyAlignment="1">
      <alignment horizontal="center" vertical="center" wrapText="1"/>
    </xf>
    <xf numFmtId="0" fontId="41" fillId="0" borderId="1" xfId="0" applyFont="1" applyBorder="1" applyAlignment="1">
      <alignment horizontal="center" vertical="center" wrapText="1"/>
    </xf>
    <xf numFmtId="0" fontId="41" fillId="20" borderId="1" xfId="0" applyFont="1" applyFill="1" applyBorder="1" applyAlignment="1">
      <alignment horizontal="center" vertical="center" wrapText="1"/>
    </xf>
    <xf numFmtId="0" fontId="0" fillId="20" borderId="0" xfId="0" applyFill="1" applyAlignment="1">
      <alignment vertical="center" wrapText="1"/>
    </xf>
    <xf numFmtId="0" fontId="0" fillId="21" borderId="0" xfId="0" applyFill="1" applyAlignment="1">
      <alignment horizontal="center" vertical="center" wrapText="1"/>
    </xf>
    <xf numFmtId="0" fontId="0" fillId="21" borderId="0" xfId="0" applyFill="1" applyAlignment="1">
      <alignment vertical="center" wrapText="1"/>
    </xf>
    <xf numFmtId="9" fontId="0" fillId="21" borderId="1" xfId="1" applyFont="1" applyFill="1" applyBorder="1" applyAlignment="1" applyProtection="1">
      <alignment vertical="center" wrapText="1"/>
    </xf>
    <xf numFmtId="9" fontId="0" fillId="20" borderId="1" xfId="0" applyNumberFormat="1" applyFill="1" applyBorder="1" applyAlignment="1">
      <alignment vertical="center" wrapText="1"/>
    </xf>
    <xf numFmtId="0" fontId="45" fillId="20" borderId="1" xfId="0" applyFont="1" applyFill="1" applyBorder="1" applyAlignment="1">
      <alignment vertical="center" wrapText="1"/>
    </xf>
    <xf numFmtId="0" fontId="0" fillId="20" borderId="0" xfId="0" applyFill="1" applyAlignment="1">
      <alignment horizontal="center" vertical="center" wrapText="1"/>
    </xf>
    <xf numFmtId="0" fontId="35" fillId="20" borderId="0" xfId="0" applyFont="1" applyFill="1" applyAlignment="1">
      <alignment vertical="center" wrapText="1"/>
    </xf>
    <xf numFmtId="0" fontId="0" fillId="19" borderId="2" xfId="0" applyFill="1" applyBorder="1" applyAlignment="1">
      <alignment horizontal="center" vertical="center" wrapText="1"/>
    </xf>
    <xf numFmtId="0" fontId="0" fillId="21" borderId="2" xfId="0" applyFill="1" applyBorder="1" applyAlignment="1">
      <alignment horizontal="left" vertical="center" wrapText="1"/>
    </xf>
    <xf numFmtId="0" fontId="10" fillId="3" borderId="1" xfId="3" applyFont="1" applyFill="1" applyBorder="1" applyAlignment="1">
      <alignment horizontal="center" vertical="top"/>
    </xf>
    <xf numFmtId="0" fontId="14" fillId="14" borderId="1" xfId="3" applyFont="1" applyFill="1" applyBorder="1" applyAlignment="1">
      <alignment horizontal="center" vertical="center"/>
    </xf>
    <xf numFmtId="0" fontId="2" fillId="2" borderId="0" xfId="0" applyFont="1" applyFill="1" applyAlignment="1">
      <alignment horizontal="center" vertical="center" wrapText="1"/>
    </xf>
    <xf numFmtId="0" fontId="44" fillId="3" borderId="1" xfId="3" applyFont="1" applyFill="1" applyBorder="1" applyAlignment="1" applyProtection="1">
      <alignment horizontal="center" vertical="center"/>
      <protection locked="0"/>
    </xf>
    <xf numFmtId="0" fontId="49" fillId="0" borderId="0" xfId="0" applyFont="1" applyAlignment="1">
      <alignment horizontal="center" vertical="center"/>
    </xf>
    <xf numFmtId="0" fontId="10" fillId="3" borderId="1" xfId="3" applyFont="1" applyFill="1" applyBorder="1" applyAlignment="1" applyProtection="1">
      <alignment horizontal="center" vertical="center"/>
      <protection locked="0"/>
    </xf>
    <xf numFmtId="0" fontId="44" fillId="3" borderId="3" xfId="3" applyFont="1" applyFill="1" applyBorder="1" applyAlignment="1">
      <alignment horizontal="center" vertical="center"/>
    </xf>
    <xf numFmtId="0" fontId="0" fillId="0" borderId="0" xfId="0" pivotButton="1"/>
    <xf numFmtId="0" fontId="2" fillId="29" borderId="5" xfId="0" applyFont="1" applyFill="1" applyBorder="1"/>
    <xf numFmtId="0" fontId="0" fillId="28" borderId="5" xfId="0" applyFill="1" applyBorder="1"/>
    <xf numFmtId="0" fontId="0" fillId="0" borderId="5" xfId="0" applyBorder="1"/>
    <xf numFmtId="0" fontId="2" fillId="29" borderId="4" xfId="0" applyFont="1" applyFill="1" applyBorder="1"/>
    <xf numFmtId="0" fontId="0" fillId="0" borderId="6" xfId="0" applyBorder="1"/>
    <xf numFmtId="0" fontId="0" fillId="0" borderId="4" xfId="0" applyBorder="1"/>
    <xf numFmtId="0" fontId="0" fillId="30" borderId="0" xfId="0" applyFill="1" applyAlignment="1">
      <alignment vertical="center"/>
    </xf>
    <xf numFmtId="0" fontId="43" fillId="14" borderId="1" xfId="3" applyFont="1" applyFill="1" applyBorder="1" applyAlignment="1">
      <alignment horizontal="center" vertical="center"/>
    </xf>
    <xf numFmtId="0" fontId="43" fillId="16" borderId="1" xfId="3" applyFont="1" applyFill="1" applyBorder="1" applyAlignment="1">
      <alignment horizontal="center" vertical="center"/>
    </xf>
    <xf numFmtId="49" fontId="0" fillId="0" borderId="0" xfId="0" applyNumberFormat="1"/>
    <xf numFmtId="49" fontId="0" fillId="0" borderId="0" xfId="0" quotePrefix="1" applyNumberFormat="1"/>
    <xf numFmtId="49" fontId="0" fillId="0" borderId="0" xfId="0" applyNumberFormat="1" applyAlignment="1">
      <alignment wrapText="1"/>
    </xf>
  </cellXfs>
  <cellStyles count="5">
    <cellStyle name="Lien hypertexte" xfId="2" builtinId="8"/>
    <cellStyle name="Normal" xfId="0" builtinId="0"/>
    <cellStyle name="Normal 4 2" xfId="4" xr:uid="{BB3FC23F-242A-4D34-B583-288D5BEDBFD0}"/>
    <cellStyle name="Normal 5" xfId="3" xr:uid="{CCFD56D2-0405-4B9E-831A-1FA463886370}"/>
    <cellStyle name="Pourcentage" xfId="1" builtinId="5"/>
  </cellStyles>
  <dxfs count="22">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color rgb="FFFF0000"/>
      </font>
    </dxf>
    <dxf>
      <font>
        <b val="0"/>
        <i/>
        <color theme="0" tint="-0.34998626667073579"/>
      </font>
    </dxf>
    <dxf>
      <font>
        <b/>
        <i/>
        <color rgb="FFFF0000"/>
      </font>
    </dxf>
    <dxf>
      <font>
        <b val="0"/>
        <i/>
        <color rgb="FFFF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371475</xdr:colOff>
          <xdr:row>0</xdr:row>
          <xdr:rowOff>76200</xdr:rowOff>
        </xdr:from>
        <xdr:to>
          <xdr:col>3</xdr:col>
          <xdr:colOff>3038475</xdr:colOff>
          <xdr:row>0</xdr:row>
          <xdr:rowOff>447675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Mettre à jour libellé questions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2_PhaseElaborationOffre_DossierConception_V4_17042026.xlsm" TargetMode="External"/><Relationship Id="rId1" Type="http://schemas.openxmlformats.org/officeDocument/2006/relationships/externalLinkPath" Target="https://ugapmobile.sharepoint.com/sites/GOUV-Gouvernancedeladonne-VBA_SGO/Documents%20partages/VBA_SGO/02_PhaseElaborationOffre_DossierConception_V4_17042026.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02_PhaseElaborationOffre_DossierConception_V4_03122024.xlsm" TargetMode="External"/><Relationship Id="rId1" Type="http://schemas.openxmlformats.org/officeDocument/2006/relationships/externalLinkPath" Target="https://ugapmobile.sharepoint.com/sites/GOUV-Gouvernancedeladonne-VBA_SGO/Documents%20partages/VBA_SGO/0-02_PhaseElaborationOffre_DossierConception_V4_0312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 val="02_PhaseElaborationOffre_Dossie"/>
    </sheetNames>
    <definedNames>
      <definedName name="MettreAJourParametres"/>
    </definedNames>
    <sheetDataSet>
      <sheetData sheetId="0"/>
      <sheetData sheetId="1">
        <row r="9">
          <cell r="A9" t="str">
            <v>N° de procédure</v>
          </cell>
        </row>
        <row r="23">
          <cell r="C23"/>
        </row>
        <row r="24">
          <cell r="C24"/>
        </row>
      </sheetData>
      <sheetData sheetId="2">
        <row r="90">
          <cell r="I90"/>
        </row>
        <row r="99">
          <cell r="I99"/>
        </row>
        <row r="100">
          <cell r="I100"/>
        </row>
        <row r="146">
          <cell r="I146"/>
        </row>
        <row r="149">
          <cell r="I149"/>
        </row>
        <row r="289">
          <cell r="I289"/>
        </row>
        <row r="290">
          <cell r="I290"/>
        </row>
        <row r="291">
          <cell r="I291"/>
        </row>
        <row r="292">
          <cell r="I292"/>
        </row>
        <row r="315">
          <cell r="I315"/>
        </row>
        <row r="332">
          <cell r="I332"/>
        </row>
        <row r="346">
          <cell r="I346"/>
        </row>
        <row r="348">
          <cell r="I348"/>
        </row>
        <row r="380">
          <cell r="I380"/>
        </row>
        <row r="381">
          <cell r="I381"/>
        </row>
      </sheetData>
      <sheetData sheetId="3"/>
      <sheetData sheetId="4"/>
      <sheetData sheetId="5"/>
      <sheetData sheetId="6">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Q70" t="str">
            <v>Vente exclusive par catalogue privatif</v>
          </cell>
        </row>
        <row r="71">
          <cell r="A71" t="str">
            <v>Non</v>
          </cell>
          <cell r="C71" t="str">
            <v>&lt; 50 %</v>
          </cell>
          <cell r="G71" t="str">
            <v>Informatique et infrastructures</v>
          </cell>
          <cell r="I71" t="str">
            <v>Envoi direct</v>
          </cell>
          <cell r="K71" t="str">
            <v>Acquisition</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du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Oui, commande à échéance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 prévus</v>
          </cell>
          <cell r="AM102" t="str">
            <v>Oui, l'offre prévoit des supports d'enregistrement</v>
          </cell>
          <cell r="AN102" t="str">
            <v>Oui, une rémunération pour copie privée est prévue</v>
          </cell>
          <cell r="AO102" t="str">
            <v>Oui, le taux de remise peut varier</v>
          </cell>
          <cell r="AP102" t="str">
            <v>Oui, le surcoût outre-mer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outre-mer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7"/>
      <sheetData sheetId="8"/>
      <sheetData sheetId="9"/>
      <sheetData sheetId="10"/>
      <sheetData sheetId="11">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cell r="BS11"/>
          <cell r="BT11"/>
          <cell r="BW11"/>
        </row>
        <row r="12">
          <cell r="K12"/>
          <cell r="Z12"/>
          <cell r="AA12"/>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0-test"/>
      <sheetName val="un nouveau document"/>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s>
    <sheetDataSet>
      <sheetData sheetId="0"/>
      <sheetData sheetId="1">
        <row r="9">
          <cell r="A9" t="str">
            <v>N° de procédure</v>
          </cell>
        </row>
        <row r="23">
          <cell r="C23" t="str">
            <v>DAI</v>
          </cell>
        </row>
        <row r="24">
          <cell r="C24"/>
        </row>
      </sheetData>
      <sheetData sheetId="2">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Justifier de la dérogation au standard</v>
          </cell>
          <cell r="P1"/>
          <cell r="Q1" t="str">
            <v>Commentaires</v>
          </cell>
          <cell r="R1" t="str">
            <v>Commentaires Intra</v>
          </cell>
          <cell r="S1" t="str">
            <v>Opérateur standard</v>
          </cell>
          <cell r="T1"/>
        </row>
        <row r="2">
          <cell r="A2" t="str">
            <v>El393</v>
          </cell>
          <cell r="B2"/>
          <cell r="C2" t="str">
            <v>D</v>
          </cell>
          <cell r="D2" t="str">
            <v>DAI</v>
          </cell>
          <cell r="E2"/>
          <cell r="F2" t="str">
            <v>Direction</v>
          </cell>
          <cell r="G2"/>
          <cell r="H2"/>
          <cell r="I2" t="str">
            <v>DAI</v>
          </cell>
          <cell r="J2" t="str">
            <v>x</v>
          </cell>
          <cell r="K2" t="str">
            <v>VRAI</v>
          </cell>
          <cell r="L2"/>
          <cell r="M2" t="str">
            <v>Conforme au standard</v>
          </cell>
          <cell r="N2" t="str">
            <v>Non concerné</v>
          </cell>
          <cell r="O2" t="str">
            <v>Non concerné</v>
          </cell>
          <cell r="P2"/>
          <cell r="Q2"/>
          <cell r="R2"/>
          <cell r="S2" t="str">
            <v/>
          </cell>
        </row>
        <row r="3">
          <cell r="A3" t="str">
            <v>El394</v>
          </cell>
          <cell r="B3"/>
          <cell r="C3" t="str">
            <v>U</v>
          </cell>
          <cell r="D3" t="str">
            <v>Logiciels</v>
          </cell>
          <cell r="E3"/>
          <cell r="F3" t="str">
            <v>Univers</v>
          </cell>
          <cell r="G3"/>
          <cell r="H3"/>
          <cell r="I3" t="str">
            <v>Logiciels</v>
          </cell>
          <cell r="J3" t="str">
            <v>x</v>
          </cell>
          <cell r="K3" t="str">
            <v>VRAI</v>
          </cell>
          <cell r="L3"/>
          <cell r="M3" t="str">
            <v>Conforme au standard</v>
          </cell>
          <cell r="N3" t="str">
            <v>Non concerné</v>
          </cell>
          <cell r="O3" t="str">
            <v>Non concerné</v>
          </cell>
          <cell r="P3"/>
          <cell r="Q3"/>
          <cell r="R3"/>
          <cell r="S3" t="str">
            <v/>
          </cell>
        </row>
        <row r="4">
          <cell r="A4" t="str">
            <v>ElT404</v>
          </cell>
          <cell r="B4"/>
          <cell r="C4" t="str">
            <v>Titre</v>
          </cell>
          <cell r="D4" t="str">
            <v/>
          </cell>
          <cell r="E4"/>
          <cell r="F4" t="str">
            <v>01.0 PRESENTATION GENERALE DE L'OFFRE</v>
          </cell>
          <cell r="G4"/>
          <cell r="H4"/>
          <cell r="I4" t="str">
            <v/>
          </cell>
          <cell r="J4" t="str">
            <v/>
          </cell>
          <cell r="K4"/>
          <cell r="L4"/>
          <cell r="M4" t="str">
            <v/>
          </cell>
          <cell r="N4" t="str">
            <v>Non concerné</v>
          </cell>
          <cell r="O4" t="str">
            <v>Non concerné</v>
          </cell>
          <cell r="P4"/>
          <cell r="Q4"/>
          <cell r="R4"/>
          <cell r="S4" t="str">
            <v/>
          </cell>
        </row>
        <row r="5">
          <cell r="A5" t="str">
            <v>ElTT405</v>
          </cell>
          <cell r="B5"/>
          <cell r="C5" t="str">
            <v>Titre</v>
          </cell>
          <cell r="D5" t="str">
            <v/>
          </cell>
          <cell r="E5"/>
          <cell r="F5" t="str">
            <v>01.1 Caractéristiques générales de l'offre</v>
          </cell>
          <cell r="G5"/>
          <cell r="H5"/>
          <cell r="I5" t="str">
            <v/>
          </cell>
          <cell r="J5" t="str">
            <v/>
          </cell>
          <cell r="K5"/>
          <cell r="L5"/>
          <cell r="M5" t="str">
            <v/>
          </cell>
          <cell r="N5" t="str">
            <v>Non concerné</v>
          </cell>
          <cell r="O5" t="str">
            <v>Non concerné</v>
          </cell>
          <cell r="P5"/>
          <cell r="Q5"/>
          <cell r="R5"/>
          <cell r="S5" t="str">
            <v/>
          </cell>
        </row>
        <row r="6">
          <cell r="A6" t="str">
            <v>El1</v>
          </cell>
          <cell r="B6"/>
          <cell r="C6" t="str">
            <v>Sp</v>
          </cell>
          <cell r="D6" t="str">
            <v/>
          </cell>
          <cell r="E6"/>
          <cell r="F6" t="str">
            <v>Objet de la procédure à renouveler / ou à lancer</v>
          </cell>
          <cell r="G6" t="str">
            <v>Texte</v>
          </cell>
          <cell r="H6" t="str">
            <v>Champ libre</v>
          </cell>
          <cell r="I6" t="str">
            <v/>
          </cell>
          <cell r="J6" t="str">
            <v/>
          </cell>
          <cell r="K6"/>
          <cell r="L6"/>
          <cell r="M6" t="str">
            <v>Renseigner la réponse DCO</v>
          </cell>
          <cell r="N6" t="str">
            <v>Non concerné</v>
          </cell>
          <cell r="O6" t="str">
            <v>Non concerné</v>
          </cell>
          <cell r="P6"/>
          <cell r="Q6" t="str">
            <v>LABOUDI Farouk_Com1:dfgdfgdfgd</v>
          </cell>
          <cell r="R6"/>
          <cell r="S6" t="str">
            <v/>
          </cell>
        </row>
        <row r="7">
          <cell r="A7" t="str">
            <v>El1b</v>
          </cell>
          <cell r="B7"/>
          <cell r="C7" t="str">
            <v>Sp</v>
          </cell>
          <cell r="D7" t="str">
            <v/>
          </cell>
          <cell r="E7"/>
          <cell r="F7" t="str">
            <v>Numéro(s)  et dénomination de l'offre conformément à la cartographie ORECA</v>
          </cell>
          <cell r="G7" t="str">
            <v>Cartographie ORECA</v>
          </cell>
          <cell r="H7" t="str">
            <v>Préciser le numéro de l'offre correspondant à la cartographie Evactiv</v>
          </cell>
          <cell r="I7" t="str">
            <v/>
          </cell>
          <cell r="J7" t="str">
            <v/>
          </cell>
          <cell r="K7"/>
          <cell r="L7"/>
          <cell r="M7" t="str">
            <v>Renseigner la réponse DCO</v>
          </cell>
          <cell r="N7" t="str">
            <v>Non concerné</v>
          </cell>
          <cell r="O7" t="str">
            <v>Non concerné</v>
          </cell>
          <cell r="P7"/>
          <cell r="Q7"/>
          <cell r="R7"/>
          <cell r="S7" t="str">
            <v>=</v>
          </cell>
        </row>
        <row r="8">
          <cell r="A8" t="str">
            <v>El0a</v>
          </cell>
          <cell r="B8"/>
          <cell r="C8" t="str">
            <v>D</v>
          </cell>
          <cell r="D8" t="str">
            <v>Non concerné pour la direction/univers</v>
          </cell>
          <cell r="E8"/>
          <cell r="F8" t="str">
            <v xml:space="preserve">Cette procédure est-elle concernée par une des définitions suivantes et si oui sélectionner les définitions concernées : </v>
          </cell>
          <cell r="G8" t="str">
            <v>Liste choix multiple</v>
          </cell>
          <cell r="H8" t="str">
            <v>Ensemble batterie;Location de batterie;Acquisition de batterie;Piles à combustibles (hydrogène);Acquisition de véhicules;Acquisition de véhicules à hydrogène;Acquisition de véhicules 100% électriques;Acquisition d'équipement de véhicules;Location de véhicules</v>
          </cell>
          <cell r="I8" t="str">
            <v>Non concerné pour la direction/univers</v>
          </cell>
          <cell r="J8" t="str">
            <v>x</v>
          </cell>
          <cell r="K8" t="str">
            <v>VRAI</v>
          </cell>
          <cell r="L8"/>
          <cell r="M8" t="str">
            <v>Non concerné</v>
          </cell>
          <cell r="N8" t="str">
            <v>Non concerné</v>
          </cell>
          <cell r="O8" t="str">
            <v>Non concerné</v>
          </cell>
          <cell r="P8"/>
          <cell r="Q8"/>
          <cell r="R8"/>
          <cell r="S8" t="str">
            <v>=</v>
          </cell>
        </row>
        <row r="9">
          <cell r="A9" t="str">
            <v>El1000</v>
          </cell>
          <cell r="B9"/>
          <cell r="C9" t="str">
            <v>Sp</v>
          </cell>
          <cell r="D9" t="str">
            <v/>
          </cell>
          <cell r="E9"/>
          <cell r="F9" t="str">
            <v>La question à 1000 $</v>
          </cell>
          <cell r="G9" t="str">
            <v>Texte</v>
          </cell>
          <cell r="H9"/>
          <cell r="I9" t="str">
            <v/>
          </cell>
          <cell r="J9"/>
          <cell r="K9"/>
          <cell r="L9"/>
          <cell r="M9" t="str">
            <v>Renseigner la réponse DCO</v>
          </cell>
          <cell r="N9" t="str">
            <v>Non concerné</v>
          </cell>
          <cell r="O9" t="str">
            <v>Non concerné</v>
          </cell>
          <cell r="P9"/>
          <cell r="Q9"/>
          <cell r="R9"/>
          <cell r="S9" t="e">
            <v>#N/A</v>
          </cell>
        </row>
        <row r="10">
          <cell r="A10" t="str">
            <v>El7</v>
          </cell>
          <cell r="B10"/>
          <cell r="C10" t="str">
            <v>E</v>
          </cell>
          <cell r="D10" t="str">
            <v xml:space="preserve">Renouvellement d'offres avec extension </v>
          </cell>
          <cell r="E10"/>
          <cell r="F10" t="str">
            <v>Projet d'offre concerne un renouvellement (avec ou sans création/extension) ou le lancement d'une nouvelle offre ?</v>
          </cell>
          <cell r="G10" t="str">
            <v>Liste choix unique</v>
          </cell>
          <cell r="H10" t="str">
            <v>Offre nouvelle ; Renouvellement d'offres avec extension ; Renouvellement d'offres avec création ; Renouvellement d'offre sans création/extension; Renouvellement d'offres avec extension et création</v>
          </cell>
          <cell r="I10" t="str">
            <v xml:space="preserve">Renouvellement d'offres avec extension </v>
          </cell>
          <cell r="J10" t="str">
            <v>x</v>
          </cell>
          <cell r="K10"/>
          <cell r="L10"/>
          <cell r="M10" t="str">
            <v>Conforme au standard</v>
          </cell>
          <cell r="N10" t="str">
            <v>Non concerné</v>
          </cell>
          <cell r="O10" t="str">
            <v>Non concerné</v>
          </cell>
          <cell r="P10"/>
          <cell r="Q10"/>
          <cell r="R10"/>
          <cell r="S10" t="str">
            <v>=</v>
          </cell>
        </row>
        <row r="11">
          <cell r="A11" t="str">
            <v>El7b</v>
          </cell>
          <cell r="B11"/>
          <cell r="C11" t="str">
            <v>Sp</v>
          </cell>
          <cell r="D11" t="str">
            <v/>
          </cell>
          <cell r="E11"/>
          <cell r="F11" t="str">
            <v>En cas de renouvellement, préciser le(s) numéro(s) de la(es) précédente procédure(s) ainsi que les numéros de marchés correspondants</v>
          </cell>
          <cell r="G11" t="str">
            <v>Texte</v>
          </cell>
          <cell r="H11" t="str">
            <v>Numéro d'AO</v>
          </cell>
          <cell r="I11" t="str">
            <v/>
          </cell>
          <cell r="J11" t="str">
            <v/>
          </cell>
          <cell r="K11"/>
          <cell r="L11"/>
          <cell r="M11" t="str">
            <v>Renseigner la réponse DCO</v>
          </cell>
          <cell r="N11" t="str">
            <v>Non concerné</v>
          </cell>
          <cell r="O11" t="str">
            <v>Non concerné</v>
          </cell>
          <cell r="P11"/>
          <cell r="Q11"/>
          <cell r="R11"/>
          <cell r="S11" t="str">
            <v>=</v>
          </cell>
        </row>
        <row r="12">
          <cell r="A12" t="str">
            <v>ElTT406</v>
          </cell>
          <cell r="B12"/>
          <cell r="C12" t="str">
            <v>Titre</v>
          </cell>
          <cell r="D12" t="str">
            <v/>
          </cell>
          <cell r="E12"/>
          <cell r="F12" t="str">
            <v>01.2 Périmètre de l'offre</v>
          </cell>
          <cell r="G12"/>
          <cell r="H12"/>
          <cell r="I12" t="str">
            <v/>
          </cell>
          <cell r="J12" t="str">
            <v/>
          </cell>
          <cell r="K12"/>
          <cell r="L12"/>
          <cell r="M12" t="str">
            <v/>
          </cell>
          <cell r="N12" t="str">
            <v>Non concerné</v>
          </cell>
          <cell r="O12" t="str">
            <v>Non concerné</v>
          </cell>
          <cell r="P12"/>
          <cell r="Q12"/>
          <cell r="R12"/>
          <cell r="S12" t="str">
            <v/>
          </cell>
        </row>
        <row r="13">
          <cell r="A13" t="str">
            <v>El2</v>
          </cell>
          <cell r="B13"/>
          <cell r="C13" t="str">
            <v>U</v>
          </cell>
          <cell r="D13" t="str">
            <v>Matériel et prestations récurrentes et ponctuelles</v>
          </cell>
          <cell r="E13"/>
          <cell r="F13" t="str">
            <v>Etendue de l'offre</v>
          </cell>
          <cell r="G13" t="str">
            <v xml:space="preserve">Liste choix unique </v>
          </cell>
          <cell r="H13" t="str">
            <v xml:space="preserve">Liste choix unique </v>
          </cell>
          <cell r="I13" t="str">
            <v>Matériel et prestations récurrentes et ponctuelles</v>
          </cell>
          <cell r="J13" t="str">
            <v>x</v>
          </cell>
          <cell r="K13"/>
          <cell r="L13"/>
          <cell r="M13" t="str">
            <v>Conforme au standard</v>
          </cell>
          <cell r="N13" t="str">
            <v>Non concerné</v>
          </cell>
          <cell r="O13" t="str">
            <v>Non concerné</v>
          </cell>
          <cell r="P13"/>
          <cell r="Q13"/>
          <cell r="R13"/>
          <cell r="S13" t="str">
            <v/>
          </cell>
        </row>
        <row r="14">
          <cell r="A14" t="str">
            <v>El2b</v>
          </cell>
          <cell r="B14"/>
          <cell r="C14" t="str">
            <v>U</v>
          </cell>
          <cell r="D14" t="str">
            <v>Prestations associées et annexes</v>
          </cell>
          <cell r="E14"/>
          <cell r="F14" t="str">
            <v>Si prestations, préciser leur nature</v>
          </cell>
          <cell r="G14" t="str">
            <v xml:space="preserve">Liste choix unique </v>
          </cell>
          <cell r="H14" t="str">
            <v>Prestations associées et annexes;Prestations associées;Prestations annexes</v>
          </cell>
          <cell r="I14" t="str">
            <v>Prestations associées et annexes</v>
          </cell>
          <cell r="J14" t="str">
            <v>x</v>
          </cell>
          <cell r="K14"/>
          <cell r="L14"/>
          <cell r="M14" t="str">
            <v>Conforme au standard</v>
          </cell>
          <cell r="N14" t="str">
            <v>Non concerné</v>
          </cell>
          <cell r="O14" t="str">
            <v>Non concerné</v>
          </cell>
          <cell r="P14"/>
          <cell r="Q14"/>
          <cell r="R14"/>
          <cell r="S14" t="str">
            <v/>
          </cell>
        </row>
        <row r="15">
          <cell r="A15" t="str">
            <v>El3b</v>
          </cell>
          <cell r="B15"/>
          <cell r="C15" t="str">
            <v>E</v>
          </cell>
          <cell r="D15" t="str">
            <v>Non</v>
          </cell>
          <cell r="E15"/>
          <cell r="F15" t="str">
            <v>Les matériels ou prestations concernés par l'offre font-ils l'objet d'autres offres UGAP ?</v>
          </cell>
          <cell r="G15" t="str">
            <v>Liste choix unique</v>
          </cell>
          <cell r="H15" t="str">
            <v>Oui; Non</v>
          </cell>
          <cell r="I15" t="str">
            <v>Non</v>
          </cell>
          <cell r="J15" t="str">
            <v>x</v>
          </cell>
          <cell r="K15"/>
          <cell r="L15"/>
          <cell r="M15" t="str">
            <v>Conforme au standard</v>
          </cell>
          <cell r="N15" t="str">
            <v>Non concerné</v>
          </cell>
          <cell r="O15" t="str">
            <v>Non concerné</v>
          </cell>
          <cell r="P15"/>
          <cell r="Q15"/>
          <cell r="R15"/>
          <cell r="S15" t="str">
            <v/>
          </cell>
        </row>
        <row r="16">
          <cell r="A16" t="str">
            <v>El395</v>
          </cell>
          <cell r="B16"/>
          <cell r="C16" t="str">
            <v>Sp</v>
          </cell>
          <cell r="D16" t="str">
            <v/>
          </cell>
          <cell r="E16"/>
          <cell r="F16" t="str">
            <v>Si oui, préciser les conditions de commandes qui justifient cette multi attribution UGAP</v>
          </cell>
          <cell r="G16" t="str">
            <v>Texte</v>
          </cell>
          <cell r="H16" t="str">
            <v>Champ libre</v>
          </cell>
          <cell r="I16" t="str">
            <v>Non concerné pour l'offre</v>
          </cell>
          <cell r="J16"/>
          <cell r="K16" t="str">
            <v>VRAI</v>
          </cell>
          <cell r="L16"/>
          <cell r="M16" t="str">
            <v>Spécifique Offre</v>
          </cell>
          <cell r="N16" t="str">
            <v>Non concerné</v>
          </cell>
          <cell r="O16" t="str">
            <v>Non concerné</v>
          </cell>
          <cell r="P16"/>
          <cell r="Q16"/>
          <cell r="R16"/>
          <cell r="S16" t="str">
            <v/>
          </cell>
        </row>
        <row r="17">
          <cell r="A17" t="str">
            <v>El29</v>
          </cell>
          <cell r="B17"/>
          <cell r="C17" t="str">
            <v>D</v>
          </cell>
          <cell r="D17" t="str">
            <v>Etat;Opérateurs de l'Etat;Etablissements Hospitaliers;Collectivités territoriales</v>
          </cell>
          <cell r="E17"/>
          <cell r="F17" t="str">
            <v>Etendue des Bénéficiaires</v>
          </cell>
          <cell r="G17" t="str">
            <v>Liste choix multiple</v>
          </cell>
          <cell r="H17" t="str">
            <v>Etat;Opérateurs de l'Etat;Etablissements Hospitaliers;Collectivités territoriales;Clients transfrontaliers; Autres;toto</v>
          </cell>
          <cell r="I17" t="str">
            <v>Etat;Opérateurs de l'Etat;Etablissements Hospitaliers;Collectivités territoriales</v>
          </cell>
          <cell r="J17" t="str">
            <v>x</v>
          </cell>
          <cell r="K17"/>
          <cell r="L17"/>
          <cell r="M17" t="str">
            <v>Conforme au standard</v>
          </cell>
          <cell r="N17" t="str">
            <v>Non concerné</v>
          </cell>
          <cell r="O17" t="str">
            <v>Non concerné</v>
          </cell>
          <cell r="P17"/>
          <cell r="Q17"/>
          <cell r="R17"/>
          <cell r="S17" t="str">
            <v>=</v>
          </cell>
        </row>
        <row r="18">
          <cell r="A18" t="str">
            <v>El30</v>
          </cell>
          <cell r="B18"/>
          <cell r="C18" t="str">
            <v>Sp</v>
          </cell>
          <cell r="D18" t="str">
            <v/>
          </cell>
          <cell r="E18"/>
          <cell r="F18" t="str">
            <v>Si autres, préciser si les bénéficiaires concernés sont les Sociétés d’autoroutes pou les Délégataires de service public</v>
          </cell>
          <cell r="G18" t="str">
            <v>Liste choix multiple</v>
          </cell>
          <cell r="H18" t="str">
            <v>Sociétés d’autoroutes ;Délégataires de service public; Caisses et entreprises ;Autre</v>
          </cell>
          <cell r="I18" t="str">
            <v>Non concerné pour l'offre</v>
          </cell>
          <cell r="J18" t="str">
            <v>x</v>
          </cell>
          <cell r="K18" t="str">
            <v>VRAI</v>
          </cell>
          <cell r="L18"/>
          <cell r="M18" t="str">
            <v>Spécifique Offre</v>
          </cell>
          <cell r="N18" t="str">
            <v>Non concerné</v>
          </cell>
          <cell r="O18" t="str">
            <v>Non concerné</v>
          </cell>
          <cell r="P18"/>
          <cell r="Q18"/>
          <cell r="R18"/>
          <cell r="S18" t="str">
            <v>=</v>
          </cell>
        </row>
        <row r="19">
          <cell r="A19" t="str">
            <v>El30c</v>
          </cell>
          <cell r="B19"/>
          <cell r="C19" t="str">
            <v>Sp</v>
          </cell>
          <cell r="D19" t="str">
            <v/>
          </cell>
          <cell r="E19"/>
          <cell r="F19" t="str">
            <v>Si autres, préciser les bénéficiaires concernés</v>
          </cell>
          <cell r="G19" t="str">
            <v>Texte</v>
          </cell>
          <cell r="H19" t="str">
            <v>Champ libre</v>
          </cell>
          <cell r="I19" t="str">
            <v>Non concerné pour l'offre</v>
          </cell>
          <cell r="J19" t="str">
            <v/>
          </cell>
          <cell r="K19" t="str">
            <v>VRAI</v>
          </cell>
          <cell r="L19"/>
          <cell r="M19" t="str">
            <v>Spécifique Offre</v>
          </cell>
          <cell r="N19" t="str">
            <v>Non concerné</v>
          </cell>
          <cell r="O19" t="str">
            <v>Non concerné</v>
          </cell>
          <cell r="P19"/>
          <cell r="Q19"/>
          <cell r="R19"/>
          <cell r="S19" t="str">
            <v/>
          </cell>
        </row>
        <row r="20">
          <cell r="A20" t="str">
            <v>El30b</v>
          </cell>
          <cell r="B20"/>
          <cell r="C20" t="str">
            <v>E</v>
          </cell>
          <cell r="D20" t="str">
            <v>Oui, l'UGAP est bénéficaire de l'offre</v>
          </cell>
          <cell r="E20"/>
          <cell r="F20" t="str">
            <v xml:space="preserve"> l'UGAP est-elle bénéficiaire ? </v>
          </cell>
          <cell r="G20" t="str">
            <v xml:space="preserve">Liste choix unique </v>
          </cell>
          <cell r="H20" t="str">
            <v>Oui, l'UGAP est bénéficiaire de l'offre;Non, l'UGAP n'est pas bénéficiaire de l'offre</v>
          </cell>
          <cell r="I20" t="str">
            <v>Oui, l'UGAP est bénéficaire de l'offre</v>
          </cell>
          <cell r="J20" t="str">
            <v/>
          </cell>
          <cell r="K20"/>
          <cell r="L20"/>
          <cell r="M20" t="str">
            <v>Conforme au standard</v>
          </cell>
          <cell r="N20" t="str">
            <v>Non concerné</v>
          </cell>
          <cell r="O20" t="str">
            <v>Non concerné</v>
          </cell>
          <cell r="P20"/>
          <cell r="Q20" t="str">
            <v>LABOUDI Farouk_Com1:sdfsdfsdfsdfsdfsdfsdf</v>
          </cell>
          <cell r="R20"/>
          <cell r="S20" t="str">
            <v/>
          </cell>
        </row>
        <row r="21">
          <cell r="A21" t="str">
            <v>ElTT407</v>
          </cell>
          <cell r="B21"/>
          <cell r="C21" t="str">
            <v>Titre</v>
          </cell>
          <cell r="D21" t="str">
            <v/>
          </cell>
          <cell r="E21"/>
          <cell r="F21" t="str">
            <v>01.3 Engagements</v>
          </cell>
          <cell r="G21"/>
          <cell r="H21"/>
          <cell r="I21" t="str">
            <v/>
          </cell>
          <cell r="J21" t="str">
            <v/>
          </cell>
          <cell r="K21"/>
          <cell r="L21"/>
          <cell r="M21" t="str">
            <v/>
          </cell>
          <cell r="N21" t="str">
            <v>Non concerné</v>
          </cell>
          <cell r="O21" t="str">
            <v>Non concerné</v>
          </cell>
          <cell r="P21"/>
          <cell r="Q21"/>
          <cell r="R21"/>
          <cell r="S21" t="str">
            <v/>
          </cell>
        </row>
        <row r="22">
          <cell r="A22" t="str">
            <v>El302</v>
          </cell>
          <cell r="B22"/>
          <cell r="C22" t="str">
            <v>E</v>
          </cell>
          <cell r="D22" t="str">
            <v>Oui, le principe d'engagement maximum sans minimum s'applique</v>
          </cell>
          <cell r="E22"/>
          <cell r="F22" t="str">
            <v>Le principe d'engagement maximum sans minimum s'applique-t 'il ?</v>
          </cell>
          <cell r="G22" t="str">
            <v xml:space="preserve">Liste choix unique </v>
          </cell>
          <cell r="H22" t="str">
            <v>Oui, le principe d'engagement maximum avec montants estimés s'applique;Non, dérogation au standard</v>
          </cell>
          <cell r="I22" t="str">
            <v>Oui, le principe d'engagement maximum sans minimum s'applique</v>
          </cell>
          <cell r="J22" t="str">
            <v>x</v>
          </cell>
          <cell r="K22"/>
          <cell r="L22"/>
          <cell r="M22" t="str">
            <v>Conforme au standard</v>
          </cell>
          <cell r="N22" t="str">
            <v>Non concerné</v>
          </cell>
          <cell r="O22" t="str">
            <v>Non concerné</v>
          </cell>
          <cell r="P22"/>
          <cell r="Q22"/>
          <cell r="R22"/>
          <cell r="S22" t="str">
            <v/>
          </cell>
        </row>
        <row r="23">
          <cell r="A23" t="str">
            <v>El302Note01</v>
          </cell>
          <cell r="B23"/>
          <cell r="C23" t="str">
            <v>Sp</v>
          </cell>
          <cell r="D23"/>
          <cell r="E23"/>
          <cell r="F23" t="str">
            <v>Précision complémentaire</v>
          </cell>
          <cell r="G23"/>
          <cell r="H23"/>
          <cell r="I23" t="str">
            <v>test</v>
          </cell>
          <cell r="J23"/>
          <cell r="K23"/>
          <cell r="L23"/>
          <cell r="M23" t="str">
            <v>Non concerné</v>
          </cell>
          <cell r="N23" t="str">
            <v>Non concerné</v>
          </cell>
          <cell r="O23" t="str">
            <v>Non concerné</v>
          </cell>
          <cell r="P23"/>
          <cell r="Q23" t="str">
            <v>LABOUDI Farouk</v>
          </cell>
          <cell r="R23"/>
          <cell r="S23"/>
        </row>
        <row r="24">
          <cell r="A24" t="str">
            <v>El302Note02</v>
          </cell>
          <cell r="B24"/>
          <cell r="C24" t="str">
            <v>Sp</v>
          </cell>
          <cell r="D24"/>
          <cell r="E24"/>
          <cell r="F24" t="str">
            <v>Précision complémentaire</v>
          </cell>
          <cell r="G24"/>
          <cell r="H24"/>
          <cell r="I24" t="str">
            <v>test2</v>
          </cell>
          <cell r="J24"/>
          <cell r="K24"/>
          <cell r="L24"/>
          <cell r="M24" t="str">
            <v>Non concerné</v>
          </cell>
          <cell r="N24" t="str">
            <v>Non concerné</v>
          </cell>
          <cell r="O24" t="str">
            <v>Non concerné</v>
          </cell>
          <cell r="P24"/>
          <cell r="Q24" t="str">
            <v>LABOUDI Farouk</v>
          </cell>
          <cell r="R24"/>
          <cell r="S24"/>
        </row>
        <row r="25">
          <cell r="A25" t="str">
            <v>El303</v>
          </cell>
          <cell r="B25"/>
          <cell r="C25" t="str">
            <v>Sp</v>
          </cell>
          <cell r="D25" t="str">
            <v/>
          </cell>
          <cell r="E25"/>
          <cell r="F25" t="str">
            <v>Si non, un engagement maximum et minimum s'applique-t 'il ?</v>
          </cell>
          <cell r="G25" t="str">
            <v xml:space="preserve">Liste choix unique </v>
          </cell>
          <cell r="H25" t="str">
            <v>Oui, un engagement maximum et minimum s'applique;Non, un engagement maximum et minimum ne s'applique pas</v>
          </cell>
          <cell r="I25" t="str">
            <v>Non concerné pour l'offre</v>
          </cell>
          <cell r="J25" t="str">
            <v>x</v>
          </cell>
          <cell r="K25" t="str">
            <v>VRAI</v>
          </cell>
          <cell r="L25"/>
          <cell r="M25" t="str">
            <v>Spécifique Offre</v>
          </cell>
          <cell r="N25" t="str">
            <v>Non concerné</v>
          </cell>
          <cell r="O25" t="str">
            <v>Non concerné</v>
          </cell>
          <cell r="P25"/>
          <cell r="Q25"/>
          <cell r="R25"/>
          <cell r="S25" t="str">
            <v/>
          </cell>
        </row>
        <row r="26">
          <cell r="A26" t="str">
            <v>El303b</v>
          </cell>
          <cell r="B26"/>
          <cell r="C26" t="str">
            <v>Sp</v>
          </cell>
          <cell r="D26" t="str">
            <v/>
          </cell>
          <cell r="E26"/>
          <cell r="F26" t="str">
            <v>Si non, expliquez l'engagement applicable</v>
          </cell>
          <cell r="G26" t="str">
            <v>Texte</v>
          </cell>
          <cell r="H26" t="str">
            <v>Champ libre</v>
          </cell>
          <cell r="I26" t="str">
            <v>Non concerné pour l'offre</v>
          </cell>
          <cell r="J26"/>
          <cell r="K26" t="str">
            <v>VRAI</v>
          </cell>
          <cell r="L26"/>
          <cell r="M26" t="str">
            <v>Spécifique Offre</v>
          </cell>
          <cell r="N26" t="str">
            <v>Non concerné</v>
          </cell>
          <cell r="O26" t="str">
            <v>Non concerné</v>
          </cell>
          <cell r="P26"/>
          <cell r="Q26"/>
          <cell r="R26"/>
          <cell r="S26" t="str">
            <v/>
          </cell>
        </row>
        <row r="27">
          <cell r="A27" t="str">
            <v>El509</v>
          </cell>
          <cell r="B27"/>
          <cell r="C27" t="str">
            <v>Sp</v>
          </cell>
          <cell r="D27" t="str">
            <v/>
          </cell>
          <cell r="E27"/>
          <cell r="F27" t="str">
            <v>Le montant total de la procédure est-il supérieur à 250 millions d'euros HT ?</v>
          </cell>
          <cell r="G27" t="str">
            <v xml:space="preserve">Liste choix unique </v>
          </cell>
          <cell r="H27" t="str">
            <v>Oui, le principe d'engagement maximum avec montants estimés s'applique;Non, dérogation au standard</v>
          </cell>
          <cell r="I27" t="str">
            <v/>
          </cell>
          <cell r="J27" t="str">
            <v>x</v>
          </cell>
          <cell r="K27"/>
          <cell r="L27"/>
          <cell r="M27" t="str">
            <v>Renseigner la réponse DCO</v>
          </cell>
          <cell r="N27" t="str">
            <v>Non concerné</v>
          </cell>
          <cell r="O27" t="str">
            <v>Non concerné</v>
          </cell>
          <cell r="P27"/>
          <cell r="Q27"/>
          <cell r="R27"/>
          <cell r="S27" t="str">
            <v/>
          </cell>
        </row>
        <row r="28">
          <cell r="A28" t="str">
            <v>ElTT408</v>
          </cell>
          <cell r="B28"/>
          <cell r="C28" t="str">
            <v>Titre</v>
          </cell>
          <cell r="D28" t="str">
            <v/>
          </cell>
          <cell r="E28"/>
          <cell r="F28" t="str">
            <v>01.4 Allotissement</v>
          </cell>
          <cell r="G28"/>
          <cell r="H28"/>
          <cell r="I28" t="str">
            <v/>
          </cell>
          <cell r="J28" t="str">
            <v/>
          </cell>
          <cell r="K28"/>
          <cell r="L28"/>
          <cell r="M28" t="str">
            <v/>
          </cell>
          <cell r="N28" t="str">
            <v>Non concerné</v>
          </cell>
          <cell r="O28" t="str">
            <v>Non concerné</v>
          </cell>
          <cell r="P28"/>
          <cell r="Q28"/>
          <cell r="R28"/>
          <cell r="S28" t="str">
            <v/>
          </cell>
        </row>
        <row r="29">
          <cell r="A29" t="str">
            <v>El88</v>
          </cell>
          <cell r="B29"/>
          <cell r="C29" t="str">
            <v>E</v>
          </cell>
          <cell r="D29" t="str">
            <v>Oui, procédure avec allotissement</v>
          </cell>
          <cell r="E29"/>
          <cell r="F29" t="str">
            <v>Procédure avec allotissement</v>
          </cell>
          <cell r="G29" t="str">
            <v xml:space="preserve">Liste choix unique </v>
          </cell>
          <cell r="H29" t="str">
            <v>Oui, procédure avec allotissement; Non, dérogation au principe d'allotissement</v>
          </cell>
          <cell r="I29" t="str">
            <v>Oui, procédure avec allotissement</v>
          </cell>
          <cell r="J29" t="str">
            <v>x</v>
          </cell>
          <cell r="K29"/>
          <cell r="L29"/>
          <cell r="M29" t="str">
            <v>Conforme au standard</v>
          </cell>
          <cell r="N29" t="str">
            <v>Non concerné</v>
          </cell>
          <cell r="O29" t="str">
            <v>Non concerné</v>
          </cell>
          <cell r="P29"/>
          <cell r="Q29"/>
          <cell r="R29"/>
          <cell r="S29" t="str">
            <v/>
          </cell>
        </row>
        <row r="30">
          <cell r="A30" t="str">
            <v>El88b</v>
          </cell>
          <cell r="B30"/>
          <cell r="C30" t="str">
            <v>Sp</v>
          </cell>
          <cell r="D30" t="str">
            <v/>
          </cell>
          <cell r="E30"/>
          <cell r="F30" t="str">
            <v>Si oui, préciser le nombre de lots (indiquer uniquement un chiffre)</v>
          </cell>
          <cell r="G30" t="str">
            <v>Nombre</v>
          </cell>
          <cell r="H30" t="str">
            <v>Champ libre</v>
          </cell>
          <cell r="I30">
            <v>2</v>
          </cell>
          <cell r="J30" t="str">
            <v/>
          </cell>
          <cell r="K30"/>
          <cell r="L30"/>
          <cell r="M30" t="str">
            <v>Spécifique Offre</v>
          </cell>
          <cell r="N30" t="str">
            <v>Non concerné</v>
          </cell>
          <cell r="O30" t="str">
            <v>Non concerné</v>
          </cell>
          <cell r="P30"/>
          <cell r="Q30"/>
          <cell r="R30"/>
          <cell r="S30" t="str">
            <v/>
          </cell>
        </row>
        <row r="31">
          <cell r="A31" t="str">
            <v>El90</v>
          </cell>
          <cell r="B31"/>
          <cell r="C31" t="str">
            <v>Sp</v>
          </cell>
          <cell r="D31" t="str">
            <v/>
          </cell>
          <cell r="E31"/>
          <cell r="F31" t="str">
            <v>Renseigner le tableau d'allotissement en annexe (estimation prévisionnel du nombre de lots et type d'allotissement technique, géographique ou autre…)</v>
          </cell>
          <cell r="G31" t="str">
            <v>Annexe 10 - Détail lots</v>
          </cell>
          <cell r="H31" t="str">
            <v>Annexe 10 - Détail_Lots</v>
          </cell>
          <cell r="I31" t="str">
            <v>10 - Détail lots</v>
          </cell>
          <cell r="J31" t="str">
            <v/>
          </cell>
          <cell r="K31"/>
          <cell r="L31"/>
          <cell r="M31" t="str">
            <v>Spécifique Offre</v>
          </cell>
          <cell r="N31" t="str">
            <v>Identique</v>
          </cell>
          <cell r="O31" t="str">
            <v>Non concerné</v>
          </cell>
          <cell r="P31"/>
          <cell r="Q31"/>
          <cell r="R31"/>
          <cell r="S31" t="str">
            <v/>
          </cell>
        </row>
        <row r="32">
          <cell r="A32" t="str">
            <v>El91</v>
          </cell>
          <cell r="B32"/>
          <cell r="C32" t="str">
            <v>Sp</v>
          </cell>
          <cell r="D32" t="str">
            <v/>
          </cell>
          <cell r="E32"/>
          <cell r="F32" t="str">
            <v xml:space="preserve">L'allotissement fait-il l'objet d'une évolution </v>
          </cell>
          <cell r="G32" t="str">
            <v xml:space="preserve">Liste choix unique </v>
          </cell>
          <cell r="H32" t="str">
            <v>Oui, l'allotissement fait l'objet d'une évolution; Non, l'allotissement ne fait pas l'objet d'une évolution</v>
          </cell>
          <cell r="I32" t="str">
            <v/>
          </cell>
          <cell r="J32" t="str">
            <v>x</v>
          </cell>
          <cell r="K32"/>
          <cell r="L32"/>
          <cell r="M32" t="str">
            <v>Renseigner la réponse DCO</v>
          </cell>
          <cell r="N32" t="str">
            <v>Non concerné</v>
          </cell>
          <cell r="O32" t="str">
            <v>Non concerné</v>
          </cell>
          <cell r="P32"/>
          <cell r="Q32"/>
          <cell r="R32"/>
          <cell r="S32" t="str">
            <v/>
          </cell>
        </row>
        <row r="33">
          <cell r="A33" t="str">
            <v>El92</v>
          </cell>
          <cell r="B33"/>
          <cell r="C33" t="str">
            <v>Sp</v>
          </cell>
          <cell r="D33" t="str">
            <v/>
          </cell>
          <cell r="E33"/>
          <cell r="F33" t="str">
            <v>Si oui, préciser le(s) évolution(s) concerné(es) : Est-il envisagé d'abandonner certains lots, d'ajouter des lots, de faire évoluer les formats…</v>
          </cell>
          <cell r="G33" t="str">
            <v>Liste choix multiple</v>
          </cell>
          <cell r="H33" t="str">
            <v xml:space="preserve">Abandon de lots;Nouveaux lots;Evolution de format des lots reconduits </v>
          </cell>
          <cell r="I33" t="str">
            <v>Non concerné pour l'offre</v>
          </cell>
          <cell r="J33" t="str">
            <v/>
          </cell>
          <cell r="K33" t="str">
            <v>VRAI</v>
          </cell>
          <cell r="L33"/>
          <cell r="M33" t="str">
            <v>Spécifique Offre</v>
          </cell>
          <cell r="N33" t="str">
            <v>Non concerné</v>
          </cell>
          <cell r="O33" t="str">
            <v>Non concerné</v>
          </cell>
          <cell r="P33"/>
          <cell r="Q33"/>
          <cell r="R33"/>
          <cell r="S33" t="str">
            <v>=</v>
          </cell>
        </row>
        <row r="34">
          <cell r="A34" t="str">
            <v>El93</v>
          </cell>
          <cell r="B34"/>
          <cell r="C34" t="str">
            <v>Sp</v>
          </cell>
          <cell r="D34" t="str">
            <v/>
          </cell>
          <cell r="E34"/>
          <cell r="F34" t="str">
            <v>Si oui, expliquer pourquoi et dans quel objectif ?</v>
          </cell>
          <cell r="G34" t="str">
            <v>Texte</v>
          </cell>
          <cell r="H34" t="str">
            <v>Champ libre</v>
          </cell>
          <cell r="I34" t="str">
            <v>Non concerné pour l'offre</v>
          </cell>
          <cell r="J34" t="str">
            <v/>
          </cell>
          <cell r="K34" t="str">
            <v>VRAI</v>
          </cell>
          <cell r="L34"/>
          <cell r="M34" t="str">
            <v>Spécifique Offre</v>
          </cell>
          <cell r="N34" t="str">
            <v>Non concerné</v>
          </cell>
          <cell r="O34" t="str">
            <v>Non concerné</v>
          </cell>
          <cell r="P34"/>
          <cell r="Q34"/>
          <cell r="R34"/>
          <cell r="S34" t="str">
            <v/>
          </cell>
        </row>
        <row r="35">
          <cell r="A35" t="str">
            <v>El94</v>
          </cell>
          <cell r="B35"/>
          <cell r="C35" t="str">
            <v>E</v>
          </cell>
          <cell r="D35" t="str">
            <v xml:space="preserve">Non, absence de limitation de lots </v>
          </cell>
          <cell r="E35"/>
          <cell r="F35" t="str">
            <v>Une limitation du nombre de lots par titulaire est-elle envisagée ?</v>
          </cell>
          <cell r="G35" t="str">
            <v xml:space="preserve">Liste choix unique </v>
          </cell>
          <cell r="H35" t="str">
            <v xml:space="preserve">Oui, limitation du nombre de lots par titulaire; Non, absence de limitation de lots </v>
          </cell>
          <cell r="I35" t="str">
            <v xml:space="preserve">Non, absence de limitation de lots </v>
          </cell>
          <cell r="J35" t="str">
            <v>x</v>
          </cell>
          <cell r="K35"/>
          <cell r="L35"/>
          <cell r="M35" t="str">
            <v>Conforme au standard</v>
          </cell>
          <cell r="N35" t="str">
            <v>Non concerné</v>
          </cell>
          <cell r="O35" t="str">
            <v>Non concerné</v>
          </cell>
          <cell r="P35"/>
          <cell r="Q35"/>
          <cell r="R35"/>
          <cell r="S35" t="str">
            <v/>
          </cell>
        </row>
        <row r="36">
          <cell r="A36" t="str">
            <v>El95</v>
          </cell>
          <cell r="B36"/>
          <cell r="C36" t="str">
            <v>Sp</v>
          </cell>
          <cell r="D36" t="str">
            <v/>
          </cell>
          <cell r="E36"/>
          <cell r="F36" t="str">
            <v>Si oui, préciser à quel stade de la procédure</v>
          </cell>
          <cell r="G36" t="str">
            <v xml:space="preserve">Liste choix unique </v>
          </cell>
          <cell r="H36" t="str">
            <v xml:space="preserve">Candidature;Attribution
</v>
          </cell>
          <cell r="I36" t="str">
            <v>Non concerné pour l'offre</v>
          </cell>
          <cell r="J36" t="str">
            <v/>
          </cell>
          <cell r="K36" t="str">
            <v>VRAI</v>
          </cell>
          <cell r="L36"/>
          <cell r="M36" t="str">
            <v>Spécifique Offre</v>
          </cell>
          <cell r="N36" t="str">
            <v>Non concerné</v>
          </cell>
          <cell r="O36" t="str">
            <v>Non concerné</v>
          </cell>
          <cell r="P36"/>
          <cell r="Q36"/>
          <cell r="R36"/>
          <cell r="S36" t="str">
            <v/>
          </cell>
        </row>
        <row r="37">
          <cell r="A37" t="str">
            <v>El96</v>
          </cell>
          <cell r="B37"/>
          <cell r="C37" t="str">
            <v>Sp</v>
          </cell>
          <cell r="D37" t="str">
            <v/>
          </cell>
          <cell r="E37"/>
          <cell r="F37" t="str">
            <v>Si oui, en préciser les raisons</v>
          </cell>
          <cell r="G37" t="str">
            <v>Liste choix multiple</v>
          </cell>
          <cell r="H37" t="str">
            <v>Dépendance économique;Contraintes règlementaires;Risque de conflits d'intérêt;Autre</v>
          </cell>
          <cell r="I37" t="str">
            <v>Non concerné pour l'offre</v>
          </cell>
          <cell r="J37" t="str">
            <v>x</v>
          </cell>
          <cell r="K37" t="str">
            <v>VRAI</v>
          </cell>
          <cell r="L37"/>
          <cell r="M37" t="str">
            <v>Spécifique Offre</v>
          </cell>
          <cell r="N37" t="str">
            <v>Non concerné</v>
          </cell>
          <cell r="O37" t="str">
            <v>Non concerné</v>
          </cell>
          <cell r="P37"/>
          <cell r="Q37"/>
          <cell r="R37"/>
          <cell r="S37" t="str">
            <v>=</v>
          </cell>
        </row>
        <row r="38">
          <cell r="A38" t="str">
            <v>El112c</v>
          </cell>
          <cell r="B38"/>
          <cell r="C38" t="str">
            <v>Sp</v>
          </cell>
          <cell r="D38" t="str">
            <v/>
          </cell>
          <cell r="E38"/>
          <cell r="F38" t="str">
            <v>Si autre, en préciser la raison</v>
          </cell>
          <cell r="G38" t="str">
            <v>Texte</v>
          </cell>
          <cell r="H38" t="str">
            <v>Champ libre</v>
          </cell>
          <cell r="I38" t="str">
            <v>Non concerné pour l'offre</v>
          </cell>
          <cell r="J38" t="str">
            <v>x</v>
          </cell>
          <cell r="K38" t="str">
            <v>VRAI</v>
          </cell>
          <cell r="L38"/>
          <cell r="M38" t="str">
            <v>Spécifique Offre</v>
          </cell>
          <cell r="N38" t="str">
            <v>Non concerné</v>
          </cell>
          <cell r="O38" t="str">
            <v>Non concerné</v>
          </cell>
          <cell r="P38"/>
          <cell r="Q38"/>
          <cell r="R38"/>
          <cell r="S38" t="str">
            <v/>
          </cell>
        </row>
        <row r="39">
          <cell r="A39" t="str">
            <v>ElTT409</v>
          </cell>
          <cell r="B39"/>
          <cell r="C39" t="str">
            <v>Titre</v>
          </cell>
          <cell r="D39" t="str">
            <v/>
          </cell>
          <cell r="E39"/>
          <cell r="F39" t="str">
            <v>01.5 Etendue géographique de l'offre</v>
          </cell>
          <cell r="G39"/>
          <cell r="H39"/>
          <cell r="I39" t="str">
            <v/>
          </cell>
          <cell r="J39" t="str">
            <v/>
          </cell>
          <cell r="K39"/>
          <cell r="L39"/>
          <cell r="M39" t="str">
            <v/>
          </cell>
          <cell r="N39" t="str">
            <v>Non concerné</v>
          </cell>
          <cell r="O39" t="str">
            <v>Non concerné</v>
          </cell>
          <cell r="P39"/>
          <cell r="Q39"/>
          <cell r="R39"/>
          <cell r="S39" t="str">
            <v/>
          </cell>
        </row>
        <row r="40">
          <cell r="A40" t="str">
            <v>El59</v>
          </cell>
          <cell r="B40"/>
          <cell r="C40" t="str">
            <v>D</v>
          </cell>
          <cell r="D40" t="str">
            <v>France métropolitaine;Corse et îles littorales non desservies par un pont gratuit;DROM;COM inclus TAAF</v>
          </cell>
          <cell r="E40"/>
          <cell r="F40" t="str">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0" t="str">
            <v>Liste choix multiple</v>
          </cell>
          <cell r="H40" t="str">
            <v>France métropolitaine;France continentale;Corse et îles littorales non desservies par un pont gratuit;DROM;COM;Etranger</v>
          </cell>
          <cell r="I40" t="str">
            <v>France métropolitaine;Corse et îles littorales non desservies par un pont gratuit;DROM;COM inclus TAAF</v>
          </cell>
          <cell r="J40" t="str">
            <v>x</v>
          </cell>
          <cell r="K40"/>
          <cell r="L40"/>
          <cell r="M40" t="str">
            <v>Conforme au standard</v>
          </cell>
          <cell r="N40" t="str">
            <v>Non concerné</v>
          </cell>
          <cell r="O40" t="str">
            <v>Non concerné</v>
          </cell>
          <cell r="P40"/>
          <cell r="Q40"/>
          <cell r="R40"/>
          <cell r="S40" t="str">
            <v>=</v>
          </cell>
        </row>
        <row r="41">
          <cell r="A41" t="str">
            <v>El500c</v>
          </cell>
          <cell r="B41"/>
          <cell r="C41" t="str">
            <v>Sp</v>
          </cell>
          <cell r="D41" t="str">
            <v/>
          </cell>
          <cell r="E41"/>
          <cell r="F41" t="str">
            <v>Si couverture géographique obligatoire à l'étranger, l'étranger comprend</v>
          </cell>
          <cell r="G41" t="str">
            <v>Liste choix multiple</v>
          </cell>
          <cell r="H41" t="str">
            <v>Représentations françaises dans l’Union Européenne;Représentations françaises à l’étranger;Monaco, Suisse, Andorre;EEE;Autres</v>
          </cell>
          <cell r="I41" t="str">
            <v>Non concerné pour l'offre</v>
          </cell>
          <cell r="J41" t="str">
            <v>x</v>
          </cell>
          <cell r="K41" t="str">
            <v>VRAI</v>
          </cell>
          <cell r="L41"/>
          <cell r="M41" t="str">
            <v>Spécifique Offre</v>
          </cell>
          <cell r="N41" t="str">
            <v>Non concerné</v>
          </cell>
          <cell r="O41" t="str">
            <v>Non concerné</v>
          </cell>
          <cell r="P41"/>
          <cell r="Q41"/>
          <cell r="R41"/>
          <cell r="S41" t="str">
            <v/>
          </cell>
        </row>
        <row r="42">
          <cell r="A42" t="str">
            <v>El500</v>
          </cell>
          <cell r="B42"/>
          <cell r="C42" t="str">
            <v>Sp</v>
          </cell>
          <cell r="D42" t="str">
            <v/>
          </cell>
          <cell r="E42"/>
          <cell r="F42" t="str">
            <v>Si autres, préciser la couverture géographique concernée</v>
          </cell>
          <cell r="G42" t="str">
            <v>Texte</v>
          </cell>
          <cell r="H42" t="str">
            <v>Champ libre</v>
          </cell>
          <cell r="I42" t="str">
            <v>Non concerné pour l'offre</v>
          </cell>
          <cell r="J42" t="str">
            <v>x</v>
          </cell>
          <cell r="K42" t="str">
            <v>VRAI</v>
          </cell>
          <cell r="L42"/>
          <cell r="M42" t="str">
            <v>Spécifique Offre</v>
          </cell>
          <cell r="N42" t="str">
            <v>Non concerné</v>
          </cell>
          <cell r="O42" t="str">
            <v>Non concerné</v>
          </cell>
          <cell r="P42"/>
          <cell r="Q42"/>
          <cell r="R42"/>
          <cell r="S42" t="str">
            <v/>
          </cell>
        </row>
        <row r="43">
          <cell r="A43" t="str">
            <v>El60</v>
          </cell>
          <cell r="B43"/>
          <cell r="C43" t="str">
            <v>D</v>
          </cell>
          <cell r="D43" t="str">
            <v>Non, absence de couverture géographique facultative</v>
          </cell>
          <cell r="E43"/>
          <cell r="F43" t="str">
            <v>Préciser s'il existe une couverture géographique à caractère facultatif des matériels et/ou prestations à livrer ou exécuter par le titulaire</v>
          </cell>
          <cell r="G43" t="str">
            <v>Liste choix unique</v>
          </cell>
          <cell r="H43" t="str">
            <v>Oui, existence d'une couverture géographique facultative; Non, absence de couverture géographique facultative</v>
          </cell>
          <cell r="I43" t="str">
            <v>Non, absence de couverture géographique facultative</v>
          </cell>
          <cell r="J43" t="str">
            <v>x</v>
          </cell>
          <cell r="K43"/>
          <cell r="L43"/>
          <cell r="M43" t="str">
            <v>Conforme au standard</v>
          </cell>
          <cell r="N43" t="str">
            <v>Non concerné</v>
          </cell>
          <cell r="O43" t="str">
            <v>Non concerné</v>
          </cell>
          <cell r="P43"/>
          <cell r="Q43"/>
          <cell r="R43"/>
          <cell r="S43" t="str">
            <v/>
          </cell>
        </row>
        <row r="44">
          <cell r="A44" t="str">
            <v>El60b</v>
          </cell>
          <cell r="B44"/>
          <cell r="C44" t="str">
            <v>D</v>
          </cell>
          <cell r="D44" t="str">
            <v>Non concerné pour la direction/univers</v>
          </cell>
          <cell r="E44"/>
          <cell r="F44" t="str">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4" t="str">
            <v>Liste choix multiple</v>
          </cell>
          <cell r="H44" t="str">
            <v>France métropolitaine;France continentale;Corse et îles littorales non desservies par un pont gratuit;DROM;COM;Etranger</v>
          </cell>
          <cell r="I44" t="str">
            <v>Non concerné pour la direction/univers</v>
          </cell>
          <cell r="J44" t="str">
            <v>x</v>
          </cell>
          <cell r="K44" t="str">
            <v>VRAI</v>
          </cell>
          <cell r="L44"/>
          <cell r="M44" t="str">
            <v>Non concerné</v>
          </cell>
          <cell r="N44" t="str">
            <v>Non concerné</v>
          </cell>
          <cell r="O44" t="str">
            <v>Non concerné</v>
          </cell>
          <cell r="P44"/>
          <cell r="Q44"/>
          <cell r="R44"/>
          <cell r="S44" t="str">
            <v>=</v>
          </cell>
        </row>
        <row r="45">
          <cell r="A45" t="str">
            <v>El60c</v>
          </cell>
          <cell r="B45"/>
          <cell r="C45" t="str">
            <v>Sp</v>
          </cell>
          <cell r="D45" t="str">
            <v/>
          </cell>
          <cell r="E45"/>
          <cell r="F45" t="str">
            <v>Si couverture géographique facultative à l'étranger, l'étranger comprend</v>
          </cell>
          <cell r="G45" t="str">
            <v>Liste choix multiple</v>
          </cell>
          <cell r="H45" t="str">
            <v>Représentations françaises dans l’Union Européenne;Représentations françaises à l’étranger;Monaco, Suisse, Andorre;EEE;Autres</v>
          </cell>
          <cell r="I45" t="str">
            <v>Non concerné pour l'offre</v>
          </cell>
          <cell r="J45"/>
          <cell r="K45" t="str">
            <v>VRAI</v>
          </cell>
          <cell r="L45"/>
          <cell r="M45" t="str">
            <v>Spécifique Offre</v>
          </cell>
          <cell r="N45" t="str">
            <v>Non concerné</v>
          </cell>
          <cell r="O45" t="str">
            <v>Non concerné</v>
          </cell>
          <cell r="P45"/>
          <cell r="Q45"/>
          <cell r="R45"/>
          <cell r="S45" t="str">
            <v/>
          </cell>
        </row>
        <row r="46">
          <cell r="A46" t="str">
            <v>El60d</v>
          </cell>
          <cell r="B46"/>
          <cell r="C46" t="str">
            <v>Sp</v>
          </cell>
          <cell r="D46" t="str">
            <v/>
          </cell>
          <cell r="E46"/>
          <cell r="F46" t="str">
            <v>Si autres, préciser la couverture géographique concernée</v>
          </cell>
          <cell r="G46" t="str">
            <v>Texte</v>
          </cell>
          <cell r="H46" t="str">
            <v>Champ libre</v>
          </cell>
          <cell r="I46" t="str">
            <v>Non concerné pour l'offre</v>
          </cell>
          <cell r="J46"/>
          <cell r="K46" t="str">
            <v>VRAI</v>
          </cell>
          <cell r="L46"/>
          <cell r="M46" t="str">
            <v>Spécifique Offre</v>
          </cell>
          <cell r="N46" t="str">
            <v>Non concerné</v>
          </cell>
          <cell r="O46" t="str">
            <v>Non concerné</v>
          </cell>
          <cell r="P46"/>
          <cell r="Q46"/>
          <cell r="R46"/>
          <cell r="S46" t="str">
            <v/>
          </cell>
        </row>
        <row r="47">
          <cell r="A47" t="str">
            <v>El61</v>
          </cell>
          <cell r="B47"/>
          <cell r="C47" t="str">
            <v>Sp</v>
          </cell>
          <cell r="D47" t="str">
            <v/>
          </cell>
          <cell r="E47"/>
          <cell r="F47" t="str">
            <v xml:space="preserve">Préciser la nature des produits et des prestations concernées par la couverture géographique obligatoire/facultative </v>
          </cell>
          <cell r="G47" t="str">
            <v>Annexe 10- Couverture géographique</v>
          </cell>
          <cell r="H47" t="str">
            <v>Annexe 10 - Couverture géographique</v>
          </cell>
          <cell r="I47" t="str">
            <v>10- Couverture géographique</v>
          </cell>
          <cell r="J47" t="str">
            <v/>
          </cell>
          <cell r="K47"/>
          <cell r="L47"/>
          <cell r="M47" t="str">
            <v>Spécifique Offre</v>
          </cell>
          <cell r="N47" t="str">
            <v>Identique</v>
          </cell>
          <cell r="O47" t="str">
            <v>Non concerné</v>
          </cell>
          <cell r="P47"/>
          <cell r="Q47"/>
          <cell r="R47"/>
          <cell r="S47" t="str">
            <v/>
          </cell>
        </row>
        <row r="48">
          <cell r="A48" t="str">
            <v>ElT410</v>
          </cell>
          <cell r="B48"/>
          <cell r="C48" t="str">
            <v>Titre</v>
          </cell>
          <cell r="D48" t="str">
            <v/>
          </cell>
          <cell r="E48"/>
          <cell r="F48" t="str">
            <v>02.0-ENVIRONNEMENT DE L'OFFRE</v>
          </cell>
          <cell r="G48"/>
          <cell r="H48"/>
          <cell r="I48" t="str">
            <v/>
          </cell>
          <cell r="J48" t="str">
            <v/>
          </cell>
          <cell r="K48"/>
          <cell r="L48"/>
          <cell r="M48" t="str">
            <v/>
          </cell>
          <cell r="N48" t="str">
            <v>Non concerné</v>
          </cell>
          <cell r="O48" t="str">
            <v>Non concerné</v>
          </cell>
          <cell r="P48"/>
          <cell r="Q48"/>
          <cell r="R48"/>
          <cell r="S48" t="str">
            <v/>
          </cell>
        </row>
        <row r="49">
          <cell r="A49" t="str">
            <v>ElTT411</v>
          </cell>
          <cell r="B49"/>
          <cell r="C49" t="str">
            <v>Titre</v>
          </cell>
          <cell r="D49" t="str">
            <v/>
          </cell>
          <cell r="E49"/>
          <cell r="F49" t="str">
            <v>02.1 Secteur d'activité de l'offre</v>
          </cell>
          <cell r="G49"/>
          <cell r="H49"/>
          <cell r="I49" t="str">
            <v/>
          </cell>
          <cell r="J49" t="str">
            <v/>
          </cell>
          <cell r="K49"/>
          <cell r="L49"/>
          <cell r="M49" t="str">
            <v/>
          </cell>
          <cell r="N49" t="str">
            <v>Non concerné</v>
          </cell>
          <cell r="O49" t="str">
            <v>Non concerné</v>
          </cell>
          <cell r="P49"/>
          <cell r="Q49"/>
          <cell r="R49"/>
          <cell r="S49" t="str">
            <v/>
          </cell>
        </row>
        <row r="50">
          <cell r="A50" t="str">
            <v>El24</v>
          </cell>
          <cell r="B50"/>
          <cell r="C50" t="str">
            <v>U</v>
          </cell>
          <cell r="D50" t="str">
            <v>Non, part peu importante de PME</v>
          </cell>
          <cell r="E50"/>
          <cell r="F50" t="str">
            <v>Le secteur d'activité a-t'il une part importante de PME</v>
          </cell>
          <cell r="G50" t="str">
            <v xml:space="preserve">Liste choix unique </v>
          </cell>
          <cell r="H50" t="str">
            <v>Oui, part importante de PME;Non, part peu importante de PME</v>
          </cell>
          <cell r="I50" t="str">
            <v>Non, part peu importante de PME</v>
          </cell>
          <cell r="J50" t="str">
            <v/>
          </cell>
          <cell r="K50"/>
          <cell r="L50"/>
          <cell r="M50" t="str">
            <v>Conforme au standard</v>
          </cell>
          <cell r="N50" t="str">
            <v>Non concerné</v>
          </cell>
          <cell r="O50" t="str">
            <v>Non concerné</v>
          </cell>
          <cell r="P50"/>
          <cell r="Q50"/>
          <cell r="R50"/>
          <cell r="S50" t="str">
            <v/>
          </cell>
        </row>
        <row r="51">
          <cell r="A51" t="str">
            <v>El25</v>
          </cell>
          <cell r="B51"/>
          <cell r="C51" t="str">
            <v>U</v>
          </cell>
          <cell r="D51" t="str">
            <v>Non, absence de relation avec une fédération ou syndicats professionnels</v>
          </cell>
          <cell r="E51"/>
          <cell r="F51" t="str">
            <v>L'UGAP est-elle en lien avec une fédération / syndicats professionnels / Groupement d'entreprises sur ce secteur</v>
          </cell>
          <cell r="G51" t="str">
            <v xml:space="preserve">Liste choix unique </v>
          </cell>
          <cell r="H51" t="str">
            <v>Oui, relation engagée avec une fédération ou syndicats professionnels;Non, absence de relation avec une fédération ou syndicats professionnels</v>
          </cell>
          <cell r="I51" t="str">
            <v>Non, absence de relation avec une fédération ou syndicats professionnels</v>
          </cell>
          <cell r="J51" t="str">
            <v>x</v>
          </cell>
          <cell r="K51"/>
          <cell r="L51"/>
          <cell r="M51" t="str">
            <v>Conforme au standard</v>
          </cell>
          <cell r="N51" t="str">
            <v>Non concerné</v>
          </cell>
          <cell r="O51" t="str">
            <v>Non concerné</v>
          </cell>
          <cell r="P51"/>
          <cell r="Q51"/>
          <cell r="R51"/>
          <cell r="S51" t="str">
            <v/>
          </cell>
        </row>
        <row r="52">
          <cell r="A52" t="str">
            <v>El26</v>
          </cell>
          <cell r="B52"/>
          <cell r="C52" t="str">
            <v>U</v>
          </cell>
          <cell r="D52" t="str">
            <v>Non, absence d'action envisagée</v>
          </cell>
          <cell r="E52"/>
          <cell r="F52" t="str">
            <v>Si oui, Une action auprès d'un de ces organismes est-elle envisagée ?</v>
          </cell>
          <cell r="G52" t="str">
            <v xml:space="preserve">Liste choix unique </v>
          </cell>
          <cell r="H52" t="str">
            <v>Oui, une action est envisagée;Non, absence d'action envisagée</v>
          </cell>
          <cell r="I52" t="str">
            <v>Standard non applicable pour cette offre au regard des réponses précédentes apportées</v>
          </cell>
          <cell r="J52" t="str">
            <v/>
          </cell>
          <cell r="K52" t="str">
            <v>VRAI</v>
          </cell>
          <cell r="L52"/>
          <cell r="M52" t="str">
            <v>Non concerné</v>
          </cell>
          <cell r="N52" t="str">
            <v>Non concerné</v>
          </cell>
          <cell r="O52" t="str">
            <v>Non concerné</v>
          </cell>
          <cell r="P52"/>
          <cell r="Q52"/>
          <cell r="R52"/>
          <cell r="S52" t="str">
            <v/>
          </cell>
        </row>
        <row r="53">
          <cell r="A53" t="str">
            <v>El27</v>
          </cell>
          <cell r="B53"/>
          <cell r="C53" t="str">
            <v>Sp</v>
          </cell>
          <cell r="D53" t="str">
            <v/>
          </cell>
          <cell r="E53"/>
          <cell r="F53" t="str">
            <v>Si non, pourquoi ?</v>
          </cell>
          <cell r="G53" t="str">
            <v>Texte</v>
          </cell>
          <cell r="H53" t="str">
            <v>Champ libre</v>
          </cell>
          <cell r="I53" t="str">
            <v/>
          </cell>
          <cell r="J53" t="str">
            <v/>
          </cell>
          <cell r="K53"/>
          <cell r="L53"/>
          <cell r="M53" t="str">
            <v>Renseigner la réponse DCO</v>
          </cell>
          <cell r="N53" t="str">
            <v>Non concerné</v>
          </cell>
          <cell r="O53" t="str">
            <v>Non concerné</v>
          </cell>
          <cell r="P53"/>
          <cell r="Q53"/>
          <cell r="R53"/>
          <cell r="S53" t="str">
            <v/>
          </cell>
        </row>
        <row r="54">
          <cell r="A54" t="str">
            <v>El279</v>
          </cell>
          <cell r="B54"/>
          <cell r="C54" t="str">
            <v>Sp</v>
          </cell>
          <cell r="D54" t="str">
            <v/>
          </cell>
          <cell r="E54"/>
          <cell r="F54" t="str">
            <v>Description du marché fournisseurs sur le périmètre de l’offre / Sa structuration / Les différences de positionnement produits/services en fonction des acteurs du marché / Le positionnement des clients éligibles à l’UGAP…</v>
          </cell>
          <cell r="G54" t="str">
            <v>Texte</v>
          </cell>
          <cell r="H54" t="str">
            <v>Champ libre</v>
          </cell>
          <cell r="I54" t="str">
            <v/>
          </cell>
          <cell r="J54" t="str">
            <v/>
          </cell>
          <cell r="K54"/>
          <cell r="L54"/>
          <cell r="M54" t="str">
            <v>Renseigner la réponse DCO</v>
          </cell>
          <cell r="N54" t="str">
            <v>Non concerné</v>
          </cell>
          <cell r="O54" t="str">
            <v>Non concerné</v>
          </cell>
          <cell r="P54"/>
          <cell r="Q54"/>
          <cell r="R54"/>
          <cell r="S54" t="str">
            <v/>
          </cell>
        </row>
        <row r="55">
          <cell r="A55" t="str">
            <v>ElTT412</v>
          </cell>
          <cell r="B55"/>
          <cell r="C55" t="str">
            <v>Titre</v>
          </cell>
          <cell r="D55" t="str">
            <v/>
          </cell>
          <cell r="E55"/>
          <cell r="F55" t="str">
            <v>02.2 Sourcing</v>
          </cell>
          <cell r="G55"/>
          <cell r="H55"/>
          <cell r="I55" t="str">
            <v/>
          </cell>
          <cell r="J55" t="str">
            <v/>
          </cell>
          <cell r="K55"/>
          <cell r="L55"/>
          <cell r="M55" t="str">
            <v/>
          </cell>
          <cell r="N55" t="str">
            <v>Non concerné</v>
          </cell>
          <cell r="O55" t="str">
            <v>Non concerné</v>
          </cell>
          <cell r="P55"/>
          <cell r="Q55"/>
          <cell r="R55"/>
          <cell r="S55" t="str">
            <v/>
          </cell>
        </row>
        <row r="56">
          <cell r="A56" t="str">
            <v>El301</v>
          </cell>
          <cell r="B56"/>
          <cell r="C56" t="str">
            <v>Sp</v>
          </cell>
          <cell r="D56" t="str">
            <v/>
          </cell>
          <cell r="E56"/>
          <cell r="F56" t="str">
            <v xml:space="preserve">Présenter le tableau des entreprises sourcées </v>
          </cell>
          <cell r="G56" t="str">
            <v>Annexe 10 - Entreprises sourcées</v>
          </cell>
          <cell r="H56" t="str">
            <v>Annexe 10 - Entreprises sourcées</v>
          </cell>
          <cell r="I56" t="str">
            <v>10 - Entreprises sourcées</v>
          </cell>
          <cell r="J56" t="str">
            <v/>
          </cell>
          <cell r="K56"/>
          <cell r="L56"/>
          <cell r="M56" t="str">
            <v>Spécifique Offre</v>
          </cell>
          <cell r="N56" t="str">
            <v>Identique</v>
          </cell>
          <cell r="O56" t="str">
            <v>Non concerné</v>
          </cell>
          <cell r="P56"/>
          <cell r="Q56"/>
          <cell r="R56"/>
          <cell r="S56" t="str">
            <v/>
          </cell>
        </row>
        <row r="57">
          <cell r="A57" t="str">
            <v>El504</v>
          </cell>
          <cell r="B57"/>
          <cell r="C57" t="str">
            <v>Sp</v>
          </cell>
          <cell r="D57" t="str">
            <v/>
          </cell>
          <cell r="E57"/>
          <cell r="F57" t="str">
            <v xml:space="preserve">Préciser quelle est la méthodologie retenue pour déterminer les fournisseurs rencontrés et assurer le respect de la concurrence ? </v>
          </cell>
          <cell r="G57" t="str">
            <v>Texte</v>
          </cell>
          <cell r="H57" t="str">
            <v>Champ libre</v>
          </cell>
          <cell r="I57" t="str">
            <v/>
          </cell>
          <cell r="J57"/>
          <cell r="K57"/>
          <cell r="L57"/>
          <cell r="M57" t="str">
            <v>Renseigner la réponse DCO</v>
          </cell>
          <cell r="N57" t="str">
            <v>Non concerné</v>
          </cell>
          <cell r="O57" t="str">
            <v>Non concerné</v>
          </cell>
          <cell r="P57"/>
          <cell r="Q57"/>
          <cell r="R57"/>
          <cell r="S57" t="str">
            <v/>
          </cell>
        </row>
        <row r="58">
          <cell r="A58" t="str">
            <v>El505</v>
          </cell>
          <cell r="B58"/>
          <cell r="C58" t="str">
            <v>Sp</v>
          </cell>
          <cell r="D58" t="str">
            <v/>
          </cell>
          <cell r="E58"/>
          <cell r="F58" t="str">
            <v>Préciser la taille, la zone couverte du/des titulaires et des autres principaux fournisseurs avec, si nécessaire, les informations sur les risques pesant sur leur pérennité (rachats en cours, en période d'observation, dépendance économique, etc.).</v>
          </cell>
          <cell r="G58" t="str">
            <v>Texte</v>
          </cell>
          <cell r="H58" t="str">
            <v>Champ libre</v>
          </cell>
          <cell r="I58" t="str">
            <v/>
          </cell>
          <cell r="J58"/>
          <cell r="K58"/>
          <cell r="L58"/>
          <cell r="M58" t="str">
            <v>Renseigner la réponse DCO</v>
          </cell>
          <cell r="N58" t="str">
            <v>Non concerné</v>
          </cell>
          <cell r="O58" t="str">
            <v>Non concerné</v>
          </cell>
          <cell r="P58"/>
          <cell r="Q58"/>
          <cell r="R58"/>
          <cell r="S58" t="str">
            <v/>
          </cell>
        </row>
        <row r="59">
          <cell r="A59" t="str">
            <v>ElT413</v>
          </cell>
          <cell r="B59"/>
          <cell r="C59" t="str">
            <v>Titre</v>
          </cell>
          <cell r="D59" t="str">
            <v/>
          </cell>
          <cell r="E59"/>
          <cell r="F59" t="str">
            <v>03.0-MONTAGE CONTRACTUEL</v>
          </cell>
          <cell r="G59"/>
          <cell r="H59"/>
          <cell r="I59" t="str">
            <v/>
          </cell>
          <cell r="J59" t="str">
            <v/>
          </cell>
          <cell r="K59"/>
          <cell r="L59"/>
          <cell r="M59" t="str">
            <v/>
          </cell>
          <cell r="N59" t="str">
            <v>Non concerné</v>
          </cell>
          <cell r="O59" t="str">
            <v>Non concerné</v>
          </cell>
          <cell r="P59"/>
          <cell r="Q59"/>
          <cell r="R59"/>
          <cell r="S59" t="str">
            <v/>
          </cell>
        </row>
        <row r="60">
          <cell r="A60" t="str">
            <v>ElTT414</v>
          </cell>
          <cell r="B60"/>
          <cell r="C60" t="str">
            <v>Titre</v>
          </cell>
          <cell r="D60" t="str">
            <v/>
          </cell>
          <cell r="E60"/>
          <cell r="F60" t="str">
            <v>03.1 Mode de passation et typologie de l'accord-cadre</v>
          </cell>
          <cell r="G60"/>
          <cell r="H60"/>
          <cell r="I60" t="str">
            <v/>
          </cell>
          <cell r="J60" t="str">
            <v/>
          </cell>
          <cell r="K60"/>
          <cell r="L60"/>
          <cell r="M60" t="str">
            <v/>
          </cell>
          <cell r="N60" t="str">
            <v>Non concerné</v>
          </cell>
          <cell r="O60" t="str">
            <v>Non concerné</v>
          </cell>
          <cell r="P60"/>
          <cell r="Q60"/>
          <cell r="R60"/>
          <cell r="S60" t="str">
            <v/>
          </cell>
        </row>
        <row r="61">
          <cell r="A61" t="str">
            <v>El69</v>
          </cell>
          <cell r="B61"/>
          <cell r="C61" t="str">
            <v>E</v>
          </cell>
          <cell r="D61" t="str">
            <v>Oui, mode de passation en Appel d'Offres Ouverts</v>
          </cell>
          <cell r="E61"/>
          <cell r="F61" t="str">
            <v>Le mode de passation de l'appel d'offres est-il ouvert ?</v>
          </cell>
          <cell r="G61" t="str">
            <v xml:space="preserve">Liste choix unique </v>
          </cell>
          <cell r="H61" t="str">
            <v>Oui, mode de passation en Appel d'Offres Ouvert;Non, autre mode de passation</v>
          </cell>
          <cell r="I61" t="str">
            <v>Oui, mode de passation en Appel d'Offres Ouverts</v>
          </cell>
          <cell r="J61" t="str">
            <v>x</v>
          </cell>
          <cell r="K61"/>
          <cell r="L61"/>
          <cell r="M61" t="str">
            <v>Conforme au standard</v>
          </cell>
          <cell r="N61" t="str">
            <v>Non concerné</v>
          </cell>
          <cell r="O61" t="str">
            <v>Non concerné</v>
          </cell>
          <cell r="P61"/>
          <cell r="Q61"/>
          <cell r="R61"/>
          <cell r="S61" t="str">
            <v/>
          </cell>
        </row>
        <row r="62">
          <cell r="A62" t="str">
            <v>El70</v>
          </cell>
          <cell r="B62"/>
          <cell r="C62" t="str">
            <v>Sp</v>
          </cell>
          <cell r="D62" t="str">
            <v/>
          </cell>
          <cell r="E62"/>
          <cell r="F62" t="str">
            <v>Si non, préciser le mode de passation et justifier du choix</v>
          </cell>
          <cell r="G62" t="str">
            <v xml:space="preserve">Liste choix unique </v>
          </cell>
          <cell r="H62" t="str">
            <v>Appel d'offres restreint / Dialogue compétitif / Procédure concurrentielle avec négociation / SAD avec enchères / SAD sans enchères</v>
          </cell>
          <cell r="I62" t="str">
            <v>Non concerné pour l'offre</v>
          </cell>
          <cell r="J62" t="str">
            <v/>
          </cell>
          <cell r="K62" t="str">
            <v>VRAI</v>
          </cell>
          <cell r="L62"/>
          <cell r="M62" t="str">
            <v>Spécifique Offre</v>
          </cell>
          <cell r="N62" t="str">
            <v>Non concerné</v>
          </cell>
          <cell r="O62" t="str">
            <v>Non concerné</v>
          </cell>
          <cell r="P62"/>
          <cell r="Q62"/>
          <cell r="R62"/>
          <cell r="S62" t="str">
            <v/>
          </cell>
        </row>
        <row r="63">
          <cell r="A63" t="str">
            <v>El71</v>
          </cell>
          <cell r="B63"/>
          <cell r="C63" t="str">
            <v>E</v>
          </cell>
          <cell r="D63" t="str">
            <v>AC-Bons de commande</v>
          </cell>
          <cell r="E63"/>
          <cell r="F63" t="str">
            <v>Type d’accords-cadres</v>
          </cell>
          <cell r="G63" t="str">
            <v xml:space="preserve">Liste choix unique </v>
          </cell>
          <cell r="H63" t="str">
            <v>AC-Marchés subséquents;AC-Bons de commande; AC-Marchés subséquents et Bons de commande</v>
          </cell>
          <cell r="I63" t="str">
            <v>AC-Bons de commande</v>
          </cell>
          <cell r="J63" t="str">
            <v>x</v>
          </cell>
          <cell r="K63"/>
          <cell r="L63"/>
          <cell r="M63" t="str">
            <v>Conforme au standard</v>
          </cell>
          <cell r="N63" t="str">
            <v>Non concerné</v>
          </cell>
          <cell r="O63" t="str">
            <v>Non concerné</v>
          </cell>
          <cell r="P63"/>
          <cell r="Q63"/>
          <cell r="R63"/>
          <cell r="S63" t="str">
            <v/>
          </cell>
        </row>
        <row r="64">
          <cell r="A64" t="str">
            <v>El72</v>
          </cell>
          <cell r="B64"/>
          <cell r="C64" t="str">
            <v>U</v>
          </cell>
          <cell r="D64" t="str">
            <v>Mono attribué</v>
          </cell>
          <cell r="E64"/>
          <cell r="F64" t="str">
            <v>Dans le cadre d'un AC à BDC ou mixte (à BDC et Marchés subséquents), quelles sont les modalités d'attribution des accords-cadres à bons de commande</v>
          </cell>
          <cell r="G64" t="str">
            <v xml:space="preserve">Liste choix unique </v>
          </cell>
          <cell r="H64" t="str">
            <v>Mono attribué;Multi attribué;Mono et Multi attribué</v>
          </cell>
          <cell r="I64" t="str">
            <v>Mono attribué</v>
          </cell>
          <cell r="J64" t="str">
            <v>x</v>
          </cell>
          <cell r="K64"/>
          <cell r="L64"/>
          <cell r="M64" t="str">
            <v>Conforme au standard</v>
          </cell>
          <cell r="N64" t="str">
            <v>Non concerné</v>
          </cell>
          <cell r="O64" t="str">
            <v>Non concerné</v>
          </cell>
          <cell r="P64"/>
          <cell r="Q64"/>
          <cell r="R64"/>
          <cell r="S64" t="str">
            <v>=</v>
          </cell>
        </row>
        <row r="65">
          <cell r="A65" t="str">
            <v>El73</v>
          </cell>
          <cell r="B65"/>
          <cell r="C65" t="str">
            <v>Sp</v>
          </cell>
          <cell r="D65" t="str">
            <v/>
          </cell>
          <cell r="E65"/>
          <cell r="F65" t="str">
            <v>Si AC BDC multi attribué ou mixte (Mono et multi attribué) préciser la modalité de multi attribution</v>
          </cell>
          <cell r="G65" t="str">
            <v xml:space="preserve">Liste choix unique </v>
          </cell>
          <cell r="H65" t="str">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ell>
          <cell r="I65" t="str">
            <v>Non concerné pour l'offre</v>
          </cell>
          <cell r="J65" t="str">
            <v>x</v>
          </cell>
          <cell r="K65" t="str">
            <v>VRAI</v>
          </cell>
          <cell r="L65"/>
          <cell r="M65" t="str">
            <v>Spécifique Offre</v>
          </cell>
          <cell r="N65" t="str">
            <v>Non concerné</v>
          </cell>
          <cell r="O65" t="str">
            <v>Non concerné</v>
          </cell>
          <cell r="P65"/>
          <cell r="Q65"/>
          <cell r="R65"/>
          <cell r="S65" t="str">
            <v/>
          </cell>
        </row>
        <row r="66">
          <cell r="A66" t="str">
            <v>El73b</v>
          </cell>
          <cell r="B66"/>
          <cell r="C66" t="str">
            <v>Sp</v>
          </cell>
          <cell r="D66" t="str">
            <v/>
          </cell>
          <cell r="E66"/>
          <cell r="F66" t="str">
            <v>Si autre mode de multi attribution, préciser</v>
          </cell>
          <cell r="G66" t="str">
            <v>Texte</v>
          </cell>
          <cell r="H66" t="str">
            <v>Champ libre</v>
          </cell>
          <cell r="I66" t="str">
            <v>Non concerné pour l'offre</v>
          </cell>
          <cell r="J66"/>
          <cell r="K66" t="str">
            <v>VRAI</v>
          </cell>
          <cell r="L66"/>
          <cell r="M66" t="str">
            <v>Spécifique Offre</v>
          </cell>
          <cell r="N66" t="str">
            <v>Non concerné</v>
          </cell>
          <cell r="O66" t="str">
            <v>Non concerné</v>
          </cell>
          <cell r="P66"/>
          <cell r="Q66"/>
          <cell r="R66"/>
          <cell r="S66" t="str">
            <v/>
          </cell>
        </row>
        <row r="67">
          <cell r="A67" t="str">
            <v>El73d</v>
          </cell>
          <cell r="B67"/>
          <cell r="C67" t="str">
            <v>Sp</v>
          </cell>
          <cell r="D67" t="str">
            <v/>
          </cell>
          <cell r="E67"/>
          <cell r="F67" t="str">
            <v>Si multi attribution sur quantité minimale d’engagement au marché, précier le mode d'attribution par titulaire</v>
          </cell>
          <cell r="G67" t="str">
            <v>Texte</v>
          </cell>
          <cell r="H67" t="str">
            <v>Champ libre</v>
          </cell>
          <cell r="I67" t="str">
            <v>Non concerné pour l'offre</v>
          </cell>
          <cell r="J67"/>
          <cell r="K67" t="str">
            <v>VRAI</v>
          </cell>
          <cell r="L67"/>
          <cell r="M67" t="str">
            <v>Spécifique Offre</v>
          </cell>
          <cell r="N67" t="str">
            <v>Non concerné</v>
          </cell>
          <cell r="O67" t="str">
            <v>Non concerné</v>
          </cell>
          <cell r="P67"/>
          <cell r="Q67"/>
          <cell r="R67"/>
          <cell r="S67" t="str">
            <v/>
          </cell>
        </row>
        <row r="68">
          <cell r="A68" t="str">
            <v>El73g</v>
          </cell>
          <cell r="B68"/>
          <cell r="C68" t="str">
            <v>Sp</v>
          </cell>
          <cell r="D68" t="str">
            <v/>
          </cell>
          <cell r="E68"/>
          <cell r="F68" t="str">
            <v>Si multi attribution préciser le nombre de titulaires par lot</v>
          </cell>
          <cell r="G68" t="str">
            <v>Annexe 10 - Détail lots</v>
          </cell>
          <cell r="H68" t="str">
            <v>Annexe 10 - Détail_Lots</v>
          </cell>
          <cell r="I68" t="str">
            <v>10 - Détail lots</v>
          </cell>
          <cell r="J68"/>
          <cell r="K68" t="str">
            <v>VRAI</v>
          </cell>
          <cell r="L68"/>
          <cell r="M68" t="str">
            <v>Spécifique Offre</v>
          </cell>
          <cell r="N68" t="str">
            <v>Identique</v>
          </cell>
          <cell r="O68" t="str">
            <v>Non concerné</v>
          </cell>
          <cell r="P68"/>
          <cell r="Q68"/>
          <cell r="R68"/>
          <cell r="S68" t="str">
            <v/>
          </cell>
        </row>
        <row r="69">
          <cell r="A69" t="str">
            <v>El74</v>
          </cell>
          <cell r="B69"/>
          <cell r="C69" t="str">
            <v>Sp</v>
          </cell>
          <cell r="D69" t="str">
            <v/>
          </cell>
          <cell r="E69"/>
          <cell r="F69" t="str">
            <v xml:space="preserve">Si AC mixte, préciser par lot les modalités d'attribution </v>
          </cell>
          <cell r="G69" t="str">
            <v>Annexe 10 - Détail lots</v>
          </cell>
          <cell r="H69" t="str">
            <v>Annexe 10 - Détail_Lots</v>
          </cell>
          <cell r="I69" t="str">
            <v>10 - Détail lots</v>
          </cell>
          <cell r="J69" t="str">
            <v/>
          </cell>
          <cell r="K69" t="str">
            <v>VRAI</v>
          </cell>
          <cell r="L69"/>
          <cell r="M69" t="str">
            <v>Spécifique Offre</v>
          </cell>
          <cell r="N69" t="str">
            <v>Identique</v>
          </cell>
          <cell r="O69" t="str">
            <v>Non concerné</v>
          </cell>
          <cell r="P69"/>
          <cell r="Q69"/>
          <cell r="R69"/>
          <cell r="S69" t="str">
            <v/>
          </cell>
        </row>
        <row r="70">
          <cell r="A70" t="str">
            <v>El73e</v>
          </cell>
          <cell r="B70"/>
          <cell r="C70" t="str">
            <v>Sp</v>
          </cell>
          <cell r="D70" t="str">
            <v/>
          </cell>
          <cell r="E70"/>
          <cell r="F70" t="str">
            <v>Ces modalités d'attribution sont-elles les identiques pour tous les lots?</v>
          </cell>
          <cell r="G70" t="str">
            <v xml:space="preserve">Liste choix unique </v>
          </cell>
          <cell r="H70" t="str">
            <v>Oui, les modalités d'attribution identiques pour tous les lots;Non, les modalités d'attribution diffèrent selon les lots</v>
          </cell>
          <cell r="I70" t="str">
            <v>Non concerné pour l'offre</v>
          </cell>
          <cell r="J70" t="str">
            <v>x</v>
          </cell>
          <cell r="K70" t="str">
            <v>VRAI</v>
          </cell>
          <cell r="L70"/>
          <cell r="M70" t="str">
            <v>Spécifique Offre</v>
          </cell>
          <cell r="N70" t="str">
            <v>Non concerné</v>
          </cell>
          <cell r="O70" t="str">
            <v>Non concerné</v>
          </cell>
          <cell r="P70"/>
          <cell r="Q70"/>
          <cell r="R70"/>
          <cell r="S70" t="str">
            <v/>
          </cell>
        </row>
        <row r="71">
          <cell r="A71" t="str">
            <v>El73f</v>
          </cell>
          <cell r="B71"/>
          <cell r="C71" t="str">
            <v>Sp</v>
          </cell>
          <cell r="D71" t="str">
            <v/>
          </cell>
          <cell r="E71"/>
          <cell r="F71" t="str">
            <v>Si non, préciser le détail par lot</v>
          </cell>
          <cell r="G71" t="str">
            <v>Annexe 10 - Détail lots</v>
          </cell>
          <cell r="H71" t="str">
            <v>Annexe 10 - Détail_Lots</v>
          </cell>
          <cell r="I71" t="str">
            <v>10 - Détail lots</v>
          </cell>
          <cell r="J71"/>
          <cell r="K71" t="str">
            <v>VRAI</v>
          </cell>
          <cell r="L71"/>
          <cell r="M71" t="str">
            <v>Spécifique Offre</v>
          </cell>
          <cell r="N71" t="str">
            <v>Identique</v>
          </cell>
          <cell r="O71" t="str">
            <v>Non concerné</v>
          </cell>
          <cell r="P71"/>
          <cell r="Q71"/>
          <cell r="R71"/>
          <cell r="S71" t="str">
            <v/>
          </cell>
        </row>
        <row r="72">
          <cell r="A72" t="str">
            <v>ElTT415</v>
          </cell>
          <cell r="B72"/>
          <cell r="C72" t="str">
            <v>Titre</v>
          </cell>
          <cell r="D72" t="str">
            <v/>
          </cell>
          <cell r="E72"/>
          <cell r="F72" t="str">
            <v>03.2 Modalités d'intervention de l'UGAP</v>
          </cell>
          <cell r="G72"/>
          <cell r="H72"/>
          <cell r="I72" t="str">
            <v/>
          </cell>
          <cell r="J72" t="str">
            <v/>
          </cell>
          <cell r="K72"/>
          <cell r="L72"/>
          <cell r="M72" t="str">
            <v/>
          </cell>
          <cell r="N72" t="str">
            <v>Non concerné</v>
          </cell>
          <cell r="O72" t="str">
            <v>Non concerné</v>
          </cell>
          <cell r="P72"/>
          <cell r="Q72"/>
          <cell r="R72"/>
          <cell r="S72" t="str">
            <v/>
          </cell>
        </row>
        <row r="73">
          <cell r="A73" t="str">
            <v>El77</v>
          </cell>
          <cell r="B73"/>
          <cell r="C73" t="str">
            <v>E</v>
          </cell>
          <cell r="D73" t="str">
            <v>Offre exécutée</v>
          </cell>
          <cell r="E73"/>
          <cell r="F73" t="str">
            <v>Quelles sont les modalités d’intervention de l’UGAP ?</v>
          </cell>
          <cell r="G73" t="str">
            <v xml:space="preserve">Liste choix unique </v>
          </cell>
          <cell r="H73" t="str">
            <v>Offre exécutée; Offre non exécutée; Mixte</v>
          </cell>
          <cell r="I73" t="str">
            <v>Offre exécutée</v>
          </cell>
          <cell r="J73" t="str">
            <v>x</v>
          </cell>
          <cell r="K73"/>
          <cell r="L73"/>
          <cell r="M73" t="str">
            <v>Conforme au standard</v>
          </cell>
          <cell r="N73" t="str">
            <v>Non concerné</v>
          </cell>
          <cell r="O73" t="str">
            <v>Non concerné</v>
          </cell>
          <cell r="P73"/>
          <cell r="Q73"/>
          <cell r="R73"/>
          <cell r="S73" t="str">
            <v>=</v>
          </cell>
        </row>
        <row r="74">
          <cell r="A74" t="str">
            <v>ElTTT416</v>
          </cell>
          <cell r="B74"/>
          <cell r="C74" t="str">
            <v>Titre</v>
          </cell>
          <cell r="D74" t="str">
            <v/>
          </cell>
          <cell r="E74"/>
          <cell r="F74" t="str">
            <v>03.2.2 Offre non exécutée</v>
          </cell>
          <cell r="G74"/>
          <cell r="H74"/>
          <cell r="I74" t="str">
            <v>Non concerné pour l'offre</v>
          </cell>
          <cell r="J74"/>
          <cell r="K74" t="str">
            <v>VRAI</v>
          </cell>
          <cell r="L74"/>
          <cell r="M74" t="str">
            <v/>
          </cell>
          <cell r="N74" t="str">
            <v>Non concerné</v>
          </cell>
          <cell r="O74" t="str">
            <v>Non concerné</v>
          </cell>
          <cell r="P74"/>
          <cell r="Q74"/>
          <cell r="R74"/>
          <cell r="S74" t="str">
            <v/>
          </cell>
        </row>
        <row r="75">
          <cell r="A75" t="str">
            <v>El78a</v>
          </cell>
          <cell r="B75"/>
          <cell r="C75" t="str">
            <v>Sp</v>
          </cell>
          <cell r="D75" t="str">
            <v/>
          </cell>
          <cell r="E75"/>
          <cell r="F75" t="str">
            <v xml:space="preserve">Préciser les modalités de passation des marchés subséquents en Accord-cadre mono et/ou en Accord-cadre multi attribué </v>
          </cell>
          <cell r="G75" t="str">
            <v>Annexe 10 - Détail lots</v>
          </cell>
          <cell r="H75" t="str">
            <v>Annexe 10 - Détail_Lots</v>
          </cell>
          <cell r="I75" t="str">
            <v>10 - Détail lots</v>
          </cell>
          <cell r="J75"/>
          <cell r="K75" t="str">
            <v>VRAI</v>
          </cell>
          <cell r="L75"/>
          <cell r="M75" t="str">
            <v>Spécifique Offre</v>
          </cell>
          <cell r="N75" t="str">
            <v>Identique</v>
          </cell>
          <cell r="O75" t="str">
            <v>Non concerné</v>
          </cell>
          <cell r="P75"/>
          <cell r="Q75"/>
          <cell r="R75"/>
          <cell r="S75" t="str">
            <v/>
          </cell>
        </row>
        <row r="76">
          <cell r="A76" t="str">
            <v>El78f</v>
          </cell>
          <cell r="B76"/>
          <cell r="C76" t="str">
            <v>E</v>
          </cell>
          <cell r="D76" t="str">
            <v>Non, absence de dérogation au principe de non exclusivité</v>
          </cell>
          <cell r="E76"/>
          <cell r="F76" t="str">
            <v xml:space="preserve">Y’a-t-il une dérogation au principe de non exclusivité ? </v>
          </cell>
          <cell r="G76" t="str">
            <v xml:space="preserve">Liste choix unique </v>
          </cell>
          <cell r="H76" t="str">
            <v>Oui, dérogation au principe de non exclusivité; Non, absence de dérogation au principe de non exclusivité</v>
          </cell>
          <cell r="I76" t="str">
            <v>Standard non applicable pour cette offre au regard des réponses précédentes apportées</v>
          </cell>
          <cell r="K76" t="str">
            <v>VRAI</v>
          </cell>
          <cell r="L76"/>
          <cell r="M76" t="str">
            <v>Non concerné</v>
          </cell>
          <cell r="N76" t="str">
            <v>Non concerné</v>
          </cell>
          <cell r="O76" t="str">
            <v>Non concerné</v>
          </cell>
          <cell r="P76"/>
          <cell r="Q76"/>
          <cell r="R76"/>
          <cell r="S76" t="str">
            <v/>
          </cell>
        </row>
        <row r="77">
          <cell r="A77" t="str">
            <v>El78b</v>
          </cell>
          <cell r="B77"/>
          <cell r="C77" t="str">
            <v>E</v>
          </cell>
          <cell r="D77" t="str">
            <v>Non, absence de formulaire sur ugap.fr</v>
          </cell>
          <cell r="E77"/>
          <cell r="F77" t="str">
            <v xml:space="preserve">L’adhésion ou la renonciation se fera t’elle via un formulaire d’enquête sur Ugap.fr ? </v>
          </cell>
          <cell r="G77" t="str">
            <v xml:space="preserve">Liste choix unique </v>
          </cell>
          <cell r="H77" t="str">
            <v>Oui, adhésion ou renonciation sur formulaire ugap.fr;Non, absence de formulaire sur ugap.fr</v>
          </cell>
          <cell r="I77" t="str">
            <v>Standard non applicable pour cette offre au regard des réponses précédentes apportées</v>
          </cell>
          <cell r="J77"/>
          <cell r="K77" t="str">
            <v>VRAI</v>
          </cell>
          <cell r="L77"/>
          <cell r="M77" t="str">
            <v>Non concerné</v>
          </cell>
          <cell r="N77" t="str">
            <v>Non concerné</v>
          </cell>
          <cell r="O77" t="str">
            <v>Non concerné</v>
          </cell>
          <cell r="P77"/>
          <cell r="Q77"/>
          <cell r="R77"/>
          <cell r="S77" t="str">
            <v/>
          </cell>
        </row>
        <row r="78">
          <cell r="A78" t="str">
            <v>El78c</v>
          </cell>
          <cell r="B78"/>
          <cell r="C78" t="str">
            <v>E</v>
          </cell>
          <cell r="D78" t="str">
            <v>Charge des marchés subséquents par l'Ugap</v>
          </cell>
          <cell r="E78"/>
          <cell r="F78" t="str">
            <v xml:space="preserve">Dans le cadre de la passation de marchés subséquents sur AC non exécuté qui effectuera la remise en concurrence/la passation/la notification des marchés subséquents ? </v>
          </cell>
          <cell r="G78" t="str">
            <v xml:space="preserve">Liste choix unique </v>
          </cell>
          <cell r="H78" t="str">
            <v>Charge des marchés subséquents par l'Ugap;Charge des marchés subséquents par le client</v>
          </cell>
          <cell r="I78" t="str">
            <v>Standard non applicable pour cette offre au regard des réponses précédentes apportées</v>
          </cell>
          <cell r="J78" t="str">
            <v/>
          </cell>
          <cell r="K78" t="str">
            <v>VRAI</v>
          </cell>
          <cell r="L78"/>
          <cell r="M78" t="str">
            <v>Non concerné</v>
          </cell>
          <cell r="N78" t="str">
            <v>Non concerné</v>
          </cell>
          <cell r="O78" t="str">
            <v>Non concerné</v>
          </cell>
          <cell r="P78"/>
          <cell r="Q78"/>
          <cell r="R78"/>
          <cell r="S78" t="str">
            <v/>
          </cell>
        </row>
        <row r="79">
          <cell r="A79" t="str">
            <v>El78d</v>
          </cell>
          <cell r="B79"/>
          <cell r="C79" t="str">
            <v>Sp</v>
          </cell>
          <cell r="D79" t="str">
            <v/>
          </cell>
          <cell r="E79"/>
          <cell r="F79" t="str">
            <v>Quel est le volume estimé des marchés par an ?</v>
          </cell>
          <cell r="G79" t="str">
            <v>Texte</v>
          </cell>
          <cell r="H79" t="str">
            <v>Champ libre</v>
          </cell>
          <cell r="I79" t="str">
            <v>Non concerné pour l'offre</v>
          </cell>
          <cell r="J79" t="str">
            <v/>
          </cell>
          <cell r="K79" t="str">
            <v>VRAI</v>
          </cell>
          <cell r="L79"/>
          <cell r="M79" t="str">
            <v>Spécifique Offre</v>
          </cell>
          <cell r="N79" t="str">
            <v>Non concerné</v>
          </cell>
          <cell r="O79" t="str">
            <v>Non concerné</v>
          </cell>
          <cell r="P79"/>
          <cell r="Q79"/>
          <cell r="R79"/>
          <cell r="S79" t="str">
            <v/>
          </cell>
        </row>
        <row r="80">
          <cell r="A80" t="str">
            <v>El78e</v>
          </cell>
          <cell r="B80"/>
          <cell r="C80" t="str">
            <v>E</v>
          </cell>
          <cell r="D80" t="str">
            <v>par périodicité</v>
          </cell>
          <cell r="E80"/>
          <cell r="F80" t="str">
            <v>Quelles sont les modalités de passation des marchés subséquents ?</v>
          </cell>
          <cell r="G80" t="str">
            <v xml:space="preserve">Liste choix unique </v>
          </cell>
          <cell r="H80" t="str">
            <v>A la survenance du besoin; par périodicité</v>
          </cell>
          <cell r="I80" t="str">
            <v>Standard non applicable pour cette offre au regard des réponses précédentes apportées</v>
          </cell>
          <cell r="J80" t="str">
            <v/>
          </cell>
          <cell r="K80" t="str">
            <v>VRAI</v>
          </cell>
          <cell r="L80"/>
          <cell r="M80" t="str">
            <v>Non concerné</v>
          </cell>
          <cell r="N80" t="str">
            <v>Non concerné</v>
          </cell>
          <cell r="O80" t="str">
            <v>Non concerné</v>
          </cell>
          <cell r="P80"/>
          <cell r="Q80"/>
          <cell r="R80"/>
          <cell r="S80" t="str">
            <v/>
          </cell>
        </row>
        <row r="81">
          <cell r="A81" t="str">
            <v>ElTTT417</v>
          </cell>
          <cell r="B81"/>
          <cell r="C81" t="str">
            <v>Titre</v>
          </cell>
          <cell r="D81" t="str">
            <v/>
          </cell>
          <cell r="E81"/>
          <cell r="F81" t="str">
            <v>03.2.3 Offre exécutée</v>
          </cell>
          <cell r="G81"/>
          <cell r="H81"/>
          <cell r="I81" t="str">
            <v/>
          </cell>
          <cell r="J81" t="str">
            <v/>
          </cell>
          <cell r="K81"/>
          <cell r="L81"/>
          <cell r="M81" t="str">
            <v/>
          </cell>
          <cell r="N81" t="str">
            <v>Non concerné</v>
          </cell>
          <cell r="O81" t="str">
            <v>Non concerné</v>
          </cell>
          <cell r="P81"/>
          <cell r="Q81"/>
          <cell r="R81"/>
          <cell r="S81" t="str">
            <v/>
          </cell>
        </row>
        <row r="82">
          <cell r="A82" t="str">
            <v>El78g</v>
          </cell>
          <cell r="B82"/>
          <cell r="C82" t="str">
            <v>Sp</v>
          </cell>
          <cell r="D82" t="str">
            <v/>
          </cell>
          <cell r="E82"/>
          <cell r="F82" t="str">
            <v xml:space="preserve">Préciser les modalités de passation en Accord-cadre mono et/ou en Accord-cadre multi attribué </v>
          </cell>
          <cell r="G82" t="str">
            <v>Annexe 10 - Détail lots</v>
          </cell>
          <cell r="H82" t="str">
            <v>10-Détail_Lots'!A1</v>
          </cell>
          <cell r="I82" t="str">
            <v>10 - Détail lots</v>
          </cell>
          <cell r="J82" t="str">
            <v/>
          </cell>
          <cell r="K82"/>
          <cell r="L82"/>
          <cell r="M82" t="str">
            <v>Spécifique Offre</v>
          </cell>
          <cell r="N82" t="str">
            <v>Identique</v>
          </cell>
          <cell r="O82" t="str">
            <v>Non concerné</v>
          </cell>
          <cell r="P82"/>
          <cell r="Q82"/>
          <cell r="R82"/>
          <cell r="S82" t="str">
            <v/>
          </cell>
        </row>
        <row r="83">
          <cell r="A83" t="str">
            <v>El78h</v>
          </cell>
          <cell r="B83"/>
          <cell r="C83" t="str">
            <v>E</v>
          </cell>
          <cell r="D83" t="str">
            <v>Passation des marchés subséquents par périodicité</v>
          </cell>
          <cell r="E83"/>
          <cell r="F83" t="str">
            <v>Quelles sont les modalités de passation des marchés subséquents ou de passation de bons de commandes ?</v>
          </cell>
          <cell r="G83" t="str">
            <v xml:space="preserve">Liste choix unique </v>
          </cell>
          <cell r="H83" t="str">
            <v>Passation des marchés subséquents à la survenance du besoin; Passation des marchés subséquents par périodicité ; Passation des Bons de commandes sur Accord-cadre</v>
          </cell>
          <cell r="I83" t="str">
            <v>Standard non applicable pour cette offre au regard des réponses précédentes apportées</v>
          </cell>
          <cell r="J83" t="str">
            <v>x</v>
          </cell>
          <cell r="K83" t="str">
            <v>VRAI</v>
          </cell>
          <cell r="L83"/>
          <cell r="M83" t="str">
            <v>Non concerné</v>
          </cell>
          <cell r="N83" t="str">
            <v>Non concerné</v>
          </cell>
          <cell r="O83" t="str">
            <v>Non concerné</v>
          </cell>
          <cell r="P83"/>
          <cell r="Q83"/>
          <cell r="R83"/>
          <cell r="S83" t="str">
            <v/>
          </cell>
        </row>
        <row r="84">
          <cell r="A84" t="str">
            <v>El78i</v>
          </cell>
          <cell r="B84"/>
          <cell r="C84" t="str">
            <v>Sp</v>
          </cell>
          <cell r="D84" t="str">
            <v/>
          </cell>
          <cell r="E84"/>
          <cell r="F84" t="str">
            <v>Quel est le volume estimé des marchés par an ?</v>
          </cell>
          <cell r="G84" t="str">
            <v>Texte</v>
          </cell>
          <cell r="H84" t="str">
            <v>Champ libre</v>
          </cell>
          <cell r="I84" t="str">
            <v>Non concerné pour l'offre</v>
          </cell>
          <cell r="J84" t="str">
            <v/>
          </cell>
          <cell r="K84" t="str">
            <v>VRAI</v>
          </cell>
          <cell r="L84"/>
          <cell r="M84" t="str">
            <v>Spécifique Offre</v>
          </cell>
          <cell r="N84" t="str">
            <v>Non concerné</v>
          </cell>
          <cell r="O84" t="str">
            <v>Non concerné</v>
          </cell>
          <cell r="P84"/>
          <cell r="Q84"/>
          <cell r="R84"/>
          <cell r="S84" t="str">
            <v/>
          </cell>
        </row>
        <row r="85">
          <cell r="A85" t="str">
            <v>El78j</v>
          </cell>
          <cell r="B85"/>
          <cell r="C85" t="str">
            <v>Sp</v>
          </cell>
          <cell r="D85" t="str">
            <v/>
          </cell>
          <cell r="E85"/>
          <cell r="F85" t="str">
            <v xml:space="preserve">Quelle sera la forme des marchés subséquents </v>
          </cell>
          <cell r="G85" t="str">
            <v>Liste choix multiple</v>
          </cell>
          <cell r="H85" t="str">
            <v>Mono client;Multi client</v>
          </cell>
          <cell r="I85" t="str">
            <v>Non concerné pour l'offre</v>
          </cell>
          <cell r="J85" t="str">
            <v/>
          </cell>
          <cell r="K85" t="str">
            <v>VRAI</v>
          </cell>
          <cell r="L85"/>
          <cell r="M85" t="str">
            <v>Spécifique Offre</v>
          </cell>
          <cell r="N85" t="str">
            <v>Non concerné</v>
          </cell>
          <cell r="O85" t="str">
            <v>Non concerné</v>
          </cell>
          <cell r="P85"/>
          <cell r="Q85"/>
          <cell r="R85"/>
          <cell r="S85" t="str">
            <v>=</v>
          </cell>
        </row>
        <row r="86">
          <cell r="A86" t="str">
            <v>El78k</v>
          </cell>
          <cell r="B86"/>
          <cell r="C86" t="str">
            <v>Sp</v>
          </cell>
          <cell r="D86" t="str">
            <v/>
          </cell>
          <cell r="E86"/>
          <cell r="F86" t="str">
            <v>Préciser les modalités de passation des marchés subséquents multi attribué ou des Accord-cadre avec BDC multi-attribué</v>
          </cell>
          <cell r="G86" t="str">
            <v>Annexe 10 - Détail lots</v>
          </cell>
          <cell r="H86" t="str">
            <v>Annexe 10 - Détail_Lots</v>
          </cell>
          <cell r="I86" t="str">
            <v>10 - Détail lots</v>
          </cell>
          <cell r="J86" t="str">
            <v/>
          </cell>
          <cell r="K86"/>
          <cell r="L86"/>
          <cell r="M86" t="str">
            <v>Spécifique Offre</v>
          </cell>
          <cell r="N86" t="str">
            <v>Identique</v>
          </cell>
          <cell r="O86" t="str">
            <v>Non concerné</v>
          </cell>
          <cell r="P86"/>
          <cell r="Q86"/>
          <cell r="R86"/>
          <cell r="S86" t="str">
            <v/>
          </cell>
        </row>
        <row r="87">
          <cell r="A87" t="str">
            <v>El78l</v>
          </cell>
          <cell r="B87"/>
          <cell r="C87" t="str">
            <v>E</v>
          </cell>
          <cell r="D87" t="str">
            <v>A la survenance du besoin</v>
          </cell>
          <cell r="E87"/>
          <cell r="F87" t="str">
            <v>Quelles est la règle d'attribution des bons de commande  ?</v>
          </cell>
          <cell r="G87" t="str">
            <v xml:space="preserve">Liste choix unique </v>
          </cell>
          <cell r="H87" t="str">
            <v>A la survenance du besoin;Périodicité</v>
          </cell>
          <cell r="I87" t="str">
            <v>A la survenance du besoin</v>
          </cell>
          <cell r="J87" t="str">
            <v/>
          </cell>
          <cell r="K87"/>
          <cell r="L87"/>
          <cell r="M87" t="str">
            <v>Conforme au standard</v>
          </cell>
          <cell r="N87" t="str">
            <v>Non concerné</v>
          </cell>
          <cell r="O87" t="str">
            <v>Non concerné</v>
          </cell>
          <cell r="P87"/>
          <cell r="Q87"/>
          <cell r="R87"/>
          <cell r="S87" t="str">
            <v/>
          </cell>
        </row>
        <row r="88">
          <cell r="A88" t="str">
            <v>El78m</v>
          </cell>
          <cell r="B88"/>
          <cell r="C88" t="str">
            <v>E</v>
          </cell>
          <cell r="D88" t="str">
            <v>Non, le format offre plurielle ne s'applique pas</v>
          </cell>
          <cell r="E88"/>
          <cell r="F88" t="str">
            <v>Le format "offre plurielle" s'applique-t'il ?</v>
          </cell>
          <cell r="G88" t="str">
            <v xml:space="preserve">Liste choix unique </v>
          </cell>
          <cell r="H88" t="str">
            <v>Oui, le format offre plurielle s'applique; Non, le format offre plurielle ne s'applique pas</v>
          </cell>
          <cell r="I88" t="str">
            <v>Non, le format offre plurielle ne s'applique pas</v>
          </cell>
          <cell r="J88" t="str">
            <v>x</v>
          </cell>
          <cell r="K88"/>
          <cell r="L88"/>
          <cell r="M88" t="str">
            <v>Conforme au standard</v>
          </cell>
          <cell r="N88" t="str">
            <v>Non concerné</v>
          </cell>
          <cell r="O88" t="str">
            <v>Non concerné</v>
          </cell>
          <cell r="P88"/>
          <cell r="Q88"/>
          <cell r="R88"/>
          <cell r="S88" t="str">
            <v/>
          </cell>
        </row>
        <row r="89">
          <cell r="A89" t="str">
            <v>El78n</v>
          </cell>
          <cell r="B89"/>
          <cell r="C89" t="str">
            <v>Sp</v>
          </cell>
          <cell r="D89" t="str">
            <v/>
          </cell>
          <cell r="E89"/>
          <cell r="F89" t="str">
            <v>Si oui, renseigner les lots concernés</v>
          </cell>
          <cell r="G89" t="str">
            <v>Annexe 10 - Détail lots</v>
          </cell>
          <cell r="H89" t="str">
            <v>Annexe 10 - Détail_Lots</v>
          </cell>
          <cell r="I89" t="str">
            <v>10 - Détail lots</v>
          </cell>
          <cell r="J89" t="str">
            <v/>
          </cell>
          <cell r="K89" t="str">
            <v>VRAI</v>
          </cell>
          <cell r="L89"/>
          <cell r="M89" t="str">
            <v>Spécifique Offre</v>
          </cell>
          <cell r="N89" t="str">
            <v>Identique</v>
          </cell>
          <cell r="O89" t="str">
            <v>Non concerné</v>
          </cell>
          <cell r="P89"/>
          <cell r="Q89"/>
          <cell r="R89"/>
          <cell r="S89" t="str">
            <v/>
          </cell>
        </row>
        <row r="90">
          <cell r="A90" t="str">
            <v>ElTT418</v>
          </cell>
          <cell r="B90"/>
          <cell r="C90" t="str">
            <v>Titre</v>
          </cell>
          <cell r="D90" t="str">
            <v/>
          </cell>
          <cell r="E90"/>
          <cell r="F90" t="str">
            <v>03.3 Durée</v>
          </cell>
          <cell r="G90"/>
          <cell r="H90"/>
          <cell r="I90" t="str">
            <v/>
          </cell>
          <cell r="J90" t="str">
            <v/>
          </cell>
          <cell r="K90"/>
          <cell r="L90"/>
          <cell r="M90" t="str">
            <v/>
          </cell>
          <cell r="N90" t="str">
            <v>Non concerné</v>
          </cell>
          <cell r="O90" t="str">
            <v>Non concerné</v>
          </cell>
          <cell r="P90"/>
          <cell r="Q90"/>
          <cell r="R90"/>
          <cell r="S90" t="str">
            <v/>
          </cell>
        </row>
        <row r="91">
          <cell r="A91" t="str">
            <v>El80</v>
          </cell>
          <cell r="B91"/>
          <cell r="C91" t="str">
            <v>E</v>
          </cell>
          <cell r="D91" t="str">
            <v>Oui, Durée de 48 mois</v>
          </cell>
          <cell r="E91"/>
          <cell r="F91" t="str">
            <v>La durée du(es) marchés est-elle de 48 mois (toutes reconductions comprises) ?</v>
          </cell>
          <cell r="G91" t="str">
            <v xml:space="preserve">Liste choix unique </v>
          </cell>
          <cell r="H91" t="str">
            <v>Oui, Durée de 48 mois; Non, dérogation à la durée de 48 mois</v>
          </cell>
          <cell r="I91" t="str">
            <v>Oui, Durée de 48 mois</v>
          </cell>
          <cell r="J91" t="str">
            <v>x</v>
          </cell>
          <cell r="K91"/>
          <cell r="L91"/>
          <cell r="M91" t="str">
            <v>Conforme au standard</v>
          </cell>
          <cell r="N91" t="str">
            <v>Non concerné</v>
          </cell>
          <cell r="O91" t="str">
            <v>Non concerné</v>
          </cell>
          <cell r="P91"/>
          <cell r="Q91"/>
          <cell r="R91"/>
          <cell r="S91" t="str">
            <v/>
          </cell>
        </row>
        <row r="92">
          <cell r="A92" t="str">
            <v>El81b</v>
          </cell>
          <cell r="B92"/>
          <cell r="C92" t="str">
            <v>Sp</v>
          </cell>
          <cell r="D92" t="str">
            <v/>
          </cell>
          <cell r="E92"/>
          <cell r="F92" t="str">
            <v>Si non, préciser la durée du marché toutes reconductions comprises
(si durée autre que le choix sur liste, saisir directement le délai dans la réponse)</v>
          </cell>
          <cell r="G92" t="str">
            <v xml:space="preserve">Liste de choix ou texte </v>
          </cell>
          <cell r="H92" t="str">
            <v>Nombre de mois</v>
          </cell>
          <cell r="I92" t="str">
            <v>Non concerné pour l'offre</v>
          </cell>
          <cell r="J92" t="str">
            <v/>
          </cell>
          <cell r="K92" t="str">
            <v>VRAI</v>
          </cell>
          <cell r="L92"/>
          <cell r="M92" t="str">
            <v>Spécifique Offre</v>
          </cell>
          <cell r="N92" t="str">
            <v>Non concerné</v>
          </cell>
          <cell r="O92" t="str">
            <v>Non concerné</v>
          </cell>
          <cell r="P92"/>
          <cell r="Q92"/>
          <cell r="R92"/>
          <cell r="S92" t="str">
            <v/>
          </cell>
        </row>
        <row r="93">
          <cell r="A93" t="str">
            <v>El80a</v>
          </cell>
          <cell r="B93"/>
          <cell r="C93" t="str">
            <v>E</v>
          </cell>
          <cell r="D93" t="str">
            <v>36 mois</v>
          </cell>
          <cell r="E93"/>
          <cell r="F93" t="str">
            <v xml:space="preserve">Quelle est la durée initiale en mois du marché ? </v>
          </cell>
          <cell r="G93" t="str">
            <v xml:space="preserve">Liste choix unique </v>
          </cell>
          <cell r="H93" t="str">
            <v>36 mois;autre</v>
          </cell>
          <cell r="I93" t="str">
            <v>36 mois</v>
          </cell>
          <cell r="J93" t="str">
            <v>x</v>
          </cell>
          <cell r="K93"/>
          <cell r="L93"/>
          <cell r="M93" t="str">
            <v>Conforme au standard</v>
          </cell>
          <cell r="N93" t="str">
            <v>Non concerné</v>
          </cell>
          <cell r="O93" t="str">
            <v>Non concerné</v>
          </cell>
          <cell r="P93"/>
          <cell r="Q93"/>
          <cell r="R93"/>
          <cell r="S93" t="str">
            <v/>
          </cell>
        </row>
        <row r="94">
          <cell r="A94" t="str">
            <v>El83</v>
          </cell>
          <cell r="B94"/>
          <cell r="C94" t="str">
            <v>Sp</v>
          </cell>
          <cell r="D94" t="str">
            <v/>
          </cell>
          <cell r="E94"/>
          <cell r="F94" t="str">
            <v xml:space="preserve">Si autre, préciser la durée initiale </v>
          </cell>
          <cell r="G94" t="str">
            <v>Texte</v>
          </cell>
          <cell r="H94" t="str">
            <v>Champ libre</v>
          </cell>
          <cell r="I94" t="str">
            <v>Non concerné pour l'offre</v>
          </cell>
          <cell r="J94" t="str">
            <v/>
          </cell>
          <cell r="K94" t="str">
            <v>VRAI</v>
          </cell>
          <cell r="L94"/>
          <cell r="M94" t="str">
            <v>Spécifique Offre</v>
          </cell>
          <cell r="N94" t="str">
            <v>Non concerné</v>
          </cell>
          <cell r="O94" t="str">
            <v>Non concerné</v>
          </cell>
          <cell r="P94"/>
          <cell r="Q94"/>
          <cell r="R94"/>
          <cell r="S94" t="str">
            <v/>
          </cell>
        </row>
        <row r="95">
          <cell r="A95" t="str">
            <v>El84</v>
          </cell>
          <cell r="B95"/>
          <cell r="C95" t="str">
            <v>E</v>
          </cell>
          <cell r="D95" t="str">
            <v>Oui, Le principe de reconduction s'applique</v>
          </cell>
          <cell r="E95"/>
          <cell r="F95" t="str">
            <v>Le principe de reconduction s'applique t'il ?</v>
          </cell>
          <cell r="G95" t="str">
            <v xml:space="preserve">Liste choix unique </v>
          </cell>
          <cell r="H95" t="str">
            <v>Oui, Le principe de reconduction s'applique;Non, dérogation au principe de reconduction</v>
          </cell>
          <cell r="I95" t="str">
            <v>Oui, Le principe de reconduction s'applique</v>
          </cell>
          <cell r="J95" t="str">
            <v>x</v>
          </cell>
          <cell r="K95"/>
          <cell r="L95"/>
          <cell r="M95" t="str">
            <v>Conforme au standard</v>
          </cell>
          <cell r="N95" t="str">
            <v>Non concerné</v>
          </cell>
          <cell r="O95" t="str">
            <v>Non concerné</v>
          </cell>
          <cell r="P95"/>
          <cell r="Q95"/>
          <cell r="R95"/>
          <cell r="S95" t="str">
            <v/>
          </cell>
        </row>
        <row r="96">
          <cell r="A96" t="str">
            <v>El85b</v>
          </cell>
          <cell r="B96"/>
          <cell r="C96" t="str">
            <v>E</v>
          </cell>
          <cell r="D96" t="str">
            <v>Tacite</v>
          </cell>
          <cell r="E96"/>
          <cell r="F96" t="str">
            <v>Si oui, expliquer les modalités de reconduction ?</v>
          </cell>
          <cell r="G96" t="str">
            <v xml:space="preserve">Liste choix unique </v>
          </cell>
          <cell r="H96" t="str">
            <v>Expresse;Tacite</v>
          </cell>
          <cell r="I96" t="str">
            <v>Tacite</v>
          </cell>
          <cell r="J96" t="str">
            <v>x</v>
          </cell>
          <cell r="K96"/>
          <cell r="L96"/>
          <cell r="M96" t="str">
            <v>Conforme au standard</v>
          </cell>
          <cell r="N96" t="str">
            <v>Non concerné</v>
          </cell>
          <cell r="O96" t="str">
            <v>Non concerné</v>
          </cell>
          <cell r="P96"/>
          <cell r="Q96"/>
          <cell r="R96"/>
          <cell r="S96" t="str">
            <v/>
          </cell>
        </row>
        <row r="97">
          <cell r="A97" t="str">
            <v>El84b</v>
          </cell>
          <cell r="B97"/>
          <cell r="C97" t="str">
            <v>E</v>
          </cell>
          <cell r="D97" t="str">
            <v>2 reconductions</v>
          </cell>
          <cell r="E97"/>
          <cell r="F97" t="str">
            <v xml:space="preserve">Si oui, Quel est le nombre de reconductions possibles ? </v>
          </cell>
          <cell r="G97" t="str">
            <v>Liste choix unique</v>
          </cell>
          <cell r="H97" t="str">
            <v>1 reconduction;2 reconductions;3 reconductions; 4 reconductions</v>
          </cell>
          <cell r="I97" t="str">
            <v>2 reconductions</v>
          </cell>
          <cell r="J97" t="str">
            <v/>
          </cell>
          <cell r="K97"/>
          <cell r="L97"/>
          <cell r="M97" t="str">
            <v>Conforme au standard</v>
          </cell>
          <cell r="N97" t="str">
            <v>Non concerné</v>
          </cell>
          <cell r="O97" t="str">
            <v>Non concerné</v>
          </cell>
          <cell r="P97"/>
          <cell r="Q97"/>
          <cell r="R97"/>
          <cell r="S97" t="str">
            <v/>
          </cell>
        </row>
        <row r="98">
          <cell r="A98" t="str">
            <v>El84c</v>
          </cell>
          <cell r="B98"/>
          <cell r="C98" t="str">
            <v>E</v>
          </cell>
          <cell r="D98" t="str">
            <v>6 mois</v>
          </cell>
          <cell r="E98"/>
          <cell r="F98" t="str">
            <v xml:space="preserve">Si oui, Quelle est la durée de chaque reconduction ? </v>
          </cell>
          <cell r="G98" t="str">
            <v>Liste choix unique</v>
          </cell>
          <cell r="H98" t="str">
            <v>12 mois;6 mois;4 mois;3 mois;1 fois 6 mois et 2 fois 3 mois</v>
          </cell>
          <cell r="I98" t="str">
            <v>6 mois</v>
          </cell>
          <cell r="J98" t="str">
            <v/>
          </cell>
          <cell r="K98"/>
          <cell r="L98"/>
          <cell r="M98" t="str">
            <v>Conforme au standard</v>
          </cell>
          <cell r="N98" t="str">
            <v>Non concerné</v>
          </cell>
          <cell r="O98" t="str">
            <v>Non concerné</v>
          </cell>
          <cell r="P98"/>
          <cell r="Q98"/>
          <cell r="R98"/>
          <cell r="S98" t="str">
            <v/>
          </cell>
        </row>
        <row r="99">
          <cell r="A99" t="str">
            <v>El84d</v>
          </cell>
          <cell r="B99"/>
          <cell r="C99" t="str">
            <v>Sp</v>
          </cell>
          <cell r="D99" t="str">
            <v/>
          </cell>
          <cell r="E99"/>
          <cell r="F99" t="str">
            <v>Ces modalités  s'appliquent-elles à l'ensemble des lots ?</v>
          </cell>
          <cell r="G99" t="str">
            <v>Liste choix unique</v>
          </cell>
          <cell r="H99" t="str">
            <v>Oui, ces modalités  s'appliquent à l'ensemble des lots; Non, ces modalités ne s'appliquent pas à l'ensemble des lots</v>
          </cell>
          <cell r="I99" t="str">
            <v/>
          </cell>
          <cell r="J99" t="str">
            <v>x</v>
          </cell>
          <cell r="K99"/>
          <cell r="L99"/>
          <cell r="M99" t="str">
            <v>Renseigner la réponse DCO</v>
          </cell>
          <cell r="N99" t="str">
            <v>Non concerné</v>
          </cell>
          <cell r="O99" t="str">
            <v>Non concerné</v>
          </cell>
          <cell r="P99"/>
          <cell r="Q99"/>
          <cell r="R99"/>
          <cell r="S99" t="str">
            <v/>
          </cell>
        </row>
        <row r="100">
          <cell r="A100" t="str">
            <v>El84e</v>
          </cell>
          <cell r="B100"/>
          <cell r="C100" t="str">
            <v>Sp</v>
          </cell>
          <cell r="D100" t="str">
            <v/>
          </cell>
          <cell r="E100"/>
          <cell r="F100" t="str">
            <v>Si non, préciser les modalités particlulières pour chaque lot</v>
          </cell>
          <cell r="G100" t="str">
            <v>Annexe 10 - Détail lots</v>
          </cell>
          <cell r="H100" t="str">
            <v>Annexe 10 - Détail_Lots</v>
          </cell>
          <cell r="I100" t="str">
            <v>10 - Détail lots</v>
          </cell>
          <cell r="J100"/>
          <cell r="K100" t="str">
            <v>VRAI</v>
          </cell>
          <cell r="L100"/>
          <cell r="M100" t="str">
            <v>Spécifique Offre</v>
          </cell>
          <cell r="N100" t="str">
            <v>Identique</v>
          </cell>
          <cell r="O100" t="str">
            <v>Non concerné</v>
          </cell>
          <cell r="P100"/>
          <cell r="Q100"/>
          <cell r="R100"/>
          <cell r="S100" t="str">
            <v/>
          </cell>
        </row>
        <row r="101">
          <cell r="A101" t="str">
            <v>El86</v>
          </cell>
          <cell r="B101"/>
          <cell r="C101" t="str">
            <v>E</v>
          </cell>
          <cell r="D101" t="str">
            <v>Oui, la durée des BDC demeure exécutable au-delà du support contractuel sur la base des durées annoncées dans le CCAP</v>
          </cell>
          <cell r="E101"/>
          <cell r="F101" t="str">
            <v xml:space="preserve">Durée d'exécution des bons de commande ou des marchés subséquents  dépassera t'elle la date de fin du support contractuel ? </v>
          </cell>
          <cell r="G101" t="str">
            <v xml:space="preserve">Liste choix unique </v>
          </cell>
          <cell r="H101" t="str">
            <v>Oui, la durée des BDC demeure exécutable au-delà du support contractuel sur la base des durées annoncées dans le CCAP; Non, absence d'exécution des BDC ou MS au-delà du support contractuel</v>
          </cell>
          <cell r="I101" t="str">
            <v>Oui, la durée des BDC demeure exécutable au-delà du support contractuel sur la base des durées annoncées dans le CCAP</v>
          </cell>
          <cell r="J101" t="str">
            <v>x</v>
          </cell>
          <cell r="K101"/>
          <cell r="L101"/>
          <cell r="M101" t="str">
            <v>Conforme au standard</v>
          </cell>
          <cell r="N101" t="str">
            <v>Non concerné</v>
          </cell>
          <cell r="O101" t="str">
            <v>Non concerné</v>
          </cell>
          <cell r="P101"/>
          <cell r="Q101"/>
          <cell r="R101"/>
          <cell r="S101" t="str">
            <v/>
          </cell>
        </row>
        <row r="102">
          <cell r="A102" t="str">
            <v>El87</v>
          </cell>
          <cell r="B102"/>
          <cell r="C102" t="str">
            <v>Sp</v>
          </cell>
          <cell r="D102" t="str">
            <v/>
          </cell>
          <cell r="E102"/>
          <cell r="F102" t="str">
            <v>Si oui, de combien de mois et sur quel périmètre (Ex : prestations de maintenance…) ?</v>
          </cell>
          <cell r="G102" t="str">
            <v>Texte</v>
          </cell>
          <cell r="H102" t="str">
            <v>Champ libre</v>
          </cell>
          <cell r="I102" t="str">
            <v/>
          </cell>
          <cell r="J102" t="str">
            <v/>
          </cell>
          <cell r="K102"/>
          <cell r="L102"/>
          <cell r="M102" t="str">
            <v>Renseigner la réponse DCO</v>
          </cell>
          <cell r="N102" t="str">
            <v>Non concerné</v>
          </cell>
          <cell r="O102" t="str">
            <v>Non concerné</v>
          </cell>
          <cell r="P102"/>
          <cell r="Q102"/>
          <cell r="R102"/>
          <cell r="S102" t="str">
            <v/>
          </cell>
        </row>
        <row r="103">
          <cell r="A103" t="str">
            <v>El87b</v>
          </cell>
          <cell r="B103"/>
          <cell r="C103" t="str">
            <v>Sp</v>
          </cell>
          <cell r="D103" t="str">
            <v/>
          </cell>
          <cell r="E103"/>
          <cell r="F103" t="str">
            <v>Si oui, ces modalités  s'appliquent-elles à l'ensemble des lots ?</v>
          </cell>
          <cell r="G103" t="str">
            <v>Liste choix unique</v>
          </cell>
          <cell r="H103" t="str">
            <v>Oui, ces modalités  s'appliquent à l'ensemble des lots; Non, ces modalités ne s'appliquent pas à l'ensemble des lots</v>
          </cell>
          <cell r="I103" t="str">
            <v/>
          </cell>
          <cell r="J103" t="str">
            <v>x</v>
          </cell>
          <cell r="K103"/>
          <cell r="L103"/>
          <cell r="M103" t="str">
            <v>Renseigner la réponse DCO</v>
          </cell>
          <cell r="N103" t="str">
            <v>Non concerné</v>
          </cell>
          <cell r="O103" t="str">
            <v>Non concerné</v>
          </cell>
          <cell r="P103"/>
          <cell r="Q103"/>
          <cell r="R103"/>
          <cell r="S103" t="str">
            <v/>
          </cell>
        </row>
        <row r="104">
          <cell r="A104" t="str">
            <v>El87c</v>
          </cell>
          <cell r="B104"/>
          <cell r="C104" t="str">
            <v>Sp</v>
          </cell>
          <cell r="D104" t="str">
            <v/>
          </cell>
          <cell r="E104"/>
          <cell r="F104" t="str">
            <v>Si non, préciser les modalités particlulières pour chaque lot</v>
          </cell>
          <cell r="G104" t="str">
            <v>Annexe 10 - Détail lots</v>
          </cell>
          <cell r="H104" t="str">
            <v>Annexe 10 - Détail_Lots</v>
          </cell>
          <cell r="I104" t="str">
            <v>10 - Détail lots</v>
          </cell>
          <cell r="J104"/>
          <cell r="K104" t="str">
            <v>VRAI</v>
          </cell>
          <cell r="L104"/>
          <cell r="M104" t="str">
            <v>Spécifique Offre</v>
          </cell>
          <cell r="N104" t="str">
            <v>Identique</v>
          </cell>
          <cell r="O104" t="str">
            <v>Non concerné</v>
          </cell>
          <cell r="P104"/>
          <cell r="Q104"/>
          <cell r="R104"/>
          <cell r="S104" t="str">
            <v/>
          </cell>
        </row>
        <row r="105">
          <cell r="A105" t="str">
            <v>El82</v>
          </cell>
          <cell r="B105"/>
          <cell r="C105" t="str">
            <v>U</v>
          </cell>
          <cell r="D105" t="str">
            <v>Non, absence de travaux d'interfacage ou de déploiement long</v>
          </cell>
          <cell r="E105"/>
          <cell r="F105" t="str">
            <v>Des travaux d'interfacage ou de déploiement long sont-ils prévus nécessitant des échanges avec le titulaire avant ouverture du marché à la commercialisation ?</v>
          </cell>
          <cell r="G105" t="str">
            <v xml:space="preserve">Liste choix unique </v>
          </cell>
          <cell r="H105" t="str">
            <v>Oui, travaux d'interfacage sont prévus; Oui, un déploiement long est prévu; Oui, des travaux d'interfaçage et de déploiement long sont prévus;  Non, absence de travaux d'interfacage ou de déploiement long</v>
          </cell>
          <cell r="I105" t="str">
            <v>Non, absence de travaux d'interfacage ou de déploiement long</v>
          </cell>
          <cell r="J105" t="str">
            <v>x</v>
          </cell>
          <cell r="K105"/>
          <cell r="L105"/>
          <cell r="M105" t="str">
            <v>Conforme au standard</v>
          </cell>
          <cell r="N105" t="str">
            <v>Non concerné</v>
          </cell>
          <cell r="O105" t="str">
            <v>Non concerné</v>
          </cell>
          <cell r="P105"/>
          <cell r="Q105"/>
          <cell r="R105"/>
          <cell r="S105" t="str">
            <v/>
          </cell>
        </row>
        <row r="106">
          <cell r="A106" t="str">
            <v>ElTT419</v>
          </cell>
          <cell r="B106"/>
          <cell r="C106" t="str">
            <v>Titre</v>
          </cell>
          <cell r="D106" t="str">
            <v/>
          </cell>
          <cell r="E106"/>
          <cell r="F106" t="str">
            <v>03.4 Clause modificatives de marché</v>
          </cell>
          <cell r="G106"/>
          <cell r="H106"/>
          <cell r="I106" t="str">
            <v/>
          </cell>
          <cell r="J106" t="str">
            <v/>
          </cell>
          <cell r="K106"/>
          <cell r="L106"/>
          <cell r="M106" t="str">
            <v/>
          </cell>
          <cell r="N106" t="str">
            <v>Non concerné</v>
          </cell>
          <cell r="O106" t="str">
            <v>Non concerné</v>
          </cell>
          <cell r="P106"/>
          <cell r="Q106"/>
          <cell r="R106"/>
          <cell r="S106" t="str">
            <v/>
          </cell>
        </row>
        <row r="107">
          <cell r="A107" t="str">
            <v>El104</v>
          </cell>
          <cell r="B107"/>
          <cell r="C107" t="str">
            <v>E</v>
          </cell>
          <cell r="D107" t="str">
            <v>Clause promo;Clause devis 5%;Clause de réexamen;Avenant</v>
          </cell>
          <cell r="E107"/>
          <cell r="F107" t="str">
            <v xml:space="preserve">Quelles sont les clauses modificatives applicables ?	</v>
          </cell>
          <cell r="G107" t="str">
            <v>Liste choix multiple</v>
          </cell>
          <cell r="H107" t="str">
            <v xml:space="preserve">Clause promo;Clause devis 5%;Clause de réexamen;Avenant;marchés de prestations similaires
</v>
          </cell>
          <cell r="I107" t="str">
            <v>Clause promo;Clause devis 5%;Clause de réexamen;Avenant</v>
          </cell>
          <cell r="J107" t="str">
            <v>x</v>
          </cell>
          <cell r="K107"/>
          <cell r="L107"/>
          <cell r="M107" t="str">
            <v>Conforme au standard</v>
          </cell>
          <cell r="N107" t="str">
            <v>Non concerné</v>
          </cell>
          <cell r="O107" t="str">
            <v>Non concerné</v>
          </cell>
          <cell r="P107"/>
          <cell r="Q107"/>
          <cell r="R107"/>
          <cell r="S107" t="str">
            <v>=</v>
          </cell>
        </row>
        <row r="108">
          <cell r="A108" t="str">
            <v>ElTTT420</v>
          </cell>
          <cell r="B108"/>
          <cell r="C108" t="str">
            <v>Titre</v>
          </cell>
          <cell r="D108" t="str">
            <v/>
          </cell>
          <cell r="E108"/>
          <cell r="F108" t="str">
            <v>03.4.1 Clause de réexamen</v>
          </cell>
          <cell r="G108"/>
          <cell r="H108"/>
          <cell r="I108" t="str">
            <v/>
          </cell>
          <cell r="J108" t="str">
            <v/>
          </cell>
          <cell r="K108"/>
          <cell r="L108"/>
          <cell r="M108" t="str">
            <v/>
          </cell>
          <cell r="N108" t="str">
            <v>Non concerné</v>
          </cell>
          <cell r="O108" t="str">
            <v>Non concerné</v>
          </cell>
          <cell r="P108"/>
          <cell r="Q108"/>
          <cell r="R108"/>
          <cell r="S108" t="str">
            <v/>
          </cell>
        </row>
        <row r="109">
          <cell r="A109" t="str">
            <v>El104b</v>
          </cell>
          <cell r="B109"/>
          <cell r="C109" t="str">
            <v>E</v>
          </cell>
          <cell r="D109" t="str">
            <v>Pour évolutions techniques ou technologiques;Suite à évolutions techniques et règlementaires;Ajouts nécessaires à bonne exécution de marché;En cas de circonstances imprévisibles;Modifications du montant maximum</v>
          </cell>
          <cell r="E109"/>
          <cell r="F109" t="str">
            <v xml:space="preserve">Si clause de réexamen applicable, quel est le périmètre de la clause de réexamen </v>
          </cell>
          <cell r="G109" t="str">
            <v>Liste choix multiple</v>
          </cell>
          <cell r="H109" t="str">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ell>
          <cell r="I109" t="str">
            <v>Pour évolutions techniques ou technologiques;Suite à évolutions techniques et règlementaires;Ajouts nécessaires à bonne exécution de marché;En cas de circonstances imprévisibles;Modifications du montant maximum</v>
          </cell>
          <cell r="J109" t="str">
            <v>x</v>
          </cell>
          <cell r="K109"/>
          <cell r="L109"/>
          <cell r="M109" t="str">
            <v>Conforme au standard</v>
          </cell>
          <cell r="N109" t="str">
            <v>Non concerné</v>
          </cell>
          <cell r="O109" t="str">
            <v>Non concerné</v>
          </cell>
          <cell r="P109"/>
          <cell r="Q109"/>
          <cell r="R109"/>
          <cell r="S109" t="str">
            <v>=</v>
          </cell>
        </row>
        <row r="110">
          <cell r="A110" t="str">
            <v>El105</v>
          </cell>
          <cell r="B110"/>
          <cell r="C110" t="str">
            <v>Sp</v>
          </cell>
          <cell r="D110" t="str">
            <v/>
          </cell>
          <cell r="E110"/>
          <cell r="F110" t="str">
            <v>Si autre, expliquer le périmètre complémentaire applicable en matière de clause de réexamen</v>
          </cell>
          <cell r="G110" t="str">
            <v>Texte</v>
          </cell>
          <cell r="H110" t="str">
            <v>Champ libre</v>
          </cell>
          <cell r="I110" t="str">
            <v>Non concerné pour l'offre</v>
          </cell>
          <cell r="J110" t="str">
            <v/>
          </cell>
          <cell r="K110" t="str">
            <v>VRAI</v>
          </cell>
          <cell r="L110"/>
          <cell r="M110" t="str">
            <v>Spécifique Offre</v>
          </cell>
          <cell r="N110" t="str">
            <v>Non concerné</v>
          </cell>
          <cell r="O110" t="str">
            <v>Non concerné</v>
          </cell>
          <cell r="P110"/>
          <cell r="Q110"/>
          <cell r="R110"/>
          <cell r="S110" t="str">
            <v/>
          </cell>
        </row>
        <row r="111">
          <cell r="A111" t="str">
            <v>ElTTT422</v>
          </cell>
          <cell r="B111"/>
          <cell r="C111" t="str">
            <v>Titre</v>
          </cell>
          <cell r="D111" t="str">
            <v/>
          </cell>
          <cell r="E111"/>
          <cell r="F111" t="str">
            <v>03.4.2 Clause promotionnelle</v>
          </cell>
          <cell r="G111"/>
          <cell r="H111"/>
          <cell r="I111" t="str">
            <v/>
          </cell>
          <cell r="J111" t="str">
            <v/>
          </cell>
          <cell r="K111"/>
          <cell r="L111"/>
          <cell r="M111" t="str">
            <v/>
          </cell>
          <cell r="N111" t="str">
            <v>Non concerné</v>
          </cell>
          <cell r="O111" t="str">
            <v>Non concerné</v>
          </cell>
          <cell r="P111"/>
          <cell r="Q111"/>
          <cell r="R111"/>
          <cell r="S111" t="str">
            <v/>
          </cell>
        </row>
        <row r="112">
          <cell r="A112" t="str">
            <v>El107</v>
          </cell>
          <cell r="B112"/>
          <cell r="C112" t="str">
            <v>E</v>
          </cell>
          <cell r="D112" t="str">
            <v>Diminution du prix net d'un ou de plusieurs matériel(s)/prestations</v>
          </cell>
          <cell r="E112"/>
          <cell r="F112" t="str">
            <v>Si clause promotionnelle applicable, quel est le périmètre applicable ?</v>
          </cell>
          <cell r="G112" t="str">
            <v>Liste choix multiple</v>
          </cell>
          <cell r="H112" t="str">
            <v>Diminution du prix net d'un ou de plusieurs matériel(s)/prestations;La mise en place de conditionnements promotionnels (vente de lots);La mise en place de packages dit promotionnels regroupant plusieurs matériels, options, accessoires du marché</v>
          </cell>
          <cell r="I112" t="str">
            <v>Diminution du prix net d'un ou de plusieurs matériel(s)/prestations</v>
          </cell>
          <cell r="J112" t="str">
            <v/>
          </cell>
          <cell r="K112"/>
          <cell r="L112"/>
          <cell r="M112" t="str">
            <v>Conforme au standard</v>
          </cell>
          <cell r="N112" t="str">
            <v>Non concerné</v>
          </cell>
          <cell r="O112" t="str">
            <v>Non concerné</v>
          </cell>
          <cell r="P112"/>
          <cell r="Q112"/>
          <cell r="R112"/>
          <cell r="S112" t="str">
            <v>=</v>
          </cell>
        </row>
        <row r="113">
          <cell r="A113" t="str">
            <v>ElTT423</v>
          </cell>
          <cell r="B113"/>
          <cell r="C113" t="str">
            <v>Titre</v>
          </cell>
          <cell r="D113" t="str">
            <v/>
          </cell>
          <cell r="E113"/>
          <cell r="F113" t="str">
            <v>03.5 Gestion de la fin de contrat client</v>
          </cell>
          <cell r="G113"/>
          <cell r="H113"/>
          <cell r="I113" t="str">
            <v/>
          </cell>
          <cell r="J113" t="str">
            <v/>
          </cell>
          <cell r="K113"/>
          <cell r="L113"/>
          <cell r="M113" t="str">
            <v/>
          </cell>
          <cell r="N113" t="str">
            <v>Non concerné</v>
          </cell>
          <cell r="O113" t="str">
            <v>Non concerné</v>
          </cell>
          <cell r="P113"/>
          <cell r="Q113"/>
          <cell r="R113"/>
          <cell r="S113" t="str">
            <v/>
          </cell>
        </row>
        <row r="114">
          <cell r="A114" t="str">
            <v>El269</v>
          </cell>
          <cell r="B114"/>
          <cell r="C114" t="str">
            <v>U</v>
          </cell>
          <cell r="D114" t="str">
            <v>Oui, obligations particulières à la gestion des fins de contrats</v>
          </cell>
          <cell r="E114"/>
          <cell r="F114" t="str">
            <v>Des obligations particulières relatives à la gestion des fins de contrats sont-elles a préciser dans des documents contractuels, processus et ou pilotées  ?</v>
          </cell>
          <cell r="G114" t="str">
            <v xml:space="preserve">Liste choix unique </v>
          </cell>
          <cell r="H114" t="str">
            <v>Oui, obligations particulières à la gestion des fins de contrats; Non, absence d'obligations particulières à la gestion des fins de contrats</v>
          </cell>
          <cell r="I114" t="str">
            <v>Oui, obligations particulières à la gestion des fins de contrats</v>
          </cell>
          <cell r="J114" t="str">
            <v>x</v>
          </cell>
          <cell r="K114"/>
          <cell r="L114"/>
          <cell r="M114" t="str">
            <v>Conforme au standard</v>
          </cell>
          <cell r="N114" t="str">
            <v>Non concerné</v>
          </cell>
          <cell r="O114" t="str">
            <v>Non concerné</v>
          </cell>
          <cell r="P114"/>
          <cell r="Q114"/>
          <cell r="R114"/>
          <cell r="S114" t="str">
            <v/>
          </cell>
        </row>
        <row r="115">
          <cell r="A115" t="str">
            <v>El390</v>
          </cell>
          <cell r="B115"/>
          <cell r="C115" t="str">
            <v>Sp</v>
          </cell>
          <cell r="D115" t="str">
            <v/>
          </cell>
          <cell r="E115"/>
          <cell r="F115" t="str">
            <v>Si oui, préciser l'attendu après échanges avec les référents DCDT concernés</v>
          </cell>
          <cell r="G115" t="str">
            <v>Texte</v>
          </cell>
          <cell r="H115" t="str">
            <v>Champ libre</v>
          </cell>
          <cell r="I115" t="str">
            <v/>
          </cell>
          <cell r="J115" t="str">
            <v/>
          </cell>
          <cell r="K115"/>
          <cell r="L115"/>
          <cell r="M115" t="str">
            <v>Renseigner la réponse DCO</v>
          </cell>
          <cell r="N115" t="str">
            <v>Non concerné</v>
          </cell>
          <cell r="O115" t="str">
            <v>Non concerné</v>
          </cell>
          <cell r="P115"/>
          <cell r="Q115"/>
          <cell r="R115"/>
          <cell r="S115" t="str">
            <v/>
          </cell>
        </row>
        <row r="116">
          <cell r="A116" t="str">
            <v>El391</v>
          </cell>
          <cell r="B116"/>
          <cell r="C116" t="str">
            <v>U</v>
          </cell>
          <cell r="D116" t="str">
            <v>Non, absence d'accompagnement à la gestion des fins de contrats</v>
          </cell>
          <cell r="E116"/>
          <cell r="F116" t="str">
            <v>Si oui, un accompagnement est-il souhaité pour la modélisation du plan de gestion des fins de contrat ?</v>
          </cell>
          <cell r="G116" t="str">
            <v xml:space="preserve">Liste choix unique </v>
          </cell>
          <cell r="H116" t="str">
            <v>Oui, Accompagnement souhaité pour la gestion des fins de contrats; Non, absence d'accompagnement à la gestion des fins de contrats</v>
          </cell>
          <cell r="I116" t="str">
            <v>Non, absence d'accompagnement à la gestion des fins de contrats</v>
          </cell>
          <cell r="J116" t="str">
            <v/>
          </cell>
          <cell r="K116"/>
          <cell r="L116"/>
          <cell r="M116" t="str">
            <v>Conforme au standard</v>
          </cell>
          <cell r="N116" t="str">
            <v>Non concerné</v>
          </cell>
          <cell r="O116" t="str">
            <v>Non concerné</v>
          </cell>
          <cell r="P116"/>
          <cell r="Q116"/>
          <cell r="R116"/>
          <cell r="S116" t="str">
            <v/>
          </cell>
        </row>
        <row r="117">
          <cell r="A117" t="str">
            <v>ElT430</v>
          </cell>
          <cell r="B117"/>
          <cell r="C117" t="str">
            <v>Titre</v>
          </cell>
          <cell r="D117" t="str">
            <v/>
          </cell>
          <cell r="E117"/>
          <cell r="F117" t="str">
            <v>04.0 DEVIS ET COMMANDE</v>
          </cell>
          <cell r="G117"/>
          <cell r="H117"/>
          <cell r="I117" t="str">
            <v/>
          </cell>
          <cell r="J117" t="str">
            <v/>
          </cell>
          <cell r="K117"/>
          <cell r="L117"/>
          <cell r="M117" t="str">
            <v/>
          </cell>
          <cell r="N117" t="str">
            <v>Non concerné</v>
          </cell>
          <cell r="O117" t="str">
            <v>Non concerné</v>
          </cell>
          <cell r="P117"/>
          <cell r="Q117"/>
          <cell r="R117"/>
          <cell r="S117" t="str">
            <v/>
          </cell>
        </row>
        <row r="118">
          <cell r="A118" t="str">
            <v>ElTT431</v>
          </cell>
          <cell r="B118"/>
          <cell r="C118" t="str">
            <v>Titre</v>
          </cell>
          <cell r="D118" t="str">
            <v/>
          </cell>
          <cell r="E118"/>
          <cell r="F118" t="str">
            <v>04.1 Prérequis à l'établissement d'un devis</v>
          </cell>
          <cell r="G118"/>
          <cell r="H118"/>
          <cell r="I118" t="str">
            <v/>
          </cell>
          <cell r="J118" t="str">
            <v/>
          </cell>
          <cell r="K118"/>
          <cell r="L118"/>
          <cell r="M118" t="str">
            <v/>
          </cell>
          <cell r="N118" t="str">
            <v>Non concerné</v>
          </cell>
          <cell r="O118" t="str">
            <v>Non concerné</v>
          </cell>
          <cell r="P118"/>
          <cell r="Q118"/>
          <cell r="R118"/>
          <cell r="S118" t="str">
            <v/>
          </cell>
        </row>
        <row r="119">
          <cell r="A119" t="str">
            <v>El501</v>
          </cell>
          <cell r="B119"/>
          <cell r="C119" t="str">
            <v>E</v>
          </cell>
          <cell r="D119" t="str">
            <v>Oui, l'offre prévoit un devis UGAP</v>
          </cell>
          <cell r="E119"/>
          <cell r="F119" t="str">
            <v>L'offre prévoit-elle un devis UGAP  ?</v>
          </cell>
          <cell r="G119" t="str">
            <v>Liste choix unique</v>
          </cell>
          <cell r="H119" t="str">
            <v>Oui, l'offre prévoit un devis UGAP; Non, la proposition du titulaire se substitue au devis UGAP</v>
          </cell>
          <cell r="I119" t="str">
            <v>Oui, l'offre prévoit un devis UGAP</v>
          </cell>
          <cell r="J119"/>
          <cell r="K119"/>
          <cell r="L119"/>
          <cell r="M119" t="str">
            <v>Conforme au standard</v>
          </cell>
          <cell r="N119" t="str">
            <v>Non concerné</v>
          </cell>
          <cell r="O119" t="str">
            <v>Non concerné</v>
          </cell>
          <cell r="P119"/>
          <cell r="Q119"/>
          <cell r="R119"/>
          <cell r="S119" t="str">
            <v/>
          </cell>
        </row>
        <row r="120">
          <cell r="A120" t="str">
            <v>El110</v>
          </cell>
          <cell r="B120"/>
          <cell r="C120" t="str">
            <v>U</v>
          </cell>
          <cell r="D120" t="str">
            <v>Oui, prérequis à l'établissement d'un devis</v>
          </cell>
          <cell r="E120"/>
          <cell r="F120" t="str">
            <v>Existe-il des prérequis à l’établissement d’un devis ?</v>
          </cell>
          <cell r="G120" t="str">
            <v xml:space="preserve">Liste choix unique </v>
          </cell>
          <cell r="H120" t="str">
            <v>Oui, prérequis à l'établissement d'un devis; Non, absence de prérequis à l'établissement d'un devis</v>
          </cell>
          <cell r="I120" t="str">
            <v>Oui, prérequis à l'établissement d'un devis</v>
          </cell>
          <cell r="J120" t="str">
            <v>x</v>
          </cell>
          <cell r="K120"/>
          <cell r="L120"/>
          <cell r="M120" t="str">
            <v>Conforme au standard</v>
          </cell>
          <cell r="N120" t="str">
            <v>Non concerné</v>
          </cell>
          <cell r="O120" t="str">
            <v>Non concerné</v>
          </cell>
          <cell r="P120"/>
          <cell r="Q120"/>
          <cell r="R120"/>
          <cell r="S120" t="str">
            <v/>
          </cell>
        </row>
        <row r="121">
          <cell r="A121" t="str">
            <v>El111</v>
          </cell>
          <cell r="B121"/>
          <cell r="C121" t="str">
            <v>U</v>
          </cell>
          <cell r="D121" t="str">
            <v>Qualification du besoin par le titulaire et rédaction d'un dossier technique le cas échéant</v>
          </cell>
          <cell r="E121"/>
          <cell r="F121" t="str">
            <v>Si oui, préciser lesquels</v>
          </cell>
          <cell r="G121" t="str">
            <v>Liste choix multiple</v>
          </cell>
          <cell r="H121" t="str">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ell>
          <cell r="I121" t="str">
            <v>Qualification du besoin par le titulaire et rédaction d'un dossier technique le cas échéant</v>
          </cell>
          <cell r="J121" t="str">
            <v>x</v>
          </cell>
          <cell r="K121"/>
          <cell r="L121"/>
          <cell r="M121" t="str">
            <v>Conforme au standard</v>
          </cell>
          <cell r="N121" t="str">
            <v>Non concerné</v>
          </cell>
          <cell r="O121" t="str">
            <v>Non concerné</v>
          </cell>
          <cell r="P121"/>
          <cell r="Q121"/>
          <cell r="R121"/>
          <cell r="S121" t="str">
            <v>=</v>
          </cell>
        </row>
        <row r="122">
          <cell r="A122" t="str">
            <v>El111b</v>
          </cell>
          <cell r="B122"/>
          <cell r="C122" t="str">
            <v>Sp</v>
          </cell>
          <cell r="D122" t="str">
            <v/>
          </cell>
          <cell r="E122"/>
          <cell r="F122" t="str">
            <v>Si oui, pour quels lots</v>
          </cell>
          <cell r="G122" t="str">
            <v>Texte</v>
          </cell>
          <cell r="H122" t="str">
            <v>Numéros de lots</v>
          </cell>
          <cell r="I122" t="str">
            <v/>
          </cell>
          <cell r="J122" t="str">
            <v/>
          </cell>
          <cell r="K122"/>
          <cell r="L122"/>
          <cell r="M122" t="str">
            <v>Renseigner la réponse DCO</v>
          </cell>
          <cell r="N122" t="str">
            <v>Non concerné</v>
          </cell>
          <cell r="O122" t="str">
            <v>Non concerné</v>
          </cell>
          <cell r="P122"/>
          <cell r="Q122"/>
          <cell r="R122"/>
          <cell r="S122" t="str">
            <v/>
          </cell>
        </row>
        <row r="123">
          <cell r="A123" t="str">
            <v>El112</v>
          </cell>
          <cell r="B123"/>
          <cell r="C123" t="str">
            <v>Sp</v>
          </cell>
          <cell r="D123" t="str">
            <v/>
          </cell>
          <cell r="E123"/>
          <cell r="F123" t="str">
            <v>Si autre, préciser lesquels</v>
          </cell>
          <cell r="G123" t="str">
            <v>Texte</v>
          </cell>
          <cell r="H123" t="str">
            <v>Champ libre</v>
          </cell>
          <cell r="I123" t="str">
            <v>Non concerné pour l'offre</v>
          </cell>
          <cell r="J123" t="str">
            <v/>
          </cell>
          <cell r="K123" t="str">
            <v>VRAI</v>
          </cell>
          <cell r="L123"/>
          <cell r="M123" t="str">
            <v>Spécifique Offre</v>
          </cell>
          <cell r="N123" t="str">
            <v>Non concerné</v>
          </cell>
          <cell r="O123" t="str">
            <v>Non concerné</v>
          </cell>
          <cell r="P123"/>
          <cell r="Q123"/>
          <cell r="R123"/>
          <cell r="S123" t="str">
            <v/>
          </cell>
        </row>
        <row r="124">
          <cell r="A124" t="str">
            <v>ElTT432</v>
          </cell>
          <cell r="B124"/>
          <cell r="C124" t="str">
            <v>Titre</v>
          </cell>
          <cell r="D124" t="str">
            <v/>
          </cell>
          <cell r="E124"/>
          <cell r="F124" t="str">
            <v>04-2 Canal d'enregistrement devis/commande / Minimum de commande</v>
          </cell>
          <cell r="G124"/>
          <cell r="H124"/>
          <cell r="I124" t="str">
            <v/>
          </cell>
          <cell r="J124" t="str">
            <v/>
          </cell>
          <cell r="K124"/>
          <cell r="L124"/>
          <cell r="M124" t="str">
            <v/>
          </cell>
          <cell r="N124" t="str">
            <v>Non concerné</v>
          </cell>
          <cell r="O124" t="str">
            <v>Non concerné</v>
          </cell>
          <cell r="P124"/>
          <cell r="Q124"/>
          <cell r="R124"/>
          <cell r="S124" t="str">
            <v/>
          </cell>
        </row>
        <row r="125">
          <cell r="A125" t="str">
            <v>El113</v>
          </cell>
          <cell r="B125"/>
          <cell r="C125" t="str">
            <v>U</v>
          </cell>
          <cell r="D125" t="str">
            <v>Oui, canal d'enregistrement des devis identique à la commande</v>
          </cell>
          <cell r="E125"/>
          <cell r="F125" t="str">
            <v>Canal d’enregistrement des devis est-il identique à celui de la commande ?</v>
          </cell>
          <cell r="G125" t="str">
            <v xml:space="preserve">Liste choix unique </v>
          </cell>
          <cell r="H125" t="str">
            <v>Oui, canal d'enregistrement des devis identique à la commande; Non, canal d'enregistrement distinct de celui de la commande</v>
          </cell>
          <cell r="I125" t="str">
            <v>Oui, canal d'enregistrement des devis identique à la commande</v>
          </cell>
          <cell r="J125" t="str">
            <v>x</v>
          </cell>
          <cell r="K125"/>
          <cell r="L125"/>
          <cell r="M125" t="str">
            <v>Conforme au standard</v>
          </cell>
          <cell r="N125" t="str">
            <v>Non concerné</v>
          </cell>
          <cell r="O125" t="str">
            <v>Non concerné</v>
          </cell>
          <cell r="P125"/>
          <cell r="Q125"/>
          <cell r="R125"/>
          <cell r="S125" t="str">
            <v/>
          </cell>
        </row>
        <row r="126">
          <cell r="A126" t="str">
            <v>El114</v>
          </cell>
          <cell r="B126"/>
          <cell r="C126" t="str">
            <v>Sp</v>
          </cell>
          <cell r="D126" t="str">
            <v/>
          </cell>
          <cell r="E126"/>
          <cell r="F126" t="str">
            <v>Si non, préciser lesquels</v>
          </cell>
          <cell r="G126" t="str">
            <v>Liste choix multiple</v>
          </cell>
          <cell r="H126" t="str">
            <v>Devis tripartite / CCM / E-commerce / réel constaté /Autre</v>
          </cell>
          <cell r="I126" t="str">
            <v>Non concerné pour l'offre</v>
          </cell>
          <cell r="J126" t="str">
            <v>x</v>
          </cell>
          <cell r="K126" t="str">
            <v>VRAI</v>
          </cell>
          <cell r="L126"/>
          <cell r="M126" t="str">
            <v>Spécifique Offre</v>
          </cell>
          <cell r="N126" t="str">
            <v>Non concerné</v>
          </cell>
          <cell r="O126" t="str">
            <v>Non concerné</v>
          </cell>
          <cell r="P126"/>
          <cell r="Q126"/>
          <cell r="R126"/>
          <cell r="S126" t="str">
            <v>=</v>
          </cell>
        </row>
        <row r="127">
          <cell r="A127" t="str">
            <v>El114b</v>
          </cell>
          <cell r="B127"/>
          <cell r="C127" t="str">
            <v>Sp</v>
          </cell>
          <cell r="D127" t="str">
            <v/>
          </cell>
          <cell r="E127"/>
          <cell r="F127" t="str">
            <v>Si autre, précisez</v>
          </cell>
          <cell r="G127" t="str">
            <v>Texte</v>
          </cell>
          <cell r="H127"/>
          <cell r="I127" t="str">
            <v>Non concerné pour l'offre</v>
          </cell>
          <cell r="J127"/>
          <cell r="K127" t="str">
            <v>VRAI</v>
          </cell>
          <cell r="L127"/>
          <cell r="M127" t="str">
            <v>Spécifique Offre</v>
          </cell>
          <cell r="N127" t="str">
            <v>Non concerné</v>
          </cell>
          <cell r="O127" t="str">
            <v>Non concerné</v>
          </cell>
          <cell r="P127"/>
          <cell r="Q127"/>
          <cell r="R127"/>
          <cell r="S127" t="str">
            <v/>
          </cell>
        </row>
        <row r="128">
          <cell r="A128" t="str">
            <v>El112b</v>
          </cell>
          <cell r="B128"/>
          <cell r="C128" t="str">
            <v>U</v>
          </cell>
          <cell r="D128" t="str">
            <v>Non, absence de clause</v>
          </cell>
          <cell r="E128"/>
          <cell r="F128" t="str">
            <v xml:space="preserve">Le marché prévoit-il une clause de devis tripartite ? </v>
          </cell>
          <cell r="G128" t="str">
            <v xml:space="preserve">Liste choix unique </v>
          </cell>
          <cell r="H128" t="str">
            <v>Oui, clause obligatoire; Oui, clause facultative; Non, absence de clause</v>
          </cell>
          <cell r="I128" t="str">
            <v>Non, absence de clause</v>
          </cell>
          <cell r="J128" t="str">
            <v>x</v>
          </cell>
          <cell r="K128"/>
          <cell r="L128"/>
          <cell r="M128" t="str">
            <v>Conforme au standard</v>
          </cell>
          <cell r="N128" t="str">
            <v>Non concerné</v>
          </cell>
          <cell r="O128" t="str">
            <v>Non concerné</v>
          </cell>
          <cell r="P128"/>
          <cell r="Q128"/>
          <cell r="R128"/>
          <cell r="S128" t="str">
            <v/>
          </cell>
        </row>
        <row r="129">
          <cell r="A129" t="str">
            <v>ElTT433</v>
          </cell>
          <cell r="B129"/>
          <cell r="C129" t="str">
            <v>Titre</v>
          </cell>
          <cell r="D129" t="str">
            <v/>
          </cell>
          <cell r="E129"/>
          <cell r="F129" t="str">
            <v xml:space="preserve">04-3 Minimum de commande </v>
          </cell>
          <cell r="G129"/>
          <cell r="H129"/>
          <cell r="I129" t="str">
            <v/>
          </cell>
          <cell r="J129" t="str">
            <v/>
          </cell>
          <cell r="K129"/>
          <cell r="L129"/>
          <cell r="M129" t="str">
            <v/>
          </cell>
          <cell r="N129" t="str">
            <v>Non concerné</v>
          </cell>
          <cell r="O129" t="str">
            <v>Non concerné</v>
          </cell>
          <cell r="P129"/>
          <cell r="Q129"/>
          <cell r="R129"/>
          <cell r="S129" t="str">
            <v/>
          </cell>
        </row>
        <row r="130">
          <cell r="A130" t="str">
            <v>ElTTT434</v>
          </cell>
          <cell r="B130"/>
          <cell r="C130" t="str">
            <v>Titre</v>
          </cell>
          <cell r="D130" t="str">
            <v/>
          </cell>
          <cell r="E130"/>
          <cell r="F130" t="str">
            <v>04.3.1 Client</v>
          </cell>
          <cell r="G130"/>
          <cell r="H130"/>
          <cell r="I130" t="str">
            <v/>
          </cell>
          <cell r="J130" t="str">
            <v/>
          </cell>
          <cell r="K130"/>
          <cell r="L130"/>
          <cell r="M130" t="str">
            <v/>
          </cell>
          <cell r="N130" t="str">
            <v>Non concerné</v>
          </cell>
          <cell r="O130" t="str">
            <v>Non concerné</v>
          </cell>
          <cell r="P130"/>
          <cell r="Q130"/>
          <cell r="R130"/>
          <cell r="S130" t="str">
            <v/>
          </cell>
        </row>
        <row r="131">
          <cell r="A131" t="str">
            <v>El120</v>
          </cell>
          <cell r="B131"/>
          <cell r="C131" t="str">
            <v>D</v>
          </cell>
          <cell r="D131" t="str">
            <v>Non, absence de mimimum de commande client</v>
          </cell>
          <cell r="E131"/>
          <cell r="F131" t="str">
            <v xml:space="preserve">Un minimum de commande client géré par l'UGAP est-il en envisagé ? 	</v>
          </cell>
          <cell r="G131" t="str">
            <v xml:space="preserve">Liste choix unique </v>
          </cell>
          <cell r="H131" t="str">
            <v>Oui, un minimum de commande client est envisagé;Non, absence de mimimum de commande client</v>
          </cell>
          <cell r="I131" t="str">
            <v>Non, absence de mimimum de commande client</v>
          </cell>
          <cell r="J131" t="str">
            <v>x</v>
          </cell>
          <cell r="K131"/>
          <cell r="L131"/>
          <cell r="M131" t="str">
            <v>Conforme au standard</v>
          </cell>
          <cell r="N131" t="str">
            <v>Non concerné</v>
          </cell>
          <cell r="O131" t="str">
            <v>Non concerné</v>
          </cell>
          <cell r="P131"/>
          <cell r="Q131"/>
          <cell r="R131"/>
          <cell r="S131" t="str">
            <v/>
          </cell>
        </row>
        <row r="132">
          <cell r="A132" t="str">
            <v>El121</v>
          </cell>
          <cell r="B132"/>
          <cell r="C132" t="str">
            <v>D</v>
          </cell>
          <cell r="D132" t="str">
            <v>Non concerné pour la direction/univers</v>
          </cell>
          <cell r="E132"/>
          <cell r="F132" t="str">
            <v>Si oui, s'agit-il d'un montant de commande en quantité ou en montant ?</v>
          </cell>
          <cell r="G132" t="str">
            <v xml:space="preserve">Liste choix unique </v>
          </cell>
          <cell r="H132" t="str">
            <v>minimum en quantité ; minimum en montant</v>
          </cell>
          <cell r="I132" t="str">
            <v>Non concerné pour la direction/univers</v>
          </cell>
          <cell r="J132" t="str">
            <v/>
          </cell>
          <cell r="K132" t="str">
            <v>VRAI</v>
          </cell>
          <cell r="L132"/>
          <cell r="M132" t="str">
            <v>Non concerné</v>
          </cell>
          <cell r="N132" t="str">
            <v>Non concerné</v>
          </cell>
          <cell r="O132" t="str">
            <v>Non concerné</v>
          </cell>
          <cell r="P132"/>
          <cell r="Q132"/>
          <cell r="R132"/>
          <cell r="S132" t="str">
            <v/>
          </cell>
        </row>
        <row r="133">
          <cell r="A133" t="str">
            <v>El507</v>
          </cell>
          <cell r="B133"/>
          <cell r="C133" t="str">
            <v>Sp</v>
          </cell>
          <cell r="D133" t="str">
            <v/>
          </cell>
          <cell r="E133"/>
          <cell r="F133" t="str">
            <v>Si oui, la gestion du minimum de commande nécessite-'elle des paramétrages informatiques ?</v>
          </cell>
          <cell r="G133" t="str">
            <v xml:space="preserve">Liste choix unique </v>
          </cell>
          <cell r="H133" t="str">
            <v>Oui, paramétrages informatiques nécessaires; Non, aucun paramétrage nécessaire</v>
          </cell>
          <cell r="I133" t="str">
            <v>Non concerné pour l'offre</v>
          </cell>
          <cell r="J133"/>
          <cell r="K133" t="str">
            <v>VRAI</v>
          </cell>
          <cell r="L133"/>
          <cell r="M133" t="str">
            <v>Spécifique Offre</v>
          </cell>
          <cell r="N133" t="str">
            <v>Non concerné</v>
          </cell>
          <cell r="O133" t="str">
            <v>Non concerné</v>
          </cell>
          <cell r="P133"/>
          <cell r="Q133"/>
          <cell r="R133"/>
          <cell r="S133" t="str">
            <v/>
          </cell>
        </row>
        <row r="134">
          <cell r="A134" t="str">
            <v>El122</v>
          </cell>
          <cell r="B134"/>
          <cell r="C134" t="str">
            <v>U</v>
          </cell>
          <cell r="D134" t="str">
            <v>Oui, modalités standard de commande</v>
          </cell>
          <cell r="E134"/>
          <cell r="F134" t="str">
            <v xml:space="preserve">Modalités standard de commande </v>
          </cell>
          <cell r="G134" t="str">
            <v xml:space="preserve">Liste choix unique </v>
          </cell>
          <cell r="H134" t="str">
            <v>Oui, modalités standard de commande; Non, dérogation au standard de commande</v>
          </cell>
          <cell r="I134" t="str">
            <v>Oui, modalités standard de commande</v>
          </cell>
          <cell r="J134" t="str">
            <v>x</v>
          </cell>
          <cell r="K134"/>
          <cell r="L134"/>
          <cell r="M134" t="str">
            <v>Conforme au standard</v>
          </cell>
          <cell r="N134" t="str">
            <v>Non concerné</v>
          </cell>
          <cell r="O134" t="str">
            <v>Non concerné</v>
          </cell>
          <cell r="P134"/>
          <cell r="Q134"/>
          <cell r="R134"/>
          <cell r="S134" t="str">
            <v/>
          </cell>
        </row>
        <row r="135">
          <cell r="A135" t="str">
            <v>El123</v>
          </cell>
          <cell r="B135"/>
          <cell r="C135" t="str">
            <v>Sp</v>
          </cell>
          <cell r="D135" t="str">
            <v/>
          </cell>
          <cell r="E135"/>
          <cell r="F135" t="str">
            <v>Si non, préciser les modalités particulières applicables</v>
          </cell>
          <cell r="G135" t="str">
            <v>Liste choix multiple</v>
          </cell>
          <cell r="H135" t="str">
            <v>Devis tripartite;CCM;E-commerce;réel constaté;Autre</v>
          </cell>
          <cell r="I135" t="str">
            <v>Non concerné pour l'offre</v>
          </cell>
          <cell r="J135" t="str">
            <v>x</v>
          </cell>
          <cell r="K135" t="str">
            <v>VRAI</v>
          </cell>
          <cell r="L135"/>
          <cell r="M135" t="str">
            <v>Spécifique Offre</v>
          </cell>
          <cell r="N135" t="str">
            <v>Non concerné</v>
          </cell>
          <cell r="O135" t="str">
            <v>Non concerné</v>
          </cell>
          <cell r="P135"/>
          <cell r="Q135"/>
          <cell r="R135"/>
          <cell r="S135" t="str">
            <v>=</v>
          </cell>
        </row>
        <row r="136">
          <cell r="A136" t="str">
            <v>El124</v>
          </cell>
          <cell r="B136"/>
          <cell r="C136" t="str">
            <v>Sp</v>
          </cell>
          <cell r="D136" t="str">
            <v/>
          </cell>
          <cell r="E136"/>
          <cell r="F136" t="str">
            <v>Si autre, préciser</v>
          </cell>
          <cell r="G136" t="str">
            <v>Texte</v>
          </cell>
          <cell r="H136" t="str">
            <v>Champ libre</v>
          </cell>
          <cell r="I136" t="str">
            <v>Non concerné pour l'offre</v>
          </cell>
          <cell r="J136" t="str">
            <v/>
          </cell>
          <cell r="K136" t="str">
            <v>VRAI</v>
          </cell>
          <cell r="L136"/>
          <cell r="M136" t="str">
            <v>Spécifique Offre</v>
          </cell>
          <cell r="N136" t="str">
            <v>Non concerné</v>
          </cell>
          <cell r="O136" t="str">
            <v>Non concerné</v>
          </cell>
          <cell r="P136"/>
          <cell r="Q136"/>
          <cell r="R136"/>
          <cell r="S136" t="str">
            <v/>
          </cell>
        </row>
        <row r="137">
          <cell r="A137" t="str">
            <v>ElTTT435</v>
          </cell>
          <cell r="B137"/>
          <cell r="C137" t="str">
            <v>Titre</v>
          </cell>
          <cell r="D137" t="str">
            <v/>
          </cell>
          <cell r="E137"/>
          <cell r="F137" t="str">
            <v>04.3.2 Fournisseur</v>
          </cell>
          <cell r="G137"/>
          <cell r="H137"/>
          <cell r="I137" t="str">
            <v/>
          </cell>
          <cell r="J137" t="str">
            <v/>
          </cell>
          <cell r="K137"/>
          <cell r="L137"/>
          <cell r="M137" t="str">
            <v/>
          </cell>
          <cell r="N137" t="str">
            <v>Non concerné</v>
          </cell>
          <cell r="O137" t="str">
            <v>Non concerné</v>
          </cell>
          <cell r="P137"/>
          <cell r="Q137"/>
          <cell r="R137"/>
          <cell r="S137" t="str">
            <v/>
          </cell>
        </row>
        <row r="138">
          <cell r="A138" t="str">
            <v>El140</v>
          </cell>
          <cell r="B138"/>
          <cell r="C138" t="str">
            <v>D</v>
          </cell>
          <cell r="D138" t="str">
            <v>Non, absence de mimimum de commande fournisseur</v>
          </cell>
          <cell r="E138"/>
          <cell r="F138" t="str">
            <v xml:space="preserve">Un minimum de commande fournisseur géré par l'UGAP est-il en envisagé ? 	</v>
          </cell>
          <cell r="G138" t="str">
            <v xml:space="preserve">Liste choix unique </v>
          </cell>
          <cell r="H138" t="str">
            <v>Oui, un minimum de commande fournisseur est envisagé;Non, absence de mimimum de commande fournisseur</v>
          </cell>
          <cell r="I138" t="str">
            <v>Non, absence de mimimum de commande fournisseur</v>
          </cell>
          <cell r="J138" t="str">
            <v>x</v>
          </cell>
          <cell r="K138"/>
          <cell r="L138"/>
          <cell r="M138" t="str">
            <v>Conforme au standard</v>
          </cell>
          <cell r="N138" t="str">
            <v>Non concerné</v>
          </cell>
          <cell r="O138" t="str">
            <v>Non concerné</v>
          </cell>
          <cell r="P138"/>
          <cell r="Q138"/>
          <cell r="R138"/>
          <cell r="S138" t="str">
            <v/>
          </cell>
        </row>
        <row r="139">
          <cell r="A139" t="str">
            <v>El141</v>
          </cell>
          <cell r="B139"/>
          <cell r="C139" t="str">
            <v>D</v>
          </cell>
          <cell r="D139" t="str">
            <v>Non concerné pour la direction/univers</v>
          </cell>
          <cell r="E139"/>
          <cell r="F139" t="str">
            <v>Si oui, s'agit-il d'un montant de commande en quantité ou en montant ?</v>
          </cell>
          <cell r="G139" t="str">
            <v xml:space="preserve">Liste choix unique </v>
          </cell>
          <cell r="H139" t="str">
            <v>minimum en quantité ; minimum en montant</v>
          </cell>
          <cell r="I139" t="str">
            <v>Non concerné pour la direction/univers</v>
          </cell>
          <cell r="J139" t="str">
            <v/>
          </cell>
          <cell r="K139" t="str">
            <v>VRAI</v>
          </cell>
          <cell r="L139"/>
          <cell r="M139" t="str">
            <v>Non concerné</v>
          </cell>
          <cell r="N139" t="str">
            <v>Non concerné</v>
          </cell>
          <cell r="O139" t="str">
            <v>Non concerné</v>
          </cell>
          <cell r="P139"/>
          <cell r="Q139"/>
          <cell r="R139"/>
          <cell r="S139" t="str">
            <v/>
          </cell>
        </row>
        <row r="140">
          <cell r="A140" t="str">
            <v>El508</v>
          </cell>
          <cell r="B140"/>
          <cell r="C140" t="str">
            <v>Sp</v>
          </cell>
          <cell r="D140" t="str">
            <v/>
          </cell>
          <cell r="E140"/>
          <cell r="F140" t="str">
            <v>Si oui, la gestion du minimum de commande nécessite-'elle des paramétrages informatiques ?</v>
          </cell>
          <cell r="G140" t="str">
            <v xml:space="preserve">Liste choix unique </v>
          </cell>
          <cell r="H140" t="str">
            <v>minimum en quantité ; minimum en montant</v>
          </cell>
          <cell r="I140" t="str">
            <v>Non concerné pour l'offre</v>
          </cell>
          <cell r="J140" t="str">
            <v/>
          </cell>
          <cell r="K140" t="str">
            <v>VRAI</v>
          </cell>
          <cell r="L140"/>
          <cell r="M140" t="str">
            <v>Spécifique Offre</v>
          </cell>
          <cell r="N140" t="str">
            <v>Non concerné</v>
          </cell>
          <cell r="O140" t="str">
            <v>Non concerné</v>
          </cell>
          <cell r="P140"/>
          <cell r="Q140"/>
          <cell r="R140"/>
          <cell r="S140" t="str">
            <v/>
          </cell>
        </row>
        <row r="141">
          <cell r="A141" t="str">
            <v>El142</v>
          </cell>
          <cell r="B141"/>
          <cell r="C141" t="str">
            <v>D</v>
          </cell>
          <cell r="D141" t="str">
            <v>Non, absence de minimum d'achat pour l'exonération des frais de port</v>
          </cell>
          <cell r="E141"/>
          <cell r="F141" t="str">
            <v>Minimum d’achat est-il applicable pour exonérer des frais de port est-il prévu / envisagé</v>
          </cell>
          <cell r="G141" t="str">
            <v xml:space="preserve">Liste choix unique </v>
          </cell>
          <cell r="H141" t="str">
            <v>Oui, minimum d'achat pour l'exonération des frais de port;Non,Absence de minimum d'achat pour l'exonération des frais de port</v>
          </cell>
          <cell r="I141" t="str">
            <v>Non, absence de minimum d'achat pour l'exonération des frais de port</v>
          </cell>
          <cell r="J141" t="str">
            <v/>
          </cell>
          <cell r="K141"/>
          <cell r="L141"/>
          <cell r="M141" t="str">
            <v>Conforme au standard</v>
          </cell>
          <cell r="N141" t="str">
            <v>Non concerné</v>
          </cell>
          <cell r="O141" t="str">
            <v>Non concerné</v>
          </cell>
          <cell r="P141"/>
          <cell r="Q141"/>
          <cell r="R141"/>
          <cell r="S141" t="str">
            <v/>
          </cell>
        </row>
        <row r="142">
          <cell r="A142" t="str">
            <v>ElTT436</v>
          </cell>
          <cell r="B142"/>
          <cell r="C142" t="str">
            <v>Titre</v>
          </cell>
          <cell r="D142" t="str">
            <v/>
          </cell>
          <cell r="E142"/>
          <cell r="F142" t="str">
            <v>04-4 Dématerialisation des devis / Commande</v>
          </cell>
          <cell r="G142"/>
          <cell r="H142"/>
          <cell r="I142" t="str">
            <v/>
          </cell>
          <cell r="J142" t="str">
            <v/>
          </cell>
          <cell r="K142"/>
          <cell r="L142"/>
          <cell r="M142" t="str">
            <v/>
          </cell>
          <cell r="N142" t="str">
            <v>Non concerné</v>
          </cell>
          <cell r="O142" t="str">
            <v>Non concerné</v>
          </cell>
          <cell r="P142"/>
          <cell r="Q142"/>
          <cell r="R142"/>
          <cell r="S142" t="str">
            <v/>
          </cell>
        </row>
        <row r="143">
          <cell r="A143" t="str">
            <v>El125</v>
          </cell>
          <cell r="B143"/>
          <cell r="C143" t="str">
            <v>E</v>
          </cell>
          <cell r="D143" t="str">
            <v>Oui, dématerialisation des commandes</v>
          </cell>
          <cell r="E143"/>
          <cell r="F143" t="str">
            <v>Une dématerialisation des commandes est-elle a mettre en place via SINOE ?</v>
          </cell>
          <cell r="G143" t="str">
            <v xml:space="preserve">Liste choix unique </v>
          </cell>
          <cell r="H143" t="str">
            <v xml:space="preserve">Oui, dématerialisation des commandes; Non, Absence de dématerialisation des commandes </v>
          </cell>
          <cell r="I143" t="str">
            <v>Oui, dématerialisation des commandes</v>
          </cell>
          <cell r="J143" t="str">
            <v>x</v>
          </cell>
          <cell r="K143"/>
          <cell r="L143"/>
          <cell r="M143" t="str">
            <v>Conforme au standard</v>
          </cell>
          <cell r="N143" t="str">
            <v>Non concerné</v>
          </cell>
          <cell r="O143" t="str">
            <v>Non concerné</v>
          </cell>
          <cell r="P143"/>
          <cell r="Q143"/>
          <cell r="R143"/>
          <cell r="S143" t="str">
            <v/>
          </cell>
        </row>
        <row r="144">
          <cell r="A144" t="str">
            <v>El127</v>
          </cell>
          <cell r="B144"/>
          <cell r="C144" t="str">
            <v>Sp</v>
          </cell>
          <cell r="D144" t="str">
            <v/>
          </cell>
          <cell r="E144"/>
          <cell r="F144" t="str">
            <v>Si oui, le délai de transmission des informations (confirmation de commande, date prévisionnelle…) est-il conforme au délai standard de 3 jours ?</v>
          </cell>
          <cell r="G144" t="str">
            <v xml:space="preserve">Liste choix unique </v>
          </cell>
          <cell r="H144" t="str">
            <v>Oui, Délai de transmission des informations liées à la commande ou à la livraisons conforme à 3 jours;Non, délai de transmission des informations liées à la commande ou à la livraisons non conforme au standard</v>
          </cell>
          <cell r="I144" t="str">
            <v/>
          </cell>
          <cell r="J144" t="str">
            <v>x</v>
          </cell>
          <cell r="K144"/>
          <cell r="L144"/>
          <cell r="M144" t="str">
            <v>Renseigner la réponse DCO</v>
          </cell>
          <cell r="N144" t="str">
            <v>Non concerné</v>
          </cell>
          <cell r="O144" t="str">
            <v>Non concerné</v>
          </cell>
          <cell r="P144"/>
          <cell r="Q144"/>
          <cell r="R144"/>
          <cell r="S144" t="str">
            <v/>
          </cell>
        </row>
        <row r="145">
          <cell r="A145" t="str">
            <v>El128</v>
          </cell>
          <cell r="B145"/>
          <cell r="C145" t="str">
            <v>Sp</v>
          </cell>
          <cell r="D145" t="str">
            <v/>
          </cell>
          <cell r="E145"/>
          <cell r="F145" t="str">
            <v>Si délai non conforme au standard, préciser le délai applicable</v>
          </cell>
          <cell r="G145" t="str">
            <v>Texte</v>
          </cell>
          <cell r="H145" t="str">
            <v>Champ libre</v>
          </cell>
          <cell r="I145" t="str">
            <v>Non concerné pour l'offre</v>
          </cell>
          <cell r="J145" t="str">
            <v/>
          </cell>
          <cell r="K145" t="str">
            <v>VRAI</v>
          </cell>
          <cell r="L145"/>
          <cell r="M145" t="str">
            <v>Spécifique Offre</v>
          </cell>
          <cell r="N145" t="str">
            <v>Non concerné</v>
          </cell>
          <cell r="O145" t="str">
            <v>Non concerné</v>
          </cell>
          <cell r="P145"/>
          <cell r="Q145"/>
          <cell r="R145"/>
          <cell r="S145" t="str">
            <v/>
          </cell>
        </row>
        <row r="146">
          <cell r="A146" t="str">
            <v>El137</v>
          </cell>
          <cell r="B146"/>
          <cell r="C146" t="str">
            <v>Sp</v>
          </cell>
          <cell r="D146" t="str">
            <v/>
          </cell>
          <cell r="E146"/>
          <cell r="F146" t="str">
            <v xml:space="preserve">En cas d'émission de bons de commande dématérialisée autre que SINOE  : dans quels délais les informations (confirmation de la commande, date prévisionnelle…) doivent-elles être transmises ? </v>
          </cell>
          <cell r="G146" t="str">
            <v>Texte</v>
          </cell>
          <cell r="H146" t="str">
            <v>Champ libre</v>
          </cell>
          <cell r="I146" t="str">
            <v>Non concerné pour l'offre</v>
          </cell>
          <cell r="J146" t="str">
            <v/>
          </cell>
          <cell r="K146" t="str">
            <v>VRAI</v>
          </cell>
          <cell r="L146"/>
          <cell r="M146" t="str">
            <v>Spécifique Offre</v>
          </cell>
          <cell r="N146" t="str">
            <v>Non concerné</v>
          </cell>
          <cell r="O146" t="str">
            <v>Non concerné</v>
          </cell>
          <cell r="P146"/>
          <cell r="Q146"/>
          <cell r="R146"/>
          <cell r="S146" t="str">
            <v/>
          </cell>
        </row>
        <row r="147">
          <cell r="A147" t="str">
            <v>El132</v>
          </cell>
          <cell r="B147"/>
          <cell r="C147" t="str">
            <v>D</v>
          </cell>
          <cell r="D147" t="str">
            <v>A la survenance du besoin</v>
          </cell>
          <cell r="E147"/>
          <cell r="F147" t="str">
            <v>Quelle est la fréquence d'émission des bons de commandes ?</v>
          </cell>
          <cell r="G147" t="str">
            <v xml:space="preserve">Liste choix unique </v>
          </cell>
          <cell r="H147" t="str">
            <v>A la survenance du besoin; A échéance (mensuelle, trimestrielle, annuelle); autre ou mixte</v>
          </cell>
          <cell r="I147" t="str">
            <v>A la survenance du besoin</v>
          </cell>
          <cell r="J147" t="str">
            <v>x</v>
          </cell>
          <cell r="K147"/>
          <cell r="L147"/>
          <cell r="M147" t="str">
            <v>Conforme au standard</v>
          </cell>
          <cell r="N147" t="str">
            <v>Non concerné</v>
          </cell>
          <cell r="O147" t="str">
            <v>Non concerné</v>
          </cell>
          <cell r="P147"/>
          <cell r="Q147"/>
          <cell r="R147"/>
          <cell r="S147" t="str">
            <v/>
          </cell>
        </row>
        <row r="148">
          <cell r="A148" t="str">
            <v>El133</v>
          </cell>
          <cell r="B148"/>
          <cell r="C148" t="str">
            <v>Sp</v>
          </cell>
          <cell r="D148" t="str">
            <v/>
          </cell>
          <cell r="E148"/>
          <cell r="F148" t="str">
            <v xml:space="preserve">Si fréquence d'émission "autre" ou "mixte" apporter des précisions après échanges auprès du référent devis/commande </v>
          </cell>
          <cell r="G148" t="str">
            <v>Texte</v>
          </cell>
          <cell r="H148" t="str">
            <v>Champ libre</v>
          </cell>
          <cell r="I148" t="str">
            <v>Non concerné pour l'offre</v>
          </cell>
          <cell r="J148" t="str">
            <v/>
          </cell>
          <cell r="K148" t="str">
            <v>VRAI</v>
          </cell>
          <cell r="L148"/>
          <cell r="M148" t="str">
            <v>Spécifique Offre</v>
          </cell>
          <cell r="N148" t="str">
            <v>Non concerné</v>
          </cell>
          <cell r="O148" t="str">
            <v>Non concerné</v>
          </cell>
          <cell r="P148"/>
          <cell r="Q148"/>
          <cell r="R148"/>
          <cell r="S148" t="str">
            <v/>
          </cell>
        </row>
        <row r="149">
          <cell r="A149" t="str">
            <v>El132b</v>
          </cell>
          <cell r="B149"/>
          <cell r="C149" t="str">
            <v>Sp</v>
          </cell>
          <cell r="D149" t="str">
            <v/>
          </cell>
          <cell r="E149"/>
          <cell r="F149" t="str">
            <v>En cas de BDC à échéance, préciser s'il s'agit d'une mono, multi échéance et pour quelle échéance l'UGAP émet-elle une commande ? (mensuelle, trimestrielle, semestrielle ou annuelle)</v>
          </cell>
          <cell r="G149" t="str">
            <v>Liste choix multiple</v>
          </cell>
          <cell r="H149" t="str">
            <v>mensuelle,trimestrielle,semestrielle;annuelle</v>
          </cell>
          <cell r="I149" t="str">
            <v>Non concerné pour l'offre</v>
          </cell>
          <cell r="J149" t="str">
            <v/>
          </cell>
          <cell r="K149" t="str">
            <v>VRAI</v>
          </cell>
          <cell r="L149"/>
          <cell r="M149" t="str">
            <v>Spécifique Offre</v>
          </cell>
          <cell r="N149" t="str">
            <v>Non concerné</v>
          </cell>
          <cell r="O149" t="str">
            <v>Non concerné</v>
          </cell>
          <cell r="P149"/>
          <cell r="Q149"/>
          <cell r="R149"/>
          <cell r="S149" t="str">
            <v/>
          </cell>
        </row>
        <row r="150">
          <cell r="A150" t="str">
            <v>ElTT438</v>
          </cell>
          <cell r="B150"/>
          <cell r="C150" t="str">
            <v>Titre</v>
          </cell>
          <cell r="D150" t="str">
            <v/>
          </cell>
          <cell r="E150"/>
          <cell r="F150" t="str">
            <v>04-5 Modification, resiliation, annulation des BDCs</v>
          </cell>
          <cell r="G150"/>
          <cell r="H150"/>
          <cell r="I150" t="str">
            <v/>
          </cell>
          <cell r="J150" t="str">
            <v/>
          </cell>
          <cell r="K150"/>
          <cell r="L150"/>
          <cell r="M150" t="str">
            <v/>
          </cell>
          <cell r="N150" t="str">
            <v>Non concerné</v>
          </cell>
          <cell r="O150" t="str">
            <v>Non concerné</v>
          </cell>
          <cell r="P150"/>
          <cell r="Q150"/>
          <cell r="R150"/>
          <cell r="S150" t="str">
            <v/>
          </cell>
        </row>
        <row r="151">
          <cell r="A151" t="str">
            <v>El136</v>
          </cell>
          <cell r="B151"/>
          <cell r="C151" t="str">
            <v>E</v>
          </cell>
          <cell r="D151" t="str">
            <v>Oui, le délai de modification/résiliation ou d'annulation du BDC est conforme à la règle des 8 jours</v>
          </cell>
          <cell r="E151"/>
          <cell r="F151" t="str">
            <v xml:space="preserve">Le délai de modification/résiliation ou d'annulation du BDC fournisseur est-il conforme à la règle des 8 jours </v>
          </cell>
          <cell r="G151" t="str">
            <v xml:space="preserve">Liste choix unique </v>
          </cell>
          <cell r="H151" t="str">
            <v>Oui, le délai de modification/résiliation ou d'annulation du BDC est conforme à la règle des 8 jours; Non, le délai de modification/résiliation ou d'annulation du BDC n'est pas conforme à la règle des 8 jours</v>
          </cell>
          <cell r="I151" t="str">
            <v>Oui, le délai de modification/résiliation ou d'annulation du BDC est conforme à la règle des 8 jours</v>
          </cell>
          <cell r="J151" t="str">
            <v>x</v>
          </cell>
          <cell r="K151"/>
          <cell r="L151"/>
          <cell r="M151" t="str">
            <v>Conforme au standard</v>
          </cell>
          <cell r="N151" t="str">
            <v>Non concerné</v>
          </cell>
          <cell r="O151" t="str">
            <v>Non concerné</v>
          </cell>
          <cell r="P151"/>
          <cell r="Q151"/>
          <cell r="R151"/>
          <cell r="S151" t="str">
            <v/>
          </cell>
        </row>
        <row r="152">
          <cell r="A152" t="str">
            <v>El136b</v>
          </cell>
          <cell r="B152"/>
          <cell r="C152" t="str">
            <v>Sp</v>
          </cell>
          <cell r="D152" t="str">
            <v/>
          </cell>
          <cell r="E152"/>
          <cell r="F152" t="str">
            <v>Et si non, quel est le délai</v>
          </cell>
          <cell r="G152" t="str">
            <v>Texte</v>
          </cell>
          <cell r="H152" t="str">
            <v>Champ libre</v>
          </cell>
          <cell r="I152" t="str">
            <v>Non concerné pour l'offre</v>
          </cell>
          <cell r="J152" t="str">
            <v/>
          </cell>
          <cell r="K152" t="str">
            <v>VRAI</v>
          </cell>
          <cell r="L152"/>
          <cell r="M152" t="str">
            <v>Spécifique Offre</v>
          </cell>
          <cell r="N152" t="str">
            <v>Non concerné</v>
          </cell>
          <cell r="O152" t="str">
            <v>Non concerné</v>
          </cell>
          <cell r="P152"/>
          <cell r="Q152"/>
          <cell r="R152"/>
          <cell r="S152" t="str">
            <v/>
          </cell>
        </row>
        <row r="153">
          <cell r="A153" t="str">
            <v>El138</v>
          </cell>
          <cell r="B153"/>
          <cell r="C153" t="str">
            <v>E</v>
          </cell>
          <cell r="D153" t="str">
            <v>Non, la règle d'annulation/modification ou annulation est conforme aux CGV</v>
          </cell>
          <cell r="E153"/>
          <cell r="F153" t="str">
            <v xml:space="preserve">En cas d’annulation/modification des bons de Commande client existe-t-il une dérogation aux CGV (=annulation le jour même)? 	</v>
          </cell>
          <cell r="G153" t="str">
            <v xml:space="preserve">Liste choix unique </v>
          </cell>
          <cell r="H153" t="str">
            <v>Oui, la règle d'annulation/modification ou annulation déroge aux CGV; Non,la règle d'annulation/modification ou annulation est conforme aux CGV</v>
          </cell>
          <cell r="I153" t="str">
            <v>Non, la règle d'annulation/modification ou annulation est conforme aux CGV</v>
          </cell>
          <cell r="J153" t="str">
            <v>x</v>
          </cell>
          <cell r="K153"/>
          <cell r="L153"/>
          <cell r="M153" t="str">
            <v>Conforme au standard</v>
          </cell>
          <cell r="N153" t="str">
            <v>Non concerné</v>
          </cell>
          <cell r="O153" t="str">
            <v>Non concerné</v>
          </cell>
          <cell r="P153"/>
          <cell r="Q153"/>
          <cell r="R153"/>
          <cell r="S153" t="str">
            <v/>
          </cell>
        </row>
        <row r="154">
          <cell r="A154" t="str">
            <v>El139</v>
          </cell>
          <cell r="B154"/>
          <cell r="C154" t="str">
            <v>Sp</v>
          </cell>
          <cell r="D154" t="str">
            <v/>
          </cell>
          <cell r="E154"/>
          <cell r="F154" t="str">
            <v>Si oui, Précisez les modalités particulières de modifications/annulations qui s'appliquent</v>
          </cell>
          <cell r="G154" t="str">
            <v>Texte</v>
          </cell>
          <cell r="H154" t="str">
            <v>Champ libre</v>
          </cell>
          <cell r="I154" t="str">
            <v>Non concerné pour l'offre</v>
          </cell>
          <cell r="J154" t="str">
            <v/>
          </cell>
          <cell r="K154" t="str">
            <v>VRAI</v>
          </cell>
          <cell r="L154"/>
          <cell r="M154" t="str">
            <v>Spécifique Offre</v>
          </cell>
          <cell r="N154" t="str">
            <v>Non concerné</v>
          </cell>
          <cell r="O154" t="str">
            <v>Non concerné</v>
          </cell>
          <cell r="P154"/>
          <cell r="Q154"/>
          <cell r="R154"/>
          <cell r="S154" t="str">
            <v/>
          </cell>
        </row>
        <row r="155">
          <cell r="A155" t="str">
            <v>ElT445</v>
          </cell>
          <cell r="B155"/>
          <cell r="C155" t="str">
            <v>Titre</v>
          </cell>
          <cell r="D155" t="str">
            <v/>
          </cell>
          <cell r="E155"/>
          <cell r="F155" t="str">
            <v>05.0 GARANTIE _SAV_MAINTENANCE</v>
          </cell>
          <cell r="G155"/>
          <cell r="H155"/>
          <cell r="I155" t="str">
            <v/>
          </cell>
          <cell r="J155" t="str">
            <v/>
          </cell>
          <cell r="K155"/>
          <cell r="L155"/>
          <cell r="M155" t="str">
            <v/>
          </cell>
          <cell r="N155" t="str">
            <v>Non concerné</v>
          </cell>
          <cell r="O155" t="str">
            <v>Non concerné</v>
          </cell>
          <cell r="P155"/>
          <cell r="Q155"/>
          <cell r="R155"/>
          <cell r="S155" t="str">
            <v/>
          </cell>
        </row>
        <row r="156">
          <cell r="A156" t="str">
            <v>El445</v>
          </cell>
          <cell r="B156"/>
          <cell r="C156" t="str">
            <v>U</v>
          </cell>
          <cell r="D156" t="str">
            <v>Non,ce chapitre est non applicable</v>
          </cell>
          <cell r="E156"/>
          <cell r="F156" t="str">
            <v xml:space="preserve">Ce chapitre est-il applicable </v>
          </cell>
          <cell r="G156" t="str">
            <v xml:space="preserve">Liste choix unique </v>
          </cell>
          <cell r="H156" t="str">
            <v>Oui, ce chapitre est applicable;Non,ce chapitre est non applicable</v>
          </cell>
          <cell r="I156" t="str">
            <v>Standard non applicable pour cette offre au regard des réponses précédentes apportées</v>
          </cell>
          <cell r="J156" t="str">
            <v>x</v>
          </cell>
          <cell r="K156" t="str">
            <v>VRAI</v>
          </cell>
          <cell r="L156"/>
          <cell r="M156" t="str">
            <v>Non concerné</v>
          </cell>
          <cell r="N156" t="str">
            <v>Non concerné</v>
          </cell>
          <cell r="O156" t="str">
            <v>Non concerné</v>
          </cell>
          <cell r="P156"/>
          <cell r="Q156"/>
          <cell r="R156"/>
          <cell r="S156" t="str">
            <v/>
          </cell>
        </row>
        <row r="157">
          <cell r="A157" t="str">
            <v>ElTT446</v>
          </cell>
          <cell r="B157"/>
          <cell r="C157" t="str">
            <v>Titre</v>
          </cell>
          <cell r="D157" t="str">
            <v/>
          </cell>
          <cell r="E157"/>
          <cell r="F157" t="str">
            <v>05.1 Garantie contractuelle de base</v>
          </cell>
          <cell r="G157"/>
          <cell r="H157"/>
          <cell r="I157" t="str">
            <v>Non concerné pour l'offre</v>
          </cell>
          <cell r="J157" t="str">
            <v/>
          </cell>
          <cell r="K157" t="str">
            <v>VRAI</v>
          </cell>
          <cell r="L157"/>
          <cell r="M157" t="str">
            <v/>
          </cell>
          <cell r="N157" t="str">
            <v>Non concerné</v>
          </cell>
          <cell r="O157" t="str">
            <v>Non concerné</v>
          </cell>
          <cell r="P157"/>
          <cell r="Q157"/>
          <cell r="R157"/>
          <cell r="S157" t="str">
            <v/>
          </cell>
        </row>
        <row r="158">
          <cell r="A158" t="str">
            <v>El177</v>
          </cell>
          <cell r="B158"/>
          <cell r="C158" t="str">
            <v>U</v>
          </cell>
          <cell r="D158" t="str">
            <v>Oui, Garantie de bon fonctionnement du logiciel</v>
          </cell>
          <cell r="E158"/>
          <cell r="F158" t="str">
            <v>Une garantie commerciale contractuelle ou une garantie de bon fonctionnement en cas de logiciel est-elle en place et applicable pour l'ensemble des lots ?</v>
          </cell>
          <cell r="G158" t="str">
            <v xml:space="preserve">Liste choix unique </v>
          </cell>
          <cell r="H158" t="str">
            <v>Oui, Garantie commerciale contractuelle applicable; Non, absence de garantie commerciale contractuelle ; Oui, Garantie de bon fonctionnement du logiciel ; Non, absence de garantie de bon fonctionnement du logiciel</v>
          </cell>
          <cell r="I158" t="str">
            <v>Standard non applicable pour cette offre au regard des réponses précédentes apportées</v>
          </cell>
          <cell r="J158" t="str">
            <v>x</v>
          </cell>
          <cell r="K158" t="str">
            <v>VRAI</v>
          </cell>
          <cell r="L158"/>
          <cell r="M158" t="str">
            <v>Non concerné</v>
          </cell>
          <cell r="N158" t="str">
            <v>Non concerné</v>
          </cell>
          <cell r="O158" t="str">
            <v>Non concerné</v>
          </cell>
          <cell r="P158"/>
          <cell r="Q158"/>
          <cell r="R158"/>
          <cell r="S158" t="str">
            <v/>
          </cell>
        </row>
        <row r="159">
          <cell r="A159" t="str">
            <v>El488</v>
          </cell>
          <cell r="B159"/>
          <cell r="C159" t="str">
            <v>E</v>
          </cell>
          <cell r="D159" t="str">
            <v>Oui, durée standard applicable</v>
          </cell>
          <cell r="E159"/>
          <cell r="F159" t="str">
            <v>Si oui, préciser si les durées sont conformes au standard (≤ 2 ans pour les produits neufs et ≤ 1 an pour les produits reconditionnés)</v>
          </cell>
          <cell r="G159" t="str">
            <v xml:space="preserve">Liste choix unique </v>
          </cell>
          <cell r="H159" t="str">
            <v>oui, durée standard applicable ; non, durée spécifique applicable</v>
          </cell>
          <cell r="I159" t="str">
            <v>Oui, durée standard applicable</v>
          </cell>
          <cell r="J159" t="str">
            <v>x</v>
          </cell>
          <cell r="K159"/>
          <cell r="L159"/>
          <cell r="M159" t="str">
            <v>Conforme au standard</v>
          </cell>
          <cell r="N159" t="str">
            <v>Non concerné</v>
          </cell>
          <cell r="O159" t="str">
            <v>Non concerné</v>
          </cell>
          <cell r="P159"/>
          <cell r="Q159"/>
          <cell r="R159"/>
          <cell r="S159" t="str">
            <v/>
          </cell>
        </row>
        <row r="160">
          <cell r="A160" t="str">
            <v>El178</v>
          </cell>
          <cell r="B160"/>
          <cell r="C160" t="str">
            <v>Sp</v>
          </cell>
          <cell r="D160" t="str">
            <v/>
          </cell>
          <cell r="E160"/>
          <cell r="F160" t="str">
            <v>Si non, préciser les durées applicabes</v>
          </cell>
          <cell r="G160" t="str">
            <v>Texte</v>
          </cell>
          <cell r="H160" t="str">
            <v>Champ libre</v>
          </cell>
          <cell r="I160" t="str">
            <v>Non concerné pour l'offre</v>
          </cell>
          <cell r="J160" t="str">
            <v/>
          </cell>
          <cell r="K160" t="str">
            <v>VRAI</v>
          </cell>
          <cell r="L160"/>
          <cell r="M160" t="str">
            <v>Spécifique Offre</v>
          </cell>
          <cell r="N160" t="str">
            <v>Non concerné</v>
          </cell>
          <cell r="O160" t="str">
            <v>Non concerné</v>
          </cell>
          <cell r="P160"/>
          <cell r="Q160"/>
          <cell r="R160"/>
          <cell r="S160" t="str">
            <v/>
          </cell>
        </row>
        <row r="161">
          <cell r="A161" t="str">
            <v>El179</v>
          </cell>
          <cell r="B161"/>
          <cell r="C161" t="str">
            <v>U</v>
          </cell>
          <cell r="D161" t="str">
            <v>Titulaire;Constructeur</v>
          </cell>
          <cell r="E161"/>
          <cell r="F161" t="str">
            <v xml:space="preserve">Si oui, préciser par qui elle est assurée </v>
          </cell>
          <cell r="G161" t="str">
            <v>Liste choix multiple</v>
          </cell>
          <cell r="H161" t="str">
            <v>Titulaire/Constructeur/Tiers</v>
          </cell>
          <cell r="I161" t="str">
            <v>Titulaire;Constructeur</v>
          </cell>
          <cell r="J161" t="str">
            <v/>
          </cell>
          <cell r="K161"/>
          <cell r="L161"/>
          <cell r="M161" t="str">
            <v>Conforme au standard</v>
          </cell>
          <cell r="N161" t="str">
            <v>Non concerné</v>
          </cell>
          <cell r="O161" t="str">
            <v>Non concerné</v>
          </cell>
          <cell r="P161"/>
          <cell r="Q161"/>
          <cell r="R161"/>
          <cell r="S161" t="str">
            <v>=</v>
          </cell>
        </row>
        <row r="162">
          <cell r="A162" t="str">
            <v>El180a</v>
          </cell>
          <cell r="B162"/>
          <cell r="C162" t="str">
            <v>Sp</v>
          </cell>
          <cell r="D162" t="str">
            <v/>
          </cell>
          <cell r="E162"/>
          <cell r="F162" t="str">
            <v>Le détail de la garantie est-il commun à l'ensemble des lots de la procédure</v>
          </cell>
          <cell r="G162" t="str">
            <v xml:space="preserve">Liste choix unique </v>
          </cell>
          <cell r="H162" t="str">
            <v>Oui, le détail de la garantie est commun à l'ensemble des lots;Non, le détail de la garantie varie selon  les lots</v>
          </cell>
          <cell r="I162" t="str">
            <v>Non concerné pour l'offre</v>
          </cell>
          <cell r="J162" t="str">
            <v>x</v>
          </cell>
          <cell r="K162" t="str">
            <v>VRAI</v>
          </cell>
          <cell r="L162"/>
          <cell r="M162" t="str">
            <v>Spécifique Offre</v>
          </cell>
          <cell r="N162" t="str">
            <v>Non concerné</v>
          </cell>
          <cell r="O162" t="str">
            <v>Non concerné</v>
          </cell>
          <cell r="P162"/>
          <cell r="Q162"/>
          <cell r="R162"/>
          <cell r="S162" t="str">
            <v/>
          </cell>
        </row>
        <row r="163">
          <cell r="A163" t="str">
            <v>El180</v>
          </cell>
          <cell r="B163"/>
          <cell r="C163" t="str">
            <v>Sp</v>
          </cell>
          <cell r="D163" t="str">
            <v/>
          </cell>
          <cell r="E163"/>
          <cell r="F163" t="str">
            <v>Si oui, préciser le détail de la garantie</v>
          </cell>
          <cell r="G163" t="str">
            <v>Texte</v>
          </cell>
          <cell r="H163" t="str">
            <v>Champ libre</v>
          </cell>
          <cell r="I163" t="str">
            <v>Non concerné pour l'offre</v>
          </cell>
          <cell r="J163" t="str">
            <v>x</v>
          </cell>
          <cell r="K163" t="str">
            <v>VRAI</v>
          </cell>
          <cell r="L163"/>
          <cell r="M163" t="str">
            <v>Spécifique Offre</v>
          </cell>
          <cell r="N163" t="str">
            <v>Non concerné</v>
          </cell>
          <cell r="O163" t="str">
            <v>Non concerné</v>
          </cell>
          <cell r="P163"/>
          <cell r="Q163"/>
          <cell r="R163"/>
          <cell r="S163" t="str">
            <v/>
          </cell>
        </row>
        <row r="164">
          <cell r="A164" t="str">
            <v>El181</v>
          </cell>
          <cell r="B164"/>
          <cell r="C164" t="str">
            <v>Sp</v>
          </cell>
          <cell r="D164" t="str">
            <v/>
          </cell>
          <cell r="E164"/>
          <cell r="F164" t="str">
            <v xml:space="preserve">Si non, préciser pour chaque lot la durée de cette garantie, les conditions de garantie </v>
          </cell>
          <cell r="G164" t="str">
            <v>Annexe 10 - Détail lots</v>
          </cell>
          <cell r="H164" t="str">
            <v>Annexe 10 - Détail_Lots</v>
          </cell>
          <cell r="I164" t="str">
            <v>10 - Détail lots</v>
          </cell>
          <cell r="J164" t="str">
            <v/>
          </cell>
          <cell r="K164" t="str">
            <v>VRAI</v>
          </cell>
          <cell r="L164"/>
          <cell r="M164" t="str">
            <v>Spécifique Offre</v>
          </cell>
          <cell r="N164" t="str">
            <v>Identique</v>
          </cell>
          <cell r="O164" t="str">
            <v>Non concerné</v>
          </cell>
          <cell r="P164"/>
          <cell r="Q164"/>
          <cell r="R164"/>
          <cell r="S164" t="str">
            <v/>
          </cell>
        </row>
        <row r="165">
          <cell r="A165" t="str">
            <v>El181b</v>
          </cell>
          <cell r="B165"/>
          <cell r="C165" t="str">
            <v>U</v>
          </cell>
          <cell r="D165" t="str">
            <v>à distance (logiciel)</v>
          </cell>
          <cell r="E165"/>
          <cell r="F165" t="str">
            <v xml:space="preserve">Quelles sont les conditions de garantie ? </v>
          </cell>
          <cell r="G165" t="str">
            <v>Liste choix multiple</v>
          </cell>
          <cell r="H165" t="str">
            <v>Sur site client ;Sur les lieux d'utilisation du matériel; Sur site bénéficiaire;Sur site ou en retour atelier (frais logistiques A/R à la charge du titulaire), chez le titulaire ou tiers (agent, concessionnaire, distributeur…), à distance (logiciel)</v>
          </cell>
          <cell r="I165" t="str">
            <v>Standard non applicable pour cette offre au regard des réponses précédentes apportées</v>
          </cell>
          <cell r="J165" t="str">
            <v/>
          </cell>
          <cell r="K165" t="str">
            <v>VRAI</v>
          </cell>
          <cell r="L165"/>
          <cell r="M165" t="str">
            <v>Non concerné</v>
          </cell>
          <cell r="N165" t="str">
            <v>Non concerné</v>
          </cell>
          <cell r="O165" t="str">
            <v>Non concerné</v>
          </cell>
          <cell r="P165"/>
          <cell r="Q165"/>
          <cell r="R165"/>
          <cell r="S165" t="str">
            <v>=</v>
          </cell>
        </row>
        <row r="166">
          <cell r="A166" t="str">
            <v>El182</v>
          </cell>
          <cell r="B166"/>
          <cell r="C166" t="str">
            <v>Sp</v>
          </cell>
          <cell r="D166" t="str">
            <v/>
          </cell>
          <cell r="E166"/>
          <cell r="F166" t="str">
            <v>Sous quel délai minimal le titulaire doit assurer la résolution du SAV (hors refabrication complète du matériel)</v>
          </cell>
          <cell r="G166" t="str">
            <v>Liste choix multiple</v>
          </cell>
          <cell r="H166" t="str">
            <v>Sous un délai de résolution fixé à 21 jours;Sous un délai de résolution fixé à 30 jours;Différent de 30 jours</v>
          </cell>
          <cell r="I166" t="str">
            <v>Non concerné pour l'offre</v>
          </cell>
          <cell r="J166" t="str">
            <v>x</v>
          </cell>
          <cell r="K166" t="str">
            <v>VRAI</v>
          </cell>
          <cell r="L166"/>
          <cell r="M166" t="str">
            <v>Spécifique Offre</v>
          </cell>
          <cell r="N166" t="str">
            <v>Non concerné</v>
          </cell>
          <cell r="O166" t="str">
            <v>Non concerné</v>
          </cell>
          <cell r="P166"/>
          <cell r="Q166"/>
          <cell r="R166"/>
          <cell r="S166" t="str">
            <v/>
          </cell>
        </row>
        <row r="167">
          <cell r="A167" t="str">
            <v>El182b</v>
          </cell>
          <cell r="B167"/>
          <cell r="C167" t="str">
            <v>Sp</v>
          </cell>
          <cell r="D167" t="str">
            <v/>
          </cell>
          <cell r="E167"/>
          <cell r="F167" t="str">
            <v>Si délai minimal du titulaire pour assurer la résolution du SAV est non conforme au standard, préciser le délai applicable</v>
          </cell>
          <cell r="G167" t="str">
            <v>Texte</v>
          </cell>
          <cell r="H167" t="str">
            <v>Champ libre</v>
          </cell>
          <cell r="I167" t="str">
            <v>Non concerné pour l'offre</v>
          </cell>
          <cell r="J167" t="str">
            <v/>
          </cell>
          <cell r="K167" t="str">
            <v>VRAI</v>
          </cell>
          <cell r="L167"/>
          <cell r="M167" t="str">
            <v>Spécifique Offre</v>
          </cell>
          <cell r="N167" t="str">
            <v>Non concerné</v>
          </cell>
          <cell r="O167" t="str">
            <v>Non concerné</v>
          </cell>
          <cell r="P167"/>
          <cell r="Q167"/>
          <cell r="R167"/>
          <cell r="S167" t="str">
            <v/>
          </cell>
        </row>
        <row r="168">
          <cell r="A168" t="str">
            <v>ElTT447</v>
          </cell>
          <cell r="B168"/>
          <cell r="C168" t="str">
            <v>Titre</v>
          </cell>
          <cell r="D168" t="str">
            <v/>
          </cell>
          <cell r="E168"/>
          <cell r="F168" t="str">
            <v>05.2 Etendue de la garantie</v>
          </cell>
          <cell r="G168"/>
          <cell r="H168"/>
          <cell r="I168" t="str">
            <v>Non concerné pour l'offre</v>
          </cell>
          <cell r="J168" t="str">
            <v/>
          </cell>
          <cell r="K168" t="str">
            <v>VRAI</v>
          </cell>
          <cell r="L168"/>
          <cell r="M168" t="str">
            <v/>
          </cell>
          <cell r="N168" t="str">
            <v>Non concerné</v>
          </cell>
          <cell r="O168" t="str">
            <v>Non concerné</v>
          </cell>
          <cell r="P168"/>
          <cell r="Q168"/>
          <cell r="R168"/>
          <cell r="S168" t="str">
            <v/>
          </cell>
        </row>
        <row r="169">
          <cell r="A169" t="str">
            <v>El189</v>
          </cell>
          <cell r="B169"/>
          <cell r="C169" t="str">
            <v>E</v>
          </cell>
          <cell r="D169" t="str">
            <v>Oui, délai de prise en charge du SAV par le titulaire conforme au standard (48h en France Continentale et Corse / 72h pour DROM COM)</v>
          </cell>
          <cell r="E169"/>
          <cell r="F169" t="str">
            <v>Dans le cadre de la garantie le délai de prise en charge du SAV par le titulaire est-il conforme au standard (48h en France Continentale et Corse / 72h pour DROM COM)</v>
          </cell>
          <cell r="G169" t="str">
            <v xml:space="preserve">Liste choix unique </v>
          </cell>
          <cell r="H169" t="str">
            <v>Oui, délai de prise en charge du SAV par le titulaire conforme au standard (48h en France Continentale et Corse / 72h pour DROM COM);Non, délai de prise en charge dy SAV par le titulaire dérogatoire au standard</v>
          </cell>
          <cell r="I169" t="str">
            <v>Standard non applicable pour cette offre au regard des réponses précédentes apportées</v>
          </cell>
          <cell r="J169" t="str">
            <v>x</v>
          </cell>
          <cell r="K169" t="str">
            <v>VRAI</v>
          </cell>
          <cell r="L169"/>
          <cell r="M169" t="str">
            <v>Non concerné</v>
          </cell>
          <cell r="N169" t="str">
            <v>Non concerné</v>
          </cell>
          <cell r="O169" t="str">
            <v>Non concerné</v>
          </cell>
          <cell r="P169"/>
          <cell r="Q169"/>
          <cell r="R169"/>
          <cell r="S169" t="str">
            <v/>
          </cell>
        </row>
        <row r="170">
          <cell r="A170" t="str">
            <v>El190</v>
          </cell>
          <cell r="B170"/>
          <cell r="C170" t="str">
            <v>Sp</v>
          </cell>
          <cell r="D170" t="str">
            <v/>
          </cell>
          <cell r="E170"/>
          <cell r="F170" t="str">
            <v xml:space="preserve">Si non, préciser le(s) délai(s) </v>
          </cell>
          <cell r="G170" t="str">
            <v>Texte</v>
          </cell>
          <cell r="H170" t="str">
            <v>Champ libre</v>
          </cell>
          <cell r="I170" t="str">
            <v>Non concerné pour l'offre</v>
          </cell>
          <cell r="J170" t="str">
            <v/>
          </cell>
          <cell r="K170" t="str">
            <v>VRAI</v>
          </cell>
          <cell r="L170"/>
          <cell r="M170" t="str">
            <v>Spécifique Offre</v>
          </cell>
          <cell r="N170" t="str">
            <v>Non concerné</v>
          </cell>
          <cell r="O170" t="str">
            <v>Non concerné</v>
          </cell>
          <cell r="P170"/>
          <cell r="Q170"/>
          <cell r="R170"/>
          <cell r="S170" t="str">
            <v/>
          </cell>
        </row>
        <row r="171">
          <cell r="A171" t="str">
            <v>El192</v>
          </cell>
          <cell r="B171"/>
          <cell r="C171" t="str">
            <v>U</v>
          </cell>
          <cell r="D171" t="str">
            <v>Non, Absence d'une Garantie en Temps de Rétablissement (GTR)</v>
          </cell>
          <cell r="E171"/>
          <cell r="F171" t="str">
            <v>Existe t'il une Garantie en Temps de rétablissement (GTR)</v>
          </cell>
          <cell r="G171" t="str">
            <v xml:space="preserve">Liste choix unique </v>
          </cell>
          <cell r="H171" t="str">
            <v>Non, Absence d'une Garantie en Temps de Rétablissement (GTR);Oui, Existence d'une garantie en Temps de Rétablissement</v>
          </cell>
          <cell r="I171" t="str">
            <v>Standard non applicable pour cette offre au regard des réponses précédentes apportées</v>
          </cell>
          <cell r="J171" t="str">
            <v/>
          </cell>
          <cell r="K171" t="str">
            <v>VRAI</v>
          </cell>
          <cell r="L171"/>
          <cell r="M171" t="str">
            <v>Non concerné</v>
          </cell>
          <cell r="N171" t="str">
            <v>Non concerné</v>
          </cell>
          <cell r="O171" t="str">
            <v>Non concerné</v>
          </cell>
          <cell r="P171"/>
          <cell r="Q171"/>
          <cell r="R171"/>
          <cell r="S171" t="str">
            <v/>
          </cell>
        </row>
        <row r="172">
          <cell r="A172" t="str">
            <v>El191</v>
          </cell>
          <cell r="B172"/>
          <cell r="C172" t="str">
            <v>D</v>
          </cell>
          <cell r="D172" t="str">
            <v>Non, Absence de produits en stock</v>
          </cell>
          <cell r="E172"/>
          <cell r="F172" t="str">
            <v>Y-a t'il des produits en stock</v>
          </cell>
          <cell r="G172" t="str">
            <v xml:space="preserve">Liste choix unique </v>
          </cell>
          <cell r="H172" t="str">
            <v>Non, Absence de produits en stock; Oui, Existence de produits en stock</v>
          </cell>
          <cell r="I172" t="str">
            <v>Standard non applicable pour cette offre au regard des réponses précédentes apportées</v>
          </cell>
          <cell r="J172" t="str">
            <v/>
          </cell>
          <cell r="K172" t="str">
            <v>VRAI</v>
          </cell>
          <cell r="L172"/>
          <cell r="M172" t="str">
            <v>Non concerné</v>
          </cell>
          <cell r="N172" t="str">
            <v>Non concerné</v>
          </cell>
          <cell r="O172" t="str">
            <v>Non concerné</v>
          </cell>
          <cell r="P172"/>
          <cell r="Q172"/>
          <cell r="R172"/>
          <cell r="S172" t="str">
            <v/>
          </cell>
        </row>
        <row r="173">
          <cell r="A173" t="str">
            <v>El183</v>
          </cell>
          <cell r="B173"/>
          <cell r="C173" t="str">
            <v>U</v>
          </cell>
          <cell r="D173" t="str">
            <v>Non concerné pour la direction/univers</v>
          </cell>
          <cell r="E173"/>
          <cell r="F173" t="str">
            <v>Une fiche SAV est-elle exigée ?</v>
          </cell>
          <cell r="G173" t="str">
            <v xml:space="preserve">Liste choix unique </v>
          </cell>
          <cell r="H173" t="str">
            <v>Oui, Fiche SAV exigée;Non, Fiche SAV non exigée</v>
          </cell>
          <cell r="I173" t="str">
            <v>Non concerné pour la direction/univers</v>
          </cell>
          <cell r="J173" t="str">
            <v/>
          </cell>
          <cell r="K173" t="str">
            <v>VRAI</v>
          </cell>
          <cell r="L173"/>
          <cell r="M173" t="str">
            <v>Non concerné</v>
          </cell>
          <cell r="N173" t="str">
            <v>Non concerné</v>
          </cell>
          <cell r="O173" t="str">
            <v>Non concerné</v>
          </cell>
          <cell r="P173"/>
          <cell r="Q173"/>
          <cell r="R173"/>
          <cell r="S173" t="str">
            <v/>
          </cell>
        </row>
        <row r="174">
          <cell r="A174" t="str">
            <v>El183l</v>
          </cell>
          <cell r="B174"/>
          <cell r="C174" t="str">
            <v>Sp</v>
          </cell>
          <cell r="D174" t="str">
            <v/>
          </cell>
          <cell r="E174"/>
          <cell r="F174" t="str">
            <v>Y-a-t-il une garantie minimum de base du véhicule complet hors batterie ?</v>
          </cell>
          <cell r="G174" t="str">
            <v xml:space="preserve">Liste choix unique </v>
          </cell>
          <cell r="H174" t="str">
            <v>Non, absence de garantie minimum de base du véhicule complet hors batterie; Oui, existence d'une garantie minimum de base du véhicule complet hors batterie</v>
          </cell>
          <cell r="I174" t="str">
            <v>Non concerné pour l'offre</v>
          </cell>
          <cell r="J174" t="str">
            <v>x</v>
          </cell>
          <cell r="K174" t="str">
            <v>VRAI</v>
          </cell>
          <cell r="L174"/>
          <cell r="M174" t="str">
            <v>Spécifique Offre</v>
          </cell>
          <cell r="N174" t="str">
            <v>Non concerné</v>
          </cell>
          <cell r="O174" t="str">
            <v>Non concerné</v>
          </cell>
          <cell r="P174"/>
          <cell r="Q174"/>
          <cell r="R174"/>
          <cell r="S174" t="str">
            <v/>
          </cell>
        </row>
        <row r="175">
          <cell r="A175" t="str">
            <v>El183m</v>
          </cell>
          <cell r="B175"/>
          <cell r="C175" t="str">
            <v>Sp</v>
          </cell>
          <cell r="D175" t="str">
            <v/>
          </cell>
          <cell r="E175"/>
          <cell r="F175" t="str">
            <v>Si oui, quelle est la durée de garantie minimum de base du véhicule complet hors batterie ?</v>
          </cell>
          <cell r="G175" t="str">
            <v>Annexe 10 - Détail lots</v>
          </cell>
          <cell r="H175" t="str">
            <v>Annexe 10 - Détail_Lots</v>
          </cell>
          <cell r="I175" t="str">
            <v>10 - Détail lots</v>
          </cell>
          <cell r="J175" t="str">
            <v/>
          </cell>
          <cell r="K175" t="str">
            <v>VRAI</v>
          </cell>
          <cell r="L175"/>
          <cell r="M175" t="str">
            <v>Spécifique Offre</v>
          </cell>
          <cell r="N175" t="str">
            <v>Identique</v>
          </cell>
          <cell r="O175" t="str">
            <v>Non concerné</v>
          </cell>
          <cell r="P175"/>
          <cell r="Q175"/>
          <cell r="R175"/>
          <cell r="S175" t="str">
            <v/>
          </cell>
        </row>
        <row r="176">
          <cell r="A176" t="str">
            <v>El183b</v>
          </cell>
          <cell r="B176"/>
          <cell r="C176" t="str">
            <v>D</v>
          </cell>
          <cell r="D176" t="str">
            <v>Non concerné pour la direction/univers</v>
          </cell>
          <cell r="E176"/>
          <cell r="F176" t="str">
            <v>Y-a-t-il une garantie de disponibilité du véhicule pour chaque véhicule immobilisé à cause d’une défaillance prise en charge au titre de la garantie ?</v>
          </cell>
          <cell r="G176" t="str">
            <v xml:space="preserve">Liste choix unique </v>
          </cell>
          <cell r="H176" t="str">
            <v>Non, absence de garantie de disponibilité;Oui, existence d'une garantie de disponibilité</v>
          </cell>
          <cell r="I176" t="str">
            <v>Non concerné pour la direction/univers</v>
          </cell>
          <cell r="J176" t="str">
            <v>x</v>
          </cell>
          <cell r="K176" t="str">
            <v>VRAI</v>
          </cell>
          <cell r="L176"/>
          <cell r="M176" t="str">
            <v>Non concerné</v>
          </cell>
          <cell r="N176" t="str">
            <v>Non concerné</v>
          </cell>
          <cell r="O176" t="str">
            <v>Non concerné</v>
          </cell>
          <cell r="P176"/>
          <cell r="Q176"/>
          <cell r="R176"/>
          <cell r="S176" t="str">
            <v/>
          </cell>
        </row>
        <row r="177">
          <cell r="A177" t="str">
            <v>El183k</v>
          </cell>
          <cell r="B177"/>
          <cell r="C177" t="str">
            <v>D</v>
          </cell>
          <cell r="D177" t="str">
            <v>Non concerné pour la direction/univers</v>
          </cell>
          <cell r="E177"/>
          <cell r="F177" t="str">
            <v>Si oui, quelle est la durée maximum de jours d’immobilisation du véhicule par année ? (adapter et multiplier selon le nombre de lots)</v>
          </cell>
          <cell r="G177" t="str">
            <v>Annexe 10 - Détail lots</v>
          </cell>
          <cell r="H177" t="str">
            <v>Annexe 10 - Détail_Lots</v>
          </cell>
          <cell r="I177" t="str">
            <v>10 - Détail lots</v>
          </cell>
          <cell r="J177" t="str">
            <v/>
          </cell>
          <cell r="K177" t="str">
            <v>VRAI</v>
          </cell>
          <cell r="L177"/>
          <cell r="M177" t="str">
            <v>Non concerné</v>
          </cell>
          <cell r="N177" t="str">
            <v>Non concerné</v>
          </cell>
          <cell r="O177" t="str">
            <v>Non concerné</v>
          </cell>
          <cell r="P177"/>
          <cell r="Q177"/>
          <cell r="R177"/>
          <cell r="S177" t="str">
            <v/>
          </cell>
        </row>
        <row r="178">
          <cell r="A178" t="str">
            <v>El183e</v>
          </cell>
          <cell r="B178"/>
          <cell r="C178" t="str">
            <v>D</v>
          </cell>
          <cell r="D178" t="str">
            <v>Non concerné pour la direction/univers</v>
          </cell>
          <cell r="E178"/>
          <cell r="F178" t="str">
            <v>Y-a-t-il une garantie de base d'autonomie de l'ensemble batterie ?</v>
          </cell>
          <cell r="G178" t="str">
            <v xml:space="preserve">Liste choix unique </v>
          </cell>
          <cell r="H178" t="str">
            <v>Oui, Existence d'une garantie autonomie de l'ensemble batterie; Non, Absence de garantie autonomie de l'ensemble batterie</v>
          </cell>
          <cell r="I178" t="str">
            <v>Non concerné pour la direction/univers</v>
          </cell>
          <cell r="J178" t="str">
            <v>x</v>
          </cell>
          <cell r="K178" t="str">
            <v>VRAI</v>
          </cell>
          <cell r="L178"/>
          <cell r="M178" t="str">
            <v>Non concerné</v>
          </cell>
          <cell r="N178" t="str">
            <v>Non concerné</v>
          </cell>
          <cell r="O178" t="str">
            <v>Non concerné</v>
          </cell>
          <cell r="P178"/>
          <cell r="Q178"/>
          <cell r="R178"/>
          <cell r="S178" t="str">
            <v/>
          </cell>
        </row>
        <row r="179">
          <cell r="A179" t="str">
            <v>El183f</v>
          </cell>
          <cell r="B179"/>
          <cell r="C179" t="str">
            <v>D</v>
          </cell>
          <cell r="D179" t="str">
            <v>Non concerné pour la direction/univers</v>
          </cell>
          <cell r="E179"/>
          <cell r="F179" t="str">
            <v>Si oui, quelle est la durée de garantie d'autonomie minimum de base (80% de la charge initiale de l'ensemble batterie)? (adapter et multiplier selon le nombre de lots)</v>
          </cell>
          <cell r="G179" t="str">
            <v>Annexe 10 - Détail lots</v>
          </cell>
          <cell r="H179" t="str">
            <v>Annexe 10 - Détail_Lots</v>
          </cell>
          <cell r="I179" t="str">
            <v>10 - Détail lots</v>
          </cell>
          <cell r="J179" t="str">
            <v/>
          </cell>
          <cell r="K179" t="str">
            <v>VRAI</v>
          </cell>
          <cell r="L179"/>
          <cell r="M179" t="str">
            <v>Non concerné</v>
          </cell>
          <cell r="N179" t="str">
            <v>Non concerné</v>
          </cell>
          <cell r="O179" t="str">
            <v>Non concerné</v>
          </cell>
          <cell r="P179"/>
          <cell r="Q179"/>
          <cell r="R179"/>
          <cell r="S179" t="str">
            <v/>
          </cell>
        </row>
        <row r="180">
          <cell r="A180" t="str">
            <v>El183g</v>
          </cell>
          <cell r="B180"/>
          <cell r="C180" t="str">
            <v>D</v>
          </cell>
          <cell r="D180" t="str">
            <v>Non concerné pour la direction/univers</v>
          </cell>
          <cell r="E180"/>
          <cell r="F180" t="str">
            <v>Y-a-t-il une garantie contractuelle anticorrosion ?</v>
          </cell>
          <cell r="G180" t="str">
            <v xml:space="preserve">Liste choix unique </v>
          </cell>
          <cell r="H180" t="str">
            <v>Oui, Existence d'une garantie contractuelle anticorrosion; Non, Absence de garantie contractuelle anticorrosion</v>
          </cell>
          <cell r="I180" t="str">
            <v>Non concerné pour la direction/univers</v>
          </cell>
          <cell r="J180" t="str">
            <v>x</v>
          </cell>
          <cell r="K180" t="str">
            <v>VRAI</v>
          </cell>
          <cell r="L180"/>
          <cell r="M180" t="str">
            <v>Non concerné</v>
          </cell>
          <cell r="N180" t="str">
            <v>Non concerné</v>
          </cell>
          <cell r="O180" t="str">
            <v>Non concerné</v>
          </cell>
          <cell r="P180"/>
          <cell r="Q180"/>
          <cell r="R180"/>
          <cell r="S180" t="str">
            <v/>
          </cell>
        </row>
        <row r="181">
          <cell r="A181" t="str">
            <v>El183h</v>
          </cell>
          <cell r="B181"/>
          <cell r="C181" t="str">
            <v>D</v>
          </cell>
          <cell r="D181" t="str">
            <v>Non concerné pour la direction/univers</v>
          </cell>
          <cell r="E181"/>
          <cell r="F181" t="str">
            <v>Si oui, quelle est la durée garantie minimum de base (en mois/ année/ km) ? (adapter et multiplier selon le nombre de lots)</v>
          </cell>
          <cell r="G181" t="str">
            <v>Annexe 10 - Détail lots</v>
          </cell>
          <cell r="H181" t="str">
            <v>Annexe 10 - Détail_Lots</v>
          </cell>
          <cell r="I181" t="str">
            <v>10 - Détail lots</v>
          </cell>
          <cell r="J181" t="str">
            <v/>
          </cell>
          <cell r="K181" t="str">
            <v>VRAI</v>
          </cell>
          <cell r="L181"/>
          <cell r="M181" t="str">
            <v>Non concerné</v>
          </cell>
          <cell r="N181" t="str">
            <v>Non concerné</v>
          </cell>
          <cell r="O181" t="str">
            <v>Non concerné</v>
          </cell>
          <cell r="P181"/>
          <cell r="Q181"/>
          <cell r="R181"/>
          <cell r="S181" t="str">
            <v/>
          </cell>
        </row>
        <row r="182">
          <cell r="A182" t="str">
            <v>El183i</v>
          </cell>
          <cell r="B182"/>
          <cell r="C182" t="str">
            <v>D</v>
          </cell>
          <cell r="D182" t="str">
            <v>Oui, Fourniture par le titulaire de pièces détachées</v>
          </cell>
          <cell r="E182"/>
          <cell r="F182" t="str">
            <v xml:space="preserve">Le titulaire est-il tenu de fournir les pièces détachées nécessaires à la réparation du matériel ? </v>
          </cell>
          <cell r="G182" t="str">
            <v xml:space="preserve">Liste choix unique </v>
          </cell>
          <cell r="H182" t="str">
            <v>Oui, Fourniture par le titulaire de pièces détachées;Non, Absence de fourniture de pièces détachées par le titulaire</v>
          </cell>
          <cell r="I182" t="str">
            <v>Standard non applicable pour cette offre au regard des réponses précédentes apportées</v>
          </cell>
          <cell r="J182" t="str">
            <v>x</v>
          </cell>
          <cell r="K182" t="str">
            <v>VRAI</v>
          </cell>
          <cell r="L182"/>
          <cell r="M182" t="str">
            <v>Non concerné</v>
          </cell>
          <cell r="N182" t="str">
            <v>Non concerné</v>
          </cell>
          <cell r="O182" t="str">
            <v>Non concerné</v>
          </cell>
          <cell r="P182"/>
          <cell r="Q182"/>
          <cell r="R182"/>
          <cell r="S182" t="str">
            <v/>
          </cell>
        </row>
        <row r="183">
          <cell r="A183" t="str">
            <v>El183j</v>
          </cell>
          <cell r="B183"/>
          <cell r="C183" t="str">
            <v>Sp</v>
          </cell>
          <cell r="D183" t="str">
            <v/>
          </cell>
          <cell r="E183"/>
          <cell r="F183" t="str">
            <v xml:space="preserve">Si oui, quel est le délai correspondant après la fin de la fabrication du dernier matériel  ?  </v>
          </cell>
          <cell r="G183" t="str">
            <v xml:space="preserve">Liste choix unique </v>
          </cell>
          <cell r="H183" t="str">
            <v>5 ans; 10 ans; autre;Non concerné pour l'offre</v>
          </cell>
          <cell r="I183" t="str">
            <v/>
          </cell>
          <cell r="J183" t="str">
            <v>x</v>
          </cell>
          <cell r="K183"/>
          <cell r="L183"/>
          <cell r="M183" t="str">
            <v>Renseigner la réponse DCO</v>
          </cell>
          <cell r="N183" t="str">
            <v>Non concerné</v>
          </cell>
          <cell r="O183" t="str">
            <v>Non concerné</v>
          </cell>
          <cell r="P183"/>
          <cell r="Q183"/>
          <cell r="R183"/>
          <cell r="S183" t="str">
            <v/>
          </cell>
        </row>
        <row r="184">
          <cell r="A184" t="str">
            <v>El489</v>
          </cell>
          <cell r="B184"/>
          <cell r="C184" t="str">
            <v>Sp</v>
          </cell>
          <cell r="D184" t="str">
            <v/>
          </cell>
          <cell r="E184"/>
          <cell r="F184" t="str">
            <v>Si autre, préciser le délai applicable</v>
          </cell>
          <cell r="G184" t="str">
            <v>Texte</v>
          </cell>
          <cell r="H184" t="str">
            <v>Champ libre</v>
          </cell>
          <cell r="I184" t="str">
            <v>Non concerné pour l'offre</v>
          </cell>
          <cell r="J184" t="str">
            <v/>
          </cell>
          <cell r="K184" t="str">
            <v>VRAI</v>
          </cell>
          <cell r="L184"/>
          <cell r="M184" t="str">
            <v>Spécifique Offre</v>
          </cell>
          <cell r="N184" t="str">
            <v>Non concerné</v>
          </cell>
          <cell r="O184" t="str">
            <v>Non concerné</v>
          </cell>
          <cell r="P184"/>
          <cell r="Q184"/>
          <cell r="R184"/>
          <cell r="S184" t="str">
            <v/>
          </cell>
        </row>
        <row r="185">
          <cell r="A185" t="str">
            <v>ElTT448</v>
          </cell>
          <cell r="B185"/>
          <cell r="C185" t="str">
            <v>Titre</v>
          </cell>
          <cell r="D185" t="str">
            <v/>
          </cell>
          <cell r="E185"/>
          <cell r="F185" t="str">
            <v>05.3 Extension de la garantie</v>
          </cell>
          <cell r="G185"/>
          <cell r="H185"/>
          <cell r="I185" t="str">
            <v>Non concerné pour l'offre</v>
          </cell>
          <cell r="J185" t="str">
            <v/>
          </cell>
          <cell r="K185" t="str">
            <v>VRAI</v>
          </cell>
          <cell r="L185"/>
          <cell r="M185" t="str">
            <v/>
          </cell>
          <cell r="N185" t="str">
            <v>Non concerné</v>
          </cell>
          <cell r="O185" t="str">
            <v>Non concerné</v>
          </cell>
          <cell r="P185"/>
          <cell r="Q185"/>
          <cell r="R185"/>
          <cell r="S185" t="str">
            <v/>
          </cell>
        </row>
        <row r="186">
          <cell r="A186" t="str">
            <v>El184</v>
          </cell>
          <cell r="B186"/>
          <cell r="C186" t="str">
            <v>U</v>
          </cell>
          <cell r="D186" t="str">
            <v>Non concerné pour la direction/univers</v>
          </cell>
          <cell r="E186"/>
          <cell r="F186" t="str">
            <v>Une extension de garantie doit-elle être mise en place ?</v>
          </cell>
          <cell r="G186" t="str">
            <v xml:space="preserve">Liste choix unique </v>
          </cell>
          <cell r="H186" t="str">
            <v>Oui, une extension de garantie doit être mise en place; Non, absence d'extension de garantie</v>
          </cell>
          <cell r="I186" t="str">
            <v>Non concerné pour la direction/univers</v>
          </cell>
          <cell r="J186" t="str">
            <v>x</v>
          </cell>
          <cell r="K186" t="str">
            <v>VRAI</v>
          </cell>
          <cell r="L186"/>
          <cell r="M186" t="str">
            <v>Non concerné</v>
          </cell>
          <cell r="N186" t="str">
            <v>Non concerné</v>
          </cell>
          <cell r="O186" t="str">
            <v>Non concerné</v>
          </cell>
          <cell r="P186"/>
          <cell r="Q186"/>
          <cell r="R186"/>
          <cell r="S186" t="str">
            <v/>
          </cell>
        </row>
        <row r="187">
          <cell r="A187" t="str">
            <v>El185</v>
          </cell>
          <cell r="B187"/>
          <cell r="C187" t="str">
            <v>U</v>
          </cell>
          <cell r="D187" t="str">
            <v>Non concerné pour la direction/univers</v>
          </cell>
          <cell r="E187"/>
          <cell r="F187" t="str">
            <v>Si oui, concerne t'elle un matériel référencé  par le titulaire auprès du constructeur ?</v>
          </cell>
          <cell r="G187" t="str">
            <v xml:space="preserve">Liste choix unique </v>
          </cell>
          <cell r="H187" t="str">
            <v>Oui, elle concerne du matériel référencé au prix proposé par le titulaire ;Non, elle ne concerne pas du matériel référencé au prix renseigné par le titulaire</v>
          </cell>
          <cell r="I187" t="str">
            <v>Non concerné pour la direction/univers</v>
          </cell>
          <cell r="J187" t="str">
            <v/>
          </cell>
          <cell r="K187" t="str">
            <v>VRAI</v>
          </cell>
          <cell r="L187"/>
          <cell r="M187" t="str">
            <v>Non concerné</v>
          </cell>
          <cell r="N187" t="str">
            <v>Non concerné</v>
          </cell>
          <cell r="O187" t="str">
            <v>Non concerné</v>
          </cell>
          <cell r="P187"/>
          <cell r="Q187"/>
          <cell r="R187"/>
          <cell r="S187" t="str">
            <v/>
          </cell>
        </row>
        <row r="188">
          <cell r="A188" t="str">
            <v>El186</v>
          </cell>
          <cell r="B188"/>
          <cell r="C188" t="str">
            <v>U</v>
          </cell>
          <cell r="D188" t="str">
            <v>Non concerné pour la direction/univers</v>
          </cell>
          <cell r="E188"/>
          <cell r="F188" t="str">
            <v>Si oui, s'agit-il d'une extension de garantie contrôlée ?</v>
          </cell>
          <cell r="G188" t="str">
            <v xml:space="preserve">Liste choix unique </v>
          </cell>
          <cell r="H188" t="str">
            <v>Oui, Extension de garantie contrôlée;Non, absence d'extension de garantie contrôlée</v>
          </cell>
          <cell r="I188" t="str">
            <v>Non concerné pour la direction/univers</v>
          </cell>
          <cell r="J188" t="str">
            <v/>
          </cell>
          <cell r="K188" t="str">
            <v>VRAI</v>
          </cell>
          <cell r="L188"/>
          <cell r="M188" t="str">
            <v>Non concerné</v>
          </cell>
          <cell r="N188" t="str">
            <v>Non concerné</v>
          </cell>
          <cell r="O188" t="str">
            <v>Non concerné</v>
          </cell>
          <cell r="P188"/>
          <cell r="Q188"/>
          <cell r="R188"/>
          <cell r="S188" t="str">
            <v/>
          </cell>
        </row>
        <row r="189">
          <cell r="A189" t="str">
            <v>El188</v>
          </cell>
          <cell r="B189"/>
          <cell r="C189" t="str">
            <v>Sp</v>
          </cell>
          <cell r="D189" t="str">
            <v/>
          </cell>
          <cell r="E189"/>
          <cell r="F189" t="str">
            <v xml:space="preserve">Si oui, préciser la ou les durées de garantie par lot </v>
          </cell>
          <cell r="G189" t="str">
            <v>Annexe 10 - Détail lots</v>
          </cell>
          <cell r="H189" t="str">
            <v>Annexe 10 - Détail_Lots</v>
          </cell>
          <cell r="I189" t="str">
            <v>10 - Détail lots</v>
          </cell>
          <cell r="J189" t="str">
            <v/>
          </cell>
          <cell r="K189" t="str">
            <v>VRAI</v>
          </cell>
          <cell r="L189"/>
          <cell r="M189" t="str">
            <v>Spécifique Offre</v>
          </cell>
          <cell r="N189" t="str">
            <v>Identique</v>
          </cell>
          <cell r="O189" t="str">
            <v>Non concerné</v>
          </cell>
          <cell r="P189"/>
          <cell r="Q189"/>
          <cell r="R189"/>
          <cell r="S189" t="str">
            <v/>
          </cell>
        </row>
        <row r="190">
          <cell r="A190" t="str">
            <v>ElTT437</v>
          </cell>
          <cell r="B190"/>
          <cell r="C190" t="str">
            <v>Titre</v>
          </cell>
          <cell r="D190" t="str">
            <v/>
          </cell>
          <cell r="E190"/>
          <cell r="F190" t="str">
            <v>05.4 Maintenance</v>
          </cell>
          <cell r="G190"/>
          <cell r="H190"/>
          <cell r="I190" t="str">
            <v>Non concerné pour l'offre</v>
          </cell>
          <cell r="J190" t="str">
            <v/>
          </cell>
          <cell r="K190" t="str">
            <v>VRAI</v>
          </cell>
          <cell r="L190"/>
          <cell r="M190" t="str">
            <v/>
          </cell>
          <cell r="N190" t="str">
            <v>Non concerné</v>
          </cell>
          <cell r="O190" t="str">
            <v>Non concerné</v>
          </cell>
          <cell r="P190"/>
          <cell r="Q190"/>
          <cell r="R190"/>
          <cell r="S190" t="str">
            <v/>
          </cell>
        </row>
        <row r="191">
          <cell r="A191" t="str">
            <v>El4</v>
          </cell>
          <cell r="B191"/>
          <cell r="C191" t="str">
            <v>U</v>
          </cell>
          <cell r="D191" t="str">
            <v>Oui, prestations de maintenance prévue à l'offre</v>
          </cell>
          <cell r="E191"/>
          <cell r="F191" t="str">
            <v>Des prestations de maintenance  et/ou location - maintenance sont-elles à prévoir ?</v>
          </cell>
          <cell r="G191" t="str">
            <v xml:space="preserve">Liste choix unique </v>
          </cell>
          <cell r="H191" t="str">
            <v>Oui, prestations de maintenance prévue à l'offre;Non, absence de prestations de maintenance</v>
          </cell>
          <cell r="I191" t="str">
            <v>Standard non applicable pour cette offre au regard des réponses précédentes apportées</v>
          </cell>
          <cell r="J191" t="str">
            <v>x</v>
          </cell>
          <cell r="K191" t="str">
            <v>VRAI</v>
          </cell>
          <cell r="L191"/>
          <cell r="M191" t="str">
            <v>Non concerné</v>
          </cell>
          <cell r="N191" t="str">
            <v>Non concerné</v>
          </cell>
          <cell r="O191" t="str">
            <v>Non concerné</v>
          </cell>
          <cell r="P191"/>
          <cell r="Q191"/>
          <cell r="R191"/>
          <cell r="S191" t="str">
            <v/>
          </cell>
        </row>
        <row r="192">
          <cell r="A192" t="str">
            <v>ElTT502</v>
          </cell>
          <cell r="B192"/>
          <cell r="C192" t="str">
            <v>Titre</v>
          </cell>
          <cell r="D192" t="str">
            <v/>
          </cell>
          <cell r="E192"/>
          <cell r="F192" t="str">
            <v>05.4.1 Typologie, prix et durée de la maintenance</v>
          </cell>
          <cell r="G192"/>
          <cell r="H192"/>
          <cell r="I192" t="str">
            <v>Non concerné pour l'offre</v>
          </cell>
          <cell r="J192"/>
          <cell r="K192" t="str">
            <v>VRAI</v>
          </cell>
          <cell r="L192"/>
          <cell r="M192" t="str">
            <v/>
          </cell>
          <cell r="N192" t="str">
            <v>Non concerné</v>
          </cell>
          <cell r="O192" t="str">
            <v>Non concerné</v>
          </cell>
          <cell r="P192"/>
          <cell r="Q192"/>
          <cell r="R192"/>
          <cell r="S192" t="str">
            <v/>
          </cell>
        </row>
        <row r="193">
          <cell r="A193" t="str">
            <v>El134</v>
          </cell>
          <cell r="B193"/>
          <cell r="C193" t="str">
            <v>U</v>
          </cell>
          <cell r="D193" t="str">
            <v>Location maintenance ;Acquisition maintenance</v>
          </cell>
          <cell r="E193"/>
          <cell r="F193" t="str">
            <v>Quelles sont les typologies de commande de maintenance?</v>
          </cell>
          <cell r="G193" t="str">
            <v>Liste choix multiple</v>
          </cell>
          <cell r="H193" t="str">
            <v>Location maintenance ;Acquisition maintenance;Full service;Non concerné pour l'offre</v>
          </cell>
          <cell r="I193" t="str">
            <v>Location maintenance ;Acquisition maintenance</v>
          </cell>
          <cell r="J193" t="str">
            <v>x</v>
          </cell>
          <cell r="K193"/>
          <cell r="L193"/>
          <cell r="M193" t="str">
            <v>Conforme au standard</v>
          </cell>
          <cell r="N193" t="str">
            <v>Non concerné</v>
          </cell>
          <cell r="O193" t="str">
            <v>Non concerné</v>
          </cell>
          <cell r="P193"/>
          <cell r="Q193"/>
          <cell r="R193"/>
          <cell r="S193" t="str">
            <v>=</v>
          </cell>
        </row>
        <row r="194">
          <cell r="A194" t="str">
            <v>El370</v>
          </cell>
          <cell r="B194"/>
          <cell r="C194" t="str">
            <v>U</v>
          </cell>
          <cell r="D194" t="str">
            <v>Maintenance préventive</v>
          </cell>
          <cell r="E194"/>
          <cell r="F194" t="str">
            <v xml:space="preserve">Quelles sont les modalités de maintenance (préventive, corrective…) prévues ? </v>
          </cell>
          <cell r="G194" t="str">
            <v>Liste choix multiple</v>
          </cell>
          <cell r="H194" t="str">
            <v>préventive;corrective/curative</v>
          </cell>
          <cell r="I194" t="str">
            <v>Standard non applicable pour cette offre au regard des réponses précédentes apportées</v>
          </cell>
          <cell r="J194" t="str">
            <v>x</v>
          </cell>
          <cell r="K194" t="str">
            <v>VRAI</v>
          </cell>
          <cell r="L194"/>
          <cell r="M194" t="str">
            <v>Non concerné</v>
          </cell>
          <cell r="N194" t="str">
            <v>Non concerné</v>
          </cell>
          <cell r="O194" t="str">
            <v>Non concerné</v>
          </cell>
          <cell r="P194"/>
          <cell r="Q194"/>
          <cell r="R194"/>
          <cell r="S194" t="str">
            <v>=</v>
          </cell>
        </row>
        <row r="195">
          <cell r="A195" t="str">
            <v>El372</v>
          </cell>
          <cell r="B195"/>
          <cell r="C195" t="str">
            <v>Sp</v>
          </cell>
          <cell r="D195" t="str">
            <v/>
          </cell>
          <cell r="E195"/>
          <cell r="F195" t="str">
            <v>Préciser la durée ?</v>
          </cell>
          <cell r="G195" t="str">
            <v>Annexe 10 - Détail lots</v>
          </cell>
          <cell r="H195" t="str">
            <v>Annexe 10 - Détail_Lots</v>
          </cell>
          <cell r="I195" t="str">
            <v>10 - Détail lots</v>
          </cell>
          <cell r="J195" t="str">
            <v/>
          </cell>
          <cell r="K195"/>
          <cell r="L195"/>
          <cell r="M195" t="str">
            <v>Spécifique Offre</v>
          </cell>
          <cell r="N195" t="str">
            <v>Identique</v>
          </cell>
          <cell r="O195" t="str">
            <v>Non concerné</v>
          </cell>
          <cell r="P195"/>
          <cell r="Q195"/>
          <cell r="R195"/>
          <cell r="S195" t="str">
            <v/>
          </cell>
        </row>
        <row r="196">
          <cell r="A196" t="str">
            <v>El376</v>
          </cell>
          <cell r="B196"/>
          <cell r="C196" t="str">
            <v>U</v>
          </cell>
          <cell r="D196" t="str">
            <v xml:space="preserve">Non, Le prix de la maintenance corrective/curative n'est pas comprise dans le prix </v>
          </cell>
          <cell r="E196"/>
          <cell r="F196" t="str">
            <v>Si maintenance corrective/curative son prix est-il inclus dans le prix du matériel/Logiciel/fourniture ?</v>
          </cell>
          <cell r="G196" t="str">
            <v xml:space="preserve">Liste choix unique </v>
          </cell>
          <cell r="H196" t="str">
            <v>Oui, le prix de la maintenance corrective/curative est-elle incluse dans le prix;Non, Le prix de la maintenance corrective/curative n'est pas comprise dans le prix ; Non concerné pour l'offre</v>
          </cell>
          <cell r="I196" t="str">
            <v>Standard non applicable pour cette offre au regard des réponses précédentes apportées</v>
          </cell>
          <cell r="J196" t="str">
            <v/>
          </cell>
          <cell r="K196" t="str">
            <v>VRAI</v>
          </cell>
          <cell r="L196"/>
          <cell r="M196" t="str">
            <v>Non concerné</v>
          </cell>
          <cell r="N196" t="str">
            <v>Non concerné</v>
          </cell>
          <cell r="O196" t="str">
            <v>Non concerné</v>
          </cell>
          <cell r="P196"/>
          <cell r="Q196"/>
          <cell r="R196"/>
          <cell r="S196" t="str">
            <v/>
          </cell>
        </row>
        <row r="197">
          <cell r="A197" t="str">
            <v>El377</v>
          </cell>
          <cell r="B197"/>
          <cell r="C197" t="str">
            <v>Sp</v>
          </cell>
          <cell r="D197" t="str">
            <v/>
          </cell>
          <cell r="E197"/>
          <cell r="F197" t="str">
            <v>Si maintenance corrective/curative, l'intervention du titulaire vise quelle remise en état ?</v>
          </cell>
          <cell r="G197" t="str">
            <v>Liste choix multiple</v>
          </cell>
          <cell r="H197" t="str">
            <v xml:space="preserve">remise en état des Matériels;remise en état des Installations et logiciels </v>
          </cell>
          <cell r="I197" t="str">
            <v>Non concerné pour l'offre</v>
          </cell>
          <cell r="J197" t="str">
            <v/>
          </cell>
          <cell r="K197" t="str">
            <v>VRAI</v>
          </cell>
          <cell r="L197"/>
          <cell r="M197" t="str">
            <v>Spécifique Offre</v>
          </cell>
          <cell r="N197" t="str">
            <v>Non concerné</v>
          </cell>
          <cell r="O197" t="str">
            <v>Non concerné</v>
          </cell>
          <cell r="P197"/>
          <cell r="Q197"/>
          <cell r="R197"/>
          <cell r="S197" t="str">
            <v/>
          </cell>
        </row>
        <row r="198">
          <cell r="A198" t="str">
            <v>El378</v>
          </cell>
          <cell r="B198"/>
          <cell r="C198" t="str">
            <v>Sp</v>
          </cell>
          <cell r="D198" t="str">
            <v/>
          </cell>
          <cell r="E198"/>
          <cell r="F198" t="str">
            <v xml:space="preserve">En cas de dysfonctionnement, sous quel délai le titulaire doit-il intervenir en France métropolitaine pour des prestations de maintenance corrective/curative  ? </v>
          </cell>
          <cell r="G198" t="str">
            <v>Texte</v>
          </cell>
          <cell r="H198" t="str">
            <v>Champ libre</v>
          </cell>
          <cell r="I198" t="str">
            <v/>
          </cell>
          <cell r="J198" t="str">
            <v/>
          </cell>
          <cell r="K198"/>
          <cell r="L198"/>
          <cell r="M198" t="str">
            <v>Renseigner la réponse DCO</v>
          </cell>
          <cell r="N198" t="str">
            <v>Non concerné</v>
          </cell>
          <cell r="O198" t="str">
            <v>Non concerné</v>
          </cell>
          <cell r="P198"/>
          <cell r="Q198"/>
          <cell r="R198"/>
          <cell r="S198" t="str">
            <v/>
          </cell>
        </row>
        <row r="199">
          <cell r="A199" t="str">
            <v>El379</v>
          </cell>
          <cell r="B199"/>
          <cell r="C199" t="str">
            <v>Sp</v>
          </cell>
          <cell r="D199" t="str">
            <v/>
          </cell>
          <cell r="E199"/>
          <cell r="F199" t="str">
            <v xml:space="preserve">En cas de dysfonctionnement, sous quel délai le titulaire doit-il intervenir en outre-mer pour des prestations de maintenance corrective/curative  ?  ? </v>
          </cell>
          <cell r="G199" t="str">
            <v>Texte</v>
          </cell>
          <cell r="H199" t="str">
            <v>Champ libre</v>
          </cell>
          <cell r="I199" t="str">
            <v/>
          </cell>
          <cell r="J199" t="str">
            <v/>
          </cell>
          <cell r="K199"/>
          <cell r="L199"/>
          <cell r="M199" t="str">
            <v>Renseigner la réponse DCO</v>
          </cell>
          <cell r="N199" t="str">
            <v>Non concerné</v>
          </cell>
          <cell r="O199" t="str">
            <v>Non concerné</v>
          </cell>
          <cell r="P199"/>
          <cell r="Q199"/>
          <cell r="R199"/>
          <cell r="S199" t="str">
            <v/>
          </cell>
        </row>
        <row r="200">
          <cell r="A200" t="str">
            <v>El380</v>
          </cell>
          <cell r="B200"/>
          <cell r="C200" t="str">
            <v>U</v>
          </cell>
          <cell r="D200" t="str">
            <v>Non concerné pour la direction/univers</v>
          </cell>
          <cell r="E200"/>
          <cell r="F200" t="str">
            <v xml:space="preserve">La prestation de maintenance s'étend-elle à la fourniture et l'installation d'accessoires et options ajoutés ? </v>
          </cell>
          <cell r="G200" t="str">
            <v xml:space="preserve">Liste choix unique </v>
          </cell>
          <cell r="H200" t="str">
            <v>Oui, la prestation de maintenance s'étend à la fourniture et à l'installation d'accessoires et options; Non, la prestation de maintenance ne s'étend pas à la fourniture et l'installation d'accessoires et options</v>
          </cell>
          <cell r="I200" t="str">
            <v>Non concerné pour la direction/univers</v>
          </cell>
          <cell r="J200" t="str">
            <v/>
          </cell>
          <cell r="K200" t="str">
            <v>VRAI</v>
          </cell>
          <cell r="L200"/>
          <cell r="M200" t="str">
            <v>Non concerné</v>
          </cell>
          <cell r="N200" t="str">
            <v>Non concerné</v>
          </cell>
          <cell r="O200" t="str">
            <v>Non concerné</v>
          </cell>
          <cell r="P200"/>
          <cell r="Q200"/>
          <cell r="R200"/>
          <cell r="S200" t="str">
            <v/>
          </cell>
        </row>
        <row r="201">
          <cell r="A201" t="str">
            <v>El381</v>
          </cell>
          <cell r="B201"/>
          <cell r="C201" t="str">
            <v>D</v>
          </cell>
          <cell r="D201" t="str">
            <v>Non concerné pour la direction/univers</v>
          </cell>
          <cell r="E201"/>
          <cell r="F201" t="str">
            <v xml:space="preserve">La maintenance des équipements couvre-t-elle les bris ? </v>
          </cell>
          <cell r="G201" t="str">
            <v xml:space="preserve">Liste choix unique </v>
          </cell>
          <cell r="H201" t="str">
            <v>Oui, la maintenance des équipements couvre les bris;Non, la maintenance des équipements ne couvre pas les bris</v>
          </cell>
          <cell r="I201" t="str">
            <v>Non concerné pour la direction/univers</v>
          </cell>
          <cell r="J201" t="str">
            <v/>
          </cell>
          <cell r="K201" t="str">
            <v>VRAI</v>
          </cell>
          <cell r="L201"/>
          <cell r="M201" t="str">
            <v>Non concerné</v>
          </cell>
          <cell r="N201" t="str">
            <v>Non concerné</v>
          </cell>
          <cell r="O201" t="str">
            <v>Non concerné</v>
          </cell>
          <cell r="P201"/>
          <cell r="Q201"/>
          <cell r="R201"/>
          <cell r="S201" t="str">
            <v/>
          </cell>
        </row>
        <row r="202">
          <cell r="A202" t="str">
            <v>ElTT503</v>
          </cell>
          <cell r="B202"/>
          <cell r="C202" t="str">
            <v>Titre</v>
          </cell>
          <cell r="D202" t="str">
            <v/>
          </cell>
          <cell r="E202"/>
          <cell r="F202" t="str">
            <v>05.4.2 Commande de maintenance</v>
          </cell>
          <cell r="G202"/>
          <cell r="H202"/>
          <cell r="I202" t="str">
            <v>Non concerné pour l'offre</v>
          </cell>
          <cell r="J202"/>
          <cell r="K202" t="str">
            <v>VRAI</v>
          </cell>
          <cell r="L202"/>
          <cell r="M202" t="str">
            <v/>
          </cell>
          <cell r="N202" t="str">
            <v>Non concerné</v>
          </cell>
          <cell r="O202" t="str">
            <v>Non concerné</v>
          </cell>
          <cell r="P202"/>
          <cell r="Q202"/>
          <cell r="R202"/>
          <cell r="S202" t="str">
            <v/>
          </cell>
        </row>
        <row r="203">
          <cell r="A203" t="str">
            <v>El387</v>
          </cell>
          <cell r="B203"/>
          <cell r="C203" t="str">
            <v>Sp</v>
          </cell>
          <cell r="D203" t="str">
            <v/>
          </cell>
          <cell r="E203"/>
          <cell r="F203" t="str">
            <v>Préciser l'élément déclencheur des commandes (concomitant à la commande, livraison, carte grise…), les formats de commande envisagés (mono ou multi échéance) et la périodicité des commande (unique, mensuelle, trimestrielle, annuelle, autre…)</v>
          </cell>
          <cell r="G203" t="str">
            <v>Liste choix multiple</v>
          </cell>
          <cell r="H203" t="str">
            <v>concomitant à la commande (volet 1) et à l’issue de l’admission du matériel (volet 2); la fin de la période de garantie; la fin de la période d'extension de garantie; Autre</v>
          </cell>
          <cell r="I203" t="str">
            <v/>
          </cell>
          <cell r="J203" t="str">
            <v>x</v>
          </cell>
          <cell r="K203"/>
          <cell r="L203"/>
          <cell r="M203" t="str">
            <v>Renseigner la réponse DCO</v>
          </cell>
          <cell r="N203" t="str">
            <v>Non concerné</v>
          </cell>
          <cell r="O203" t="str">
            <v>Non concerné</v>
          </cell>
          <cell r="P203"/>
          <cell r="Q203"/>
          <cell r="R203"/>
          <cell r="S203" t="str">
            <v/>
          </cell>
        </row>
        <row r="204">
          <cell r="A204" t="str">
            <v>El396</v>
          </cell>
          <cell r="B204"/>
          <cell r="C204" t="str">
            <v>Sp</v>
          </cell>
          <cell r="D204" t="str">
            <v/>
          </cell>
          <cell r="E204"/>
          <cell r="F204" t="str">
            <v>Si "autre" préciser l'élément déclencheur des commandes, les formats de commande envisagés et la périodicité</v>
          </cell>
          <cell r="G204" t="str">
            <v>Texte</v>
          </cell>
          <cell r="H204" t="str">
            <v>Champ libre</v>
          </cell>
          <cell r="I204" t="str">
            <v>Non concerné pour l'offre</v>
          </cell>
          <cell r="J204" t="str">
            <v/>
          </cell>
          <cell r="K204" t="str">
            <v>VRAI</v>
          </cell>
          <cell r="L204"/>
          <cell r="M204" t="str">
            <v>Spécifique Offre</v>
          </cell>
          <cell r="N204" t="str">
            <v>Non concerné</v>
          </cell>
          <cell r="O204" t="str">
            <v>Non concerné</v>
          </cell>
          <cell r="P204"/>
          <cell r="Q204"/>
          <cell r="R204"/>
          <cell r="S204" t="str">
            <v/>
          </cell>
        </row>
        <row r="205">
          <cell r="A205" t="str">
            <v>El5c</v>
          </cell>
          <cell r="B205"/>
          <cell r="C205" t="str">
            <v>U</v>
          </cell>
          <cell r="D205" t="str">
            <v>Mono échéance &amp; Multi échéance</v>
          </cell>
          <cell r="E205"/>
          <cell r="F205" t="str">
            <v>Quel est le(s) format(s) d'émission de commande d’achat envisagé(s) pour les prestations de location/maintenance ?</v>
          </cell>
          <cell r="G205" t="str">
            <v>Liste choix unique</v>
          </cell>
          <cell r="H205" t="str">
            <v>Mono échéance; Multi échéance; Mixte (Mono et Multi échéance)</v>
          </cell>
          <cell r="I205" t="str">
            <v>Mono échéance &amp; Multi échéance</v>
          </cell>
          <cell r="J205" t="str">
            <v>x</v>
          </cell>
          <cell r="K205"/>
          <cell r="L205"/>
          <cell r="M205" t="str">
            <v>Conforme au standard</v>
          </cell>
          <cell r="N205" t="str">
            <v>Non concerné</v>
          </cell>
          <cell r="O205" t="str">
            <v>Non concerné</v>
          </cell>
          <cell r="P205"/>
          <cell r="Q205"/>
          <cell r="R205"/>
          <cell r="S205" t="str">
            <v>=</v>
          </cell>
        </row>
        <row r="206">
          <cell r="A206" t="str">
            <v>El5e</v>
          </cell>
          <cell r="B206"/>
          <cell r="C206" t="str">
            <v>Sp</v>
          </cell>
          <cell r="D206" t="str">
            <v/>
          </cell>
          <cell r="E206"/>
          <cell r="F206" t="str">
            <v xml:space="preserve">Quelle est la périodicité de commande d’achat envisagée en Multi échéance ?
</v>
          </cell>
          <cell r="G206" t="str">
            <v>Liste choix unique</v>
          </cell>
          <cell r="H206" t="str">
            <v>Unique;Mensuelle;Trimestrielle;Annuelle;Autre</v>
          </cell>
          <cell r="I206" t="str">
            <v/>
          </cell>
          <cell r="J206" t="str">
            <v/>
          </cell>
          <cell r="K206"/>
          <cell r="L206"/>
          <cell r="M206" t="str">
            <v>Renseigner la réponse DCO</v>
          </cell>
          <cell r="N206" t="str">
            <v>Non concerné</v>
          </cell>
          <cell r="O206" t="str">
            <v>Non concerné</v>
          </cell>
          <cell r="P206"/>
          <cell r="Q206"/>
          <cell r="R206"/>
          <cell r="S206" t="str">
            <v/>
          </cell>
        </row>
        <row r="207">
          <cell r="A207" t="str">
            <v>ElT439</v>
          </cell>
          <cell r="B207"/>
          <cell r="C207" t="str">
            <v>Titre</v>
          </cell>
          <cell r="D207" t="str">
            <v/>
          </cell>
          <cell r="E207"/>
          <cell r="F207" t="str">
            <v>06.0 EXECUTION FINANCIERE</v>
          </cell>
          <cell r="G207"/>
          <cell r="H207"/>
          <cell r="I207" t="str">
            <v/>
          </cell>
          <cell r="J207" t="str">
            <v/>
          </cell>
          <cell r="K207"/>
          <cell r="L207"/>
          <cell r="M207" t="str">
            <v/>
          </cell>
          <cell r="N207" t="str">
            <v>Non concerné</v>
          </cell>
          <cell r="O207" t="str">
            <v>Non concerné</v>
          </cell>
          <cell r="P207"/>
          <cell r="Q207"/>
          <cell r="R207"/>
          <cell r="S207" t="str">
            <v/>
          </cell>
        </row>
        <row r="208">
          <cell r="A208" t="str">
            <v>ElTT440</v>
          </cell>
          <cell r="B208"/>
          <cell r="C208" t="str">
            <v>Titre</v>
          </cell>
          <cell r="D208" t="str">
            <v/>
          </cell>
          <cell r="E208"/>
          <cell r="F208" t="str">
            <v>06.1 Schéma de rémunération de l'UGAP</v>
          </cell>
          <cell r="G208"/>
          <cell r="H208"/>
          <cell r="I208" t="str">
            <v/>
          </cell>
          <cell r="J208" t="str">
            <v/>
          </cell>
          <cell r="K208"/>
          <cell r="L208"/>
          <cell r="M208" t="str">
            <v/>
          </cell>
          <cell r="N208" t="str">
            <v>Non concerné</v>
          </cell>
          <cell r="O208" t="str">
            <v>Non concerné</v>
          </cell>
          <cell r="P208"/>
          <cell r="Q208"/>
          <cell r="R208"/>
          <cell r="S208" t="str">
            <v/>
          </cell>
        </row>
        <row r="209">
          <cell r="A209" t="str">
            <v>El97</v>
          </cell>
          <cell r="B209"/>
          <cell r="C209" t="str">
            <v>E</v>
          </cell>
          <cell r="D209" t="str">
            <v>Oui, Application de la contribution standard : 1% - 4000 € - Trimestriel</v>
          </cell>
          <cell r="E209"/>
          <cell r="F209" t="str">
            <v>La rémunération par le titulaire en contrepartie d’un service rendu correspond-elle a la contribution standard 1%-4000€-Trimestriel ?</v>
          </cell>
          <cell r="G209" t="str">
            <v xml:space="preserve">Liste choix unique </v>
          </cell>
          <cell r="H209" t="str">
            <v>Oui, Application de la contribution standard : 1% - 4000 € - Trimestriel;Non, dérogation à la contribution standard</v>
          </cell>
          <cell r="I209" t="str">
            <v>Oui, Application de la contribution standard : 1% - 4000 € - Trimestriel</v>
          </cell>
          <cell r="J209" t="str">
            <v>x</v>
          </cell>
          <cell r="K209"/>
          <cell r="L209"/>
          <cell r="M209" t="str">
            <v>Conforme au standard</v>
          </cell>
          <cell r="N209" t="str">
            <v>Non concerné</v>
          </cell>
          <cell r="O209" t="str">
            <v>Non concerné</v>
          </cell>
          <cell r="P209"/>
          <cell r="Q209"/>
          <cell r="R209"/>
          <cell r="S209" t="str">
            <v/>
          </cell>
        </row>
        <row r="210">
          <cell r="A210" t="str">
            <v>El98</v>
          </cell>
          <cell r="B210"/>
          <cell r="C210" t="str">
            <v>Sp</v>
          </cell>
          <cell r="D210" t="str">
            <v/>
          </cell>
          <cell r="E210"/>
          <cell r="F210" t="str">
            <v>Si non, préciser quel schéma de rémunération s'applique à l'offre (exemple: ristourne, délégation de marge pour compte...) justifier de cette la dérogation et préciser les modalités de calcul associées - périodicité - seuil mini d'application ou l'absence de rémunération</v>
          </cell>
          <cell r="G210" t="str">
            <v>Texte</v>
          </cell>
          <cell r="H210" t="str">
            <v>Champ libre</v>
          </cell>
          <cell r="I210" t="str">
            <v>Non concerné pour l'offre</v>
          </cell>
          <cell r="J210" t="str">
            <v/>
          </cell>
          <cell r="K210" t="str">
            <v>VRAI</v>
          </cell>
          <cell r="L210"/>
          <cell r="M210" t="str">
            <v>Spécifique Offre</v>
          </cell>
          <cell r="N210" t="str">
            <v>Non concerné</v>
          </cell>
          <cell r="O210" t="str">
            <v>Non concerné</v>
          </cell>
          <cell r="P210"/>
          <cell r="Q210"/>
          <cell r="R210"/>
          <cell r="S210" t="str">
            <v/>
          </cell>
        </row>
        <row r="211">
          <cell r="A211" t="str">
            <v>El99</v>
          </cell>
          <cell r="B211"/>
          <cell r="C211" t="str">
            <v>E</v>
          </cell>
          <cell r="D211" t="str">
            <v>Oui, Rémunération par le client standard avec distinction Grands comptes et partenaire</v>
          </cell>
          <cell r="E211"/>
          <cell r="F211" t="str">
            <v>La rémunération par le client correspond-elle au standard (Taux de marge applicable au PA) avec distinction grands comptes - partenaire ?</v>
          </cell>
          <cell r="G211" t="str">
            <v xml:space="preserve">Liste choix unique </v>
          </cell>
          <cell r="H211" t="str">
            <v>Oui, Rémunération par le client standard avec distinction Grands comptes et partenaire;Non, dérogation à la rémunération client standard</v>
          </cell>
          <cell r="I211" t="str">
            <v>Oui, Rémunération par le client standard avec distinction Grands comptes et partenaire</v>
          </cell>
          <cell r="J211" t="str">
            <v>x</v>
          </cell>
          <cell r="K211"/>
          <cell r="L211"/>
          <cell r="M211" t="str">
            <v>Conforme au standard</v>
          </cell>
          <cell r="N211" t="str">
            <v>Non concerné</v>
          </cell>
          <cell r="O211" t="str">
            <v>Non concerné</v>
          </cell>
          <cell r="P211"/>
          <cell r="Q211"/>
          <cell r="R211"/>
          <cell r="S211" t="str">
            <v/>
          </cell>
        </row>
        <row r="212">
          <cell r="A212" t="str">
            <v>El100</v>
          </cell>
          <cell r="B212"/>
          <cell r="C212" t="str">
            <v>Sp</v>
          </cell>
          <cell r="D212" t="str">
            <v/>
          </cell>
          <cell r="E212"/>
          <cell r="F212" t="str">
            <v>Si non, préciser la marge spécifique applicable (ex : taux unique, PA=PV...) et justifier de cette dérogation</v>
          </cell>
          <cell r="G212" t="str">
            <v>Texte</v>
          </cell>
          <cell r="H212" t="str">
            <v>Champ libre</v>
          </cell>
          <cell r="I212" t="str">
            <v>Non concerné pour l'offre</v>
          </cell>
          <cell r="J212" t="str">
            <v/>
          </cell>
          <cell r="K212" t="str">
            <v>VRAI</v>
          </cell>
          <cell r="L212"/>
          <cell r="M212" t="str">
            <v>Spécifique Offre</v>
          </cell>
          <cell r="N212" t="str">
            <v>Non concerné</v>
          </cell>
          <cell r="O212" t="str">
            <v>Non concerné</v>
          </cell>
          <cell r="P212"/>
          <cell r="Q212"/>
          <cell r="R212"/>
          <cell r="S212" t="str">
            <v/>
          </cell>
        </row>
        <row r="213">
          <cell r="A213" t="str">
            <v>El102</v>
          </cell>
          <cell r="B213"/>
          <cell r="C213" t="str">
            <v>D</v>
          </cell>
          <cell r="D213" t="str">
            <v>Non, absence d'exclusion de marge</v>
          </cell>
          <cell r="E213"/>
          <cell r="F213" t="str">
            <v>Une partie de l'offre fait-elle l'objet d'une exclusion de marge</v>
          </cell>
          <cell r="G213" t="str">
            <v xml:space="preserve">Liste choix unique </v>
          </cell>
          <cell r="H213" t="str">
            <v>Oui, exclusion de marge; Non, absence d'exclusion de marge</v>
          </cell>
          <cell r="I213" t="str">
            <v>Non, absence d'exclusion de marge</v>
          </cell>
          <cell r="J213" t="str">
            <v>x</v>
          </cell>
          <cell r="K213"/>
          <cell r="L213"/>
          <cell r="M213" t="str">
            <v>Conforme au standard</v>
          </cell>
          <cell r="N213" t="str">
            <v>Non concerné</v>
          </cell>
          <cell r="O213" t="str">
            <v>Non concerné</v>
          </cell>
          <cell r="P213"/>
          <cell r="Q213"/>
          <cell r="R213"/>
          <cell r="S213" t="str">
            <v/>
          </cell>
        </row>
        <row r="214">
          <cell r="A214" t="str">
            <v>El103</v>
          </cell>
          <cell r="B214"/>
          <cell r="C214" t="str">
            <v>D</v>
          </cell>
          <cell r="D214" t="str">
            <v>Non concerné pour la direction/univers</v>
          </cell>
          <cell r="E214"/>
          <cell r="F214" t="str">
            <v>Si oui, préciser le contenu de l'offre concerné par l'exclusion (ex : prestation d'assurance)</v>
          </cell>
          <cell r="G214" t="str">
            <v>Liste choix multiple</v>
          </cell>
          <cell r="H214" t="str">
            <v>Absence d'application de marge sur les taxes d'immatriculation;Surcoût Drom Com;Indeminité et annulation et modification de commande ;Reprise de matériel</v>
          </cell>
          <cell r="I214" t="str">
            <v>Non concerné pour la direction/univers</v>
          </cell>
          <cell r="J214" t="str">
            <v>x</v>
          </cell>
          <cell r="K214" t="str">
            <v>VRAI</v>
          </cell>
          <cell r="L214"/>
          <cell r="M214" t="str">
            <v>Non concerné</v>
          </cell>
          <cell r="N214" t="str">
            <v>Non concerné</v>
          </cell>
          <cell r="O214" t="str">
            <v>Non concerné</v>
          </cell>
          <cell r="P214"/>
          <cell r="Q214"/>
          <cell r="R214"/>
          <cell r="S214" t="str">
            <v>=</v>
          </cell>
        </row>
        <row r="215">
          <cell r="A215" t="str">
            <v>El103c</v>
          </cell>
          <cell r="B215"/>
          <cell r="C215" t="str">
            <v>D</v>
          </cell>
          <cell r="D215" t="str">
            <v>Non concerné pour la direction/univers</v>
          </cell>
          <cell r="E215"/>
          <cell r="F215" t="str">
            <v>Si autre, préciser le contenu de l'offre concerné par l'exclusion (ex : prestation d'assurance)</v>
          </cell>
          <cell r="G215" t="str">
            <v>Texte</v>
          </cell>
          <cell r="H215" t="str">
            <v>Champ libre</v>
          </cell>
          <cell r="I215" t="str">
            <v>Non concerné pour la direction/univers</v>
          </cell>
          <cell r="J215" t="str">
            <v/>
          </cell>
          <cell r="K215" t="str">
            <v>VRAI</v>
          </cell>
          <cell r="L215"/>
          <cell r="M215" t="str">
            <v>Non concerné</v>
          </cell>
          <cell r="N215" t="str">
            <v>Non concerné</v>
          </cell>
          <cell r="O215" t="str">
            <v>Non concerné</v>
          </cell>
          <cell r="P215"/>
          <cell r="Q215"/>
          <cell r="R215"/>
          <cell r="S215" t="str">
            <v/>
          </cell>
        </row>
        <row r="216">
          <cell r="A216" t="str">
            <v>ElTT441</v>
          </cell>
          <cell r="B216"/>
          <cell r="C216" t="str">
            <v>Titre</v>
          </cell>
          <cell r="D216" t="str">
            <v/>
          </cell>
          <cell r="E216"/>
          <cell r="F216" t="str">
            <v>06.2 Flux de facturation client</v>
          </cell>
          <cell r="G216"/>
          <cell r="H216"/>
          <cell r="I216" t="str">
            <v/>
          </cell>
          <cell r="J216" t="str">
            <v/>
          </cell>
          <cell r="K216"/>
          <cell r="L216"/>
          <cell r="M216" t="str">
            <v/>
          </cell>
          <cell r="N216" t="str">
            <v>Non concerné</v>
          </cell>
          <cell r="O216" t="str">
            <v>Non concerné</v>
          </cell>
          <cell r="P216"/>
          <cell r="Q216"/>
          <cell r="R216"/>
          <cell r="S216" t="str">
            <v/>
          </cell>
        </row>
        <row r="217">
          <cell r="A217" t="str">
            <v>El143</v>
          </cell>
          <cell r="B217"/>
          <cell r="C217" t="str">
            <v>E</v>
          </cell>
          <cell r="D217" t="str">
            <v>Oui, flux facturation client standard</v>
          </cell>
          <cell r="E217"/>
          <cell r="F217" t="str">
            <v>Flux facturation Client standard (Facturation fournisseur déclenche facturation client)</v>
          </cell>
          <cell r="G217" t="str">
            <v xml:space="preserve">Liste choix unique </v>
          </cell>
          <cell r="H217" t="str">
            <v>Oui, flux facturation client standard; Non, flux facturation client dérogatoire</v>
          </cell>
          <cell r="I217" t="str">
            <v>Oui, flux facturation client standard</v>
          </cell>
          <cell r="J217" t="str">
            <v>x</v>
          </cell>
          <cell r="K217"/>
          <cell r="L217"/>
          <cell r="M217" t="str">
            <v>Conforme au standard</v>
          </cell>
          <cell r="N217" t="str">
            <v>Non concerné</v>
          </cell>
          <cell r="O217" t="str">
            <v>Non concerné</v>
          </cell>
          <cell r="P217"/>
          <cell r="Q217"/>
          <cell r="R217"/>
          <cell r="S217" t="str">
            <v/>
          </cell>
        </row>
        <row r="218">
          <cell r="A218" t="str">
            <v>El144</v>
          </cell>
          <cell r="B218"/>
          <cell r="C218" t="str">
            <v>Sp</v>
          </cell>
          <cell r="D218" t="str">
            <v/>
          </cell>
          <cell r="E218"/>
          <cell r="F218" t="str">
            <v>Si non, est-il prévu un autre élément déclencheur de la facture client et si oui, préciser lequel (ex :  le motif de commande - CF Annexe)</v>
          </cell>
          <cell r="G218" t="str">
            <v>Texte</v>
          </cell>
          <cell r="H218" t="str">
            <v>Champ libre</v>
          </cell>
          <cell r="I218" t="str">
            <v>Non concerné pour l'offre</v>
          </cell>
          <cell r="J218" t="str">
            <v/>
          </cell>
          <cell r="K218" t="str">
            <v>VRAI</v>
          </cell>
          <cell r="L218"/>
          <cell r="M218" t="str">
            <v>Spécifique Offre</v>
          </cell>
          <cell r="N218" t="str">
            <v>Non concerné</v>
          </cell>
          <cell r="O218" t="str">
            <v>Non concerné</v>
          </cell>
          <cell r="P218"/>
          <cell r="Q218"/>
          <cell r="R218"/>
          <cell r="S218" t="str">
            <v/>
          </cell>
        </row>
        <row r="219">
          <cell r="A219" t="str">
            <v>El146</v>
          </cell>
          <cell r="B219"/>
          <cell r="C219" t="str">
            <v>Sp</v>
          </cell>
          <cell r="D219" t="str">
            <v/>
          </cell>
          <cell r="E219"/>
          <cell r="F219" t="str">
            <v>Si non, s'agit-il d'une commande à échéance ?</v>
          </cell>
          <cell r="G219" t="str">
            <v xml:space="preserve">Liste choix unique </v>
          </cell>
          <cell r="H219" t="str">
            <v>Oui, il s'agit d'une commande à échéance;Non, il ne s'agit pas d'une commande à échéance</v>
          </cell>
          <cell r="I219" t="str">
            <v>Non concerné pour l'offre</v>
          </cell>
          <cell r="J219" t="str">
            <v>x</v>
          </cell>
          <cell r="K219" t="str">
            <v>VRAI</v>
          </cell>
          <cell r="L219"/>
          <cell r="M219" t="str">
            <v>Spécifique Offre</v>
          </cell>
          <cell r="N219" t="str">
            <v>Non concerné</v>
          </cell>
          <cell r="O219" t="str">
            <v>Non concerné</v>
          </cell>
          <cell r="P219"/>
          <cell r="Q219"/>
          <cell r="R219"/>
          <cell r="S219" t="str">
            <v/>
          </cell>
        </row>
        <row r="220">
          <cell r="A220" t="str">
            <v>El147</v>
          </cell>
          <cell r="B220"/>
          <cell r="C220" t="str">
            <v>U</v>
          </cell>
          <cell r="D220" t="str">
            <v>Multi terme (échu et échoir)</v>
          </cell>
          <cell r="E220"/>
          <cell r="F220" t="str">
            <v>Si oui, quel est le terme applicable</v>
          </cell>
          <cell r="G220" t="str">
            <v>Liste choix multiple</v>
          </cell>
          <cell r="H220" t="str">
            <v>Terme échoir;Terme échu;Multi terme (échu et échoir)</v>
          </cell>
          <cell r="I220" t="str">
            <v>Standard non applicable pour cette offre au regard des réponses précédentes apportées</v>
          </cell>
          <cell r="J220" t="str">
            <v>x</v>
          </cell>
          <cell r="K220" t="str">
            <v>VRAI</v>
          </cell>
          <cell r="L220"/>
          <cell r="M220" t="str">
            <v>Non concerné</v>
          </cell>
          <cell r="N220" t="str">
            <v>Non concerné</v>
          </cell>
          <cell r="O220" t="str">
            <v>Non concerné</v>
          </cell>
          <cell r="P220"/>
          <cell r="Q220"/>
          <cell r="R220"/>
          <cell r="S220" t="str">
            <v/>
          </cell>
        </row>
        <row r="221">
          <cell r="A221" t="str">
            <v>El493test</v>
          </cell>
          <cell r="B221"/>
          <cell r="C221" t="str">
            <v>U</v>
          </cell>
          <cell r="D221" t="str">
            <v>Mensuelle;Trimestrielle;Semestrielle;Annuelle</v>
          </cell>
          <cell r="E221"/>
          <cell r="F221" t="str">
            <v>tototototo</v>
          </cell>
          <cell r="G221" t="str">
            <v>Texte</v>
          </cell>
          <cell r="H221"/>
          <cell r="I221" t="str">
            <v>Standard non applicable pour cette offre au regard des réponses précédentes apportées</v>
          </cell>
          <cell r="J221"/>
          <cell r="K221" t="str">
            <v>VRAI</v>
          </cell>
          <cell r="L221"/>
          <cell r="M221" t="str">
            <v>Non concerné</v>
          </cell>
          <cell r="N221" t="str">
            <v>Non concerné</v>
          </cell>
          <cell r="O221" t="str">
            <v>Non concerné</v>
          </cell>
          <cell r="P221"/>
          <cell r="Q221"/>
          <cell r="R221"/>
          <cell r="S221" t="str">
            <v/>
          </cell>
        </row>
        <row r="222">
          <cell r="A222" t="str">
            <v>El493</v>
          </cell>
          <cell r="B222"/>
          <cell r="C222" t="str">
            <v>U</v>
          </cell>
          <cell r="D222" t="str">
            <v>Mensuelle;Trimestrielle;Semestrielle;Annuelle</v>
          </cell>
          <cell r="E222"/>
          <cell r="F222" t="str">
            <v>Si oui, préciser la périodicité applicable</v>
          </cell>
          <cell r="G222" t="str">
            <v>Liste choix multiple</v>
          </cell>
          <cell r="H222" t="str">
            <v>Mensuelle; trimestrielle; semestrielle, annuelle</v>
          </cell>
          <cell r="I222" t="str">
            <v>Standard non applicable pour cette offre au regard des réponses précédentes apportées</v>
          </cell>
          <cell r="J222" t="str">
            <v/>
          </cell>
          <cell r="K222" t="str">
            <v>VRAI</v>
          </cell>
          <cell r="L222"/>
          <cell r="M222" t="str">
            <v>Non concerné</v>
          </cell>
          <cell r="N222" t="str">
            <v>Non concerné</v>
          </cell>
          <cell r="O222" t="str">
            <v>Non concerné</v>
          </cell>
          <cell r="P222"/>
          <cell r="Q222"/>
          <cell r="R222"/>
          <cell r="S222" t="str">
            <v/>
          </cell>
        </row>
        <row r="223">
          <cell r="A223" t="str">
            <v>ElTT442</v>
          </cell>
          <cell r="B223"/>
          <cell r="C223" t="str">
            <v>Titre</v>
          </cell>
          <cell r="D223" t="str">
            <v/>
          </cell>
          <cell r="E223"/>
          <cell r="F223" t="str">
            <v>06.3 Flux de facturation fournisseur</v>
          </cell>
          <cell r="G223"/>
          <cell r="H223"/>
          <cell r="I223" t="str">
            <v/>
          </cell>
          <cell r="J223" t="str">
            <v/>
          </cell>
          <cell r="K223"/>
          <cell r="L223"/>
          <cell r="M223" t="str">
            <v/>
          </cell>
          <cell r="N223" t="str">
            <v>Non concerné</v>
          </cell>
          <cell r="O223" t="str">
            <v>Non concerné</v>
          </cell>
          <cell r="P223"/>
          <cell r="Q223"/>
          <cell r="R223"/>
          <cell r="S223" t="str">
            <v/>
          </cell>
        </row>
        <row r="224">
          <cell r="A224" t="str">
            <v>El148</v>
          </cell>
          <cell r="B224"/>
          <cell r="C224" t="str">
            <v>E</v>
          </cell>
          <cell r="D224" t="str">
            <v>Oui, flux facturation fournisseur standard</v>
          </cell>
          <cell r="E224"/>
          <cell r="F224" t="str">
            <v>Le flux de facturation fournisseur correspond au standard (commande d'achat = facture) ?</v>
          </cell>
          <cell r="G224" t="str">
            <v xml:space="preserve">Liste choix unique </v>
          </cell>
          <cell r="H224" t="str">
            <v>Oui, flux facturation fournisseur standard; Non, flux facturation fournisseur dérogatoire</v>
          </cell>
          <cell r="I224" t="str">
            <v>Oui, flux facturation fournisseur standard</v>
          </cell>
          <cell r="J224" t="str">
            <v>x</v>
          </cell>
          <cell r="K224"/>
          <cell r="L224"/>
          <cell r="M224" t="str">
            <v>Conforme au standard</v>
          </cell>
          <cell r="N224" t="str">
            <v>Non concerné</v>
          </cell>
          <cell r="O224" t="str">
            <v>Non concerné</v>
          </cell>
          <cell r="P224"/>
          <cell r="Q224"/>
          <cell r="R224"/>
          <cell r="S224" t="str">
            <v/>
          </cell>
        </row>
        <row r="225">
          <cell r="A225" t="str">
            <v>El149</v>
          </cell>
          <cell r="B225"/>
          <cell r="C225" t="str">
            <v>Sp</v>
          </cell>
          <cell r="D225" t="str">
            <v/>
          </cell>
          <cell r="E225"/>
          <cell r="F225" t="str">
            <v>Si non, justifier et présenter le schéma de facturation dérogatoire (ex : une commande = plusieurs factures)</v>
          </cell>
          <cell r="G225" t="str">
            <v>Texte</v>
          </cell>
          <cell r="H225" t="str">
            <v>Champ libre</v>
          </cell>
          <cell r="I225" t="str">
            <v>Non concerné pour l'offre</v>
          </cell>
          <cell r="J225" t="str">
            <v/>
          </cell>
          <cell r="K225" t="str">
            <v>VRAI</v>
          </cell>
          <cell r="L225"/>
          <cell r="M225" t="str">
            <v>Spécifique Offre</v>
          </cell>
          <cell r="N225" t="str">
            <v>Non concerné</v>
          </cell>
          <cell r="O225" t="str">
            <v>Non concerné</v>
          </cell>
          <cell r="P225"/>
          <cell r="Q225"/>
          <cell r="R225"/>
          <cell r="S225" t="str">
            <v/>
          </cell>
        </row>
        <row r="226">
          <cell r="A226" t="str">
            <v>El150</v>
          </cell>
          <cell r="B226"/>
          <cell r="C226" t="str">
            <v>U</v>
          </cell>
          <cell r="D226" t="str">
            <v>Non, Facturation indépendante d'un échéancier</v>
          </cell>
          <cell r="E226"/>
          <cell r="F226" t="str">
            <v>Facturation dépendante d'un échéancier ?</v>
          </cell>
          <cell r="G226" t="str">
            <v xml:space="preserve">Liste choix unique </v>
          </cell>
          <cell r="H226" t="str">
            <v>Oui, Facturation dépendante d'un échéancier;Oui, Facturation dépendante d'un échéancier sauf pour les prestations de maintenance;Non, Facturation indépendante d'un échéancier</v>
          </cell>
          <cell r="I226" t="str">
            <v>Non, Facturation indépendante d'un échéancier</v>
          </cell>
          <cell r="J226" t="str">
            <v/>
          </cell>
          <cell r="K226"/>
          <cell r="L226"/>
          <cell r="M226" t="str">
            <v>Conforme au standard</v>
          </cell>
          <cell r="N226" t="str">
            <v>Non concerné</v>
          </cell>
          <cell r="O226" t="str">
            <v>Non concerné</v>
          </cell>
          <cell r="P226"/>
          <cell r="Q226"/>
          <cell r="R226"/>
          <cell r="S226" t="str">
            <v>=</v>
          </cell>
        </row>
        <row r="227">
          <cell r="A227" t="str">
            <v>El151</v>
          </cell>
          <cell r="B227"/>
          <cell r="C227" t="str">
            <v>U</v>
          </cell>
          <cell r="D227" t="str">
            <v>Oui, commande à échéance</v>
          </cell>
          <cell r="E227"/>
          <cell r="F227" t="str">
            <v xml:space="preserve">S'agit-il d'une commande à échéance ? </v>
          </cell>
          <cell r="G227" t="str">
            <v xml:space="preserve">Liste choix unique </v>
          </cell>
          <cell r="H227" t="str">
            <v>Oui, Commande à échéance sauf pour les prestations de maintenance; Non, absence de commande à échéance; Oui, commande à échéance</v>
          </cell>
          <cell r="I227" t="str">
            <v>Oui, commande à échéance</v>
          </cell>
          <cell r="J227" t="str">
            <v>x</v>
          </cell>
          <cell r="K227"/>
          <cell r="L227"/>
          <cell r="M227" t="str">
            <v>Conforme au standard</v>
          </cell>
          <cell r="N227" t="str">
            <v>Non concerné</v>
          </cell>
          <cell r="O227" t="str">
            <v>Non concerné</v>
          </cell>
          <cell r="P227"/>
          <cell r="Q227"/>
          <cell r="R227"/>
          <cell r="S227" t="str">
            <v>=</v>
          </cell>
        </row>
        <row r="228">
          <cell r="A228" t="str">
            <v>El151b</v>
          </cell>
          <cell r="B228"/>
          <cell r="C228" t="str">
            <v>Sp</v>
          </cell>
          <cell r="D228" t="str">
            <v/>
          </cell>
          <cell r="E228"/>
          <cell r="F228" t="str">
            <v>Si oui, en préciser le type d'échéance</v>
          </cell>
          <cell r="G228" t="str">
            <v xml:space="preserve">Liste choix unique </v>
          </cell>
          <cell r="H228" t="str">
            <v>Mono échéance; Multi échéance; Mixte (Mono et Multi échéance)</v>
          </cell>
          <cell r="I228" t="str">
            <v/>
          </cell>
          <cell r="J228" t="str">
            <v>x</v>
          </cell>
          <cell r="K228"/>
          <cell r="L228"/>
          <cell r="M228" t="str">
            <v>Renseigner la réponse DCO</v>
          </cell>
          <cell r="N228" t="str">
            <v>Non concerné</v>
          </cell>
          <cell r="O228" t="str">
            <v>Non concerné</v>
          </cell>
          <cell r="P228"/>
          <cell r="Q228"/>
          <cell r="R228"/>
          <cell r="S228" t="str">
            <v/>
          </cell>
        </row>
        <row r="229">
          <cell r="A229" t="str">
            <v>El152</v>
          </cell>
          <cell r="B229"/>
          <cell r="C229" t="str">
            <v>Sp</v>
          </cell>
          <cell r="D229" t="str">
            <v/>
          </cell>
          <cell r="E229"/>
          <cell r="F229" t="str">
            <v>Si mono échéance, en préciser le terme applicable</v>
          </cell>
          <cell r="G229" t="str">
            <v xml:space="preserve">Liste choix unique </v>
          </cell>
          <cell r="H229" t="str">
            <v>Terme échoir ; Terme échu ; Multi terme (échu et échoir)</v>
          </cell>
          <cell r="I229" t="str">
            <v>Non concerné pour l'offre</v>
          </cell>
          <cell r="J229" t="str">
            <v/>
          </cell>
          <cell r="K229" t="str">
            <v>VRAI</v>
          </cell>
          <cell r="L229"/>
          <cell r="M229" t="str">
            <v>Spécifique Offre</v>
          </cell>
          <cell r="N229" t="str">
            <v>Non concerné</v>
          </cell>
          <cell r="O229" t="str">
            <v>Non concerné</v>
          </cell>
          <cell r="P229"/>
          <cell r="Q229"/>
          <cell r="R229"/>
          <cell r="S229" t="str">
            <v/>
          </cell>
        </row>
        <row r="230">
          <cell r="A230" t="str">
            <v>El494</v>
          </cell>
          <cell r="B230"/>
          <cell r="C230" t="str">
            <v>Sp</v>
          </cell>
          <cell r="D230" t="str">
            <v/>
          </cell>
          <cell r="E230"/>
          <cell r="F230" t="str">
            <v>Si mono échéance, préciser la périodicité applicable</v>
          </cell>
          <cell r="G230" t="str">
            <v>Liste choix unique</v>
          </cell>
          <cell r="H230" t="str">
            <v>Mensuelle; trimestrielle; semestrielle, annuelle</v>
          </cell>
          <cell r="I230" t="str">
            <v>Non concerné pour l'offre</v>
          </cell>
          <cell r="J230"/>
          <cell r="K230" t="str">
            <v>VRAI</v>
          </cell>
          <cell r="L230"/>
          <cell r="M230" t="str">
            <v>Spécifique Offre</v>
          </cell>
          <cell r="N230" t="str">
            <v>Non concerné</v>
          </cell>
          <cell r="O230" t="str">
            <v>Non concerné</v>
          </cell>
          <cell r="P230"/>
          <cell r="Q230"/>
          <cell r="R230"/>
          <cell r="S230" t="str">
            <v/>
          </cell>
        </row>
        <row r="231">
          <cell r="A231" t="str">
            <v>El152b</v>
          </cell>
          <cell r="B231"/>
          <cell r="C231" t="str">
            <v>Sp</v>
          </cell>
          <cell r="D231" t="str">
            <v/>
          </cell>
          <cell r="E231"/>
          <cell r="F231" t="str">
            <v>Si multi échéance, en préciser le terme applicable</v>
          </cell>
          <cell r="G231" t="str">
            <v xml:space="preserve">Liste choix unique </v>
          </cell>
          <cell r="H231" t="str">
            <v>Terme échoir ; Terme échu ; Multi terme (échu et échoir)</v>
          </cell>
          <cell r="I231" t="str">
            <v>Non concerné pour l'offre</v>
          </cell>
          <cell r="J231" t="str">
            <v/>
          </cell>
          <cell r="K231" t="str">
            <v>VRAI</v>
          </cell>
          <cell r="L231"/>
          <cell r="M231" t="str">
            <v>Spécifique Offre</v>
          </cell>
          <cell r="N231" t="str">
            <v>Non concerné</v>
          </cell>
          <cell r="O231" t="str">
            <v>Non concerné</v>
          </cell>
          <cell r="P231"/>
          <cell r="Q231"/>
          <cell r="R231"/>
          <cell r="S231" t="str">
            <v/>
          </cell>
        </row>
        <row r="232">
          <cell r="A232" t="str">
            <v>El494b</v>
          </cell>
          <cell r="B232"/>
          <cell r="C232" t="str">
            <v>Sp</v>
          </cell>
          <cell r="D232" t="str">
            <v/>
          </cell>
          <cell r="E232"/>
          <cell r="F232" t="str">
            <v>Si multi échéance, préciser la périodicité applicable</v>
          </cell>
          <cell r="G232" t="str">
            <v>Liste choix unique</v>
          </cell>
          <cell r="H232" t="str">
            <v>Mensuelle; trimestrielle; semestrielle, annuelle</v>
          </cell>
          <cell r="I232" t="str">
            <v>Non concerné pour l'offre</v>
          </cell>
          <cell r="J232"/>
          <cell r="K232" t="str">
            <v>VRAI</v>
          </cell>
          <cell r="L232"/>
          <cell r="M232" t="str">
            <v>Spécifique Offre</v>
          </cell>
          <cell r="N232" t="str">
            <v>Non concerné</v>
          </cell>
          <cell r="O232" t="str">
            <v>Non concerné</v>
          </cell>
          <cell r="P232"/>
          <cell r="Q232"/>
          <cell r="R232"/>
          <cell r="S232" t="str">
            <v/>
          </cell>
        </row>
        <row r="233">
          <cell r="A233" t="str">
            <v>El495</v>
          </cell>
          <cell r="B233"/>
          <cell r="C233" t="str">
            <v>Sp</v>
          </cell>
          <cell r="D233" t="str">
            <v/>
          </cell>
          <cell r="E233"/>
          <cell r="F233" t="str">
            <v>Est-il prévu des prestations de travaux facturable à un sous-traitant ?</v>
          </cell>
          <cell r="G233" t="str">
            <v xml:space="preserve">Liste choix unique </v>
          </cell>
          <cell r="H233" t="str">
            <v xml:space="preserve">Oui, il est prévu des prestations de travaux exécutables par des sous-traitants;Non, aucune prestation de travaux </v>
          </cell>
          <cell r="I233" t="str">
            <v/>
          </cell>
          <cell r="J233" t="str">
            <v/>
          </cell>
          <cell r="K233"/>
          <cell r="L233"/>
          <cell r="M233" t="str">
            <v>Renseigner la réponse DCO</v>
          </cell>
          <cell r="N233" t="str">
            <v>Non concerné</v>
          </cell>
          <cell r="O233" t="str">
            <v>Non concerné</v>
          </cell>
          <cell r="P233"/>
          <cell r="Q233"/>
          <cell r="R233"/>
          <cell r="S233" t="str">
            <v/>
          </cell>
        </row>
        <row r="234">
          <cell r="A234" t="str">
            <v>El153</v>
          </cell>
          <cell r="B234"/>
          <cell r="C234" t="str">
            <v>E</v>
          </cell>
          <cell r="D234" t="str">
            <v>Oui, facturation fournisseur en totalité</v>
          </cell>
          <cell r="E234"/>
          <cell r="F234" t="str">
            <v>Facturation fournisseur en totalité (hors acomptes, avances…)</v>
          </cell>
          <cell r="G234" t="str">
            <v xml:space="preserve">Liste choix unique </v>
          </cell>
          <cell r="H234" t="str">
            <v>Oui, facturation fournisseur en totalité;Non, facturation fournisseur partielle</v>
          </cell>
          <cell r="I234" t="str">
            <v>Oui, facturation fournisseur en totalité</v>
          </cell>
          <cell r="J234" t="str">
            <v>x</v>
          </cell>
          <cell r="K234"/>
          <cell r="L234"/>
          <cell r="M234" t="str">
            <v>Conforme au standard</v>
          </cell>
          <cell r="N234" t="str">
            <v>Non concerné</v>
          </cell>
          <cell r="O234" t="str">
            <v>Non concerné</v>
          </cell>
          <cell r="P234"/>
          <cell r="Q234"/>
          <cell r="R234"/>
          <cell r="S234" t="str">
            <v/>
          </cell>
        </row>
        <row r="235">
          <cell r="A235" t="str">
            <v>El154</v>
          </cell>
          <cell r="B235"/>
          <cell r="C235" t="str">
            <v>Sp</v>
          </cell>
          <cell r="D235" t="str">
            <v/>
          </cell>
          <cell r="E235"/>
          <cell r="F235" t="str">
            <v>Si non, justifier de la facturation partielle</v>
          </cell>
          <cell r="G235" t="str">
            <v>Texte</v>
          </cell>
          <cell r="H235" t="str">
            <v>Champ libre</v>
          </cell>
          <cell r="I235" t="str">
            <v>Non concerné pour l'offre</v>
          </cell>
          <cell r="J235" t="str">
            <v/>
          </cell>
          <cell r="K235" t="str">
            <v>VRAI</v>
          </cell>
          <cell r="L235"/>
          <cell r="M235" t="str">
            <v>Spécifique Offre</v>
          </cell>
          <cell r="N235" t="str">
            <v>Non concerné</v>
          </cell>
          <cell r="O235" t="str">
            <v>Non concerné</v>
          </cell>
          <cell r="P235"/>
          <cell r="Q235"/>
          <cell r="R235"/>
          <cell r="S235" t="str">
            <v/>
          </cell>
        </row>
        <row r="236">
          <cell r="A236" t="str">
            <v>El155</v>
          </cell>
          <cell r="B236"/>
          <cell r="C236" t="str">
            <v>D</v>
          </cell>
          <cell r="D236" t="str">
            <v>Absence de format de facturation en xml</v>
          </cell>
          <cell r="E236"/>
          <cell r="F236" t="str">
            <v>Format de facturation est-il en xml (réel constaté, facturation partielle et à forte volumétrie) ?</v>
          </cell>
          <cell r="G236" t="str">
            <v xml:space="preserve">Liste choix unique </v>
          </cell>
          <cell r="H236" t="str">
            <v>Absence de format de facturation en xml;format de facturation en xml</v>
          </cell>
          <cell r="I236" t="str">
            <v>Absence de format de facturation en xml</v>
          </cell>
          <cell r="J236" t="str">
            <v/>
          </cell>
          <cell r="K236"/>
          <cell r="L236"/>
          <cell r="M236" t="str">
            <v>Conforme au standard</v>
          </cell>
          <cell r="N236" t="str">
            <v>Non concerné</v>
          </cell>
          <cell r="O236" t="str">
            <v>Non concerné</v>
          </cell>
          <cell r="P236"/>
          <cell r="Q236"/>
          <cell r="R236"/>
          <cell r="S236" t="str">
            <v/>
          </cell>
        </row>
        <row r="237">
          <cell r="A237" t="str">
            <v>ElTT443</v>
          </cell>
          <cell r="B237"/>
          <cell r="C237" t="str">
            <v>Titre</v>
          </cell>
          <cell r="D237" t="str">
            <v/>
          </cell>
          <cell r="E237"/>
          <cell r="F237" t="str">
            <v xml:space="preserve">06.4 Modalités / Actions spécifiques ou particulières sont identifiées pour le paiement  </v>
          </cell>
          <cell r="G237"/>
          <cell r="H237"/>
          <cell r="I237" t="str">
            <v/>
          </cell>
          <cell r="J237" t="str">
            <v/>
          </cell>
          <cell r="K237"/>
          <cell r="L237"/>
          <cell r="M237" t="str">
            <v/>
          </cell>
          <cell r="N237" t="str">
            <v>Non concerné</v>
          </cell>
          <cell r="O237" t="str">
            <v>Non concerné</v>
          </cell>
          <cell r="P237"/>
          <cell r="Q237"/>
          <cell r="R237"/>
          <cell r="S237" t="str">
            <v/>
          </cell>
        </row>
        <row r="238">
          <cell r="A238" t="str">
            <v>El156</v>
          </cell>
          <cell r="B238"/>
          <cell r="C238" t="str">
            <v>U</v>
          </cell>
          <cell r="D238" t="str">
            <v>Non, Absence de modalités particulières pour le paiement</v>
          </cell>
          <cell r="E238"/>
          <cell r="F238" t="str">
            <v>Des actions ou des particularités s'appliquent-elles pour le paiement du client vis-à-vis de l'UGAP et/ou de l'UGAP vis-à-vis du fournisseur ?</v>
          </cell>
          <cell r="G238" t="str">
            <v xml:space="preserve">Liste choix unique </v>
          </cell>
          <cell r="H238" t="str">
            <v>Oui, Modalités particulières pour le paiement;Non, Absence de modalités particulières pour le paiement</v>
          </cell>
          <cell r="I238" t="str">
            <v>Non, Absence de modalités particulières pour le paiement</v>
          </cell>
          <cell r="J238" t="str">
            <v>x</v>
          </cell>
          <cell r="K238"/>
          <cell r="L238"/>
          <cell r="M238" t="str">
            <v>Conforme au standard</v>
          </cell>
          <cell r="N238" t="str">
            <v>Non concerné</v>
          </cell>
          <cell r="O238" t="str">
            <v>Non concerné</v>
          </cell>
          <cell r="P238"/>
          <cell r="Q238"/>
          <cell r="R238"/>
          <cell r="S238" t="str">
            <v/>
          </cell>
        </row>
        <row r="239">
          <cell r="A239" t="str">
            <v>El157b</v>
          </cell>
          <cell r="B239"/>
          <cell r="C239" t="str">
            <v>Sp</v>
          </cell>
          <cell r="D239" t="str">
            <v/>
          </cell>
          <cell r="E239"/>
          <cell r="F239" t="str">
            <v>Si oui, préciser si celles-ci concernent  le client et les particularités qui s'appliquent</v>
          </cell>
          <cell r="G239" t="str">
            <v>Texte</v>
          </cell>
          <cell r="H239" t="str">
            <v>Champ libre</v>
          </cell>
          <cell r="I239" t="str">
            <v>Non concerné pour l'offre</v>
          </cell>
          <cell r="J239" t="str">
            <v/>
          </cell>
          <cell r="K239" t="str">
            <v>VRAI</v>
          </cell>
          <cell r="L239"/>
          <cell r="M239" t="str">
            <v>Spécifique Offre</v>
          </cell>
          <cell r="N239" t="str">
            <v>Non concerné</v>
          </cell>
          <cell r="O239" t="str">
            <v>Non concerné</v>
          </cell>
          <cell r="P239"/>
          <cell r="Q239"/>
          <cell r="R239"/>
          <cell r="S239" t="str">
            <v/>
          </cell>
        </row>
        <row r="240">
          <cell r="A240" t="str">
            <v>El158</v>
          </cell>
          <cell r="B240"/>
          <cell r="C240" t="str">
            <v>Sp</v>
          </cell>
          <cell r="D240" t="str">
            <v/>
          </cell>
          <cell r="E240"/>
          <cell r="F240" t="str">
            <v>Si oui, préciser si celles-ci concernent le fourniseur et les particularités qui s'appliquent</v>
          </cell>
          <cell r="G240" t="str">
            <v>Texte</v>
          </cell>
          <cell r="H240" t="str">
            <v>Champ libre</v>
          </cell>
          <cell r="I240" t="str">
            <v>Non concerné pour l'offre</v>
          </cell>
          <cell r="J240" t="str">
            <v/>
          </cell>
          <cell r="K240" t="str">
            <v>VRAI</v>
          </cell>
          <cell r="L240"/>
          <cell r="M240" t="str">
            <v>Spécifique Offre</v>
          </cell>
          <cell r="N240" t="str">
            <v>Non concerné</v>
          </cell>
          <cell r="O240" t="str">
            <v>Non concerné</v>
          </cell>
          <cell r="P240"/>
          <cell r="Q240"/>
          <cell r="R240"/>
          <cell r="S240" t="str">
            <v/>
          </cell>
        </row>
        <row r="241">
          <cell r="A241" t="str">
            <v>El159</v>
          </cell>
          <cell r="B241"/>
          <cell r="C241" t="str">
            <v>Sp</v>
          </cell>
          <cell r="D241" t="str">
            <v/>
          </cell>
          <cell r="E241"/>
          <cell r="F241" t="str">
            <v>Si oui, préciser si celles-ci concernent l'UGAP et les particularités qui s'appliquent</v>
          </cell>
          <cell r="G241" t="str">
            <v>Texte</v>
          </cell>
          <cell r="H241" t="str">
            <v>Champ libre</v>
          </cell>
          <cell r="I241" t="str">
            <v>Non concerné pour l'offre</v>
          </cell>
          <cell r="J241" t="str">
            <v/>
          </cell>
          <cell r="K241" t="str">
            <v>VRAI</v>
          </cell>
          <cell r="L241"/>
          <cell r="M241" t="str">
            <v>Spécifique Offre</v>
          </cell>
          <cell r="N241" t="str">
            <v>Non concerné</v>
          </cell>
          <cell r="O241" t="str">
            <v>Non concerné</v>
          </cell>
          <cell r="P241"/>
          <cell r="Q241"/>
          <cell r="R241"/>
          <cell r="S241" t="str">
            <v/>
          </cell>
        </row>
        <row r="242">
          <cell r="A242" t="str">
            <v>El156b</v>
          </cell>
          <cell r="B242"/>
          <cell r="C242" t="str">
            <v>U</v>
          </cell>
          <cell r="D242" t="str">
            <v>Absence de système DDP</v>
          </cell>
          <cell r="E242"/>
          <cell r="F242" t="str">
            <v xml:space="preserve">L'offre prévoit-elle un DDP ou Delivered Duty Paid (Rendu droits acquittés) en cas de livraison outre-mer </v>
          </cell>
          <cell r="G242" t="str">
            <v xml:space="preserve">Liste choix unique </v>
          </cell>
          <cell r="H242" t="str">
            <v>Absence de système DDP; Présence de système DDP</v>
          </cell>
          <cell r="I242" t="str">
            <v>Absence de système DDP</v>
          </cell>
          <cell r="J242" t="str">
            <v/>
          </cell>
          <cell r="K242"/>
          <cell r="L242"/>
          <cell r="M242" t="str">
            <v>Conforme au standard</v>
          </cell>
          <cell r="N242" t="str">
            <v>Non concerné</v>
          </cell>
          <cell r="O242" t="str">
            <v>Non concerné</v>
          </cell>
          <cell r="P242"/>
          <cell r="Q242"/>
          <cell r="R242"/>
          <cell r="S242" t="str">
            <v/>
          </cell>
        </row>
        <row r="243">
          <cell r="A243" t="str">
            <v>ElTT444</v>
          </cell>
          <cell r="B243"/>
          <cell r="C243" t="str">
            <v>Titre</v>
          </cell>
          <cell r="D243" t="str">
            <v/>
          </cell>
          <cell r="E243"/>
          <cell r="F243" t="str">
            <v>06.5 Avances / Acomptes</v>
          </cell>
          <cell r="G243"/>
          <cell r="H243"/>
          <cell r="I243" t="str">
            <v/>
          </cell>
          <cell r="J243" t="str">
            <v/>
          </cell>
          <cell r="K243"/>
          <cell r="L243"/>
          <cell r="M243" t="str">
            <v/>
          </cell>
          <cell r="N243" t="str">
            <v>Non concerné</v>
          </cell>
          <cell r="O243" t="str">
            <v>Non concerné</v>
          </cell>
          <cell r="P243"/>
          <cell r="Q243"/>
          <cell r="R243"/>
          <cell r="S243" t="str">
            <v/>
          </cell>
        </row>
        <row r="244">
          <cell r="A244" t="str">
            <v>El160</v>
          </cell>
          <cell r="B244"/>
          <cell r="C244" t="str">
            <v>E</v>
          </cell>
          <cell r="D244" t="str">
            <v>Oui, les modalités sont conformes au code de la commande publique</v>
          </cell>
          <cell r="E244"/>
          <cell r="F244" t="str">
            <v>Les modalités envisagées en terme d'avance sont-elles conformes au code de la commande publique :
Son taux est fixé à 5 %.
Le montant de l’avance versée au titulaire n’est ni révisable ni actualisable ?</v>
          </cell>
          <cell r="G244" t="str">
            <v xml:space="preserve">Liste choix unique </v>
          </cell>
          <cell r="H244" t="str">
            <v>Oui, les modalités sont conformes au code de la commande publique; Non, les modalités sont distinctes du code de la commande publique</v>
          </cell>
          <cell r="I244" t="str">
            <v>Oui, les modalités sont conformes au code de la commande publique</v>
          </cell>
          <cell r="J244" t="str">
            <v>x</v>
          </cell>
          <cell r="K244"/>
          <cell r="L244"/>
          <cell r="M244" t="str">
            <v>Conforme au standard</v>
          </cell>
          <cell r="N244" t="str">
            <v>Non concerné</v>
          </cell>
          <cell r="O244" t="str">
            <v>Non concerné</v>
          </cell>
          <cell r="P244"/>
          <cell r="Q244"/>
          <cell r="R244"/>
          <cell r="S244" t="str">
            <v/>
          </cell>
        </row>
        <row r="245">
          <cell r="A245" t="str">
            <v>El160b</v>
          </cell>
          <cell r="B245"/>
          <cell r="C245" t="str">
            <v>Sp</v>
          </cell>
          <cell r="D245" t="str">
            <v/>
          </cell>
          <cell r="E245"/>
          <cell r="F245" t="str">
            <v>Si non, préciser</v>
          </cell>
          <cell r="G245" t="str">
            <v>Texte</v>
          </cell>
          <cell r="H245" t="str">
            <v>Champ libre</v>
          </cell>
          <cell r="I245" t="str">
            <v>Non concerné pour l'offre</v>
          </cell>
          <cell r="J245" t="str">
            <v/>
          </cell>
          <cell r="K245" t="str">
            <v>VRAI</v>
          </cell>
          <cell r="L245"/>
          <cell r="M245" t="str">
            <v>Spécifique Offre</v>
          </cell>
          <cell r="N245" t="str">
            <v>Non concerné</v>
          </cell>
          <cell r="O245" t="str">
            <v>Non concerné</v>
          </cell>
          <cell r="P245"/>
          <cell r="Q245"/>
          <cell r="R245"/>
          <cell r="S245" t="str">
            <v/>
          </cell>
        </row>
        <row r="246">
          <cell r="A246" t="str">
            <v>El161</v>
          </cell>
          <cell r="B246"/>
          <cell r="C246" t="str">
            <v>D</v>
          </cell>
          <cell r="D246" t="str">
            <v>Non, le montant total des acomptes est dérogatoire</v>
          </cell>
          <cell r="E246"/>
          <cell r="F246" t="str">
            <v>Le montant total des acomptes est conforme au standard et ne peut pas excéder 90% du montant hors taxe de la commande concernée.</v>
          </cell>
          <cell r="G246" t="str">
            <v xml:space="preserve">Liste choix unique </v>
          </cell>
          <cell r="H246" t="str">
            <v>Oui, le montant total des acomptes est conforme au standard; Non, le montant total des acomptes est dérogatoire</v>
          </cell>
          <cell r="I246" t="str">
            <v>Non, le montant total des acomptes est dérogatoire</v>
          </cell>
          <cell r="J246" t="str">
            <v>x</v>
          </cell>
          <cell r="K246"/>
          <cell r="L246"/>
          <cell r="M246" t="str">
            <v>Conforme au standard</v>
          </cell>
          <cell r="N246" t="str">
            <v>Non concerné</v>
          </cell>
          <cell r="O246" t="str">
            <v>Non concerné</v>
          </cell>
          <cell r="P246"/>
          <cell r="Q246"/>
          <cell r="R246"/>
          <cell r="S246" t="str">
            <v/>
          </cell>
        </row>
        <row r="247">
          <cell r="A247" t="str">
            <v>El161b</v>
          </cell>
          <cell r="B247"/>
          <cell r="C247" t="str">
            <v>D</v>
          </cell>
          <cell r="D247" t="str">
            <v>Le pourcentage de 90% est trop élevé pour principalement un report d'exécution</v>
          </cell>
          <cell r="E247"/>
          <cell r="F247" t="str">
            <v>Si non, justifier de la dérogation au standard de 90%</v>
          </cell>
          <cell r="G247" t="str">
            <v>Texte</v>
          </cell>
          <cell r="H247" t="str">
            <v>Champ libre</v>
          </cell>
          <cell r="I247" t="str">
            <v>Le pourcentage de 90% est trop élevé pour principalement un report d'exécution</v>
          </cell>
          <cell r="J247" t="str">
            <v/>
          </cell>
          <cell r="K247"/>
          <cell r="L247"/>
          <cell r="M247" t="str">
            <v>Conforme au standard</v>
          </cell>
          <cell r="N247" t="str">
            <v>Non concerné</v>
          </cell>
          <cell r="O247" t="str">
            <v>Non concerné</v>
          </cell>
          <cell r="P247"/>
          <cell r="Q247"/>
          <cell r="R247"/>
          <cell r="S247" t="str">
            <v/>
          </cell>
        </row>
        <row r="248">
          <cell r="A248" t="str">
            <v>El161c</v>
          </cell>
          <cell r="B248"/>
          <cell r="C248" t="str">
            <v>U</v>
          </cell>
          <cell r="D248">
            <v>0.7</v>
          </cell>
          <cell r="E248"/>
          <cell r="F248" t="str">
            <v>Si non, indiquer le pourcentage</v>
          </cell>
          <cell r="G248" t="str">
            <v xml:space="preserve">Liste de choix ou texte </v>
          </cell>
          <cell r="H248" t="str">
            <v>Champ libre</v>
          </cell>
          <cell r="I248">
            <v>0.7</v>
          </cell>
          <cell r="J248" t="str">
            <v/>
          </cell>
          <cell r="K248"/>
          <cell r="L248"/>
          <cell r="M248" t="str">
            <v>Conforme au standard</v>
          </cell>
          <cell r="N248" t="str">
            <v>Non concerné</v>
          </cell>
          <cell r="O248" t="str">
            <v>Non concerné</v>
          </cell>
          <cell r="P248"/>
          <cell r="Q248"/>
          <cell r="R248"/>
          <cell r="S248" t="str">
            <v/>
          </cell>
        </row>
        <row r="249">
          <cell r="A249" t="str">
            <v>El162</v>
          </cell>
          <cell r="B249"/>
          <cell r="C249" t="str">
            <v>D</v>
          </cell>
          <cell r="D249" t="str">
            <v>Non, Absence d'acompte pour approvisionnement</v>
          </cell>
          <cell r="E249"/>
          <cell r="F249" t="str">
            <v>Un acompte pour approvisionnement est-il prévu ?</v>
          </cell>
          <cell r="G249" t="str">
            <v xml:space="preserve">Liste choix unique </v>
          </cell>
          <cell r="H249" t="str">
            <v>Oui, un acompte pour approvisonnement est prévu;Non, Absence d'acompte pour approvisionnement</v>
          </cell>
          <cell r="I249" t="str">
            <v>Non, Absence d'acompte pour approvisionnement</v>
          </cell>
          <cell r="J249" t="str">
            <v>x</v>
          </cell>
          <cell r="K249"/>
          <cell r="L249"/>
          <cell r="M249" t="str">
            <v>Conforme au standard</v>
          </cell>
          <cell r="N249" t="str">
            <v>Non concerné</v>
          </cell>
          <cell r="O249" t="str">
            <v>Non concerné</v>
          </cell>
          <cell r="P249"/>
          <cell r="Q249"/>
          <cell r="R249"/>
          <cell r="S249" t="str">
            <v/>
          </cell>
        </row>
        <row r="250">
          <cell r="A250" t="str">
            <v>El163</v>
          </cell>
          <cell r="B250"/>
          <cell r="C250" t="str">
            <v>D</v>
          </cell>
          <cell r="D250" t="str">
            <v>Non concerné pour la direction/univers</v>
          </cell>
          <cell r="E250"/>
          <cell r="F250" t="str">
            <v>Si oui, est-il conforme au standard:
- Montant est supérieur à 50 K€
- Délai de la prestation est supérieur à 90 jours 
- Montant d'acompte fixé au maximum à 40% du montant TTC du BDC?</v>
          </cell>
          <cell r="G250" t="str">
            <v>Liste choix unique</v>
          </cell>
          <cell r="H250" t="str">
            <v>Acompte conforme au standard dont le montant est supérieur à 50 000 euros, dont le délai de prestation est supérieur à 90 jours, Maximum 40%, Garantie à première demande; Acompte non conforme au standard</v>
          </cell>
          <cell r="I250" t="str">
            <v>Non concerné pour la direction/univers</v>
          </cell>
          <cell r="J250" t="str">
            <v>x</v>
          </cell>
          <cell r="K250" t="str">
            <v>VRAI</v>
          </cell>
          <cell r="L250"/>
          <cell r="M250" t="str">
            <v>Non concerné</v>
          </cell>
          <cell r="N250" t="str">
            <v>Non concerné</v>
          </cell>
          <cell r="O250" t="str">
            <v>Non concerné</v>
          </cell>
          <cell r="P250"/>
          <cell r="Q250"/>
          <cell r="R250"/>
          <cell r="S250" t="str">
            <v/>
          </cell>
        </row>
        <row r="251">
          <cell r="A251" t="str">
            <v>El163b</v>
          </cell>
          <cell r="B251"/>
          <cell r="C251" t="str">
            <v>D</v>
          </cell>
          <cell r="D251" t="str">
            <v>Non concerné pour la direction/univers</v>
          </cell>
          <cell r="E251"/>
          <cell r="F251" t="str">
            <v>Si non, préciser montant, delai et  le pourcentage</v>
          </cell>
          <cell r="G251" t="str">
            <v>Texte</v>
          </cell>
          <cell r="H251" t="str">
            <v>Champ libre</v>
          </cell>
          <cell r="I251" t="str">
            <v>Non concerné pour la direction/univers</v>
          </cell>
          <cell r="J251" t="str">
            <v/>
          </cell>
          <cell r="K251" t="str">
            <v>VRAI</v>
          </cell>
          <cell r="L251"/>
          <cell r="M251" t="str">
            <v>Non concerné</v>
          </cell>
          <cell r="N251" t="str">
            <v>Non concerné</v>
          </cell>
          <cell r="O251" t="str">
            <v>Non concerné</v>
          </cell>
          <cell r="P251"/>
          <cell r="Q251"/>
          <cell r="R251"/>
          <cell r="S251" t="str">
            <v/>
          </cell>
        </row>
        <row r="252">
          <cell r="A252" t="str">
            <v>El163c</v>
          </cell>
          <cell r="B252"/>
          <cell r="C252" t="str">
            <v>D</v>
          </cell>
          <cell r="D252" t="str">
            <v>Oui, Acompte pour report de livraison d'exécution de plus de 30 jours</v>
          </cell>
          <cell r="E252"/>
          <cell r="F252" t="str">
            <v>Le marché prévoit-il un acompte pour report de livraison/ d'exécution de plus de trente jours ?</v>
          </cell>
          <cell r="G252" t="str">
            <v xml:space="preserve">Liste choix unique </v>
          </cell>
          <cell r="H252" t="str">
            <v>Oui, Acompte pour report de livraison d'exécution de plus de 30 jours;Non, absence d'acompte report de livraison ou d'exécution de plus de 30 jours</v>
          </cell>
          <cell r="I252" t="str">
            <v>Oui, Acompte pour report de livraison d'exécution de plus de 30 jours</v>
          </cell>
          <cell r="J252" t="str">
            <v>x</v>
          </cell>
          <cell r="K252"/>
          <cell r="L252"/>
          <cell r="M252" t="str">
            <v>Conforme au standard</v>
          </cell>
          <cell r="N252" t="str">
            <v>Non concerné</v>
          </cell>
          <cell r="O252" t="str">
            <v>Non concerné</v>
          </cell>
          <cell r="P252"/>
          <cell r="Q252"/>
          <cell r="R252"/>
          <cell r="S252" t="str">
            <v/>
          </cell>
        </row>
        <row r="253">
          <cell r="A253" t="str">
            <v>El163d</v>
          </cell>
          <cell r="B253"/>
          <cell r="C253" t="str">
            <v>E</v>
          </cell>
          <cell r="D253" t="str">
            <v>Oui, acompte conforme au standard des 80% du montant € HT du BDC</v>
          </cell>
          <cell r="E253"/>
          <cell r="F253" t="str">
            <v>Si oui, le montant de cet acompte est-il conforme au standard de 80% du montant HT du BDC?</v>
          </cell>
          <cell r="G253" t="str">
            <v xml:space="preserve">Liste choix unique </v>
          </cell>
          <cell r="H253" t="str">
            <v>Oui, acompte conforme au standard des 80% du montant € HT du BDC;Non, acompte dérogatoire au standard</v>
          </cell>
          <cell r="I253" t="str">
            <v>Oui, acompte conforme au standard des 80% du montant € HT du BDC</v>
          </cell>
          <cell r="J253" t="str">
            <v>x</v>
          </cell>
          <cell r="K253"/>
          <cell r="L253"/>
          <cell r="M253" t="str">
            <v>Conforme au standard</v>
          </cell>
          <cell r="N253" t="str">
            <v>Non concerné</v>
          </cell>
          <cell r="O253" t="str">
            <v>Non concerné</v>
          </cell>
          <cell r="P253"/>
          <cell r="Q253"/>
          <cell r="R253"/>
          <cell r="S253" t="str">
            <v/>
          </cell>
        </row>
        <row r="254">
          <cell r="A254" t="str">
            <v>El392</v>
          </cell>
          <cell r="B254"/>
          <cell r="C254" t="str">
            <v>Sp</v>
          </cell>
          <cell r="D254" t="str">
            <v/>
          </cell>
          <cell r="E254"/>
          <cell r="F254" t="str">
            <v>Si non, préciser le pourcentage applicabe</v>
          </cell>
          <cell r="G254" t="str">
            <v>Texte</v>
          </cell>
          <cell r="H254" t="str">
            <v>Champ libre</v>
          </cell>
          <cell r="I254" t="str">
            <v>Non concerné pour l'offre</v>
          </cell>
          <cell r="J254" t="str">
            <v/>
          </cell>
          <cell r="K254" t="str">
            <v>VRAI</v>
          </cell>
          <cell r="L254"/>
          <cell r="M254" t="str">
            <v>Spécifique Offre</v>
          </cell>
          <cell r="N254" t="str">
            <v>Non concerné</v>
          </cell>
          <cell r="O254" t="str">
            <v>Non concerné</v>
          </cell>
          <cell r="P254"/>
          <cell r="Q254"/>
          <cell r="R254"/>
          <cell r="S254" t="str">
            <v/>
          </cell>
        </row>
        <row r="255">
          <cell r="A255" t="str">
            <v>El163e</v>
          </cell>
          <cell r="B255"/>
          <cell r="C255" t="str">
            <v>D</v>
          </cell>
          <cell r="D255" t="str">
            <v>Non concerné pour la direction/univers</v>
          </cell>
          <cell r="E255"/>
          <cell r="F255" t="str">
            <v>Le marché prévoit-il un acompte pour remise de la tête de série?</v>
          </cell>
          <cell r="G255" t="str">
            <v xml:space="preserve">Liste choix unique </v>
          </cell>
          <cell r="H255" t="str">
            <v>Oui, Acompte pour remise de la tête de série;Non, absence d'acompte pour remise de la tête de série</v>
          </cell>
          <cell r="I255" t="str">
            <v>Non concerné pour la direction/univers</v>
          </cell>
          <cell r="J255" t="str">
            <v>x</v>
          </cell>
          <cell r="K255" t="str">
            <v>VRAI</v>
          </cell>
          <cell r="L255"/>
          <cell r="M255" t="str">
            <v>Non concerné</v>
          </cell>
          <cell r="N255" t="str">
            <v>Non concerné</v>
          </cell>
          <cell r="O255" t="str">
            <v>Non concerné</v>
          </cell>
          <cell r="P255"/>
          <cell r="Q255"/>
          <cell r="R255"/>
          <cell r="S255" t="str">
            <v/>
          </cell>
        </row>
        <row r="256">
          <cell r="A256" t="str">
            <v>El163f</v>
          </cell>
          <cell r="B256"/>
          <cell r="C256" t="str">
            <v>D</v>
          </cell>
          <cell r="D256" t="str">
            <v>Non concerné pour la direction/univers</v>
          </cell>
          <cell r="E256"/>
          <cell r="F256" t="str">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ell>
          <cell r="G256" t="str">
            <v xml:space="preserve">Liste choix unique </v>
          </cell>
          <cell r="H256" t="str">
            <v>Oui, acompte conforme au standard;Non, acompte dérogatoire au standard</v>
          </cell>
          <cell r="I256" t="str">
            <v>Non concerné pour la direction/univers</v>
          </cell>
          <cell r="J256" t="str">
            <v/>
          </cell>
          <cell r="K256" t="str">
            <v>VRAI</v>
          </cell>
          <cell r="L256"/>
          <cell r="M256" t="str">
            <v>Non concerné</v>
          </cell>
          <cell r="N256" t="str">
            <v>Non concerné</v>
          </cell>
          <cell r="O256" t="str">
            <v>Non concerné</v>
          </cell>
          <cell r="P256"/>
          <cell r="Q256"/>
          <cell r="R256"/>
          <cell r="S256" t="str">
            <v/>
          </cell>
        </row>
        <row r="257">
          <cell r="A257" t="str">
            <v>ElT449</v>
          </cell>
          <cell r="B257"/>
          <cell r="C257" t="str">
            <v>Titre</v>
          </cell>
          <cell r="D257" t="str">
            <v/>
          </cell>
          <cell r="E257"/>
          <cell r="F257" t="str">
            <v>07.0 PILOTER LA PERFORMANCE FOURNISSEUR</v>
          </cell>
          <cell r="G257"/>
          <cell r="H257"/>
          <cell r="I257" t="str">
            <v/>
          </cell>
          <cell r="J257" t="str">
            <v/>
          </cell>
          <cell r="K257"/>
          <cell r="L257"/>
          <cell r="M257" t="str">
            <v/>
          </cell>
          <cell r="N257" t="str">
            <v>Non concerné</v>
          </cell>
          <cell r="O257" t="str">
            <v>Non concerné</v>
          </cell>
          <cell r="P257"/>
          <cell r="Q257"/>
          <cell r="R257"/>
          <cell r="S257" t="str">
            <v/>
          </cell>
        </row>
        <row r="258">
          <cell r="A258" t="str">
            <v>ElTT450</v>
          </cell>
          <cell r="B258"/>
          <cell r="C258" t="str">
            <v>Titre</v>
          </cell>
          <cell r="D258" t="str">
            <v/>
          </cell>
          <cell r="E258"/>
          <cell r="F258" t="str">
            <v>07.1 Qualité de service et suivi des titulaires</v>
          </cell>
          <cell r="G258"/>
          <cell r="H258"/>
          <cell r="I258" t="str">
            <v/>
          </cell>
          <cell r="J258" t="str">
            <v/>
          </cell>
          <cell r="K258"/>
          <cell r="L258"/>
          <cell r="M258" t="str">
            <v/>
          </cell>
          <cell r="N258" t="str">
            <v>Non concerné</v>
          </cell>
          <cell r="O258" t="str">
            <v>Non concerné</v>
          </cell>
          <cell r="P258"/>
          <cell r="Q258"/>
          <cell r="R258"/>
          <cell r="S258" t="str">
            <v/>
          </cell>
        </row>
        <row r="259">
          <cell r="A259" t="str">
            <v>El205a</v>
          </cell>
          <cell r="B259"/>
          <cell r="C259" t="str">
            <v>E</v>
          </cell>
          <cell r="D259" t="str">
            <v>Oui, une clause relative aux réunions de suivi doit être prévue au marché</v>
          </cell>
          <cell r="E259"/>
          <cell r="F259" t="str">
            <v xml:space="preserve">Une clause relative aux réunions de suivi doit-elle être prévue ? </v>
          </cell>
          <cell r="G259" t="str">
            <v xml:space="preserve">Liste choix unique </v>
          </cell>
          <cell r="H259" t="str">
            <v>Oui, une clause relative aux réunions de suivi doit être prévue au marché; Non, pas de clause de réunion de suivi à prévoir</v>
          </cell>
          <cell r="I259" t="str">
            <v>Oui, une clause relative aux réunions de suivi doit être prévue au marché</v>
          </cell>
          <cell r="J259" t="str">
            <v/>
          </cell>
          <cell r="K259"/>
          <cell r="L259"/>
          <cell r="M259" t="str">
            <v>Conforme au standard</v>
          </cell>
          <cell r="N259" t="str">
            <v>Non concerné</v>
          </cell>
          <cell r="O259" t="str">
            <v>Non concerné</v>
          </cell>
          <cell r="P259"/>
          <cell r="Q259"/>
          <cell r="R259"/>
          <cell r="S259" t="str">
            <v/>
          </cell>
        </row>
        <row r="260">
          <cell r="A260" t="str">
            <v>EL492</v>
          </cell>
          <cell r="B260"/>
          <cell r="C260" t="str">
            <v>E</v>
          </cell>
          <cell r="D260" t="str">
            <v>Non, il n'est pas prévu de dispositif de Bonus/Malus</v>
          </cell>
          <cell r="E260"/>
          <cell r="F260" t="str">
            <v xml:space="preserve">Est-il prévu un dispositif Bonus/Malus pour inciter les fournisseurs à améliorer la qualité de service ? </v>
          </cell>
          <cell r="G260" t="str">
            <v>Liste choix unique</v>
          </cell>
          <cell r="H260" t="str">
            <v>Oui, il est prévu un dispositif de Bonus/Malus; Non, il n'est pas prévu de dispositif de Bonus/Malus</v>
          </cell>
          <cell r="I260" t="str">
            <v>Non, il n'est pas prévu de dispositif de Bonus/Malus</v>
          </cell>
          <cell r="J260" t="str">
            <v/>
          </cell>
          <cell r="K260"/>
          <cell r="L260"/>
          <cell r="M260" t="str">
            <v>Conforme au standard</v>
          </cell>
          <cell r="N260" t="str">
            <v>Non concerné</v>
          </cell>
          <cell r="O260" t="str">
            <v>Non concerné</v>
          </cell>
          <cell r="P260"/>
          <cell r="Q260"/>
          <cell r="R260"/>
          <cell r="S260" t="str">
            <v/>
          </cell>
        </row>
        <row r="261">
          <cell r="A261" t="str">
            <v>El205</v>
          </cell>
          <cell r="B261"/>
          <cell r="C261" t="str">
            <v>D</v>
          </cell>
          <cell r="D261" t="str">
            <v>Critères prévus dans le cadre de l’analyse multicritère des offres</v>
          </cell>
          <cell r="E261"/>
          <cell r="F261" t="str">
            <v xml:space="preserve">La mesure de la qualité de service et du suivi des titulaires sont réalisés au travers des critères </v>
          </cell>
          <cell r="G261" t="str">
            <v>Liste choix multiple</v>
          </cell>
          <cell r="H261" t="str">
            <v>Critères prévus dans le cadre de l’analyse multicritère des offres;Définition de l’objet du (des) lot(s) et/ou éléments obligatoires du cahier des charges;Pilotage avec KPI (key performance indicator – indicateurs clés de performance);Pas de critère Qualité de Service</v>
          </cell>
          <cell r="I261" t="str">
            <v>Critères prévus dans le cadre de l’analyse multicritère des offres</v>
          </cell>
          <cell r="J261" t="str">
            <v>x</v>
          </cell>
          <cell r="K261"/>
          <cell r="L261"/>
          <cell r="M261" t="str">
            <v>Conforme au standard</v>
          </cell>
          <cell r="N261" t="str">
            <v>Non concerné</v>
          </cell>
          <cell r="O261" t="str">
            <v>Non concerné</v>
          </cell>
          <cell r="P261"/>
          <cell r="Q261"/>
          <cell r="R261"/>
          <cell r="S261" t="str">
            <v>=</v>
          </cell>
        </row>
        <row r="262">
          <cell r="A262" t="str">
            <v>El206</v>
          </cell>
          <cell r="B262"/>
          <cell r="C262" t="str">
            <v>D</v>
          </cell>
          <cell r="D262" t="str">
            <v>Indicateurs SINOE</v>
          </cell>
          <cell r="E262"/>
          <cell r="F262" t="str">
            <v>Si pilotage avec KPI, indiquer les indicateurs envisager pour suivre l'exécution</v>
          </cell>
          <cell r="G262" t="str">
            <v>Liste choix unique</v>
          </cell>
          <cell r="H262" t="str">
            <v>Indicateurs SINOE;Autre</v>
          </cell>
          <cell r="I262" t="str">
            <v>Standard non applicable pour cette offre au regard des réponses précédentes apportées</v>
          </cell>
          <cell r="J262" t="str">
            <v>x</v>
          </cell>
          <cell r="K262" t="str">
            <v>VRAI</v>
          </cell>
          <cell r="L262"/>
          <cell r="M262" t="str">
            <v>Non concerné</v>
          </cell>
          <cell r="N262" t="str">
            <v>Non concerné</v>
          </cell>
          <cell r="O262" t="str">
            <v>Non concerné</v>
          </cell>
          <cell r="P262"/>
          <cell r="Q262"/>
          <cell r="R262"/>
          <cell r="S262" t="str">
            <v/>
          </cell>
        </row>
        <row r="263">
          <cell r="A263" t="str">
            <v>El206b</v>
          </cell>
          <cell r="B263"/>
          <cell r="C263" t="str">
            <v>Sp</v>
          </cell>
          <cell r="D263" t="str">
            <v/>
          </cell>
          <cell r="E263"/>
          <cell r="F263" t="str">
            <v>Si autre, indiquer les indicateurs envisager pour suivre l'exécution (en cas de sélection autre, saisir directement les indicateurs en texte libre)</v>
          </cell>
          <cell r="G263" t="str">
            <v>Liste choix multiple</v>
          </cell>
          <cell r="H263" t="str">
            <v>Nb fichiers traçabilité traités;Délai transmission fichiers  traçabilité;Tx d prise en compte des commande;Fiabilité livraison prév.;Fiabilité date livraison prév.;Conformité facturation fournisseur;Tx prise en charge des commentaires;Taux litiges résolus / Ou texte libre</v>
          </cell>
          <cell r="I263" t="str">
            <v>Non concerné pour l'offre</v>
          </cell>
          <cell r="J263" t="str">
            <v/>
          </cell>
          <cell r="K263" t="str">
            <v>VRAI</v>
          </cell>
          <cell r="L263"/>
          <cell r="M263" t="str">
            <v>Spécifique Offre</v>
          </cell>
          <cell r="N263" t="str">
            <v>Non concerné</v>
          </cell>
          <cell r="O263" t="str">
            <v>Non concerné</v>
          </cell>
          <cell r="P263"/>
          <cell r="Q263"/>
          <cell r="R263"/>
          <cell r="S263" t="str">
            <v>=</v>
          </cell>
        </row>
        <row r="264">
          <cell r="A264" t="str">
            <v>El207</v>
          </cell>
          <cell r="B264"/>
          <cell r="C264" t="str">
            <v>Sp</v>
          </cell>
          <cell r="D264" t="str">
            <v/>
          </cell>
          <cell r="E264"/>
          <cell r="F264" t="str">
            <v>En cas d'absence de critère qualité de service, justifier pourquoi</v>
          </cell>
          <cell r="G264" t="str">
            <v>Texte</v>
          </cell>
          <cell r="H264" t="str">
            <v>Champ libre</v>
          </cell>
          <cell r="I264" t="str">
            <v>Non concerné pour l'offre</v>
          </cell>
          <cell r="J264" t="str">
            <v/>
          </cell>
          <cell r="K264" t="str">
            <v>VRAI</v>
          </cell>
          <cell r="L264"/>
          <cell r="M264" t="str">
            <v>Spécifique Offre</v>
          </cell>
          <cell r="N264" t="str">
            <v>Non concerné</v>
          </cell>
          <cell r="O264" t="str">
            <v>Non concerné</v>
          </cell>
          <cell r="P264"/>
          <cell r="Q264"/>
          <cell r="R264"/>
          <cell r="S264" t="str">
            <v/>
          </cell>
        </row>
        <row r="265">
          <cell r="A265" t="str">
            <v>ElTT451</v>
          </cell>
          <cell r="B265"/>
          <cell r="C265" t="str">
            <v>Titre</v>
          </cell>
          <cell r="D265" t="str">
            <v/>
          </cell>
          <cell r="E265"/>
          <cell r="F265" t="str">
            <v>07.2 Pénalités</v>
          </cell>
          <cell r="G265"/>
          <cell r="H265"/>
          <cell r="I265" t="str">
            <v/>
          </cell>
          <cell r="J265" t="str">
            <v/>
          </cell>
          <cell r="K265"/>
          <cell r="L265"/>
          <cell r="M265" t="str">
            <v/>
          </cell>
          <cell r="N265" t="str">
            <v>Non concerné</v>
          </cell>
          <cell r="O265" t="str">
            <v>Non concerné</v>
          </cell>
          <cell r="P265"/>
          <cell r="Q265"/>
          <cell r="R265"/>
          <cell r="S265" t="str">
            <v/>
          </cell>
        </row>
        <row r="266">
          <cell r="A266" t="str">
            <v>El208</v>
          </cell>
          <cell r="B266"/>
          <cell r="C266" t="str">
            <v>U</v>
          </cell>
          <cell r="D266" t="str">
            <v>Non, Absence de pénalités pour non respect de la GTI/GTR</v>
          </cell>
          <cell r="E266"/>
          <cell r="F266" t="str">
            <v>Le marché prévoit-il dans le cadre du SAV des pénalités pour non respect de la GTI/GTR (Garantie en Temps d'Intervention/Garantie en Temps de Rétablissement)?</v>
          </cell>
          <cell r="G266" t="str">
            <v xml:space="preserve">Liste choix unique </v>
          </cell>
          <cell r="H266" t="str">
            <v>Oui, le marché prévoit des pénalités pour non respect de la GTI/GTR;Non, Absence de pénalités pour non respect de la GTI/GTR</v>
          </cell>
          <cell r="I266" t="str">
            <v>Non, Absence de pénalités pour non respect de la GTI/GTR</v>
          </cell>
          <cell r="J266" t="str">
            <v>x</v>
          </cell>
          <cell r="K266"/>
          <cell r="L266"/>
          <cell r="M266" t="str">
            <v>Conforme au standard</v>
          </cell>
          <cell r="N266" t="str">
            <v>Non concerné</v>
          </cell>
          <cell r="O266" t="str">
            <v>Non concerné</v>
          </cell>
          <cell r="P266"/>
          <cell r="Q266"/>
          <cell r="R266"/>
          <cell r="S266" t="str">
            <v/>
          </cell>
        </row>
        <row r="267">
          <cell r="A267" t="str">
            <v>El209</v>
          </cell>
          <cell r="B267"/>
          <cell r="C267" t="str">
            <v>Sp</v>
          </cell>
          <cell r="D267" t="str">
            <v/>
          </cell>
          <cell r="E267"/>
          <cell r="F267" t="str">
            <v>Si oui, renseigner le tableau d'allotissement</v>
          </cell>
          <cell r="G267" t="str">
            <v>Annexe 10 - Détail lots</v>
          </cell>
          <cell r="H267" t="str">
            <v>Annexe 10 - Détail_Lots</v>
          </cell>
          <cell r="I267" t="str">
            <v>10 - Détail lots</v>
          </cell>
          <cell r="J267" t="str">
            <v/>
          </cell>
          <cell r="K267" t="str">
            <v>VRAI</v>
          </cell>
          <cell r="L267"/>
          <cell r="M267" t="str">
            <v>Spécifique Offre</v>
          </cell>
          <cell r="N267" t="str">
            <v>Identique</v>
          </cell>
          <cell r="O267" t="str">
            <v>Non concerné</v>
          </cell>
          <cell r="P267"/>
          <cell r="Q267"/>
          <cell r="R267"/>
          <cell r="S267" t="str">
            <v/>
          </cell>
        </row>
        <row r="268">
          <cell r="A268" t="str">
            <v>El210</v>
          </cell>
          <cell r="B268"/>
          <cell r="C268" t="str">
            <v>D</v>
          </cell>
          <cell r="D268" t="str">
            <v>Oui, Pénalités relatives à la clause d'insertion prévues au marché</v>
          </cell>
          <cell r="E268"/>
          <cell r="F268" t="str">
            <v>Existe-il des pénalités de défaut de mise en œuvre de la clause d'insertion</v>
          </cell>
          <cell r="G268" t="str">
            <v xml:space="preserve">Liste choix unique </v>
          </cell>
          <cell r="H268" t="str">
            <v xml:space="preserve">Oui, Pénalités relatives à la clause d'insertion prévues au marché; Non, Absence de pénalités relatives à la  clause d'insertion </v>
          </cell>
          <cell r="I268" t="str">
            <v>Oui, Pénalités relatives à la clause d'insertion prévues au marché</v>
          </cell>
          <cell r="J268" t="str">
            <v>x</v>
          </cell>
          <cell r="K268"/>
          <cell r="L268"/>
          <cell r="M268" t="str">
            <v>Conforme au standard</v>
          </cell>
          <cell r="N268" t="str">
            <v>Non concerné</v>
          </cell>
          <cell r="O268" t="str">
            <v>Non concerné</v>
          </cell>
          <cell r="P268"/>
          <cell r="Q268"/>
          <cell r="R268"/>
          <cell r="S268" t="str">
            <v/>
          </cell>
        </row>
        <row r="269">
          <cell r="A269" t="str">
            <v>El211</v>
          </cell>
          <cell r="B269"/>
          <cell r="C269" t="str">
            <v>D</v>
          </cell>
          <cell r="D269" t="str">
            <v>Oui, les pénalités relatives à la clause d'insertion prévues au marché correspondent au standard</v>
          </cell>
          <cell r="E269"/>
          <cell r="F269" t="str">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ell>
          <cell r="G269" t="str">
            <v xml:space="preserve">Liste choix unique </v>
          </cell>
          <cell r="H269" t="str">
            <v>Oui, les pénalités relatives à la clause d'insertion prévues au marché correspondent au standard; Non, une ou plusieurs pénalités relatives à la  clause d'insertion sont dérogatoiures</v>
          </cell>
          <cell r="I269" t="str">
            <v>Oui, les pénalités relatives à la clause d'insertion prévues au marché correspondent au standard</v>
          </cell>
          <cell r="J269" t="str">
            <v>x</v>
          </cell>
          <cell r="K269"/>
          <cell r="L269"/>
          <cell r="M269" t="str">
            <v>Conforme au standard</v>
          </cell>
          <cell r="N269" t="str">
            <v>Non concerné</v>
          </cell>
          <cell r="O269" t="str">
            <v>Non concerné</v>
          </cell>
          <cell r="P269"/>
          <cell r="Q269"/>
          <cell r="R269"/>
          <cell r="S269" t="str">
            <v/>
          </cell>
        </row>
        <row r="270">
          <cell r="A270" t="str">
            <v>El213</v>
          </cell>
          <cell r="B270"/>
          <cell r="C270" t="str">
            <v>Sp</v>
          </cell>
          <cell r="D270" t="str">
            <v/>
          </cell>
          <cell r="E270"/>
          <cell r="F270" t="str">
            <v xml:space="preserve">Si non, préciser le montant de chaque pénalité applicable ? </v>
          </cell>
          <cell r="G270" t="str">
            <v>Texte</v>
          </cell>
          <cell r="H270" t="str">
            <v>Champ libre</v>
          </cell>
          <cell r="I270" t="str">
            <v>Non concerné pour l'offre</v>
          </cell>
          <cell r="J270" t="str">
            <v/>
          </cell>
          <cell r="K270" t="str">
            <v>VRAI</v>
          </cell>
          <cell r="L270"/>
          <cell r="M270" t="str">
            <v>Spécifique Offre</v>
          </cell>
          <cell r="N270" t="str">
            <v>Non concerné</v>
          </cell>
          <cell r="O270" t="str">
            <v>Non concerné</v>
          </cell>
          <cell r="P270"/>
          <cell r="Q270"/>
          <cell r="R270"/>
          <cell r="S270" t="str">
            <v/>
          </cell>
        </row>
        <row r="271">
          <cell r="A271" t="str">
            <v>El401</v>
          </cell>
          <cell r="B271"/>
          <cell r="C271" t="str">
            <v>D</v>
          </cell>
          <cell r="D271" t="str">
            <v>Non, absence de pénalités pour non respect du délai de réparation</v>
          </cell>
          <cell r="E271"/>
          <cell r="F271" t="str">
            <v>Le marché prévoit-il dans le cadre de la maintenance des pénalités pour non respect du délai de réparation ?</v>
          </cell>
          <cell r="G271" t="str">
            <v xml:space="preserve">Liste choix unique </v>
          </cell>
          <cell r="H271" t="str">
            <v>Oui, le marché prévoit des pénalités pour non respect du délai de réparation;Non, absence de pénalités pour non respect du délai de réparation</v>
          </cell>
          <cell r="I271" t="str">
            <v>Non, absence de pénalités pour non respect du délai de réparation</v>
          </cell>
          <cell r="J271" t="str">
            <v>x</v>
          </cell>
          <cell r="K271"/>
          <cell r="L271"/>
          <cell r="M271" t="str">
            <v>Conforme au standard</v>
          </cell>
          <cell r="N271" t="str">
            <v>Non concerné</v>
          </cell>
          <cell r="O271" t="str">
            <v>Non concerné</v>
          </cell>
          <cell r="P271"/>
          <cell r="Q271"/>
          <cell r="R271"/>
          <cell r="S271" t="str">
            <v/>
          </cell>
        </row>
        <row r="272">
          <cell r="A272" t="str">
            <v>El402</v>
          </cell>
          <cell r="B272"/>
          <cell r="C272" t="str">
            <v>Sp</v>
          </cell>
          <cell r="D272" t="str">
            <v/>
          </cell>
          <cell r="E272"/>
          <cell r="F272" t="str">
            <v>Le cas échéant, quel est le montant par lot ?</v>
          </cell>
          <cell r="G272" t="str">
            <v>Texte</v>
          </cell>
          <cell r="H272" t="str">
            <v>Annexe Allotissement</v>
          </cell>
          <cell r="I272" t="str">
            <v>Non concerné pour l'offre</v>
          </cell>
          <cell r="J272" t="str">
            <v/>
          </cell>
          <cell r="K272" t="str">
            <v>VRAI</v>
          </cell>
          <cell r="L272"/>
          <cell r="M272" t="str">
            <v>Spécifique Offre</v>
          </cell>
          <cell r="N272" t="str">
            <v>Non concerné</v>
          </cell>
          <cell r="O272" t="str">
            <v>Non concerné</v>
          </cell>
          <cell r="P272"/>
          <cell r="Q272"/>
          <cell r="R272"/>
          <cell r="S272" t="str">
            <v/>
          </cell>
        </row>
        <row r="273">
          <cell r="A273" t="str">
            <v>El199</v>
          </cell>
          <cell r="B273"/>
          <cell r="C273" t="str">
            <v>Sp</v>
          </cell>
          <cell r="D273" t="str">
            <v/>
          </cell>
          <cell r="E273"/>
          <cell r="F273" t="str">
            <v>Préciser la formule de pénalités de retard de livraison/d'exécution ou d'indisponibilité</v>
          </cell>
          <cell r="G273" t="str">
            <v>Annexe 10 - Détail lots</v>
          </cell>
          <cell r="H273" t="str">
            <v>Champ libre ou annexe</v>
          </cell>
          <cell r="I273" t="str">
            <v>10 - Détail lots</v>
          </cell>
          <cell r="J273" t="str">
            <v/>
          </cell>
          <cell r="K273"/>
          <cell r="L273"/>
          <cell r="M273" t="str">
            <v>Spécifique Offre</v>
          </cell>
          <cell r="N273" t="str">
            <v>Identique</v>
          </cell>
          <cell r="O273" t="str">
            <v>Non concerné</v>
          </cell>
          <cell r="P273"/>
          <cell r="Q273"/>
          <cell r="R273"/>
          <cell r="S273" t="str">
            <v/>
          </cell>
        </row>
        <row r="274">
          <cell r="A274" t="str">
            <v>El199b</v>
          </cell>
          <cell r="B274"/>
          <cell r="C274" t="str">
            <v>E</v>
          </cell>
          <cell r="D274" t="str">
            <v>30% du bon de commande HT</v>
          </cell>
          <cell r="E274"/>
          <cell r="F274" t="str">
            <v>Le plafond des pénalités est-il conforme au standard établi?</v>
          </cell>
          <cell r="G274" t="str">
            <v xml:space="preserve">Liste choix unique </v>
          </cell>
          <cell r="H274" t="str">
            <v>Oui, le plafond des pénalités est conforme au standard établi;Non, le plafond des pénalités est dérogatoire au standard établi</v>
          </cell>
          <cell r="I274" t="str">
            <v>30% du bon de commande HT</v>
          </cell>
          <cell r="J274" t="str">
            <v>x</v>
          </cell>
          <cell r="K274"/>
          <cell r="L274"/>
          <cell r="M274" t="str">
            <v>Conforme au standard</v>
          </cell>
          <cell r="N274" t="str">
            <v>Non concerné</v>
          </cell>
          <cell r="O274" t="str">
            <v>Non concerné</v>
          </cell>
          <cell r="P274"/>
          <cell r="Q274"/>
          <cell r="R274"/>
          <cell r="S274" t="str">
            <v/>
          </cell>
        </row>
        <row r="275">
          <cell r="A275" t="str">
            <v>El199c</v>
          </cell>
          <cell r="B275"/>
          <cell r="C275" t="str">
            <v>Sp</v>
          </cell>
          <cell r="D275" t="str">
            <v/>
          </cell>
          <cell r="E275"/>
          <cell r="F275" t="str">
            <v>En cas de plafond de pénaité dérogatoire au standard, préciser le pourcentage du bon de commande ou le montant du plafond</v>
          </cell>
          <cell r="G275" t="str">
            <v>Texte</v>
          </cell>
          <cell r="H275" t="str">
            <v>Champ libre</v>
          </cell>
          <cell r="I275" t="str">
            <v>Non concerné pour l'offre</v>
          </cell>
          <cell r="J275"/>
          <cell r="K275" t="str">
            <v>VRAI</v>
          </cell>
          <cell r="L275"/>
          <cell r="M275" t="str">
            <v>Spécifique Offre</v>
          </cell>
          <cell r="N275" t="str">
            <v>Non concerné</v>
          </cell>
          <cell r="O275" t="str">
            <v>Non concerné</v>
          </cell>
          <cell r="P275"/>
          <cell r="Q275"/>
          <cell r="R275"/>
          <cell r="S275" t="str">
            <v/>
          </cell>
        </row>
        <row r="276">
          <cell r="A276" t="str">
            <v>ElTT452</v>
          </cell>
          <cell r="B276"/>
          <cell r="C276" t="str">
            <v>Titre</v>
          </cell>
          <cell r="D276" t="str">
            <v/>
          </cell>
          <cell r="E276"/>
          <cell r="F276" t="str">
            <v>07.3 Performance de l'offre</v>
          </cell>
          <cell r="G276"/>
          <cell r="H276"/>
          <cell r="I276" t="str">
            <v/>
          </cell>
          <cell r="J276" t="str">
            <v/>
          </cell>
          <cell r="K276"/>
          <cell r="L276"/>
          <cell r="M276" t="str">
            <v/>
          </cell>
          <cell r="N276" t="str">
            <v>Non concerné</v>
          </cell>
          <cell r="O276" t="str">
            <v>Non concerné</v>
          </cell>
          <cell r="P276"/>
          <cell r="Q276"/>
          <cell r="R276"/>
          <cell r="S276" t="str">
            <v/>
          </cell>
        </row>
        <row r="277">
          <cell r="A277" t="str">
            <v>El200</v>
          </cell>
          <cell r="B277"/>
          <cell r="C277" t="str">
            <v>E</v>
          </cell>
          <cell r="D277" t="str">
            <v>Non, absence de clause de performance</v>
          </cell>
          <cell r="E277"/>
          <cell r="F277" t="str">
            <v>Une clause de performance est-elle prévue ?</v>
          </cell>
          <cell r="G277" t="str">
            <v xml:space="preserve">Liste choix unique </v>
          </cell>
          <cell r="H277" t="str">
            <v>Oui, Existence d'une clause de performance;Non, absence de clause de performance</v>
          </cell>
          <cell r="I277" t="str">
            <v>Non, absence de clause de performance</v>
          </cell>
          <cell r="J277" t="str">
            <v>x</v>
          </cell>
          <cell r="K277"/>
          <cell r="L277"/>
          <cell r="M277" t="str">
            <v>Conforme au standard</v>
          </cell>
          <cell r="N277" t="str">
            <v>Non concerné</v>
          </cell>
          <cell r="O277" t="str">
            <v>Non concerné</v>
          </cell>
          <cell r="P277"/>
          <cell r="Q277"/>
          <cell r="R277"/>
          <cell r="S277" t="str">
            <v/>
          </cell>
        </row>
        <row r="278">
          <cell r="A278" t="str">
            <v>ElT453</v>
          </cell>
          <cell r="B278"/>
          <cell r="C278" t="str">
            <v>Titre</v>
          </cell>
          <cell r="D278" t="str">
            <v/>
          </cell>
          <cell r="E278"/>
          <cell r="F278" t="str">
            <v xml:space="preserve">08.0  CONFORMITE - Protection des données personnelles </v>
          </cell>
          <cell r="G278"/>
          <cell r="H278"/>
          <cell r="I278" t="str">
            <v/>
          </cell>
          <cell r="J278" t="str">
            <v/>
          </cell>
          <cell r="K278"/>
          <cell r="L278"/>
          <cell r="M278" t="str">
            <v/>
          </cell>
          <cell r="N278" t="str">
            <v>Non concerné</v>
          </cell>
          <cell r="O278" t="str">
            <v>Non concerné</v>
          </cell>
          <cell r="P278"/>
          <cell r="Q278"/>
          <cell r="R278"/>
          <cell r="S278" t="str">
            <v/>
          </cell>
        </row>
        <row r="279">
          <cell r="A279" t="str">
            <v>El263</v>
          </cell>
          <cell r="B279"/>
          <cell r="C279" t="str">
            <v>E</v>
          </cell>
          <cell r="D279" t="str">
            <v>Non, les données personnelles n'ont pas vocation à transiter/intgérer le SI de l'UGAP</v>
          </cell>
          <cell r="E279"/>
          <cell r="F279" t="str">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ell>
          <cell r="G279" t="str">
            <v xml:space="preserve">Liste choix unique </v>
          </cell>
          <cell r="H279" t="str">
            <v>Oui, les données personnelles ont vocation à transiter/intégrer le SI de l'UGAP; Non, les données personnelles n'ont pas vocation à transiter/intgérer le SI de l'UGAP</v>
          </cell>
          <cell r="I279" t="str">
            <v>Non, les données personnelles n'ont pas vocation à transiter/intgérer le SI de l'UGAP</v>
          </cell>
          <cell r="J279" t="str">
            <v>x</v>
          </cell>
          <cell r="K279"/>
          <cell r="L279"/>
          <cell r="M279" t="str">
            <v>Conforme au standard</v>
          </cell>
          <cell r="N279" t="str">
            <v>Non concerné</v>
          </cell>
          <cell r="O279" t="str">
            <v>Non concerné</v>
          </cell>
          <cell r="P279"/>
          <cell r="Q279"/>
          <cell r="R279"/>
          <cell r="S279" t="str">
            <v/>
          </cell>
        </row>
        <row r="280">
          <cell r="A280" t="str">
            <v>El264</v>
          </cell>
          <cell r="B280"/>
          <cell r="C280" t="str">
            <v>Sp</v>
          </cell>
          <cell r="D280" t="str">
            <v/>
          </cell>
          <cell r="E280"/>
          <cell r="F280" t="str">
            <v>Si oui, contacter dès à présent le chargé de mission NTIC et le DPD afin de pouvoir apporter les justifications nécessaires</v>
          </cell>
          <cell r="G280" t="str">
            <v>Texte</v>
          </cell>
          <cell r="H280" t="str">
            <v>Champ libre</v>
          </cell>
          <cell r="I280" t="str">
            <v>Non concerné pour l'offre</v>
          </cell>
          <cell r="J280" t="str">
            <v/>
          </cell>
          <cell r="K280" t="str">
            <v>VRAI</v>
          </cell>
          <cell r="L280"/>
          <cell r="M280" t="str">
            <v>Spécifique Offre</v>
          </cell>
          <cell r="N280" t="str">
            <v>Non concerné</v>
          </cell>
          <cell r="O280" t="str">
            <v>Non concerné</v>
          </cell>
          <cell r="P280"/>
          <cell r="Q280"/>
          <cell r="R280"/>
          <cell r="S280" t="str">
            <v/>
          </cell>
        </row>
        <row r="281">
          <cell r="A281" t="str">
            <v>El490</v>
          </cell>
          <cell r="B281"/>
          <cell r="C281" t="str">
            <v>Sp</v>
          </cell>
          <cell r="D281" t="str">
            <v/>
          </cell>
          <cell r="E281"/>
          <cell r="F281" t="str">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ell>
          <cell r="G281" t="str">
            <v xml:space="preserve">Liste choix unique </v>
          </cell>
          <cell r="H281" t="str">
            <v>Oui, le traitement des données personnelles concernent des données sensibles, personnes vulnérables, à usage innovant…; Non, le traitement des données personnelles ne concernent pas les données sensibles, personnes vulnérables, à usage innovant</v>
          </cell>
          <cell r="I281" t="str">
            <v/>
          </cell>
          <cell r="J281" t="str">
            <v>x</v>
          </cell>
          <cell r="K281"/>
          <cell r="L281"/>
          <cell r="M281" t="str">
            <v>Renseigner la réponse DCO</v>
          </cell>
          <cell r="N281" t="str">
            <v>Non concerné</v>
          </cell>
          <cell r="O281" t="str">
            <v>Non concerné</v>
          </cell>
          <cell r="P281"/>
          <cell r="Q281"/>
          <cell r="R281"/>
          <cell r="S281" t="str">
            <v/>
          </cell>
        </row>
        <row r="282">
          <cell r="A282" t="str">
            <v>El265</v>
          </cell>
          <cell r="B282"/>
          <cell r="C282" t="str">
            <v>D</v>
          </cell>
          <cell r="D282" t="str">
            <v>Non, absence d'analyse d'impact par le RGPD</v>
          </cell>
          <cell r="E282"/>
          <cell r="F282" t="str">
            <v>Si oui, une analyse d'impact au sens RGPD doit-elle être mise en œuvre après échanges avec le chargé de mission NTIC et le DPD ?</v>
          </cell>
          <cell r="G282" t="str">
            <v xml:space="preserve">Liste choix unique </v>
          </cell>
          <cell r="H282" t="str">
            <v>Oui, une analyse d’impact relative à la protection des données est requise par le RGPD;Non, absence d'analyse d'impact par le RGPD</v>
          </cell>
          <cell r="I282" t="str">
            <v>Standard non applicable pour cette offre au regard des réponses précédentes apportées</v>
          </cell>
          <cell r="J282" t="str">
            <v/>
          </cell>
          <cell r="K282" t="str">
            <v>VRAI</v>
          </cell>
          <cell r="L282"/>
          <cell r="M282" t="str">
            <v>Non concerné</v>
          </cell>
          <cell r="N282" t="str">
            <v>Non concerné</v>
          </cell>
          <cell r="O282" t="str">
            <v>Non concerné</v>
          </cell>
          <cell r="P282"/>
          <cell r="Q282"/>
          <cell r="R282"/>
          <cell r="S282" t="str">
            <v/>
          </cell>
        </row>
        <row r="283">
          <cell r="A283" t="str">
            <v>ElT491</v>
          </cell>
          <cell r="B283"/>
          <cell r="C283" t="str">
            <v>Titre</v>
          </cell>
          <cell r="D283" t="str">
            <v/>
          </cell>
          <cell r="E283"/>
          <cell r="F283" t="str">
            <v>09.0 DROITS DE PROPRIETE INTELECTUELLE</v>
          </cell>
          <cell r="G283"/>
          <cell r="H283"/>
          <cell r="I283" t="str">
            <v/>
          </cell>
          <cell r="J283" t="str">
            <v/>
          </cell>
          <cell r="K283"/>
          <cell r="L283"/>
          <cell r="M283" t="str">
            <v/>
          </cell>
          <cell r="N283" t="str">
            <v>Non concerné</v>
          </cell>
          <cell r="O283" t="str">
            <v>Non concerné</v>
          </cell>
          <cell r="P283"/>
          <cell r="Q283"/>
          <cell r="R283"/>
          <cell r="S283" t="str">
            <v/>
          </cell>
        </row>
        <row r="284">
          <cell r="A284" t="str">
            <v>El266</v>
          </cell>
          <cell r="B284"/>
          <cell r="C284" t="str">
            <v>U</v>
          </cell>
          <cell r="D284" t="str">
            <v>Oui, logiciels concédés prévus</v>
          </cell>
          <cell r="E284"/>
          <cell r="F284" t="str">
            <v>Est-il prévu des logiciels dans les éléments cédés ou concédés ?</v>
          </cell>
          <cell r="G284" t="str">
            <v>Liste choix multiple</v>
          </cell>
          <cell r="H284" t="str">
            <v>Non, Pas de logiciels prévus dans les éléments concédés ou cédés; Oui, logiciesl cédés prévus; Oui, logiciels concédés prévus</v>
          </cell>
          <cell r="I284" t="str">
            <v>Oui, logiciels concédés prévus</v>
          </cell>
          <cell r="J284" t="str">
            <v>x</v>
          </cell>
          <cell r="K284"/>
          <cell r="L284"/>
          <cell r="M284" t="str">
            <v>Conforme au standard</v>
          </cell>
          <cell r="N284" t="str">
            <v>Non concerné</v>
          </cell>
          <cell r="O284" t="str">
            <v>Non concerné</v>
          </cell>
          <cell r="P284"/>
          <cell r="Q284"/>
          <cell r="R284"/>
          <cell r="S284" t="str">
            <v>=</v>
          </cell>
        </row>
        <row r="285">
          <cell r="A285" t="str">
            <v>El268</v>
          </cell>
          <cell r="B285"/>
          <cell r="C285" t="str">
            <v>U</v>
          </cell>
          <cell r="D285" t="str">
            <v>Dans un délai de 7 jours</v>
          </cell>
          <cell r="E285"/>
          <cell r="F285" t="str">
            <v>Si oui, à compter de quel délai le titulaire s'engage à communiquer au bénéficiaire le droit d'utilisation des logiciels concédés ? 
(si délai autre que le choix sur liste, saisir directement le délai dans la réponse)</v>
          </cell>
          <cell r="G285" t="str">
            <v xml:space="preserve">Liste de choix ou texte </v>
          </cell>
          <cell r="H285" t="str">
            <v>Champ libre</v>
          </cell>
          <cell r="I285" t="str">
            <v>Dans un délai de 7 jours</v>
          </cell>
          <cell r="J285" t="str">
            <v/>
          </cell>
          <cell r="K285"/>
          <cell r="L285"/>
          <cell r="M285" t="str">
            <v>Conforme au standard</v>
          </cell>
          <cell r="N285" t="str">
            <v>Non concerné</v>
          </cell>
          <cell r="O285" t="str">
            <v>Non concerné</v>
          </cell>
          <cell r="P285"/>
          <cell r="Q285"/>
          <cell r="R285"/>
          <cell r="S285" t="str">
            <v/>
          </cell>
        </row>
        <row r="286">
          <cell r="A286" t="str">
            <v>ElT454</v>
          </cell>
          <cell r="B286"/>
          <cell r="C286" t="str">
            <v>Titre</v>
          </cell>
          <cell r="D286" t="str">
            <v/>
          </cell>
          <cell r="E286"/>
          <cell r="F286" t="str">
            <v>10.0  PRIX</v>
          </cell>
          <cell r="G286"/>
          <cell r="H286"/>
          <cell r="I286" t="str">
            <v/>
          </cell>
          <cell r="J286" t="str">
            <v/>
          </cell>
          <cell r="K286"/>
          <cell r="L286"/>
          <cell r="M286" t="str">
            <v/>
          </cell>
          <cell r="N286" t="str">
            <v>Non concerné</v>
          </cell>
          <cell r="O286" t="str">
            <v>Non concerné</v>
          </cell>
          <cell r="P286"/>
          <cell r="Q286"/>
          <cell r="R286"/>
          <cell r="S286" t="str">
            <v/>
          </cell>
        </row>
        <row r="287">
          <cell r="A287" t="str">
            <v>ElTT455</v>
          </cell>
          <cell r="B287"/>
          <cell r="C287" t="str">
            <v>Titre</v>
          </cell>
          <cell r="D287" t="str">
            <v/>
          </cell>
          <cell r="E287"/>
          <cell r="F287" t="str">
            <v>10.1 Forme des prix et composition des prix</v>
          </cell>
          <cell r="G287"/>
          <cell r="H287"/>
          <cell r="I287" t="str">
            <v/>
          </cell>
          <cell r="J287" t="str">
            <v/>
          </cell>
          <cell r="K287"/>
          <cell r="L287"/>
          <cell r="M287" t="str">
            <v/>
          </cell>
          <cell r="N287" t="str">
            <v>Non concerné</v>
          </cell>
          <cell r="O287" t="str">
            <v>Non concerné</v>
          </cell>
          <cell r="P287"/>
          <cell r="Q287"/>
          <cell r="R287"/>
          <cell r="S287" t="str">
            <v/>
          </cell>
        </row>
        <row r="288">
          <cell r="A288" t="str">
            <v>El307</v>
          </cell>
          <cell r="B288"/>
          <cell r="C288" t="str">
            <v>D</v>
          </cell>
          <cell r="D288" t="str">
            <v>Unitaire</v>
          </cell>
          <cell r="E288"/>
          <cell r="F288" t="str">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ell>
          <cell r="G288" t="str">
            <v xml:space="preserve">Liste choix unique </v>
          </cell>
          <cell r="H288" t="str">
            <v>Unitaire;Forfaitaire;Mixte</v>
          </cell>
          <cell r="I288" t="str">
            <v>Unitaire</v>
          </cell>
          <cell r="J288" t="str">
            <v/>
          </cell>
          <cell r="K288"/>
          <cell r="L288"/>
          <cell r="M288" t="str">
            <v>Conforme au standard</v>
          </cell>
          <cell r="N288" t="str">
            <v>Non concerné</v>
          </cell>
          <cell r="O288" t="str">
            <v>Non concerné</v>
          </cell>
          <cell r="P288"/>
          <cell r="Q288"/>
          <cell r="R288"/>
          <cell r="S288" t="str">
            <v/>
          </cell>
        </row>
        <row r="289">
          <cell r="A289" t="str">
            <v>El308</v>
          </cell>
          <cell r="B289"/>
          <cell r="C289" t="str">
            <v>Sp</v>
          </cell>
          <cell r="D289" t="str">
            <v/>
          </cell>
          <cell r="E289"/>
          <cell r="F289" t="str">
            <v>Préciser les modalités particulières de prix applicables</v>
          </cell>
          <cell r="G289" t="str">
            <v>Liste choix multiple</v>
          </cell>
          <cell r="H289" t="str">
            <v>Référence forfaitaire petite commande;Minima de commande;Politique de remise (ex remise sur tarif public);Barème dégressif en fonction des quantités;Conditions de livraison;surcoût (îles littorales)</v>
          </cell>
          <cell r="I289" t="str">
            <v/>
          </cell>
          <cell r="J289" t="str">
            <v/>
          </cell>
          <cell r="K289"/>
          <cell r="L289"/>
          <cell r="M289" t="str">
            <v>Renseigner la réponse DCO</v>
          </cell>
          <cell r="N289" t="str">
            <v>Non concerné</v>
          </cell>
          <cell r="O289" t="str">
            <v>Non concerné</v>
          </cell>
          <cell r="P289"/>
          <cell r="Q289"/>
          <cell r="R289"/>
          <cell r="S289" t="str">
            <v>=</v>
          </cell>
        </row>
        <row r="290">
          <cell r="A290" t="str">
            <v>El309</v>
          </cell>
          <cell r="B290"/>
          <cell r="C290" t="str">
            <v>Sp</v>
          </cell>
          <cell r="D290" t="str">
            <v/>
          </cell>
          <cell r="E290"/>
          <cell r="F290" t="str">
            <v>Ces modalités  s'appliquent-elles à l'ensemble des lots ?</v>
          </cell>
          <cell r="G290" t="str">
            <v xml:space="preserve">Liste choix unique </v>
          </cell>
          <cell r="H290" t="str">
            <v>Oui, ces modalités  s'appliquent à l'ensemble des lots; Non, ces modalités ne s'appliquent pas à l'ensemble des lots</v>
          </cell>
          <cell r="I290" t="str">
            <v/>
          </cell>
          <cell r="J290" t="str">
            <v>x</v>
          </cell>
          <cell r="K290"/>
          <cell r="L290"/>
          <cell r="M290" t="str">
            <v>Renseigner la réponse DCO</v>
          </cell>
          <cell r="N290" t="str">
            <v>Non concerné</v>
          </cell>
          <cell r="O290" t="str">
            <v>Non concerné</v>
          </cell>
          <cell r="P290"/>
          <cell r="Q290"/>
          <cell r="R290"/>
          <cell r="S290" t="str">
            <v/>
          </cell>
        </row>
        <row r="291">
          <cell r="A291" t="str">
            <v>El310</v>
          </cell>
          <cell r="B291"/>
          <cell r="C291" t="str">
            <v>Sp</v>
          </cell>
          <cell r="D291" t="str">
            <v/>
          </cell>
          <cell r="E291"/>
          <cell r="F291" t="str">
            <v>Si non, préciser les modalités particlulières pour chaque lot</v>
          </cell>
          <cell r="G291" t="str">
            <v>Texte</v>
          </cell>
          <cell r="H291" t="str">
            <v>Champ libre</v>
          </cell>
          <cell r="I291" t="str">
            <v>Non concerné pour l'offre</v>
          </cell>
          <cell r="J291" t="str">
            <v/>
          </cell>
          <cell r="K291" t="str">
            <v>VRAI</v>
          </cell>
          <cell r="L291"/>
          <cell r="M291" t="str">
            <v>Spécifique Offre</v>
          </cell>
          <cell r="N291" t="str">
            <v>Non concerné</v>
          </cell>
          <cell r="O291" t="str">
            <v>Non concerné</v>
          </cell>
          <cell r="P291"/>
          <cell r="Q291"/>
          <cell r="R291"/>
          <cell r="S291" t="str">
            <v/>
          </cell>
        </row>
        <row r="292">
          <cell r="A292" t="str">
            <v>El308b</v>
          </cell>
          <cell r="B292"/>
          <cell r="C292" t="str">
            <v>D</v>
          </cell>
          <cell r="D292" t="str">
            <v>Franco France Métropolitaine</v>
          </cell>
          <cell r="E292"/>
          <cell r="F292" t="str">
            <v>Quels sont les prix applicables?</v>
          </cell>
          <cell r="G292" t="str">
            <v>Liste choix multiple</v>
          </cell>
          <cell r="H292" t="str">
            <v>Franco France Métropolitaine;FEC (Entrepôt UGAP); Départ Usine;Franco France Continentale</v>
          </cell>
          <cell r="I292" t="str">
            <v>Franco France Métropolitaine</v>
          </cell>
          <cell r="J292" t="str">
            <v>x</v>
          </cell>
          <cell r="K292"/>
          <cell r="L292"/>
          <cell r="M292" t="str">
            <v>Conforme au standard</v>
          </cell>
          <cell r="N292" t="str">
            <v>Non concerné</v>
          </cell>
          <cell r="O292" t="str">
            <v>Non concerné</v>
          </cell>
          <cell r="P292"/>
          <cell r="Q292"/>
          <cell r="R292"/>
          <cell r="S292" t="str">
            <v>=</v>
          </cell>
        </row>
        <row r="293">
          <cell r="A293" t="str">
            <v>El308c</v>
          </cell>
          <cell r="B293"/>
          <cell r="C293" t="str">
            <v>Sp</v>
          </cell>
          <cell r="D293" t="str">
            <v/>
          </cell>
          <cell r="E293"/>
          <cell r="F293" t="str">
            <v>Si FFM, quels sont les lots concernés</v>
          </cell>
          <cell r="G293" t="str">
            <v>Texte</v>
          </cell>
          <cell r="H293" t="str">
            <v>Champ libre</v>
          </cell>
          <cell r="I293" t="str">
            <v/>
          </cell>
          <cell r="J293" t="str">
            <v/>
          </cell>
          <cell r="K293"/>
          <cell r="L293"/>
          <cell r="M293" t="str">
            <v>Renseigner la réponse DCO</v>
          </cell>
          <cell r="N293" t="str">
            <v>Non concerné</v>
          </cell>
          <cell r="O293" t="str">
            <v>Non concerné</v>
          </cell>
          <cell r="P293"/>
          <cell r="Q293"/>
          <cell r="R293"/>
          <cell r="S293" t="str">
            <v/>
          </cell>
        </row>
        <row r="294">
          <cell r="A294" t="str">
            <v>El308d</v>
          </cell>
          <cell r="B294"/>
          <cell r="C294" t="str">
            <v>D</v>
          </cell>
          <cell r="D294" t="str">
            <v>Non concerné pour la direction/univers</v>
          </cell>
          <cell r="E294"/>
          <cell r="F294" t="str">
            <v>Si FFC, quels sont les lots concernés</v>
          </cell>
          <cell r="G294" t="str">
            <v>Texte</v>
          </cell>
          <cell r="H294" t="str">
            <v>Champ libre</v>
          </cell>
          <cell r="I294" t="str">
            <v>Non concerné pour la direction/univers</v>
          </cell>
          <cell r="J294" t="str">
            <v/>
          </cell>
          <cell r="K294" t="str">
            <v>VRAI</v>
          </cell>
          <cell r="L294"/>
          <cell r="M294" t="str">
            <v>Non concerné</v>
          </cell>
          <cell r="N294" t="str">
            <v>Non concerné</v>
          </cell>
          <cell r="O294" t="str">
            <v>Non concerné</v>
          </cell>
          <cell r="P294"/>
          <cell r="Q294"/>
          <cell r="R294"/>
          <cell r="S294" t="str">
            <v/>
          </cell>
        </row>
        <row r="295">
          <cell r="A295" t="str">
            <v>El308e</v>
          </cell>
          <cell r="B295"/>
          <cell r="C295" t="str">
            <v>D</v>
          </cell>
          <cell r="D295" t="str">
            <v>Non concerné pour la direction/univers</v>
          </cell>
          <cell r="E295"/>
          <cell r="F295" t="str">
            <v>Si DU, quels sont les lots concernés</v>
          </cell>
          <cell r="G295" t="str">
            <v>Texte</v>
          </cell>
          <cell r="H295" t="str">
            <v>Champ libre</v>
          </cell>
          <cell r="I295" t="str">
            <v>Non concerné pour la direction/univers</v>
          </cell>
          <cell r="J295" t="str">
            <v/>
          </cell>
          <cell r="K295" t="str">
            <v>VRAI</v>
          </cell>
          <cell r="L295"/>
          <cell r="M295" t="str">
            <v>Non concerné</v>
          </cell>
          <cell r="N295" t="str">
            <v>Non concerné</v>
          </cell>
          <cell r="O295" t="str">
            <v>Non concerné</v>
          </cell>
          <cell r="P295"/>
          <cell r="Q295"/>
          <cell r="R295"/>
          <cell r="S295" t="str">
            <v/>
          </cell>
        </row>
        <row r="296">
          <cell r="A296" t="str">
            <v>El308f</v>
          </cell>
          <cell r="B296"/>
          <cell r="C296" t="str">
            <v>D</v>
          </cell>
          <cell r="D296" t="str">
            <v>Non concerné pour la direction/univers</v>
          </cell>
          <cell r="E296"/>
          <cell r="F296" t="str">
            <v>Si FEC, quels sont les lots concernés</v>
          </cell>
          <cell r="G296" t="str">
            <v>Texte</v>
          </cell>
          <cell r="H296" t="str">
            <v>Champ libre</v>
          </cell>
          <cell r="I296" t="str">
            <v>Non concerné pour la direction/univers</v>
          </cell>
          <cell r="J296" t="str">
            <v/>
          </cell>
          <cell r="K296" t="str">
            <v>VRAI</v>
          </cell>
          <cell r="L296"/>
          <cell r="M296" t="str">
            <v>Non concerné</v>
          </cell>
          <cell r="N296" t="str">
            <v>Non concerné</v>
          </cell>
          <cell r="O296" t="str">
            <v>Non concerné</v>
          </cell>
          <cell r="P296"/>
          <cell r="Q296"/>
          <cell r="R296"/>
          <cell r="S296" t="str">
            <v/>
          </cell>
        </row>
        <row r="297">
          <cell r="A297" t="str">
            <v>El308g</v>
          </cell>
          <cell r="B297"/>
          <cell r="C297" t="str">
            <v>D</v>
          </cell>
          <cell r="D297" t="str">
            <v>Non concerné pour la direction/univers</v>
          </cell>
          <cell r="E297"/>
          <cell r="F297" t="str">
            <v>Si DU, le prix des modalités DU correspond-il à un % de minoration</v>
          </cell>
          <cell r="G297" t="str">
            <v xml:space="preserve">Liste choix unique </v>
          </cell>
          <cell r="H297" t="str">
            <v>Oui, il correspond à un pourcentage de minoration;Non, il ne correspond pas à un pourcentage de minoration</v>
          </cell>
          <cell r="I297" t="str">
            <v>Non concerné pour la direction/univers</v>
          </cell>
          <cell r="J297" t="str">
            <v/>
          </cell>
          <cell r="K297" t="str">
            <v>VRAI</v>
          </cell>
          <cell r="L297"/>
          <cell r="M297" t="str">
            <v>Non concerné</v>
          </cell>
          <cell r="N297" t="str">
            <v>Non concerné</v>
          </cell>
          <cell r="O297" t="str">
            <v>Non concerné</v>
          </cell>
          <cell r="P297"/>
          <cell r="Q297"/>
          <cell r="R297"/>
          <cell r="S297" t="str">
            <v/>
          </cell>
        </row>
        <row r="298">
          <cell r="A298" t="str">
            <v>El308h</v>
          </cell>
          <cell r="B298"/>
          <cell r="C298" t="str">
            <v>D</v>
          </cell>
          <cell r="D298" t="str">
            <v>Non concerné pour la direction/univers</v>
          </cell>
          <cell r="E298"/>
          <cell r="F298" t="str">
            <v>Si  FEC, le prix des modalités FEC correspond-il à un % de minoration</v>
          </cell>
          <cell r="G298" t="str">
            <v xml:space="preserve">Liste choix unique </v>
          </cell>
          <cell r="H298" t="str">
            <v>Oui, il correspond à un pourcentage de minoration;Non, il ne correspond pas à un pourcentage de minoration</v>
          </cell>
          <cell r="I298" t="str">
            <v>Non concerné pour la direction/univers</v>
          </cell>
          <cell r="J298" t="str">
            <v/>
          </cell>
          <cell r="K298" t="str">
            <v>VRAI</v>
          </cell>
          <cell r="L298"/>
          <cell r="M298" t="str">
            <v>Non concerné</v>
          </cell>
          <cell r="N298" t="str">
            <v>Non concerné</v>
          </cell>
          <cell r="O298" t="str">
            <v>Non concerné</v>
          </cell>
          <cell r="P298"/>
          <cell r="Q298"/>
          <cell r="R298"/>
          <cell r="S298" t="str">
            <v/>
          </cell>
        </row>
        <row r="299">
          <cell r="A299" t="str">
            <v>El220</v>
          </cell>
          <cell r="B299"/>
          <cell r="C299" t="str">
            <v>D</v>
          </cell>
          <cell r="D299" t="str">
            <v>Non, Absence de surcoût outre-mer</v>
          </cell>
          <cell r="E299"/>
          <cell r="F299" t="str">
            <v>S'il existe un surcoût, préciser lequel</v>
          </cell>
          <cell r="G299" t="str">
            <v>Liste choix multiple</v>
          </cell>
          <cell r="H299" t="str">
            <v>Oui, surcoût outre-mer ;Non, Absence de surcoût outre-mer</v>
          </cell>
          <cell r="I299" t="str">
            <v>Standard non applicable pour cette offre au regard des réponses précédentes apportées</v>
          </cell>
          <cell r="J299" t="str">
            <v>x</v>
          </cell>
          <cell r="K299" t="str">
            <v>VRAI</v>
          </cell>
          <cell r="L299"/>
          <cell r="M299" t="str">
            <v>Non concerné</v>
          </cell>
          <cell r="N299" t="str">
            <v>Non concerné</v>
          </cell>
          <cell r="O299" t="str">
            <v>Non concerné</v>
          </cell>
          <cell r="P299"/>
          <cell r="Q299"/>
          <cell r="R299"/>
          <cell r="S299" t="str">
            <v/>
          </cell>
        </row>
        <row r="300">
          <cell r="A300" t="str">
            <v>El221</v>
          </cell>
          <cell r="B300"/>
          <cell r="C300" t="str">
            <v>Sp</v>
          </cell>
          <cell r="D300" t="str">
            <v/>
          </cell>
          <cell r="E300"/>
          <cell r="F300" t="str">
            <v>Si surcoût outre-mer, préciser si celui comprend des éléments supplémentaires à tropicalisation, emballage, étiquetage spécifique pour l'envoi du matériel/produit, frais afférents à la préparation technique et administrative des matériels/produits</v>
          </cell>
          <cell r="G300" t="str">
            <v>Texte</v>
          </cell>
          <cell r="H300" t="str">
            <v>Champ libre</v>
          </cell>
          <cell r="I300" t="str">
            <v/>
          </cell>
          <cell r="J300" t="str">
            <v/>
          </cell>
          <cell r="K300"/>
          <cell r="L300"/>
          <cell r="M300" t="str">
            <v>Renseigner la réponse DCO</v>
          </cell>
          <cell r="N300" t="str">
            <v>Non concerné</v>
          </cell>
          <cell r="O300" t="str">
            <v>Non concerné</v>
          </cell>
          <cell r="P300"/>
          <cell r="Q300"/>
          <cell r="R300"/>
          <cell r="S300" t="str">
            <v/>
          </cell>
        </row>
        <row r="301">
          <cell r="A301" t="str">
            <v>El222</v>
          </cell>
          <cell r="B301"/>
          <cell r="C301" t="str">
            <v>Sp</v>
          </cell>
          <cell r="D301" t="str">
            <v/>
          </cell>
          <cell r="E301"/>
          <cell r="F301" t="str">
            <v xml:space="preserve">De quelle façon s'exprime le surcoût étranger ? </v>
          </cell>
          <cell r="G301" t="str">
            <v xml:space="preserve">Liste choix unique </v>
          </cell>
          <cell r="H301" t="str">
            <v>sur devis; en pourcentage</v>
          </cell>
          <cell r="I301" t="str">
            <v/>
          </cell>
          <cell r="J301" t="str">
            <v/>
          </cell>
          <cell r="K301"/>
          <cell r="L301"/>
          <cell r="M301" t="str">
            <v>Renseigner la réponse DCO</v>
          </cell>
          <cell r="N301" t="str">
            <v>Non concerné</v>
          </cell>
          <cell r="O301" t="str">
            <v>Non concerné</v>
          </cell>
          <cell r="P301"/>
          <cell r="Q301"/>
          <cell r="R301"/>
          <cell r="S301" t="str">
            <v/>
          </cell>
        </row>
        <row r="302">
          <cell r="A302" t="str">
            <v>El223</v>
          </cell>
          <cell r="B302"/>
          <cell r="C302" t="str">
            <v>D</v>
          </cell>
          <cell r="D302" t="str">
            <v>Oui, taxes spécifiques applicables</v>
          </cell>
          <cell r="E302"/>
          <cell r="F302" t="str">
            <v>L'offre comprend-elle des taxes spécifiques (TVA différente de 20%, éco contribution, taxe parafiscale…)</v>
          </cell>
          <cell r="G302" t="str">
            <v xml:space="preserve">Liste choix unique </v>
          </cell>
          <cell r="H302" t="str">
            <v>Oui, taxes spécifiques applicables;Non, absence de taxes spécifiques applicables</v>
          </cell>
          <cell r="I302" t="str">
            <v>Oui, taxes spécifiques applicables</v>
          </cell>
          <cell r="J302" t="str">
            <v>x</v>
          </cell>
          <cell r="K302"/>
          <cell r="L302"/>
          <cell r="M302" t="str">
            <v>Conforme au standard</v>
          </cell>
          <cell r="N302" t="str">
            <v>Non concerné</v>
          </cell>
          <cell r="O302" t="str">
            <v>Non concerné</v>
          </cell>
          <cell r="P302"/>
          <cell r="Q302"/>
          <cell r="R302"/>
          <cell r="S302" t="str">
            <v/>
          </cell>
        </row>
        <row r="303">
          <cell r="A303" t="str">
            <v>El224a</v>
          </cell>
          <cell r="B303"/>
          <cell r="C303" t="str">
            <v>D</v>
          </cell>
          <cell r="D303" t="str">
            <v>Prestation locale hors France Métropolitaine (TVA 0%);Prestation locale hors France Métropolitaine (TVA 8,5%) ;Prestation locale DROM/COM (TVA Achat 20%_Vente 8,5%)</v>
          </cell>
          <cell r="E303"/>
          <cell r="F303" t="str">
            <v>Si oui préciser si elles sont liées à des prestations locales</v>
          </cell>
          <cell r="G303" t="str">
            <v>Liste choix multiple</v>
          </cell>
          <cell r="H303" t="str">
            <v>Prestation locale hors France Métropolitaine (TVA 0%);Prestation locale hors France Métropolitaine (TVA 8,5%);Prestation locale DROM/COM (TVA Achat 20%_Vente 8,5%)</v>
          </cell>
          <cell r="I303" t="str">
            <v>Prestation locale hors France Métropolitaine (TVA 0%);Prestation locale hors France Métropolitaine (TVA 8,5%) ;Prestation locale DROM/COM (TVA Achat 20%_Vente 8,5%)</v>
          </cell>
          <cell r="J303" t="str">
            <v/>
          </cell>
          <cell r="K303"/>
          <cell r="L303"/>
          <cell r="M303" t="str">
            <v>Conforme au standard</v>
          </cell>
          <cell r="N303" t="str">
            <v>Non concerné</v>
          </cell>
          <cell r="O303" t="str">
            <v>Non concerné</v>
          </cell>
          <cell r="P303"/>
          <cell r="Q303"/>
          <cell r="R303"/>
          <cell r="S303" t="str">
            <v>=</v>
          </cell>
        </row>
        <row r="304">
          <cell r="A304" t="str">
            <v>El224b</v>
          </cell>
          <cell r="B304"/>
          <cell r="C304" t="str">
            <v>D</v>
          </cell>
          <cell r="D304" t="str">
            <v>Non concerné pour la direction/univers</v>
          </cell>
          <cell r="E304"/>
          <cell r="F304" t="str">
            <v>Si oui préciser si elles concernent l'immatriculation de véhicules</v>
          </cell>
          <cell r="G304" t="str">
            <v xml:space="preserve">Liste choix unique </v>
          </cell>
          <cell r="H304" t="str">
            <v>Oui, elles concernent l'immatriculation de véhicules;Non, elles ne concernent pas l'immatriculation de véhicules</v>
          </cell>
          <cell r="I304" t="str">
            <v>Non concerné pour la direction/univers</v>
          </cell>
          <cell r="J304" t="str">
            <v/>
          </cell>
          <cell r="K304" t="str">
            <v>VRAI</v>
          </cell>
          <cell r="L304"/>
          <cell r="M304" t="str">
            <v>Non concerné</v>
          </cell>
          <cell r="N304" t="str">
            <v>Non concerné</v>
          </cell>
          <cell r="O304" t="str">
            <v>Non concerné</v>
          </cell>
          <cell r="P304"/>
          <cell r="Q304"/>
          <cell r="R304"/>
          <cell r="S304" t="str">
            <v>=</v>
          </cell>
        </row>
        <row r="305">
          <cell r="A305" t="str">
            <v>El224c</v>
          </cell>
          <cell r="B305"/>
          <cell r="C305" t="str">
            <v>Sp</v>
          </cell>
          <cell r="D305" t="str">
            <v/>
          </cell>
          <cell r="E305"/>
          <cell r="F305" t="str">
            <v>Si oui préciser si elles concernent les frais de transport</v>
          </cell>
          <cell r="G305" t="str">
            <v>Liste choix multiple</v>
          </cell>
          <cell r="H305" t="str">
            <v>Frais de transport, pour les livraisons hors France Métropolitaine (TVA 0%);Frais de transport, pour les livraisons hors France Métropolitaine (TVA 8,5%);Frais de transport, pour les livraisons hors France Métropolitaine (TVA 20%)</v>
          </cell>
          <cell r="I305" t="str">
            <v/>
          </cell>
          <cell r="J305" t="str">
            <v/>
          </cell>
          <cell r="K305"/>
          <cell r="L305"/>
          <cell r="M305" t="str">
            <v>Renseigner la réponse DCO</v>
          </cell>
          <cell r="N305" t="str">
            <v>Non concerné</v>
          </cell>
          <cell r="O305" t="str">
            <v>Non concerné</v>
          </cell>
          <cell r="P305"/>
          <cell r="Q305"/>
          <cell r="R305"/>
          <cell r="S305" t="str">
            <v>=</v>
          </cell>
        </row>
        <row r="306">
          <cell r="A306" t="str">
            <v>El224d</v>
          </cell>
          <cell r="B306"/>
          <cell r="C306" t="str">
            <v>D</v>
          </cell>
          <cell r="D306" t="str">
            <v>Non concerné pour la direction/univers</v>
          </cell>
          <cell r="E306"/>
          <cell r="F306" t="str">
            <v>Si oui préciser si elles concernent l'assurance livraison</v>
          </cell>
          <cell r="G306" t="str">
            <v xml:space="preserve">Liste choix unique </v>
          </cell>
          <cell r="H306" t="str">
            <v>Oui, Assurance pour les livraisons hors France Métropolitaine (TVA 0%);Non, Absence d'assurance pour la livraison</v>
          </cell>
          <cell r="I306" t="str">
            <v>Non concerné pour la direction/univers</v>
          </cell>
          <cell r="J306" t="str">
            <v/>
          </cell>
          <cell r="K306" t="str">
            <v>VRAI</v>
          </cell>
          <cell r="L306"/>
          <cell r="M306" t="str">
            <v>Non concerné</v>
          </cell>
          <cell r="N306" t="str">
            <v>Non concerné</v>
          </cell>
          <cell r="O306" t="str">
            <v>Non concerné</v>
          </cell>
          <cell r="P306"/>
          <cell r="Q306"/>
          <cell r="R306"/>
          <cell r="S306" t="str">
            <v/>
          </cell>
        </row>
        <row r="307">
          <cell r="A307" t="str">
            <v>ElTTT455</v>
          </cell>
          <cell r="B307"/>
          <cell r="C307" t="str">
            <v>Titre</v>
          </cell>
          <cell r="D307" t="str">
            <v/>
          </cell>
          <cell r="E307"/>
          <cell r="F307" t="str">
            <v>10.1.1 - Remise</v>
          </cell>
          <cell r="G307"/>
          <cell r="H307"/>
          <cell r="I307" t="str">
            <v/>
          </cell>
          <cell r="J307" t="str">
            <v/>
          </cell>
          <cell r="K307"/>
          <cell r="L307"/>
          <cell r="M307" t="str">
            <v/>
          </cell>
          <cell r="N307" t="str">
            <v>Non concerné</v>
          </cell>
          <cell r="O307" t="str">
            <v>Non concerné</v>
          </cell>
          <cell r="P307"/>
          <cell r="Q307"/>
          <cell r="R307"/>
          <cell r="S307" t="str">
            <v/>
          </cell>
        </row>
        <row r="308">
          <cell r="A308" t="str">
            <v>El311</v>
          </cell>
          <cell r="B308"/>
          <cell r="C308" t="str">
            <v>U</v>
          </cell>
          <cell r="D308" t="str">
            <v>Oui, remise sur catalogue exigée</v>
          </cell>
          <cell r="E308"/>
          <cell r="F308" t="str">
            <v>Est-il demandé aux candidats une remise sur catalogue ?</v>
          </cell>
          <cell r="G308" t="str">
            <v xml:space="preserve">Liste choix unique </v>
          </cell>
          <cell r="H308" t="str">
            <v>Oui, remise sur catalogue exigée;Non, absence de remsie sur catalogue</v>
          </cell>
          <cell r="I308" t="str">
            <v>Oui, remise sur catalogue exigée</v>
          </cell>
          <cell r="J308" t="str">
            <v>x</v>
          </cell>
          <cell r="K308"/>
          <cell r="L308"/>
          <cell r="M308" t="str">
            <v>Conforme au standard</v>
          </cell>
          <cell r="N308" t="str">
            <v>Non concerné</v>
          </cell>
          <cell r="O308" t="str">
            <v>Non concerné</v>
          </cell>
          <cell r="P308"/>
          <cell r="Q308"/>
          <cell r="R308"/>
          <cell r="S308" t="str">
            <v/>
          </cell>
        </row>
        <row r="309">
          <cell r="A309" t="str">
            <v>El312</v>
          </cell>
          <cell r="B309"/>
          <cell r="C309" t="str">
            <v>D</v>
          </cell>
          <cell r="D309" t="str">
            <v>Non concerné pour la direction/univers</v>
          </cell>
          <cell r="E309"/>
          <cell r="F309" t="str">
            <v xml:space="preserve">Si oui, préciser sur quoi porte cette remise </v>
          </cell>
          <cell r="G309" t="str">
            <v xml:space="preserve">Liste choix unique </v>
          </cell>
          <cell r="H309" t="str">
            <v>Pièces détachées;Matériels figurant en annexe à l'AE</v>
          </cell>
          <cell r="I309" t="str">
            <v>Non concerné pour la direction/univers</v>
          </cell>
          <cell r="J309" t="str">
            <v/>
          </cell>
          <cell r="K309" t="str">
            <v>VRAI</v>
          </cell>
          <cell r="L309"/>
          <cell r="M309" t="str">
            <v>Non concerné</v>
          </cell>
          <cell r="N309" t="str">
            <v>Non concerné</v>
          </cell>
          <cell r="O309" t="str">
            <v>Non concerné</v>
          </cell>
          <cell r="P309"/>
          <cell r="Q309"/>
          <cell r="R309"/>
          <cell r="S309" t="str">
            <v/>
          </cell>
        </row>
        <row r="310">
          <cell r="A310" t="str">
            <v>ElTTT456</v>
          </cell>
          <cell r="B310"/>
          <cell r="C310" t="str">
            <v>Titre</v>
          </cell>
          <cell r="D310" t="str">
            <v/>
          </cell>
          <cell r="E310"/>
          <cell r="F310" t="str">
            <v xml:space="preserve">10.1.2 Frais </v>
          </cell>
          <cell r="G310"/>
          <cell r="H310"/>
          <cell r="I310" t="str">
            <v/>
          </cell>
          <cell r="J310" t="str">
            <v/>
          </cell>
          <cell r="K310"/>
          <cell r="L310"/>
          <cell r="M310" t="str">
            <v/>
          </cell>
          <cell r="N310" t="str">
            <v>Non concerné</v>
          </cell>
          <cell r="O310" t="str">
            <v>Non concerné</v>
          </cell>
          <cell r="P310"/>
          <cell r="Q310"/>
          <cell r="R310"/>
          <cell r="S310" t="str">
            <v/>
          </cell>
        </row>
        <row r="311">
          <cell r="A311" t="str">
            <v>El313</v>
          </cell>
          <cell r="B311"/>
          <cell r="C311" t="str">
            <v>D</v>
          </cell>
          <cell r="D311" t="str">
            <v>Oui, les frais couvrent l'hébergement, le transport et la restauration</v>
          </cell>
          <cell r="E311"/>
          <cell r="F311" t="str">
            <v xml:space="preserve">Les prix couvrent-ils les frais d'hébergement, de transport et de restauration en lien avec les prestations ? </v>
          </cell>
          <cell r="G311" t="str">
            <v xml:space="preserve">Liste choix unique </v>
          </cell>
          <cell r="H311" t="str">
            <v>Oui, les frais couvrent l'hébergement, le transport et la restauration; Non, les frais ne couvrent pas l'hébergement, le transport et la restauration</v>
          </cell>
          <cell r="I311" t="str">
            <v>Oui, les frais couvrent l'hébergement, le transport et la restauration</v>
          </cell>
          <cell r="J311" t="str">
            <v>x</v>
          </cell>
          <cell r="K311"/>
          <cell r="L311"/>
          <cell r="M311" t="str">
            <v>Conforme au standard</v>
          </cell>
          <cell r="N311" t="str">
            <v>Non concerné</v>
          </cell>
          <cell r="O311" t="str">
            <v>Non concerné</v>
          </cell>
          <cell r="P311"/>
          <cell r="Q311"/>
          <cell r="R311"/>
          <cell r="S311" t="str">
            <v/>
          </cell>
        </row>
        <row r="312">
          <cell r="A312" t="str">
            <v>El314</v>
          </cell>
          <cell r="B312"/>
          <cell r="C312" t="str">
            <v>D</v>
          </cell>
          <cell r="D312" t="str">
            <v>Inclus dans les prix</v>
          </cell>
          <cell r="E312"/>
          <cell r="F312" t="str">
            <v xml:space="preserve">Si oui, préciser </v>
          </cell>
          <cell r="G312" t="str">
            <v xml:space="preserve">Liste choix unique </v>
          </cell>
          <cell r="H312" t="str">
            <v>Sur devis;Inclus dans les prix</v>
          </cell>
          <cell r="I312" t="str">
            <v>Inclus dans les prix</v>
          </cell>
          <cell r="J312" t="str">
            <v/>
          </cell>
          <cell r="K312"/>
          <cell r="L312"/>
          <cell r="M312" t="str">
            <v>Conforme au standard</v>
          </cell>
          <cell r="N312" t="str">
            <v>Non concerné</v>
          </cell>
          <cell r="O312" t="str">
            <v>Non concerné</v>
          </cell>
          <cell r="P312"/>
          <cell r="Q312"/>
          <cell r="R312"/>
          <cell r="S312" t="str">
            <v/>
          </cell>
        </row>
        <row r="313">
          <cell r="A313" t="str">
            <v>El313b</v>
          </cell>
          <cell r="B313"/>
          <cell r="C313" t="str">
            <v>D</v>
          </cell>
          <cell r="D313" t="str">
            <v>Non, absence de frais de modification ou relivraison</v>
          </cell>
          <cell r="E313"/>
          <cell r="F313" t="str">
            <v xml:space="preserve">Y'a-t-il des frais de modification ou relivraison  ? </v>
          </cell>
          <cell r="G313" t="str">
            <v xml:space="preserve">Liste choix unique </v>
          </cell>
          <cell r="H313" t="str">
            <v>Oui, frais de modification ou relivraisons prévus; Non, absence de frais de modification ou relivraison</v>
          </cell>
          <cell r="I313" t="str">
            <v>Non, absence de frais de modification ou relivraison</v>
          </cell>
          <cell r="J313" t="str">
            <v/>
          </cell>
          <cell r="K313"/>
          <cell r="L313"/>
          <cell r="M313" t="str">
            <v>Conforme au standard</v>
          </cell>
          <cell r="N313" t="str">
            <v>Non concerné</v>
          </cell>
          <cell r="O313" t="str">
            <v>Non concerné</v>
          </cell>
          <cell r="P313"/>
          <cell r="Q313"/>
          <cell r="R313"/>
          <cell r="S313" t="str">
            <v/>
          </cell>
        </row>
        <row r="314">
          <cell r="A314" t="str">
            <v>ElTTT457</v>
          </cell>
          <cell r="B314"/>
          <cell r="C314" t="str">
            <v>Titre</v>
          </cell>
          <cell r="D314" t="str">
            <v/>
          </cell>
          <cell r="E314"/>
          <cell r="F314" t="str">
            <v xml:space="preserve">10.1.3  Support d'enregistrement </v>
          </cell>
          <cell r="G314"/>
          <cell r="H314"/>
          <cell r="I314" t="str">
            <v/>
          </cell>
          <cell r="J314" t="str">
            <v/>
          </cell>
          <cell r="K314"/>
          <cell r="L314"/>
          <cell r="M314" t="str">
            <v/>
          </cell>
          <cell r="N314" t="str">
            <v>Non concerné</v>
          </cell>
          <cell r="O314" t="str">
            <v>Non concerné</v>
          </cell>
          <cell r="P314"/>
          <cell r="Q314"/>
          <cell r="R314"/>
          <cell r="S314" t="str">
            <v/>
          </cell>
        </row>
        <row r="315">
          <cell r="A315" t="str">
            <v>El315</v>
          </cell>
          <cell r="B315"/>
          <cell r="C315" t="str">
            <v>U</v>
          </cell>
          <cell r="D315" t="str">
            <v>Oui, l'offre prévoit des supports d'enregistrement</v>
          </cell>
          <cell r="E315"/>
          <cell r="F315" t="str">
            <v>L'offre prévoit-elle des supports d'enregistrement (cles USB, disques durs, CD, …)?</v>
          </cell>
          <cell r="G315" t="str">
            <v xml:space="preserve">Liste choix unique </v>
          </cell>
          <cell r="H315" t="str">
            <v>Oui, l'offre prévoit des supports d'enregistrement;Non, l'offre ne prévoit pas de supports d'enregistrement</v>
          </cell>
          <cell r="I315" t="str">
            <v>Oui, l'offre prévoit des supports d'enregistrement</v>
          </cell>
          <cell r="J315" t="str">
            <v>x</v>
          </cell>
          <cell r="K315"/>
          <cell r="L315"/>
          <cell r="M315" t="str">
            <v>Conforme au standard</v>
          </cell>
          <cell r="N315" t="str">
            <v>Non concerné</v>
          </cell>
          <cell r="O315" t="str">
            <v>Non concerné</v>
          </cell>
          <cell r="P315"/>
          <cell r="Q315"/>
          <cell r="R315"/>
          <cell r="S315" t="str">
            <v/>
          </cell>
        </row>
        <row r="316">
          <cell r="A316" t="str">
            <v>El315b</v>
          </cell>
          <cell r="B316"/>
          <cell r="C316" t="str">
            <v>U</v>
          </cell>
          <cell r="D316" t="str">
            <v>Non, absence de rémunération pour copie privée</v>
          </cell>
          <cell r="E316"/>
          <cell r="F316" t="str">
            <v xml:space="preserve">Si oui, une rémunération pour copie privée est-elle prévue ? </v>
          </cell>
          <cell r="G316" t="str">
            <v xml:space="preserve">Liste choix unique </v>
          </cell>
          <cell r="H316" t="str">
            <v>Oui, une rémunération pour copie privée est prévue; Non, absence de rémunération pour copie privée</v>
          </cell>
          <cell r="I316" t="str">
            <v>Non, absence de rémunération pour copie privée</v>
          </cell>
          <cell r="J316" t="str">
            <v/>
          </cell>
          <cell r="K316"/>
          <cell r="L316"/>
          <cell r="M316" t="str">
            <v>Conforme au standard</v>
          </cell>
          <cell r="N316" t="str">
            <v>Non concerné</v>
          </cell>
          <cell r="O316" t="str">
            <v>Non concerné</v>
          </cell>
          <cell r="P316"/>
          <cell r="Q316"/>
          <cell r="R316"/>
          <cell r="S316" t="str">
            <v/>
          </cell>
        </row>
        <row r="317">
          <cell r="A317" t="str">
            <v>ElTT458</v>
          </cell>
          <cell r="B317"/>
          <cell r="C317" t="str">
            <v>Titre</v>
          </cell>
          <cell r="D317" t="str">
            <v/>
          </cell>
          <cell r="E317"/>
          <cell r="F317" t="str">
            <v>10.2 - Variation des prix ou taux de remise</v>
          </cell>
          <cell r="G317"/>
          <cell r="H317"/>
          <cell r="I317" t="str">
            <v/>
          </cell>
          <cell r="J317" t="str">
            <v/>
          </cell>
          <cell r="K317"/>
          <cell r="L317"/>
          <cell r="M317" t="str">
            <v/>
          </cell>
          <cell r="N317" t="str">
            <v>Non concerné</v>
          </cell>
          <cell r="O317" t="str">
            <v>Non concerné</v>
          </cell>
          <cell r="P317"/>
          <cell r="Q317"/>
          <cell r="R317"/>
          <cell r="S317" t="str">
            <v/>
          </cell>
        </row>
        <row r="318">
          <cell r="A318" t="str">
            <v>El316</v>
          </cell>
          <cell r="B318"/>
          <cell r="C318" t="str">
            <v>E</v>
          </cell>
          <cell r="D318" t="str">
            <v>Révisable</v>
          </cell>
          <cell r="E318"/>
          <cell r="F318" t="str">
            <v>Quelles sont les modalités de variation des prix   ?</v>
          </cell>
          <cell r="G318" t="str">
            <v>Liste choix multiple</v>
          </cell>
          <cell r="H318" t="str">
            <v>Prix fermes;Prix révisables sur tarif public à la date d'anniversaire;Prix révisables sur tarif public à tout moment;Prix révisables sur tarif public à date fixe;Prix révisables sur indice;Taux de remise sur tarif public;Autre</v>
          </cell>
          <cell r="I318" t="str">
            <v>Révisable</v>
          </cell>
          <cell r="J318" t="str">
            <v>x</v>
          </cell>
          <cell r="K318"/>
          <cell r="L318"/>
          <cell r="M318" t="str">
            <v>Conforme au standard</v>
          </cell>
          <cell r="N318" t="str">
            <v>Non concerné</v>
          </cell>
          <cell r="O318" t="str">
            <v>Non concerné</v>
          </cell>
          <cell r="P318"/>
          <cell r="Q318"/>
          <cell r="R318"/>
          <cell r="S318" t="str">
            <v/>
          </cell>
        </row>
        <row r="319">
          <cell r="A319" t="str">
            <v>El316a</v>
          </cell>
          <cell r="B319"/>
          <cell r="C319" t="str">
            <v>Sp</v>
          </cell>
          <cell r="D319" t="str">
            <v/>
          </cell>
          <cell r="E319"/>
          <cell r="F319" t="str">
            <v>Préciser le périmètre concerné par l'actualisation des prix fermes</v>
          </cell>
          <cell r="G319" t="str">
            <v>Liste choix multiple</v>
          </cell>
          <cell r="H319" t="str">
            <v>des matériels;des prestations annexes;des prestations de maintenance;des modulations de garantie</v>
          </cell>
          <cell r="I319" t="str">
            <v>Non concerné pour l'offre</v>
          </cell>
          <cell r="J319"/>
          <cell r="K319" t="str">
            <v>VRAI</v>
          </cell>
          <cell r="L319"/>
          <cell r="M319" t="str">
            <v>Spécifique Offre</v>
          </cell>
          <cell r="N319" t="str">
            <v>Non concerné</v>
          </cell>
          <cell r="O319" t="str">
            <v>Non concerné</v>
          </cell>
          <cell r="P319"/>
          <cell r="Q319"/>
          <cell r="R319"/>
          <cell r="S319" t="str">
            <v/>
          </cell>
        </row>
        <row r="320">
          <cell r="A320" t="str">
            <v>El403</v>
          </cell>
          <cell r="B320"/>
          <cell r="C320" t="str">
            <v>Sp</v>
          </cell>
          <cell r="D320" t="str">
            <v/>
          </cell>
          <cell r="E320"/>
          <cell r="F320" t="str">
            <v>Si révision sur indice, préciser les modalités de variation par lot</v>
          </cell>
          <cell r="G320" t="str">
            <v>Annexe 10 - Détail lots</v>
          </cell>
          <cell r="H320" t="str">
            <v>Annexe 10-Révision des prix sur indice</v>
          </cell>
          <cell r="I320" t="str">
            <v>10 - Détail lots</v>
          </cell>
          <cell r="J320" t="str">
            <v/>
          </cell>
          <cell r="K320" t="str">
            <v>VRAI</v>
          </cell>
          <cell r="L320"/>
          <cell r="M320" t="str">
            <v>Spécifique Offre</v>
          </cell>
          <cell r="N320" t="str">
            <v>Identique</v>
          </cell>
          <cell r="O320" t="str">
            <v>Non concerné</v>
          </cell>
          <cell r="P320"/>
          <cell r="Q320"/>
          <cell r="R320"/>
          <cell r="S320" t="str">
            <v/>
          </cell>
        </row>
        <row r="321">
          <cell r="A321" t="str">
            <v>El506</v>
          </cell>
          <cell r="B321"/>
          <cell r="C321" t="str">
            <v>Sp</v>
          </cell>
          <cell r="D321" t="str">
            <v/>
          </cell>
          <cell r="E321"/>
          <cell r="F321" t="str">
            <v>Si révision sur tarif public à tout moment, préciser les lots</v>
          </cell>
          <cell r="G321" t="str">
            <v>Texte</v>
          </cell>
          <cell r="H321" t="str">
            <v>Champ libre</v>
          </cell>
          <cell r="I321" t="str">
            <v>Non concerné pour l'offre</v>
          </cell>
          <cell r="J321"/>
          <cell r="K321" t="str">
            <v>VRAI</v>
          </cell>
          <cell r="L321"/>
          <cell r="M321" t="str">
            <v>Spécifique Offre</v>
          </cell>
          <cell r="N321" t="str">
            <v>Non concerné</v>
          </cell>
          <cell r="O321" t="str">
            <v>Non concerné</v>
          </cell>
          <cell r="P321"/>
          <cell r="Q321"/>
          <cell r="R321"/>
          <cell r="S321" t="str">
            <v/>
          </cell>
        </row>
        <row r="322">
          <cell r="A322" t="str">
            <v>El506a</v>
          </cell>
          <cell r="B322"/>
          <cell r="C322" t="str">
            <v>Sp</v>
          </cell>
          <cell r="D322" t="str">
            <v/>
          </cell>
          <cell r="E322"/>
          <cell r="F322" t="str">
            <v>Préciser le périmètre concerné par la révision sur tarif public à tout moment</v>
          </cell>
          <cell r="G322" t="str">
            <v>Liste choix multiple</v>
          </cell>
          <cell r="H322" t="str">
            <v>des matériels;des prestations annexes;des prestations de maintenance;des modulations de garantie</v>
          </cell>
          <cell r="I322" t="str">
            <v>Non concerné pour l'offre</v>
          </cell>
          <cell r="J322"/>
          <cell r="K322" t="str">
            <v>VRAI</v>
          </cell>
          <cell r="L322"/>
          <cell r="M322" t="str">
            <v>Spécifique Offre</v>
          </cell>
          <cell r="N322" t="str">
            <v>Non concerné</v>
          </cell>
          <cell r="O322" t="str">
            <v>Non concerné</v>
          </cell>
          <cell r="P322"/>
          <cell r="Q322"/>
          <cell r="R322"/>
          <cell r="S322" t="str">
            <v/>
          </cell>
        </row>
        <row r="323">
          <cell r="A323" t="str">
            <v>El506b</v>
          </cell>
          <cell r="B323"/>
          <cell r="C323" t="str">
            <v>Sp</v>
          </cell>
          <cell r="D323" t="str">
            <v/>
          </cell>
          <cell r="E323"/>
          <cell r="F323" t="str">
            <v>Si révision sur tarif public à tout moment, date de départ de la première période de révision, à la baisse uniquement, pour une durée de 6 mois</v>
          </cell>
          <cell r="G323" t="str">
            <v>Liste choix unique</v>
          </cell>
          <cell r="H323" t="str">
            <v>date de notification du présent contrat;date de départ de la durée initiale du contrat figurant dans l’ordre de service</v>
          </cell>
          <cell r="I323" t="str">
            <v>Non concerné pour l'offre</v>
          </cell>
          <cell r="J323"/>
          <cell r="K323" t="str">
            <v>VRAI</v>
          </cell>
          <cell r="L323"/>
          <cell r="M323" t="str">
            <v>Spécifique Offre</v>
          </cell>
          <cell r="N323" t="str">
            <v>Non concerné</v>
          </cell>
          <cell r="O323" t="str">
            <v>Non concerné</v>
          </cell>
          <cell r="P323"/>
          <cell r="Q323"/>
          <cell r="R323"/>
          <cell r="S323" t="str">
            <v/>
          </cell>
        </row>
        <row r="324">
          <cell r="A324" t="str">
            <v>El506c</v>
          </cell>
          <cell r="B324"/>
          <cell r="C324" t="str">
            <v>Sp</v>
          </cell>
          <cell r="D324" t="str">
            <v/>
          </cell>
          <cell r="E324"/>
          <cell r="F324" t="str">
            <v>Si révision sur tarif public à tout moment, préciser le rythme de révision après la première période de 6 mois</v>
          </cell>
          <cell r="G324" t="str">
            <v>Liste choix unique</v>
          </cell>
          <cell r="H324" t="str">
            <v>six (6) mois glissants;douze (12) mois glissants;Autre rythme de révision</v>
          </cell>
          <cell r="I324" t="str">
            <v>Non concerné pour l'offre</v>
          </cell>
          <cell r="J324" t="str">
            <v>x</v>
          </cell>
          <cell r="K324" t="str">
            <v>VRAI</v>
          </cell>
          <cell r="L324"/>
          <cell r="M324" t="str">
            <v>Spécifique Offre</v>
          </cell>
          <cell r="N324" t="str">
            <v>Non concerné</v>
          </cell>
          <cell r="O324" t="str">
            <v>Non concerné</v>
          </cell>
          <cell r="P324"/>
          <cell r="Q324"/>
          <cell r="R324"/>
          <cell r="S324" t="str">
            <v/>
          </cell>
        </row>
        <row r="325">
          <cell r="A325" t="str">
            <v>El506d</v>
          </cell>
          <cell r="B325"/>
          <cell r="C325" t="str">
            <v>Sp</v>
          </cell>
          <cell r="D325" t="str">
            <v/>
          </cell>
          <cell r="E325"/>
          <cell r="F325" t="str">
            <v xml:space="preserve">Si autre de ryhtme de révision sur tarif public à tout moment, préciser </v>
          </cell>
          <cell r="G325" t="str">
            <v>Texte</v>
          </cell>
          <cell r="H325" t="str">
            <v>Champ libre</v>
          </cell>
          <cell r="I325" t="str">
            <v>Non concerné pour l'offre</v>
          </cell>
          <cell r="J325"/>
          <cell r="K325" t="str">
            <v>VRAI</v>
          </cell>
          <cell r="L325"/>
          <cell r="M325" t="str">
            <v>Spécifique Offre</v>
          </cell>
          <cell r="N325" t="str">
            <v>Non concerné</v>
          </cell>
          <cell r="O325" t="str">
            <v>Non concerné</v>
          </cell>
          <cell r="P325"/>
          <cell r="Q325"/>
          <cell r="R325"/>
          <cell r="S325" t="str">
            <v/>
          </cell>
        </row>
        <row r="326">
          <cell r="A326" t="str">
            <v>El506e</v>
          </cell>
          <cell r="B326"/>
          <cell r="C326" t="str">
            <v>Sp</v>
          </cell>
          <cell r="D326" t="str">
            <v/>
          </cell>
          <cell r="E326"/>
          <cell r="F326" t="str">
            <v>Date d'entrée en vigueur du nouveau prix sur tarif public</v>
          </cell>
          <cell r="G326" t="str">
            <v>Texte</v>
          </cell>
          <cell r="H326" t="str">
            <v>date acceptée ou fixée par l’UGAP dans le courrier adressé au titulaire;trente (30) jours calendaires à compter de la validation de l’UGAP</v>
          </cell>
          <cell r="I326" t="str">
            <v>Non concerné pour l'offre</v>
          </cell>
          <cell r="J326"/>
          <cell r="K326" t="str">
            <v>VRAI</v>
          </cell>
          <cell r="L326"/>
          <cell r="M326" t="str">
            <v>Spécifique Offre</v>
          </cell>
          <cell r="N326" t="str">
            <v>Non concerné</v>
          </cell>
          <cell r="O326" t="str">
            <v>Non concerné</v>
          </cell>
          <cell r="P326"/>
          <cell r="Q326"/>
          <cell r="R326"/>
          <cell r="S326" t="str">
            <v/>
          </cell>
        </row>
        <row r="327">
          <cell r="A327" t="str">
            <v>El510</v>
          </cell>
          <cell r="B327"/>
          <cell r="C327" t="str">
            <v>Sp</v>
          </cell>
          <cell r="D327" t="str">
            <v/>
          </cell>
          <cell r="E327"/>
          <cell r="F327" t="str">
            <v>Si révision sur tarif public à date fixe ou anniversaire, préciser les lot</v>
          </cell>
          <cell r="G327" t="str">
            <v>Texte</v>
          </cell>
          <cell r="H327" t="str">
            <v>Champ libre</v>
          </cell>
          <cell r="I327" t="str">
            <v>Non concerné pour l'offre</v>
          </cell>
          <cell r="J327"/>
          <cell r="K327" t="str">
            <v>VRAI</v>
          </cell>
          <cell r="L327"/>
          <cell r="M327" t="str">
            <v>Spécifique Offre</v>
          </cell>
          <cell r="N327" t="str">
            <v>Non concerné</v>
          </cell>
          <cell r="O327" t="str">
            <v>Non concerné</v>
          </cell>
          <cell r="P327"/>
          <cell r="Q327"/>
          <cell r="R327"/>
          <cell r="S327" t="str">
            <v/>
          </cell>
        </row>
        <row r="328">
          <cell r="A328" t="str">
            <v>El510a</v>
          </cell>
          <cell r="B328"/>
          <cell r="C328" t="str">
            <v>Sp</v>
          </cell>
          <cell r="D328" t="str">
            <v/>
          </cell>
          <cell r="E328"/>
          <cell r="F328" t="str">
            <v>Préciser le périmètre concerné par la révision sur tarif public à date fixe ou anniversaire</v>
          </cell>
          <cell r="G328" t="str">
            <v>Liste choix multiple</v>
          </cell>
          <cell r="H328" t="str">
            <v>des matériels;des prestations annexes;des prestations de maintenance;des modulations de garantie</v>
          </cell>
          <cell r="I328" t="str">
            <v>Non concerné pour l'offre</v>
          </cell>
          <cell r="J328"/>
          <cell r="K328" t="str">
            <v>VRAI</v>
          </cell>
          <cell r="L328"/>
          <cell r="M328" t="str">
            <v>Spécifique Offre</v>
          </cell>
          <cell r="N328" t="str">
            <v>Non concerné</v>
          </cell>
          <cell r="O328" t="str">
            <v>Non concerné</v>
          </cell>
          <cell r="P328"/>
          <cell r="Q328"/>
          <cell r="R328"/>
          <cell r="S328" t="str">
            <v/>
          </cell>
        </row>
        <row r="329">
          <cell r="A329" t="str">
            <v>El510b</v>
          </cell>
          <cell r="B329"/>
          <cell r="C329" t="str">
            <v>Sp</v>
          </cell>
          <cell r="D329" t="str">
            <v/>
          </cell>
          <cell r="E329"/>
          <cell r="F329" t="str">
            <v>Si révision sur tarif public à date fixe ou anniversaire, préciser la date de révision</v>
          </cell>
          <cell r="G329" t="str">
            <v>Liste choix unique</v>
          </cell>
          <cell r="H329" t="str">
            <v>le 1er avril;le 1er septembre;le 1er février;Autre date</v>
          </cell>
          <cell r="I329" t="str">
            <v>Non concerné pour l'offre</v>
          </cell>
          <cell r="J329" t="str">
            <v>x</v>
          </cell>
          <cell r="K329" t="str">
            <v>VRAI</v>
          </cell>
          <cell r="L329"/>
          <cell r="M329" t="str">
            <v>Spécifique Offre</v>
          </cell>
          <cell r="N329" t="str">
            <v>Non concerné</v>
          </cell>
          <cell r="O329" t="str">
            <v>Non concerné</v>
          </cell>
          <cell r="P329"/>
          <cell r="Q329"/>
          <cell r="R329"/>
          <cell r="S329" t="str">
            <v/>
          </cell>
        </row>
        <row r="330">
          <cell r="A330" t="str">
            <v>El510c</v>
          </cell>
          <cell r="B330"/>
          <cell r="C330" t="str">
            <v>Sp</v>
          </cell>
          <cell r="D330" t="str">
            <v/>
          </cell>
          <cell r="E330"/>
          <cell r="F330" t="str">
            <v>Si révision sur tarif public à date fixe ou anniversaire à une autre date, préciser</v>
          </cell>
          <cell r="G330" t="str">
            <v>Texte</v>
          </cell>
          <cell r="H330" t="str">
            <v>jour mois</v>
          </cell>
          <cell r="I330" t="str">
            <v>Non concerné pour l'offre</v>
          </cell>
          <cell r="J330"/>
          <cell r="K330" t="str">
            <v>VRAI</v>
          </cell>
          <cell r="L330"/>
          <cell r="M330" t="str">
            <v>Spécifique Offre</v>
          </cell>
          <cell r="N330" t="str">
            <v>Non concerné</v>
          </cell>
          <cell r="O330" t="str">
            <v>Non concerné</v>
          </cell>
          <cell r="P330"/>
          <cell r="Q330"/>
          <cell r="R330"/>
          <cell r="S330" t="str">
            <v/>
          </cell>
        </row>
        <row r="331">
          <cell r="A331" t="str">
            <v>El510d</v>
          </cell>
          <cell r="B331"/>
          <cell r="C331" t="str">
            <v>Sp</v>
          </cell>
          <cell r="D331" t="str">
            <v/>
          </cell>
          <cell r="E331"/>
          <cell r="F331" t="str">
            <v>Les prix figurant au tarif public du titulaire, objet du présent marché sont révisables à date fixe ou anniversaire, à l'exception du prix suivant</v>
          </cell>
          <cell r="G331" t="str">
            <v>Liste choix unique</v>
          </cell>
          <cell r="H331" t="str">
            <v>la date de notification;la date de départ de la durée initiale du marché</v>
          </cell>
          <cell r="I331" t="str">
            <v>Non concerné pour l'offre</v>
          </cell>
          <cell r="J331"/>
          <cell r="K331" t="str">
            <v>VRAI</v>
          </cell>
          <cell r="L331"/>
          <cell r="M331" t="str">
            <v>Spécifique Offre</v>
          </cell>
          <cell r="N331" t="str">
            <v>Non concerné</v>
          </cell>
          <cell r="O331" t="str">
            <v>Non concerné</v>
          </cell>
          <cell r="P331"/>
          <cell r="Q331"/>
          <cell r="R331"/>
          <cell r="S331" t="str">
            <v/>
          </cell>
        </row>
        <row r="332">
          <cell r="A332" t="str">
            <v>El510e</v>
          </cell>
          <cell r="B332"/>
          <cell r="C332" t="str">
            <v>Sp</v>
          </cell>
          <cell r="D332" t="str">
            <v/>
          </cell>
          <cell r="E332"/>
          <cell r="F332" t="str">
            <v>Date butoir de communication de son nouveau tarif à l'UGAP par le titulaire</v>
          </cell>
          <cell r="G332" t="str">
            <v>Texte</v>
          </cell>
          <cell r="H332" t="str">
            <v>Date</v>
          </cell>
          <cell r="I332" t="str">
            <v>Non concerné pour l'offre</v>
          </cell>
          <cell r="J332" t="str">
            <v>x</v>
          </cell>
          <cell r="K332" t="str">
            <v>VRAI</v>
          </cell>
          <cell r="L332"/>
          <cell r="M332" t="str">
            <v>Spécifique Offre</v>
          </cell>
          <cell r="N332" t="str">
            <v>Non concerné</v>
          </cell>
          <cell r="O332" t="str">
            <v>Non concerné</v>
          </cell>
          <cell r="P332"/>
          <cell r="Q332"/>
          <cell r="R332"/>
          <cell r="S332" t="str">
            <v/>
          </cell>
        </row>
        <row r="333">
          <cell r="A333" t="str">
            <v>El510f</v>
          </cell>
          <cell r="B333"/>
          <cell r="C333" t="str">
            <v>Sp</v>
          </cell>
          <cell r="D333" t="str">
            <v/>
          </cell>
          <cell r="E333"/>
          <cell r="F333" t="str">
            <v>Si autre date butoir, préciser</v>
          </cell>
          <cell r="G333" t="str">
            <v>Texte</v>
          </cell>
          <cell r="H333" t="str">
            <v>jour mois</v>
          </cell>
          <cell r="I333" t="str">
            <v>Non concerné pour l'offre</v>
          </cell>
          <cell r="J333"/>
          <cell r="K333" t="str">
            <v>VRAI</v>
          </cell>
          <cell r="L333"/>
          <cell r="M333" t="str">
            <v>Spécifique Offre</v>
          </cell>
          <cell r="N333" t="str">
            <v>Non concerné</v>
          </cell>
          <cell r="O333" t="str">
            <v>Non concerné</v>
          </cell>
          <cell r="P333"/>
          <cell r="Q333"/>
          <cell r="R333"/>
          <cell r="S333" t="str">
            <v/>
          </cell>
        </row>
        <row r="334">
          <cell r="A334" t="str">
            <v>El317</v>
          </cell>
          <cell r="B334"/>
          <cell r="C334" t="str">
            <v>D</v>
          </cell>
          <cell r="D334" t="str">
            <v>Non concerné pour la direction/univers</v>
          </cell>
          <cell r="E334"/>
          <cell r="F334" t="str">
            <v>Le taux de remise peut-il varier?</v>
          </cell>
          <cell r="G334" t="str">
            <v xml:space="preserve">Liste choix unique </v>
          </cell>
          <cell r="H334" t="str">
            <v>Oui, le taux de remise peut varier;Non,le taux de remise est ferme</v>
          </cell>
          <cell r="I334" t="str">
            <v>Non concerné pour la direction/univers</v>
          </cell>
          <cell r="J334" t="str">
            <v>x</v>
          </cell>
          <cell r="K334" t="str">
            <v>VRAI</v>
          </cell>
          <cell r="L334"/>
          <cell r="M334" t="str">
            <v>Non concerné</v>
          </cell>
          <cell r="N334" t="str">
            <v>Non concerné</v>
          </cell>
          <cell r="O334" t="str">
            <v>Non concerné</v>
          </cell>
          <cell r="P334"/>
          <cell r="Q334"/>
          <cell r="R334"/>
          <cell r="S334" t="str">
            <v/>
          </cell>
        </row>
        <row r="335">
          <cell r="A335" t="str">
            <v>El317a</v>
          </cell>
          <cell r="B335"/>
          <cell r="C335" t="str">
            <v>Sp</v>
          </cell>
          <cell r="D335" t="str">
            <v/>
          </cell>
          <cell r="E335"/>
          <cell r="F335" t="str">
            <v>Le surcoût outer-mer peut-il varier?</v>
          </cell>
          <cell r="G335" t="str">
            <v xml:space="preserve">Liste choix unique </v>
          </cell>
          <cell r="H335" t="str">
            <v>Oui, le surcoût outer-mer peut varier;Non,le surcoût outer-mer est ferme</v>
          </cell>
          <cell r="I335" t="str">
            <v/>
          </cell>
          <cell r="J335" t="str">
            <v>x</v>
          </cell>
          <cell r="K335"/>
          <cell r="L335"/>
          <cell r="M335" t="str">
            <v>Renseigner la réponse DCO</v>
          </cell>
          <cell r="N335" t="str">
            <v>Non concerné</v>
          </cell>
          <cell r="O335" t="str">
            <v>Non concerné</v>
          </cell>
          <cell r="P335"/>
          <cell r="Q335"/>
          <cell r="R335"/>
          <cell r="S335" t="str">
            <v/>
          </cell>
        </row>
        <row r="336">
          <cell r="A336" t="str">
            <v>El318</v>
          </cell>
          <cell r="B336"/>
          <cell r="C336" t="str">
            <v>Sp</v>
          </cell>
          <cell r="D336" t="str">
            <v/>
          </cell>
          <cell r="E336"/>
          <cell r="F336" t="str">
            <v xml:space="preserve">Si le taux de remise peut varier, préciser les modalités de variation du taux dans le cadre de la mise en œuvre de la formule de révision des prix ou des offres promotionnelles </v>
          </cell>
          <cell r="G336" t="str">
            <v>Liste choix multiple</v>
          </cell>
          <cell r="H336" t="str">
            <v>Variation taux de remise à la hausse ou à la baisse dans la limite du taux minimum indiqué en annexe à l’acte d’engagement;Variation taux de remise dans le cadre de la mise en œuvre de la révision des prix à date fixe ou des offres promotionnelles</v>
          </cell>
          <cell r="I336" t="str">
            <v>Non concerné pour l'offre</v>
          </cell>
          <cell r="J336" t="str">
            <v/>
          </cell>
          <cell r="K336" t="str">
            <v>VRAI</v>
          </cell>
          <cell r="L336"/>
          <cell r="M336" t="str">
            <v>Spécifique Offre</v>
          </cell>
          <cell r="N336" t="str">
            <v>Non concerné</v>
          </cell>
          <cell r="O336" t="str">
            <v>Non concerné</v>
          </cell>
          <cell r="P336"/>
          <cell r="Q336"/>
          <cell r="R336"/>
          <cell r="S336" t="str">
            <v/>
          </cell>
        </row>
        <row r="337">
          <cell r="A337" t="str">
            <v>El318a</v>
          </cell>
          <cell r="B337"/>
          <cell r="C337" t="str">
            <v>Sp</v>
          </cell>
          <cell r="D337" t="str">
            <v/>
          </cell>
          <cell r="E337"/>
          <cell r="F337" t="str">
            <v>Ces modalités particulières s'appliquent-elles à l'ensemble des lots ?</v>
          </cell>
          <cell r="G337" t="str">
            <v xml:space="preserve">Liste choix unique </v>
          </cell>
          <cell r="H337" t="str">
            <v>Oui, modalités applicables à l'ensemble des lots;Non, modalités différentes en fonction des lots</v>
          </cell>
          <cell r="I337" t="str">
            <v>Non concerné pour l'offre</v>
          </cell>
          <cell r="J337" t="str">
            <v>x</v>
          </cell>
          <cell r="K337" t="str">
            <v>VRAI</v>
          </cell>
          <cell r="L337"/>
          <cell r="M337" t="str">
            <v>Spécifique Offre</v>
          </cell>
          <cell r="N337" t="str">
            <v>Non concerné</v>
          </cell>
          <cell r="O337" t="str">
            <v>Non concerné</v>
          </cell>
          <cell r="P337"/>
          <cell r="Q337"/>
          <cell r="R337"/>
          <cell r="S337" t="str">
            <v/>
          </cell>
        </row>
        <row r="338">
          <cell r="A338" t="str">
            <v>El319</v>
          </cell>
          <cell r="B338"/>
          <cell r="C338" t="str">
            <v>Sp</v>
          </cell>
          <cell r="D338" t="str">
            <v/>
          </cell>
          <cell r="E338"/>
          <cell r="F338" t="str">
            <v>Si non, préciser les modalités particlulières pour chaque lot</v>
          </cell>
          <cell r="G338" t="str">
            <v>Annexe 10 - Détail lots</v>
          </cell>
          <cell r="H338" t="str">
            <v>Annexe 10 - Détail_Lots</v>
          </cell>
          <cell r="I338" t="str">
            <v>10 - Détail lots</v>
          </cell>
          <cell r="J338" t="str">
            <v/>
          </cell>
          <cell r="K338" t="str">
            <v>VRAI</v>
          </cell>
          <cell r="L338"/>
          <cell r="M338" t="str">
            <v>Spécifique Offre</v>
          </cell>
          <cell r="N338" t="str">
            <v>Identique</v>
          </cell>
          <cell r="O338" t="str">
            <v>Non concerné</v>
          </cell>
          <cell r="P338"/>
          <cell r="Q338"/>
          <cell r="R338"/>
          <cell r="S338" t="str">
            <v/>
          </cell>
        </row>
        <row r="339">
          <cell r="A339" t="str">
            <v>ElTTT459</v>
          </cell>
          <cell r="B339"/>
          <cell r="C339" t="str">
            <v>Titre</v>
          </cell>
          <cell r="D339" t="str">
            <v/>
          </cell>
          <cell r="E339"/>
          <cell r="F339" t="str">
            <v>10.2.1  Clause de première révision des prix</v>
          </cell>
          <cell r="G339"/>
          <cell r="H339"/>
          <cell r="I339" t="str">
            <v/>
          </cell>
          <cell r="J339" t="str">
            <v/>
          </cell>
          <cell r="K339"/>
          <cell r="L339"/>
          <cell r="M339" t="str">
            <v/>
          </cell>
          <cell r="N339" t="str">
            <v>Non concerné</v>
          </cell>
          <cell r="O339" t="str">
            <v>Non concerné</v>
          </cell>
          <cell r="P339"/>
          <cell r="Q339"/>
          <cell r="R339"/>
          <cell r="S339" t="str">
            <v/>
          </cell>
        </row>
        <row r="340">
          <cell r="A340" t="str">
            <v>El320</v>
          </cell>
          <cell r="B340"/>
          <cell r="C340" t="str">
            <v>E</v>
          </cell>
          <cell r="D340" t="str">
            <v>Oui, Existence d'une première clause de 1ère révision des prix</v>
          </cell>
          <cell r="E340"/>
          <cell r="F340" t="str">
            <v>Existe-il une première clause de 1ère révision des prix</v>
          </cell>
          <cell r="G340" t="str">
            <v xml:space="preserve">Liste choix unique </v>
          </cell>
          <cell r="H340" t="str">
            <v>Oui, Existence d'une première clause de 1ère révision des prix;Non,absence d'une première clause de 1ère révision des prix</v>
          </cell>
          <cell r="I340" t="str">
            <v>Oui, Existence d'une première clause de 1ère révision des prix</v>
          </cell>
          <cell r="J340" t="str">
            <v>x</v>
          </cell>
          <cell r="K340"/>
          <cell r="L340"/>
          <cell r="M340" t="str">
            <v>Conforme au standard</v>
          </cell>
          <cell r="N340" t="str">
            <v>Non concerné</v>
          </cell>
          <cell r="O340" t="str">
            <v>Non concerné</v>
          </cell>
          <cell r="P340"/>
          <cell r="Q340"/>
          <cell r="R340"/>
          <cell r="S340" t="str">
            <v/>
          </cell>
        </row>
        <row r="341">
          <cell r="A341" t="str">
            <v>El321</v>
          </cell>
          <cell r="B341"/>
          <cell r="C341" t="str">
            <v>D</v>
          </cell>
          <cell r="D341" t="str">
            <v>Sur tarif public</v>
          </cell>
          <cell r="E341"/>
          <cell r="F341" t="str">
            <v>Si oui, laquelle est la première révision des prix</v>
          </cell>
          <cell r="G341" t="str">
            <v xml:space="preserve">Liste choix unique </v>
          </cell>
          <cell r="H341" t="str">
            <v>Première révision classique;Par seuil de déclenchement;Sur indices;Sur tarif public</v>
          </cell>
          <cell r="I341" t="str">
            <v>Sur tarif public</v>
          </cell>
          <cell r="J341" t="str">
            <v>x</v>
          </cell>
          <cell r="K341"/>
          <cell r="L341"/>
          <cell r="M341" t="str">
            <v>Conforme au standard</v>
          </cell>
          <cell r="N341" t="str">
            <v>Non concerné</v>
          </cell>
          <cell r="O341" t="str">
            <v>Non concerné</v>
          </cell>
          <cell r="P341"/>
          <cell r="Q341"/>
          <cell r="R341"/>
          <cell r="S341" t="str">
            <v/>
          </cell>
        </row>
        <row r="342">
          <cell r="A342" t="str">
            <v>El322</v>
          </cell>
          <cell r="B342"/>
          <cell r="C342" t="str">
            <v>D</v>
          </cell>
          <cell r="D342" t="str">
            <v>Non concerné pour la direction/univers</v>
          </cell>
          <cell r="E342"/>
          <cell r="F342" t="str">
            <v>Si révision sur indice, préciser la formule de révision applicable</v>
          </cell>
          <cell r="G342" t="str">
            <v>Texte</v>
          </cell>
          <cell r="H342" t="str">
            <v>Champ libre</v>
          </cell>
          <cell r="I342" t="str">
            <v>Non concerné pour la direction/univers</v>
          </cell>
          <cell r="J342" t="str">
            <v/>
          </cell>
          <cell r="K342" t="str">
            <v>VRAI</v>
          </cell>
          <cell r="L342"/>
          <cell r="M342" t="str">
            <v>Non concerné</v>
          </cell>
          <cell r="N342" t="str">
            <v>Non concerné</v>
          </cell>
          <cell r="O342" t="str">
            <v>Non concerné</v>
          </cell>
          <cell r="P342"/>
          <cell r="Q342"/>
          <cell r="R342"/>
          <cell r="S342" t="str">
            <v/>
          </cell>
        </row>
        <row r="343">
          <cell r="A343" t="str">
            <v>ElTTT460</v>
          </cell>
          <cell r="B343"/>
          <cell r="C343" t="str">
            <v>Titre</v>
          </cell>
          <cell r="D343" t="str">
            <v/>
          </cell>
          <cell r="E343"/>
          <cell r="F343" t="str">
            <v>10.2.2 Ecocontribution</v>
          </cell>
          <cell r="G343"/>
          <cell r="H343"/>
          <cell r="I343" t="str">
            <v/>
          </cell>
          <cell r="J343" t="str">
            <v/>
          </cell>
          <cell r="K343"/>
          <cell r="L343"/>
          <cell r="M343" t="str">
            <v/>
          </cell>
          <cell r="N343" t="str">
            <v>Non concerné</v>
          </cell>
          <cell r="O343" t="str">
            <v>Non concerné</v>
          </cell>
          <cell r="P343"/>
          <cell r="Q343"/>
          <cell r="R343"/>
          <cell r="S343" t="str">
            <v/>
          </cell>
        </row>
        <row r="344">
          <cell r="A344" t="str">
            <v>El223d</v>
          </cell>
          <cell r="B344"/>
          <cell r="C344" t="str">
            <v>D</v>
          </cell>
          <cell r="D344" t="str">
            <v>Non concerné pour la direction/univers</v>
          </cell>
          <cell r="E344"/>
          <cell r="F344" t="str">
            <v>Existance d'une écocontribution / Multi contributions pour un même produit</v>
          </cell>
          <cell r="G344" t="str">
            <v xml:space="preserve">Liste choix unique </v>
          </cell>
          <cell r="H344" t="str">
            <v>Oui, existence d'écocontribution; Oui, existence d'une multi écocontribution ;Non, absence d'écocontribution</v>
          </cell>
          <cell r="I344" t="str">
            <v>Non concerné pour la direction/univers</v>
          </cell>
          <cell r="J344" t="str">
            <v>x</v>
          </cell>
          <cell r="K344" t="str">
            <v>VRAI</v>
          </cell>
          <cell r="L344"/>
          <cell r="M344" t="str">
            <v>Non concerné</v>
          </cell>
          <cell r="N344" t="str">
            <v>Non concerné</v>
          </cell>
          <cell r="O344" t="str">
            <v>Non concerné</v>
          </cell>
          <cell r="P344"/>
          <cell r="Q344"/>
          <cell r="R344"/>
          <cell r="S344" t="str">
            <v/>
          </cell>
        </row>
        <row r="345">
          <cell r="A345" t="str">
            <v>El187</v>
          </cell>
          <cell r="B345"/>
          <cell r="C345" t="str">
            <v>E</v>
          </cell>
          <cell r="D345" t="str">
            <v>Oui, affichage de l'écocontribution systématisé</v>
          </cell>
          <cell r="E345"/>
          <cell r="F345" t="str">
            <v>Si oui, l'affichage de l'écocontribution est-il sytématisé ?</v>
          </cell>
          <cell r="G345" t="str">
            <v>Liste choix unique</v>
          </cell>
          <cell r="H345" t="str">
            <v>Oui, affichage de l'écocontribution systématisé; Non, absence d'affichage de l'écocontribution</v>
          </cell>
          <cell r="I345" t="str">
            <v>Standard non applicable pour cette offre au regard des réponses précédentes apportées</v>
          </cell>
          <cell r="J345"/>
          <cell r="K345" t="str">
            <v>VRAI</v>
          </cell>
          <cell r="L345"/>
          <cell r="M345" t="str">
            <v>Non concerné</v>
          </cell>
          <cell r="N345" t="str">
            <v>Non concerné</v>
          </cell>
          <cell r="O345" t="str">
            <v>Non concerné</v>
          </cell>
          <cell r="P345"/>
          <cell r="Q345"/>
          <cell r="R345"/>
          <cell r="S345" t="str">
            <v/>
          </cell>
        </row>
        <row r="346">
          <cell r="A346" t="str">
            <v>El223e</v>
          </cell>
          <cell r="B346"/>
          <cell r="C346" t="str">
            <v>Sp</v>
          </cell>
          <cell r="D346" t="str">
            <v/>
          </cell>
          <cell r="E346"/>
          <cell r="F346" t="str">
            <v xml:space="preserve">Si oui, quel(s) sont / est le(s) lot(s) concerné(s) ? </v>
          </cell>
          <cell r="G346" t="str">
            <v>Texte</v>
          </cell>
          <cell r="H346" t="str">
            <v>Numéros de lot</v>
          </cell>
          <cell r="I346" t="str">
            <v>Non concerné pour l'offre</v>
          </cell>
          <cell r="J346" t="str">
            <v/>
          </cell>
          <cell r="K346" t="str">
            <v>VRAI</v>
          </cell>
          <cell r="L346"/>
          <cell r="M346" t="str">
            <v>Spécifique Offre</v>
          </cell>
          <cell r="N346" t="str">
            <v>Non concerné</v>
          </cell>
          <cell r="O346" t="str">
            <v>Non concerné</v>
          </cell>
          <cell r="P346"/>
          <cell r="Q346"/>
          <cell r="R346"/>
          <cell r="S346" t="str">
            <v/>
          </cell>
        </row>
        <row r="347">
          <cell r="A347" t="str">
            <v>El324</v>
          </cell>
          <cell r="B347"/>
          <cell r="C347" t="str">
            <v>E</v>
          </cell>
          <cell r="D347" t="str">
            <v>Oui, variation de l'écocontribution</v>
          </cell>
          <cell r="E347"/>
          <cell r="F347" t="str">
            <v xml:space="preserve">Si oui, Y-a-t'il une variation de l'écocontribution ? </v>
          </cell>
          <cell r="G347" t="str">
            <v xml:space="preserve">Liste choix unique </v>
          </cell>
          <cell r="H347" t="str">
            <v>Oui, variation de l'écocontribution; Non, absence de variation de l'écocontribution</v>
          </cell>
          <cell r="I347" t="str">
            <v>Standard non applicable pour cette offre au regard des réponses précédentes apportées</v>
          </cell>
          <cell r="J347" t="str">
            <v/>
          </cell>
          <cell r="K347" t="str">
            <v>VRAI</v>
          </cell>
          <cell r="L347"/>
          <cell r="M347" t="str">
            <v>Non concerné</v>
          </cell>
          <cell r="N347" t="str">
            <v>Non concerné</v>
          </cell>
          <cell r="O347" t="str">
            <v>Non concerné</v>
          </cell>
          <cell r="P347"/>
          <cell r="Q347"/>
          <cell r="R347"/>
          <cell r="S347" t="str">
            <v/>
          </cell>
        </row>
        <row r="348">
          <cell r="A348" t="str">
            <v>ElTTT461</v>
          </cell>
          <cell r="B348"/>
          <cell r="C348" t="str">
            <v>Titre</v>
          </cell>
          <cell r="D348" t="str">
            <v/>
          </cell>
          <cell r="E348"/>
          <cell r="F348" t="str">
            <v>10.2.3 Clause de sauvegarde</v>
          </cell>
          <cell r="G348"/>
          <cell r="H348"/>
          <cell r="I348" t="str">
            <v/>
          </cell>
          <cell r="J348" t="str">
            <v/>
          </cell>
          <cell r="K348"/>
          <cell r="L348"/>
          <cell r="M348" t="str">
            <v/>
          </cell>
          <cell r="N348" t="str">
            <v>Non concerné</v>
          </cell>
          <cell r="O348" t="str">
            <v>Non concerné</v>
          </cell>
          <cell r="P348"/>
          <cell r="Q348"/>
          <cell r="R348"/>
          <cell r="S348" t="str">
            <v/>
          </cell>
        </row>
        <row r="349">
          <cell r="A349" t="str">
            <v>El325</v>
          </cell>
          <cell r="B349"/>
          <cell r="C349" t="str">
            <v>E</v>
          </cell>
          <cell r="D349" t="str">
            <v>Oui, application d'une clause de sauvegarde</v>
          </cell>
          <cell r="E349"/>
          <cell r="F349" t="str">
            <v>Une clause de sauvegarde est-elle prévue ?</v>
          </cell>
          <cell r="G349" t="str">
            <v xml:space="preserve">Liste de choix ou texte </v>
          </cell>
          <cell r="H349" t="str">
            <v>Oui, application d'une clause de sauvegarde;Non,absence de clause de sauvegarde</v>
          </cell>
          <cell r="I349" t="str">
            <v>Oui, application d'une clause de sauvegarde</v>
          </cell>
          <cell r="J349" t="str">
            <v>x</v>
          </cell>
          <cell r="K349"/>
          <cell r="L349"/>
          <cell r="M349" t="str">
            <v>Conforme au standard</v>
          </cell>
          <cell r="N349" t="str">
            <v>Non concerné</v>
          </cell>
          <cell r="O349" t="str">
            <v>Non concerné</v>
          </cell>
          <cell r="P349"/>
          <cell r="Q349"/>
          <cell r="R349"/>
          <cell r="S349" t="str">
            <v/>
          </cell>
        </row>
        <row r="350">
          <cell r="A350" t="str">
            <v>El326</v>
          </cell>
          <cell r="B350"/>
          <cell r="C350" t="str">
            <v>E</v>
          </cell>
          <cell r="D350" t="str">
            <v>Oui, le pourcentage est conforme au standard de 3%</v>
          </cell>
          <cell r="E350"/>
          <cell r="F350" t="str">
            <v>Si oui, le pourcentage est-il conforme au standard ?</v>
          </cell>
          <cell r="G350" t="str">
            <v>Liste choix unique</v>
          </cell>
          <cell r="H350" t="str">
            <v>Oui, le pourcentage est conforme au standard de 3%; Non, le pourcentage est dérogatoire au standard</v>
          </cell>
          <cell r="I350" t="str">
            <v>Oui, le pourcentage est conforme au standard de 3%</v>
          </cell>
          <cell r="J350" t="str">
            <v>x</v>
          </cell>
          <cell r="K350"/>
          <cell r="L350"/>
          <cell r="M350" t="str">
            <v>Conforme au standard</v>
          </cell>
          <cell r="N350" t="str">
            <v>Non concerné</v>
          </cell>
          <cell r="O350" t="str">
            <v>Non concerné</v>
          </cell>
          <cell r="P350"/>
          <cell r="Q350"/>
          <cell r="R350"/>
          <cell r="S350" t="str">
            <v/>
          </cell>
        </row>
        <row r="351">
          <cell r="A351" t="str">
            <v>El326b</v>
          </cell>
          <cell r="B351"/>
          <cell r="C351" t="str">
            <v>Sp</v>
          </cell>
          <cell r="D351" t="str">
            <v/>
          </cell>
          <cell r="E351"/>
          <cell r="F351" t="str">
            <v>Si le pourcentage est dérogatoire, préciser la valeur ?</v>
          </cell>
          <cell r="G351" t="str">
            <v>Texte</v>
          </cell>
          <cell r="H351" t="str">
            <v>Champ libre</v>
          </cell>
          <cell r="I351" t="str">
            <v>Non concerné pour l'offre</v>
          </cell>
          <cell r="J351"/>
          <cell r="K351" t="str">
            <v>VRAI</v>
          </cell>
          <cell r="L351"/>
          <cell r="M351" t="str">
            <v>Spécifique Offre</v>
          </cell>
          <cell r="N351" t="str">
            <v>Non concerné</v>
          </cell>
          <cell r="O351" t="str">
            <v>Non concerné</v>
          </cell>
          <cell r="P351"/>
          <cell r="Q351"/>
          <cell r="R351"/>
          <cell r="S351" t="str">
            <v/>
          </cell>
        </row>
        <row r="352">
          <cell r="A352" t="str">
            <v>El327</v>
          </cell>
          <cell r="B352"/>
          <cell r="C352" t="str">
            <v>E</v>
          </cell>
          <cell r="D352" t="str">
            <v>Dernier prix révisé;Dernier indice révisé</v>
          </cell>
          <cell r="E352"/>
          <cell r="F352" t="str">
            <v>Si oui, quelle est la base de calcul de la clause de sauvegarde</v>
          </cell>
          <cell r="G352" t="str">
            <v>Liste choix multiple</v>
          </cell>
          <cell r="H352" t="str">
            <v>Prix initial;Dernier prix révisé;indice inital;dernier indice révisé</v>
          </cell>
          <cell r="I352" t="str">
            <v>Dernier prix révisé;Dernier indice révisé</v>
          </cell>
          <cell r="J352" t="str">
            <v/>
          </cell>
          <cell r="K352"/>
          <cell r="L352"/>
          <cell r="M352" t="str">
            <v>Conforme au standard</v>
          </cell>
          <cell r="N352" t="str">
            <v>Non concerné</v>
          </cell>
          <cell r="O352" t="str">
            <v>Non concerné</v>
          </cell>
          <cell r="P352"/>
          <cell r="Q352"/>
          <cell r="R352"/>
          <cell r="S352" t="str">
            <v>=</v>
          </cell>
        </row>
        <row r="353">
          <cell r="A353" t="str">
            <v>El328</v>
          </cell>
          <cell r="B353"/>
          <cell r="C353" t="str">
            <v>E</v>
          </cell>
          <cell r="D353" t="str">
            <v>12 mois</v>
          </cell>
          <cell r="E353"/>
          <cell r="F353" t="str">
            <v>Si oui, préciser la période de calcul (X mois / X périodes successives / Autre)</v>
          </cell>
          <cell r="G353" t="str">
            <v xml:space="preserve">Liste choix unique </v>
          </cell>
          <cell r="H353" t="str">
            <v>X mois / X périodes successives / Autre</v>
          </cell>
          <cell r="I353" t="str">
            <v>12 mois</v>
          </cell>
          <cell r="J353" t="str">
            <v>x</v>
          </cell>
          <cell r="K353"/>
          <cell r="L353"/>
          <cell r="M353" t="str">
            <v>Conforme au standard</v>
          </cell>
          <cell r="N353" t="str">
            <v>Non concerné</v>
          </cell>
          <cell r="O353" t="str">
            <v>Non concerné</v>
          </cell>
          <cell r="P353"/>
          <cell r="Q353"/>
          <cell r="R353"/>
          <cell r="S353" t="str">
            <v/>
          </cell>
        </row>
        <row r="354">
          <cell r="A354" t="str">
            <v>El328b</v>
          </cell>
          <cell r="B354"/>
          <cell r="C354" t="str">
            <v>Sp</v>
          </cell>
          <cell r="D354" t="str">
            <v/>
          </cell>
          <cell r="E354"/>
          <cell r="F354" t="str">
            <v>Si autre, préciser</v>
          </cell>
          <cell r="G354" t="str">
            <v>Texte</v>
          </cell>
          <cell r="H354" t="str">
            <v>Champ libre</v>
          </cell>
          <cell r="I354" t="str">
            <v>Non concerné pour l'offre</v>
          </cell>
          <cell r="J354" t="str">
            <v/>
          </cell>
          <cell r="K354" t="str">
            <v>VRAI</v>
          </cell>
          <cell r="L354"/>
          <cell r="M354" t="str">
            <v>Spécifique Offre</v>
          </cell>
          <cell r="N354" t="str">
            <v>Non concerné</v>
          </cell>
          <cell r="O354" t="str">
            <v>Non concerné</v>
          </cell>
          <cell r="P354"/>
          <cell r="Q354"/>
          <cell r="R354"/>
          <cell r="S354" t="str">
            <v/>
          </cell>
        </row>
        <row r="355">
          <cell r="A355" t="str">
            <v>ElT462</v>
          </cell>
          <cell r="B355"/>
          <cell r="C355" t="str">
            <v>Titre</v>
          </cell>
          <cell r="D355" t="str">
            <v/>
          </cell>
          <cell r="E355"/>
          <cell r="F355" t="str">
            <v>11.0 MODALITES D'EXECUTION</v>
          </cell>
          <cell r="G355"/>
          <cell r="H355"/>
          <cell r="I355" t="str">
            <v/>
          </cell>
          <cell r="J355" t="str">
            <v/>
          </cell>
          <cell r="K355"/>
          <cell r="L355"/>
          <cell r="M355" t="str">
            <v/>
          </cell>
          <cell r="N355" t="str">
            <v>Non concerné</v>
          </cell>
          <cell r="O355" t="str">
            <v>Non concerné</v>
          </cell>
          <cell r="P355"/>
          <cell r="Q355"/>
          <cell r="R355"/>
          <cell r="S355" t="str">
            <v/>
          </cell>
        </row>
        <row r="356">
          <cell r="A356" t="str">
            <v>ElTT463</v>
          </cell>
          <cell r="B356"/>
          <cell r="C356" t="str">
            <v>Titre</v>
          </cell>
          <cell r="D356" t="str">
            <v/>
          </cell>
          <cell r="E356"/>
          <cell r="F356" t="str">
            <v>11.1 Distribution sur stock et transport (Offre de produits exécutés)</v>
          </cell>
          <cell r="G356"/>
          <cell r="H356"/>
          <cell r="I356" t="str">
            <v/>
          </cell>
          <cell r="J356" t="str">
            <v/>
          </cell>
          <cell r="K356"/>
          <cell r="L356"/>
          <cell r="M356" t="str">
            <v/>
          </cell>
          <cell r="N356" t="str">
            <v>Non concerné</v>
          </cell>
          <cell r="O356" t="str">
            <v>Non concerné</v>
          </cell>
          <cell r="P356"/>
          <cell r="Q356"/>
          <cell r="R356"/>
          <cell r="S356" t="str">
            <v/>
          </cell>
        </row>
        <row r="357">
          <cell r="A357" t="str">
            <v>El164a</v>
          </cell>
          <cell r="B357"/>
          <cell r="C357" t="str">
            <v>D</v>
          </cell>
          <cell r="D357" t="str">
            <v>ce chapitre est non applicable</v>
          </cell>
          <cell r="E357"/>
          <cell r="F357" t="str">
            <v xml:space="preserve">Ce chapitre est-il applicable </v>
          </cell>
          <cell r="G357" t="str">
            <v xml:space="preserve">Liste choix unique </v>
          </cell>
          <cell r="H357" t="str">
            <v>Oui, ce chapitre est applicable;Non,ce chapitre est non applicable</v>
          </cell>
          <cell r="I357" t="str">
            <v>Standard non applicable pour cette offre au regard des réponses précédentes apportées</v>
          </cell>
          <cell r="J357" t="str">
            <v>x</v>
          </cell>
          <cell r="K357" t="str">
            <v>VRAI</v>
          </cell>
          <cell r="L357"/>
          <cell r="M357" t="str">
            <v>Non concerné</v>
          </cell>
          <cell r="N357" t="str">
            <v>Non concerné</v>
          </cell>
          <cell r="O357" t="str">
            <v>Non concerné</v>
          </cell>
          <cell r="P357"/>
          <cell r="Q357"/>
          <cell r="R357"/>
          <cell r="S357" t="str">
            <v/>
          </cell>
        </row>
        <row r="358">
          <cell r="A358" t="str">
            <v>El164</v>
          </cell>
          <cell r="B358"/>
          <cell r="C358" t="str">
            <v>D</v>
          </cell>
          <cell r="D358" t="str">
            <v>Non concerné pour la direction/univers</v>
          </cell>
          <cell r="E358"/>
          <cell r="F358" t="str">
            <v>Les produits sont-ils soumis à une réglementation spécifique de stockage (autorisations=, ICPE, produit inflammable…)</v>
          </cell>
          <cell r="G358" t="str">
            <v xml:space="preserve">Liste choix unique </v>
          </cell>
          <cell r="H358" t="str">
            <v>Oui, les produits sont soumis à une réglementation spécifique de stockage;Non, les produits ne sont pas soumis à une réglementation spécifique</v>
          </cell>
          <cell r="I358" t="str">
            <v>Non concerné pour la direction/univers</v>
          </cell>
          <cell r="J358" t="str">
            <v>x</v>
          </cell>
          <cell r="K358" t="str">
            <v>VRAI</v>
          </cell>
          <cell r="L358"/>
          <cell r="M358" t="str">
            <v>Non concerné</v>
          </cell>
          <cell r="N358" t="str">
            <v>Non concerné</v>
          </cell>
          <cell r="O358" t="str">
            <v>Non concerné</v>
          </cell>
          <cell r="P358"/>
          <cell r="Q358"/>
          <cell r="R358"/>
          <cell r="S358" t="str">
            <v/>
          </cell>
        </row>
        <row r="359">
          <cell r="A359" t="str">
            <v>El165</v>
          </cell>
          <cell r="B359"/>
          <cell r="C359" t="str">
            <v>D</v>
          </cell>
          <cell r="D359" t="str">
            <v>Non concerné pour la direction/univers</v>
          </cell>
          <cell r="E359"/>
          <cell r="F359" t="str">
            <v xml:space="preserve">Si oui, laquelle </v>
          </cell>
          <cell r="G359" t="str">
            <v>Texte</v>
          </cell>
          <cell r="H359" t="str">
            <v>Champ libre</v>
          </cell>
          <cell r="I359" t="str">
            <v>Non concerné pour la direction/univers</v>
          </cell>
          <cell r="J359" t="str">
            <v/>
          </cell>
          <cell r="K359" t="str">
            <v>VRAI</v>
          </cell>
          <cell r="L359"/>
          <cell r="M359" t="str">
            <v>Non concerné</v>
          </cell>
          <cell r="N359" t="str">
            <v>Non concerné</v>
          </cell>
          <cell r="O359" t="str">
            <v>Non concerné</v>
          </cell>
          <cell r="P359"/>
          <cell r="Q359"/>
          <cell r="R359"/>
          <cell r="S359" t="str">
            <v/>
          </cell>
        </row>
        <row r="360">
          <cell r="A360" t="str">
            <v>El166</v>
          </cell>
          <cell r="B360"/>
          <cell r="C360" t="str">
            <v>D</v>
          </cell>
          <cell r="D360" t="str">
            <v>Non concerné pour la direction/univers</v>
          </cell>
          <cell r="E360"/>
          <cell r="F360" t="str">
            <v>Quels sont les conditionnements envisagés (cartons, palettes…)</v>
          </cell>
          <cell r="G360" t="str">
            <v>Texte</v>
          </cell>
          <cell r="H360" t="str">
            <v>Champ libre</v>
          </cell>
          <cell r="I360" t="str">
            <v>Non concerné pour la direction/univers</v>
          </cell>
          <cell r="J360" t="str">
            <v/>
          </cell>
          <cell r="K360" t="str">
            <v>VRAI</v>
          </cell>
          <cell r="L360"/>
          <cell r="M360" t="str">
            <v>Non concerné</v>
          </cell>
          <cell r="N360" t="str">
            <v>Non concerné</v>
          </cell>
          <cell r="O360" t="str">
            <v>Non concerné</v>
          </cell>
          <cell r="P360"/>
          <cell r="Q360"/>
          <cell r="R360"/>
          <cell r="S360" t="str">
            <v/>
          </cell>
        </row>
        <row r="361">
          <cell r="A361" t="str">
            <v>El167</v>
          </cell>
          <cell r="B361"/>
          <cell r="C361" t="str">
            <v>D</v>
          </cell>
          <cell r="D361" t="str">
            <v>Non concerné pour la direction/univers</v>
          </cell>
          <cell r="E361"/>
          <cell r="F361" t="str">
            <v>Pour les emballages à qui appartiennent-ils ?</v>
          </cell>
          <cell r="G361" t="str">
            <v xml:space="preserve">Liste choix unique </v>
          </cell>
          <cell r="H361" t="str">
            <v>Bénéficiaire;Titulaire</v>
          </cell>
          <cell r="I361" t="str">
            <v>Non concerné pour la direction/univers</v>
          </cell>
          <cell r="J361" t="str">
            <v/>
          </cell>
          <cell r="K361" t="str">
            <v>VRAI</v>
          </cell>
          <cell r="L361"/>
          <cell r="M361" t="str">
            <v>Non concerné</v>
          </cell>
          <cell r="N361" t="str">
            <v>Non concerné</v>
          </cell>
          <cell r="O361" t="str">
            <v>Non concerné</v>
          </cell>
          <cell r="P361"/>
          <cell r="Q361"/>
          <cell r="R361"/>
          <cell r="S361" t="str">
            <v/>
          </cell>
        </row>
        <row r="362">
          <cell r="A362" t="str">
            <v>El168</v>
          </cell>
          <cell r="B362"/>
          <cell r="C362" t="str">
            <v>D</v>
          </cell>
          <cell r="D362" t="str">
            <v>Non concerné pour la direction/univers</v>
          </cell>
          <cell r="E362"/>
          <cell r="F362" t="str">
            <v>Une distribution stock est-elle prévue pour tout ou partie ?</v>
          </cell>
          <cell r="G362" t="str">
            <v xml:space="preserve">Liste choix unique </v>
          </cell>
          <cell r="H362" t="str">
            <v>Oui, distribution sur stock prévue;Non, absence de distribution sur stock</v>
          </cell>
          <cell r="I362" t="str">
            <v>Non concerné pour la direction/univers</v>
          </cell>
          <cell r="J362" t="str">
            <v>x</v>
          </cell>
          <cell r="K362" t="str">
            <v>VRAI</v>
          </cell>
          <cell r="L362"/>
          <cell r="M362" t="str">
            <v>Non concerné</v>
          </cell>
          <cell r="N362" t="str">
            <v>Non concerné</v>
          </cell>
          <cell r="O362" t="str">
            <v>Non concerné</v>
          </cell>
          <cell r="P362"/>
          <cell r="Q362"/>
          <cell r="R362"/>
          <cell r="S362" t="str">
            <v/>
          </cell>
        </row>
        <row r="363">
          <cell r="A363" t="str">
            <v>El169</v>
          </cell>
          <cell r="B363"/>
          <cell r="C363" t="str">
            <v>D</v>
          </cell>
          <cell r="D363" t="str">
            <v>Non concerné pour la direction/univers</v>
          </cell>
          <cell r="E363"/>
          <cell r="F363" t="str">
            <v>Si oui, préciser les modalités de stockage</v>
          </cell>
          <cell r="G363" t="str">
            <v>Liste choix multiple</v>
          </cell>
          <cell r="H363" t="str">
            <v>Stockage UGAP chez le titulaire (déporté vente);Stockage UGAP au profit du titulaire (consignation);Stockage Intermédiaire;Stockage en plateforme externalisée;Stock de consignation</v>
          </cell>
          <cell r="I363" t="str">
            <v>Non concerné pour la direction/univers</v>
          </cell>
          <cell r="J363" t="str">
            <v/>
          </cell>
          <cell r="K363" t="str">
            <v>VRAI</v>
          </cell>
          <cell r="L363"/>
          <cell r="M363" t="str">
            <v>Non concerné</v>
          </cell>
          <cell r="N363" t="str">
            <v>Non concerné</v>
          </cell>
          <cell r="O363" t="str">
            <v>Non concerné</v>
          </cell>
          <cell r="P363"/>
          <cell r="Q363"/>
          <cell r="R363"/>
          <cell r="S363" t="str">
            <v>=</v>
          </cell>
        </row>
        <row r="364">
          <cell r="A364" t="str">
            <v>El170</v>
          </cell>
          <cell r="B364"/>
          <cell r="C364" t="str">
            <v>D</v>
          </cell>
          <cell r="D364" t="str">
            <v>Non concerné pour la direction/univers</v>
          </cell>
          <cell r="E364"/>
          <cell r="F364" t="str">
            <v>Précisions, le cas échéant</v>
          </cell>
          <cell r="G364" t="str">
            <v>Texte</v>
          </cell>
          <cell r="H364" t="str">
            <v>Champ libre</v>
          </cell>
          <cell r="I364" t="str">
            <v>Non concerné pour la direction/univers</v>
          </cell>
          <cell r="J364" t="str">
            <v/>
          </cell>
          <cell r="K364" t="str">
            <v>VRAI</v>
          </cell>
          <cell r="L364"/>
          <cell r="M364" t="str">
            <v>Non concerné</v>
          </cell>
          <cell r="N364" t="str">
            <v>Non concerné</v>
          </cell>
          <cell r="O364" t="str">
            <v>Non concerné</v>
          </cell>
          <cell r="P364"/>
          <cell r="Q364"/>
          <cell r="R364"/>
          <cell r="S364" t="str">
            <v/>
          </cell>
        </row>
        <row r="365">
          <cell r="A365" t="str">
            <v>El171</v>
          </cell>
          <cell r="B365"/>
          <cell r="C365" t="str">
            <v>D</v>
          </cell>
          <cell r="D365" t="str">
            <v>Non concerné pour la direction/univers</v>
          </cell>
          <cell r="E365"/>
          <cell r="F365" t="str">
            <v>Préciser les modalités de transport utilisées et les services associés (tracking, garantie..)</v>
          </cell>
          <cell r="G365" t="str">
            <v>Texte</v>
          </cell>
          <cell r="H365" t="str">
            <v>Champ libre</v>
          </cell>
          <cell r="I365" t="str">
            <v>Non concerné pour la direction/univers</v>
          </cell>
          <cell r="J365" t="str">
            <v/>
          </cell>
          <cell r="K365" t="str">
            <v>VRAI</v>
          </cell>
          <cell r="L365"/>
          <cell r="M365" t="str">
            <v>Non concerné</v>
          </cell>
          <cell r="N365" t="str">
            <v>Non concerné</v>
          </cell>
          <cell r="O365" t="str">
            <v>Non concerné</v>
          </cell>
          <cell r="P365"/>
          <cell r="Q365"/>
          <cell r="R365"/>
          <cell r="S365" t="str">
            <v/>
          </cell>
        </row>
        <row r="366">
          <cell r="A366" t="str">
            <v>El174</v>
          </cell>
          <cell r="B366"/>
          <cell r="C366" t="str">
            <v>D</v>
          </cell>
          <cell r="D366" t="str">
            <v>Non concerné pour la direction/univers</v>
          </cell>
          <cell r="E366"/>
          <cell r="F366" t="str">
            <v>Est-il prévu de mettre à disposition sur ugap.fr l'affichage du stock disponible ?</v>
          </cell>
          <cell r="G366" t="str">
            <v xml:space="preserve">Liste choix unique </v>
          </cell>
          <cell r="H366" t="str">
            <v>Oui, affichage du stock sur Ugap.fr;Non, absence d'affichage du stock sur Ugap.fr</v>
          </cell>
          <cell r="I366" t="str">
            <v>Non concerné pour la direction/univers</v>
          </cell>
          <cell r="J366" t="str">
            <v/>
          </cell>
          <cell r="K366" t="str">
            <v>VRAI</v>
          </cell>
          <cell r="L366"/>
          <cell r="M366" t="str">
            <v>Non concerné</v>
          </cell>
          <cell r="N366" t="str">
            <v>Non concerné</v>
          </cell>
          <cell r="O366" t="str">
            <v>Non concerné</v>
          </cell>
          <cell r="P366"/>
          <cell r="Q366"/>
          <cell r="R366"/>
          <cell r="S366" t="str">
            <v/>
          </cell>
        </row>
        <row r="367">
          <cell r="A367" t="str">
            <v>El270</v>
          </cell>
          <cell r="B367"/>
          <cell r="C367" t="str">
            <v>D</v>
          </cell>
          <cell r="D367" t="str">
            <v>Non concerné pour la direction/univers</v>
          </cell>
          <cell r="E367"/>
          <cell r="F367" t="str">
            <v>L'offre antérieure affiche-t'elle un stock fournisseur  ?</v>
          </cell>
          <cell r="G367" t="str">
            <v xml:space="preserve">Liste choix unique </v>
          </cell>
          <cell r="H367" t="str">
            <v>Oui, l'offre antérieure affiche un stock fournisseur;Non, l'offre antérieure n'affiche pas de stock fournisseur</v>
          </cell>
          <cell r="I367" t="str">
            <v>Non concerné pour la direction/univers</v>
          </cell>
          <cell r="J367" t="str">
            <v>x</v>
          </cell>
          <cell r="K367" t="str">
            <v>VRAI</v>
          </cell>
          <cell r="L367"/>
          <cell r="M367" t="str">
            <v>Non concerné</v>
          </cell>
          <cell r="N367" t="str">
            <v>Non concerné</v>
          </cell>
          <cell r="O367" t="str">
            <v>Non concerné</v>
          </cell>
          <cell r="P367"/>
          <cell r="Q367"/>
          <cell r="R367"/>
          <cell r="S367" t="str">
            <v/>
          </cell>
        </row>
        <row r="368">
          <cell r="A368" t="str">
            <v>El271</v>
          </cell>
          <cell r="B368"/>
          <cell r="C368" t="str">
            <v>D</v>
          </cell>
          <cell r="D368" t="str">
            <v>Non concerné pour la direction/univers</v>
          </cell>
          <cell r="E368"/>
          <cell r="F368" t="str">
            <v xml:space="preserve">Si oui, préciser à la charge de qui </v>
          </cell>
          <cell r="G368" t="str">
            <v>Liste choix multiple</v>
          </cell>
          <cell r="H368" t="str">
            <v xml:space="preserve">Client;Fournisseur (Web service) ;UGAP
</v>
          </cell>
          <cell r="I368" t="str">
            <v>Non concerné pour la direction/univers</v>
          </cell>
          <cell r="J368" t="str">
            <v/>
          </cell>
          <cell r="K368" t="str">
            <v>VRAI</v>
          </cell>
          <cell r="L368"/>
          <cell r="M368" t="str">
            <v>Non concerné</v>
          </cell>
          <cell r="N368" t="str">
            <v>Non concerné</v>
          </cell>
          <cell r="O368" t="str">
            <v>Non concerné</v>
          </cell>
          <cell r="P368"/>
          <cell r="Q368"/>
          <cell r="R368"/>
          <cell r="S368" t="str">
            <v>=</v>
          </cell>
        </row>
        <row r="369">
          <cell r="A369" t="str">
            <v>El271b</v>
          </cell>
          <cell r="B369"/>
          <cell r="C369" t="str">
            <v>D</v>
          </cell>
          <cell r="D369" t="str">
            <v>Non concerné pour la direction/univers</v>
          </cell>
          <cell r="E369"/>
          <cell r="F369" t="str">
            <v>Une clause de stockage est-elle a intégrer dans le CCAP ?</v>
          </cell>
          <cell r="G369" t="str">
            <v xml:space="preserve">Liste choix unique </v>
          </cell>
          <cell r="H369" t="str">
            <v>Oui, clause de stockage à intégrer dans le CCAP; Non, absence de clause de stockage</v>
          </cell>
          <cell r="I369" t="str">
            <v>Non concerné pour la direction/univers</v>
          </cell>
          <cell r="J369" t="str">
            <v>x</v>
          </cell>
          <cell r="K369" t="str">
            <v>VRAI</v>
          </cell>
          <cell r="L369"/>
          <cell r="M369" t="str">
            <v>Non concerné</v>
          </cell>
          <cell r="N369" t="str">
            <v>Non concerné</v>
          </cell>
          <cell r="O369" t="str">
            <v>Non concerné</v>
          </cell>
          <cell r="P369"/>
          <cell r="Q369"/>
          <cell r="R369"/>
          <cell r="S369" t="str">
            <v/>
          </cell>
        </row>
        <row r="370">
          <cell r="A370" t="str">
            <v>El271c</v>
          </cell>
          <cell r="B370"/>
          <cell r="C370" t="str">
            <v>D</v>
          </cell>
          <cell r="D370" t="str">
            <v>Non concerné pour la direction/univers</v>
          </cell>
          <cell r="E370"/>
          <cell r="F370" t="str">
            <v>Si oui, quelle clause est applicable</v>
          </cell>
          <cell r="G370" t="str">
            <v>Liste choix multiple</v>
          </cell>
          <cell r="H370" t="str">
            <v>Stock Savigny le Temple;Stock déporté chez le fournisseur;Stock en plateforme externalisée (La Poste) ;Possibilité de faire du stock de consignation chez le fournisseur</v>
          </cell>
          <cell r="I370" t="str">
            <v>Non concerné pour la direction/univers</v>
          </cell>
          <cell r="J370" t="str">
            <v/>
          </cell>
          <cell r="K370" t="str">
            <v>VRAI</v>
          </cell>
          <cell r="L370"/>
          <cell r="M370" t="str">
            <v>Non concerné</v>
          </cell>
          <cell r="N370" t="str">
            <v>Non concerné</v>
          </cell>
          <cell r="O370" t="str">
            <v>Non concerné</v>
          </cell>
          <cell r="P370"/>
          <cell r="Q370"/>
          <cell r="R370"/>
          <cell r="S370" t="str">
            <v>=</v>
          </cell>
        </row>
        <row r="371">
          <cell r="A371" t="str">
            <v>ElTT464</v>
          </cell>
          <cell r="B371"/>
          <cell r="C371" t="str">
            <v>Titre</v>
          </cell>
          <cell r="D371" t="str">
            <v/>
          </cell>
          <cell r="E371"/>
          <cell r="F371" t="str">
            <v>11.2 Conditions d'achat</v>
          </cell>
          <cell r="G371"/>
          <cell r="H371"/>
          <cell r="I371" t="str">
            <v/>
          </cell>
          <cell r="J371" t="str">
            <v/>
          </cell>
          <cell r="K371"/>
          <cell r="L371"/>
          <cell r="M371" t="str">
            <v/>
          </cell>
          <cell r="N371" t="str">
            <v>Non concerné</v>
          </cell>
          <cell r="O371" t="str">
            <v>Non concerné</v>
          </cell>
          <cell r="P371"/>
          <cell r="Q371"/>
          <cell r="R371"/>
          <cell r="S371" t="str">
            <v/>
          </cell>
        </row>
        <row r="372">
          <cell r="A372" t="str">
            <v>El172</v>
          </cell>
          <cell r="B372"/>
          <cell r="C372" t="str">
            <v>U</v>
          </cell>
          <cell r="D372" t="str">
            <v>Franco France Métropolitaine</v>
          </cell>
          <cell r="E372"/>
          <cell r="F372" t="str">
            <v>Quelles sont les conditions d'achat applicables ?</v>
          </cell>
          <cell r="G372" t="str">
            <v>Liste choix multiple</v>
          </cell>
          <cell r="H372" t="str">
            <v>Franco France Métropolitaine;FEC (Entrepôt UGAP);Départ Usine;Franco France Continentale</v>
          </cell>
          <cell r="I372" t="str">
            <v>Franco France Métropolitaine</v>
          </cell>
          <cell r="J372" t="str">
            <v>x</v>
          </cell>
          <cell r="K372"/>
          <cell r="L372"/>
          <cell r="M372" t="str">
            <v>Conforme au standard</v>
          </cell>
          <cell r="N372" t="str">
            <v>Non concerné</v>
          </cell>
          <cell r="O372" t="str">
            <v>Non concerné</v>
          </cell>
          <cell r="P372"/>
          <cell r="Q372"/>
          <cell r="R372"/>
          <cell r="S372" t="str">
            <v>=</v>
          </cell>
        </row>
        <row r="373">
          <cell r="A373" t="str">
            <v>El172b</v>
          </cell>
          <cell r="B373"/>
          <cell r="C373" t="str">
            <v>Sp</v>
          </cell>
          <cell r="D373" t="str">
            <v/>
          </cell>
          <cell r="E373"/>
          <cell r="F373" t="str">
            <v>Si FFM, quels sont les lots concernés</v>
          </cell>
          <cell r="G373" t="str">
            <v>Texte</v>
          </cell>
          <cell r="H373" t="str">
            <v>Champs libre</v>
          </cell>
          <cell r="I373" t="str">
            <v/>
          </cell>
          <cell r="J373" t="str">
            <v/>
          </cell>
          <cell r="K373"/>
          <cell r="L373"/>
          <cell r="M373" t="str">
            <v>Renseigner la réponse DCO</v>
          </cell>
          <cell r="N373" t="str">
            <v>Non concerné</v>
          </cell>
          <cell r="O373" t="str">
            <v>Non concerné</v>
          </cell>
          <cell r="P373"/>
          <cell r="Q373"/>
          <cell r="R373"/>
          <cell r="S373" t="str">
            <v/>
          </cell>
        </row>
        <row r="374">
          <cell r="A374" t="str">
            <v>El172c</v>
          </cell>
          <cell r="B374"/>
          <cell r="C374" t="str">
            <v>Sp</v>
          </cell>
          <cell r="D374" t="str">
            <v/>
          </cell>
          <cell r="E374"/>
          <cell r="F374" t="str">
            <v>Si FFC, quels sont les lots concernés</v>
          </cell>
          <cell r="G374" t="str">
            <v>Texte</v>
          </cell>
          <cell r="H374" t="str">
            <v>Champs libre</v>
          </cell>
          <cell r="I374" t="str">
            <v>Non concerné pour l'offre</v>
          </cell>
          <cell r="J374" t="str">
            <v/>
          </cell>
          <cell r="K374" t="str">
            <v>VRAI</v>
          </cell>
          <cell r="L374"/>
          <cell r="M374" t="str">
            <v>Spécifique Offre</v>
          </cell>
          <cell r="N374" t="str">
            <v>Non concerné</v>
          </cell>
          <cell r="O374" t="str">
            <v>Non concerné</v>
          </cell>
          <cell r="P374"/>
          <cell r="Q374"/>
          <cell r="R374"/>
          <cell r="S374" t="str">
            <v/>
          </cell>
        </row>
        <row r="375">
          <cell r="A375" t="str">
            <v>El172d</v>
          </cell>
          <cell r="B375"/>
          <cell r="C375" t="str">
            <v>Sp</v>
          </cell>
          <cell r="D375" t="str">
            <v/>
          </cell>
          <cell r="E375"/>
          <cell r="F375" t="str">
            <v>Si DU, quels sont les lots concernés</v>
          </cell>
          <cell r="G375" t="str">
            <v>Texte</v>
          </cell>
          <cell r="H375" t="str">
            <v>Champs libre</v>
          </cell>
          <cell r="I375" t="str">
            <v>Non concerné pour l'offre</v>
          </cell>
          <cell r="J375" t="str">
            <v/>
          </cell>
          <cell r="K375" t="str">
            <v>VRAI</v>
          </cell>
          <cell r="L375"/>
          <cell r="M375" t="str">
            <v>Spécifique Offre</v>
          </cell>
          <cell r="N375" t="str">
            <v>Non concerné</v>
          </cell>
          <cell r="O375" t="str">
            <v>Non concerné</v>
          </cell>
          <cell r="P375"/>
          <cell r="Q375"/>
          <cell r="R375"/>
          <cell r="S375" t="str">
            <v/>
          </cell>
        </row>
        <row r="376">
          <cell r="A376" t="str">
            <v>El172e</v>
          </cell>
          <cell r="B376"/>
          <cell r="C376" t="str">
            <v>Sp</v>
          </cell>
          <cell r="D376" t="str">
            <v/>
          </cell>
          <cell r="E376"/>
          <cell r="F376" t="str">
            <v>Si FEC, quels sont les lots concernés</v>
          </cell>
          <cell r="G376" t="str">
            <v>Texte</v>
          </cell>
          <cell r="H376" t="str">
            <v>Champs libre</v>
          </cell>
          <cell r="I376" t="str">
            <v>Non concerné pour l'offre</v>
          </cell>
          <cell r="J376" t="str">
            <v/>
          </cell>
          <cell r="K376" t="str">
            <v>VRAI</v>
          </cell>
          <cell r="L376"/>
          <cell r="M376" t="str">
            <v>Spécifique Offre</v>
          </cell>
          <cell r="N376" t="str">
            <v>Non concerné</v>
          </cell>
          <cell r="O376" t="str">
            <v>Non concerné</v>
          </cell>
          <cell r="P376"/>
          <cell r="Q376"/>
          <cell r="R376"/>
          <cell r="S376" t="str">
            <v/>
          </cell>
        </row>
        <row r="377">
          <cell r="A377" t="str">
            <v>ElTT465</v>
          </cell>
          <cell r="B377"/>
          <cell r="C377" t="str">
            <v>Titre</v>
          </cell>
          <cell r="D377" t="str">
            <v/>
          </cell>
          <cell r="E377"/>
          <cell r="F377" t="str">
            <v>11.3 Modalités de livraison</v>
          </cell>
          <cell r="G377"/>
          <cell r="H377"/>
          <cell r="I377" t="str">
            <v/>
          </cell>
          <cell r="J377" t="str">
            <v/>
          </cell>
          <cell r="K377"/>
          <cell r="L377"/>
          <cell r="M377" t="str">
            <v/>
          </cell>
          <cell r="N377" t="str">
            <v>Non concerné</v>
          </cell>
          <cell r="O377" t="str">
            <v>Non concerné</v>
          </cell>
          <cell r="P377"/>
          <cell r="Q377"/>
          <cell r="R377"/>
          <cell r="S377" t="str">
            <v/>
          </cell>
        </row>
        <row r="378">
          <cell r="A378" t="str">
            <v>El173</v>
          </cell>
          <cell r="B378"/>
          <cell r="C378" t="str">
            <v>U</v>
          </cell>
          <cell r="D378" t="str">
            <v>Non concerné pour la direction/univers</v>
          </cell>
          <cell r="E378"/>
          <cell r="F378" t="str">
            <v>Quelles sont les modalités de livraison (hors France métropolitaine)</v>
          </cell>
          <cell r="G378" t="str">
            <v>Liste choix multiple</v>
          </cell>
          <cell r="H378" t="str">
            <v>Chez le transitaire du bénéficiaire en France Métropolitaine;Sur le site du bénéficiaire avec prise en charge des frais d'emballage de transport et de dédouanement</v>
          </cell>
          <cell r="I378" t="str">
            <v>Non concerné pour la direction/univers</v>
          </cell>
          <cell r="J378" t="str">
            <v/>
          </cell>
          <cell r="K378" t="str">
            <v>VRAI</v>
          </cell>
          <cell r="L378"/>
          <cell r="M378" t="str">
            <v>Non concerné</v>
          </cell>
          <cell r="N378" t="str">
            <v>Non concerné</v>
          </cell>
          <cell r="O378" t="str">
            <v>Non concerné</v>
          </cell>
          <cell r="P378"/>
          <cell r="Q378"/>
          <cell r="R378"/>
          <cell r="S378" t="str">
            <v>=</v>
          </cell>
        </row>
        <row r="379">
          <cell r="A379" t="str">
            <v>El173b</v>
          </cell>
          <cell r="B379"/>
          <cell r="C379" t="str">
            <v>D</v>
          </cell>
          <cell r="D379" t="str">
            <v>Non concerné pour la direction/univers</v>
          </cell>
          <cell r="E379"/>
          <cell r="F379" t="str">
            <v>Livraison Tête de série?</v>
          </cell>
          <cell r="G379" t="str">
            <v xml:space="preserve">Liste choix unique </v>
          </cell>
          <cell r="H379" t="str">
            <v>Oui, livraison tête de série;Non, absence de livraison tête de série</v>
          </cell>
          <cell r="I379" t="str">
            <v>Non concerné pour la direction/univers</v>
          </cell>
          <cell r="J379" t="str">
            <v/>
          </cell>
          <cell r="K379" t="str">
            <v>VRAI</v>
          </cell>
          <cell r="L379"/>
          <cell r="M379" t="str">
            <v>Non concerné</v>
          </cell>
          <cell r="N379" t="str">
            <v>Non concerné</v>
          </cell>
          <cell r="O379" t="str">
            <v>Non concerné</v>
          </cell>
          <cell r="P379"/>
          <cell r="Q379"/>
          <cell r="R379"/>
          <cell r="S379" t="str">
            <v/>
          </cell>
        </row>
        <row r="380">
          <cell r="A380" t="str">
            <v>ElTT466</v>
          </cell>
          <cell r="B380"/>
          <cell r="C380" t="str">
            <v>Titre</v>
          </cell>
          <cell r="D380" t="str">
            <v/>
          </cell>
          <cell r="E380"/>
          <cell r="F380" t="str">
            <v>11.4 Délais</v>
          </cell>
          <cell r="G380"/>
          <cell r="H380"/>
          <cell r="I380" t="str">
            <v/>
          </cell>
          <cell r="J380" t="str">
            <v/>
          </cell>
          <cell r="K380"/>
          <cell r="L380"/>
          <cell r="M380" t="str">
            <v/>
          </cell>
          <cell r="N380" t="str">
            <v>Non concerné</v>
          </cell>
          <cell r="O380" t="str">
            <v>Non concerné</v>
          </cell>
          <cell r="P380"/>
          <cell r="Q380"/>
          <cell r="R380"/>
          <cell r="S380" t="str">
            <v/>
          </cell>
        </row>
        <row r="381">
          <cell r="A381" t="str">
            <v>El330</v>
          </cell>
          <cell r="B381"/>
          <cell r="C381" t="str">
            <v>U</v>
          </cell>
          <cell r="D381" t="str">
            <v>Non, offre non concernée par les délais courts/réduits</v>
          </cell>
          <cell r="E381"/>
          <cell r="F381" t="str">
            <v>L'offre est-elle concernée par des délais courts/ délai réduit (stock savigny le temple ou stock plateforme externalisée - Ugap Pack service plus)</v>
          </cell>
          <cell r="G381" t="str">
            <v xml:space="preserve">Liste choix unique </v>
          </cell>
          <cell r="H381" t="str">
            <v>Oui, Offre concernée par les délais courts/délai réduits; Non, offre non concernée par les délais courts/réduits</v>
          </cell>
          <cell r="I381" t="str">
            <v>Non, offre non concernée par les délais courts/réduits</v>
          </cell>
          <cell r="J381" t="str">
            <v>x</v>
          </cell>
          <cell r="K381"/>
          <cell r="L381"/>
          <cell r="M381" t="str">
            <v>Conforme au standard</v>
          </cell>
          <cell r="N381" t="str">
            <v>Non concerné</v>
          </cell>
          <cell r="O381" t="str">
            <v>Non concerné</v>
          </cell>
          <cell r="P381"/>
          <cell r="Q381"/>
          <cell r="R381"/>
          <cell r="S381" t="str">
            <v/>
          </cell>
        </row>
        <row r="382">
          <cell r="A382" t="str">
            <v>El330b</v>
          </cell>
          <cell r="B382"/>
          <cell r="C382" t="str">
            <v>Sp</v>
          </cell>
          <cell r="D382" t="str">
            <v/>
          </cell>
          <cell r="E382"/>
          <cell r="F382" t="str">
            <v>Préciser les délais maximum de livraison / d'intervention / d'exécution attendu pour chaque lot</v>
          </cell>
          <cell r="G382" t="str">
            <v>Annexe 10 - Détail lots</v>
          </cell>
          <cell r="H382" t="str">
            <v>Annexe 10 - Détail_Lots</v>
          </cell>
          <cell r="I382" t="str">
            <v>10 - Détail lots</v>
          </cell>
          <cell r="J382"/>
          <cell r="K382"/>
          <cell r="L382"/>
          <cell r="M382" t="str">
            <v>Spécifique Offre</v>
          </cell>
          <cell r="N382" t="str">
            <v>Identique</v>
          </cell>
          <cell r="O382" t="str">
            <v>Non concerné</v>
          </cell>
          <cell r="P382"/>
          <cell r="Q382"/>
          <cell r="R382"/>
          <cell r="S382" t="str">
            <v/>
          </cell>
        </row>
        <row r="383">
          <cell r="A383" t="str">
            <v>El331</v>
          </cell>
          <cell r="B383"/>
          <cell r="C383" t="str">
            <v>Sp</v>
          </cell>
          <cell r="D383" t="str">
            <v/>
          </cell>
          <cell r="E383"/>
          <cell r="F383" t="str">
            <v>Si oui, préciser le / les délais maximum par lots/produits concernés concernés</v>
          </cell>
          <cell r="G383" t="str">
            <v>Texte</v>
          </cell>
          <cell r="H383" t="str">
            <v>Champs libre</v>
          </cell>
          <cell r="I383" t="str">
            <v>Non concerné pour l'offre</v>
          </cell>
          <cell r="J383" t="str">
            <v/>
          </cell>
          <cell r="K383" t="str">
            <v>VRAI</v>
          </cell>
          <cell r="L383"/>
          <cell r="M383" t="str">
            <v>Spécifique Offre</v>
          </cell>
          <cell r="N383" t="str">
            <v>Non concerné</v>
          </cell>
          <cell r="O383" t="str">
            <v>Non concerné</v>
          </cell>
          <cell r="P383"/>
          <cell r="Q383"/>
          <cell r="R383"/>
          <cell r="S383" t="str">
            <v/>
          </cell>
        </row>
        <row r="384">
          <cell r="A384" t="str">
            <v>El332</v>
          </cell>
          <cell r="B384"/>
          <cell r="C384" t="str">
            <v>U</v>
          </cell>
          <cell r="D384" t="str">
            <v>Non, aucune période de neutralisation</v>
          </cell>
          <cell r="E384"/>
          <cell r="F384" t="str">
            <v>Une période de neutralisation des prestations (hors SAV) est-elle à prévoir ?</v>
          </cell>
          <cell r="G384" t="str">
            <v>Liste choix multiple</v>
          </cell>
          <cell r="H384" t="str">
            <v>Non, aucune période de neutralisation; Période de congés;Changement de modèle;impact industriel lourd;Autre</v>
          </cell>
          <cell r="I384" t="str">
            <v>Non, aucune période de neutralisation</v>
          </cell>
          <cell r="J384" t="str">
            <v>x</v>
          </cell>
          <cell r="K384"/>
          <cell r="L384"/>
          <cell r="M384" t="str">
            <v>Conforme au standard</v>
          </cell>
          <cell r="N384" t="str">
            <v>Non concerné</v>
          </cell>
          <cell r="O384" t="str">
            <v>Non concerné</v>
          </cell>
          <cell r="P384"/>
          <cell r="Q384"/>
          <cell r="R384"/>
          <cell r="S384" t="str">
            <v/>
          </cell>
        </row>
        <row r="385">
          <cell r="A385" t="str">
            <v>El332b</v>
          </cell>
          <cell r="B385"/>
          <cell r="C385" t="str">
            <v>Sp</v>
          </cell>
          <cell r="D385" t="str">
            <v/>
          </cell>
          <cell r="E385"/>
          <cell r="F385" t="str">
            <v>Quelle est sa durée maximale et le délai de prévenance ?</v>
          </cell>
          <cell r="G385" t="str">
            <v xml:space="preserve">Liste choix unique </v>
          </cell>
          <cell r="H385" t="str">
            <v>Durée maximale de 40 jours et délai de prévenance de 6 mois;Autre</v>
          </cell>
          <cell r="I385" t="str">
            <v>Non concerné pour l'offre</v>
          </cell>
          <cell r="J385" t="str">
            <v>x</v>
          </cell>
          <cell r="K385" t="str">
            <v>VRAI</v>
          </cell>
          <cell r="L385"/>
          <cell r="M385" t="str">
            <v>Spécifique Offre</v>
          </cell>
          <cell r="N385" t="str">
            <v>Non concerné</v>
          </cell>
          <cell r="O385" t="str">
            <v>Non concerné</v>
          </cell>
          <cell r="P385"/>
          <cell r="Q385"/>
          <cell r="R385"/>
          <cell r="S385" t="str">
            <v/>
          </cell>
        </row>
        <row r="386">
          <cell r="A386" t="str">
            <v>El332c</v>
          </cell>
          <cell r="B386"/>
          <cell r="C386" t="str">
            <v>Sp</v>
          </cell>
          <cell r="D386" t="str">
            <v/>
          </cell>
          <cell r="E386"/>
          <cell r="F386" t="str">
            <v>Si autre, préciser la durée maximale et le délai de prévenance</v>
          </cell>
          <cell r="G386" t="str">
            <v>Texte</v>
          </cell>
          <cell r="H386" t="str">
            <v>Champs libre</v>
          </cell>
          <cell r="I386" t="str">
            <v>Non concerné pour l'offre</v>
          </cell>
          <cell r="J386" t="str">
            <v/>
          </cell>
          <cell r="K386" t="str">
            <v>VRAI</v>
          </cell>
          <cell r="L386"/>
          <cell r="M386" t="str">
            <v>Spécifique Offre</v>
          </cell>
          <cell r="N386" t="str">
            <v>Non concerné</v>
          </cell>
          <cell r="O386" t="str">
            <v>Non concerné</v>
          </cell>
          <cell r="P386"/>
          <cell r="Q386"/>
          <cell r="R386"/>
          <cell r="S386" t="str">
            <v/>
          </cell>
        </row>
        <row r="387">
          <cell r="A387" t="str">
            <v>ElTT467</v>
          </cell>
          <cell r="B387"/>
          <cell r="C387" t="str">
            <v>Titre</v>
          </cell>
          <cell r="D387" t="str">
            <v/>
          </cell>
          <cell r="E387"/>
          <cell r="F387" t="str">
            <v>11.5 Modalités particulières d'exécution</v>
          </cell>
          <cell r="G387"/>
          <cell r="H387"/>
          <cell r="I387" t="str">
            <v/>
          </cell>
          <cell r="J387" t="str">
            <v/>
          </cell>
          <cell r="K387"/>
          <cell r="L387"/>
          <cell r="M387" t="str">
            <v/>
          </cell>
          <cell r="N387" t="str">
            <v>Non concerné</v>
          </cell>
          <cell r="O387" t="str">
            <v>Non concerné</v>
          </cell>
          <cell r="P387"/>
          <cell r="Q387"/>
          <cell r="R387"/>
          <cell r="S387" t="str">
            <v/>
          </cell>
        </row>
        <row r="388">
          <cell r="A388" t="str">
            <v>El342</v>
          </cell>
          <cell r="B388"/>
          <cell r="C388" t="str">
            <v>D</v>
          </cell>
          <cell r="D388" t="str">
            <v>Oui, exécution des prestations iles littorales et/ou DROM-COM</v>
          </cell>
          <cell r="E388"/>
          <cell r="F388" t="str">
            <v>Exécution des prestations Iles littorales et/ou DROM – COM (offres de produits)</v>
          </cell>
          <cell r="G388" t="str">
            <v xml:space="preserve">Liste choix unique </v>
          </cell>
          <cell r="H388" t="str">
            <v>Oui, exécution des prestations iles littorales et/ou DROM-COM; Non, absence d'exécution des prestations iles littorales et/ou DROM-COM</v>
          </cell>
          <cell r="I388" t="str">
            <v>Oui, exécution des prestations iles littorales et/ou DROM-COM</v>
          </cell>
          <cell r="J388" t="str">
            <v>x</v>
          </cell>
          <cell r="K388"/>
          <cell r="L388"/>
          <cell r="M388" t="str">
            <v>Conforme au standard</v>
          </cell>
          <cell r="N388" t="str">
            <v>Non concerné</v>
          </cell>
          <cell r="O388" t="str">
            <v>Non concerné</v>
          </cell>
          <cell r="P388"/>
          <cell r="Q388"/>
          <cell r="R388"/>
          <cell r="S388" t="str">
            <v/>
          </cell>
        </row>
        <row r="389">
          <cell r="A389" t="str">
            <v>El343</v>
          </cell>
          <cell r="B389"/>
          <cell r="C389" t="str">
            <v>D</v>
          </cell>
          <cell r="D389" t="str">
            <v>Non concerné pour la direction/univers</v>
          </cell>
          <cell r="E389"/>
          <cell r="F389" t="str">
            <v>Si oui, préciser si un traitement particulier doit être mis en place sur les iles littorales (mise en œuvre de la garantie contractuelle, prestations associées de base, recette technique le cas échéant, prestations associées optionnelles, autres...</v>
          </cell>
          <cell r="G389" t="str">
            <v>Liste choix multiple</v>
          </cell>
          <cell r="H389" t="str">
            <v>Les îles littorales :
o	Garantie contractuelle,
o	Prestations incluses dans le prix du matériel de base,
o	Prestations annexes non incluses dans le prix du matériel de base.</v>
          </cell>
          <cell r="I389" t="str">
            <v>Non concerné pour la direction/univers</v>
          </cell>
          <cell r="J389" t="str">
            <v/>
          </cell>
          <cell r="K389" t="str">
            <v>VRAI</v>
          </cell>
          <cell r="L389"/>
          <cell r="M389" t="str">
            <v>Non concerné</v>
          </cell>
          <cell r="N389" t="str">
            <v>Non concerné</v>
          </cell>
          <cell r="O389" t="str">
            <v>Non concerné</v>
          </cell>
          <cell r="P389"/>
          <cell r="Q389"/>
          <cell r="R389"/>
          <cell r="S389" t="str">
            <v>=</v>
          </cell>
        </row>
        <row r="390">
          <cell r="A390" t="str">
            <v>El343b</v>
          </cell>
          <cell r="B390"/>
          <cell r="C390" t="str">
            <v>Sp</v>
          </cell>
          <cell r="D390" t="str">
            <v/>
          </cell>
          <cell r="E390"/>
          <cell r="F390" t="str">
            <v>Si oui, préciser si un traitement particulier doit être mis en place sur les DROM-COM (mise en œuvre de la garantie contractuelle, prestations associées de base, recette technique le cas échéant, prestations associées optionnelles, autres...</v>
          </cell>
          <cell r="G390" t="str">
            <v>Liste choix multiple</v>
          </cell>
          <cell r="H390" t="str">
            <v>DROM-COM : Garantie contractuelle;DROM-COM : Prestations incluses dans le prix du matériel de base;DROM-COM : Prestations annexes non incluses dans le prix du matériel de base.</v>
          </cell>
          <cell r="I390" t="str">
            <v/>
          </cell>
          <cell r="J390" t="str">
            <v/>
          </cell>
          <cell r="K390"/>
          <cell r="L390"/>
          <cell r="M390" t="str">
            <v>Renseigner la réponse DCO</v>
          </cell>
          <cell r="N390" t="str">
            <v>Non concerné</v>
          </cell>
          <cell r="O390" t="str">
            <v>Non concerné</v>
          </cell>
          <cell r="P390"/>
          <cell r="Q390"/>
          <cell r="R390"/>
          <cell r="S390" t="str">
            <v>=</v>
          </cell>
        </row>
        <row r="391">
          <cell r="A391" t="str">
            <v>El344</v>
          </cell>
          <cell r="B391"/>
          <cell r="C391" t="str">
            <v>D</v>
          </cell>
          <cell r="D391" t="str">
            <v>Oui, reprise de matériel</v>
          </cell>
          <cell r="E391"/>
          <cell r="F391" t="str">
            <v>Retour du matériel (offres de produits)</v>
          </cell>
          <cell r="G391" t="str">
            <v xml:space="preserve">Liste choix unique </v>
          </cell>
          <cell r="H391" t="str">
            <v>Oui, reprise de matériel;Non, absence de reprise de matériel</v>
          </cell>
          <cell r="I391" t="str">
            <v>Oui, reprise de matériel</v>
          </cell>
          <cell r="J391" t="str">
            <v>x</v>
          </cell>
          <cell r="K391"/>
          <cell r="L391"/>
          <cell r="M391" t="str">
            <v>Conforme au standard</v>
          </cell>
          <cell r="N391" t="str">
            <v>Non concerné</v>
          </cell>
          <cell r="O391" t="str">
            <v>Non concerné</v>
          </cell>
          <cell r="P391"/>
          <cell r="Q391"/>
          <cell r="R391"/>
          <cell r="S391" t="str">
            <v/>
          </cell>
        </row>
        <row r="392">
          <cell r="A392" t="str">
            <v>El345</v>
          </cell>
          <cell r="B392"/>
          <cell r="C392" t="str">
            <v>Sp</v>
          </cell>
          <cell r="D392" t="str">
            <v/>
          </cell>
          <cell r="E392"/>
          <cell r="F392" t="str">
            <v>Si oui, détailler les modalités de retour de produit par typologie</v>
          </cell>
          <cell r="G392" t="str">
            <v>Texte</v>
          </cell>
          <cell r="H392" t="str">
            <v>Champ libre</v>
          </cell>
          <cell r="I392" t="str">
            <v/>
          </cell>
          <cell r="J392" t="str">
            <v/>
          </cell>
          <cell r="K392"/>
          <cell r="L392"/>
          <cell r="M392" t="str">
            <v>Renseigner la réponse DCO</v>
          </cell>
          <cell r="N392" t="str">
            <v>Non concerné</v>
          </cell>
          <cell r="O392" t="str">
            <v>Non concerné</v>
          </cell>
          <cell r="P392"/>
          <cell r="Q392"/>
          <cell r="R392"/>
          <cell r="S392" t="str">
            <v/>
          </cell>
        </row>
        <row r="393">
          <cell r="A393" t="str">
            <v>El346</v>
          </cell>
          <cell r="B393"/>
          <cell r="C393" t="str">
            <v>U</v>
          </cell>
          <cell r="D393" t="str">
            <v>Oui, modalités particulières d'exécution</v>
          </cell>
          <cell r="E393"/>
          <cell r="F393" t="str">
            <v>Autres modalités particulières d’exécution (toute offre)</v>
          </cell>
          <cell r="G393" t="str">
            <v xml:space="preserve">Liste choix unique </v>
          </cell>
          <cell r="H393" t="str">
            <v>Oui, modalités particulières d'exécution; Non, absence de modalités particulières d'exécution</v>
          </cell>
          <cell r="I393" t="str">
            <v>Oui, modalités particulières d'exécution</v>
          </cell>
          <cell r="J393" t="str">
            <v>x</v>
          </cell>
          <cell r="K393"/>
          <cell r="L393"/>
          <cell r="M393" t="str">
            <v>Conforme au standard</v>
          </cell>
          <cell r="N393" t="str">
            <v>Non concerné</v>
          </cell>
          <cell r="O393" t="str">
            <v>Non concerné</v>
          </cell>
          <cell r="P393"/>
          <cell r="Q393"/>
          <cell r="R393"/>
          <cell r="S393" t="str">
            <v/>
          </cell>
        </row>
        <row r="394">
          <cell r="A394" t="str">
            <v>El347</v>
          </cell>
          <cell r="B394"/>
          <cell r="C394" t="str">
            <v>Sp</v>
          </cell>
          <cell r="D394" t="str">
            <v/>
          </cell>
          <cell r="E394"/>
          <cell r="F394" t="str">
            <v>Si oui, préciser lesquelles et par qui (client / Fournisseur / UGAP)</v>
          </cell>
          <cell r="G394" t="str">
            <v>Texte</v>
          </cell>
          <cell r="H394" t="str">
            <v>Champ libre</v>
          </cell>
          <cell r="I394" t="str">
            <v/>
          </cell>
          <cell r="J394" t="str">
            <v/>
          </cell>
          <cell r="K394"/>
          <cell r="L394"/>
          <cell r="M394" t="str">
            <v>Renseigner la réponse DCO</v>
          </cell>
          <cell r="N394" t="str">
            <v>Non concerné</v>
          </cell>
          <cell r="O394" t="str">
            <v>Non concerné</v>
          </cell>
          <cell r="P394"/>
          <cell r="Q394"/>
          <cell r="R394"/>
          <cell r="S394" t="str">
            <v/>
          </cell>
        </row>
        <row r="395">
          <cell r="A395" t="str">
            <v>ElTT468</v>
          </cell>
          <cell r="B395"/>
          <cell r="C395" t="str">
            <v>Titre</v>
          </cell>
          <cell r="D395" t="str">
            <v/>
          </cell>
          <cell r="E395"/>
          <cell r="F395" t="str">
            <v>11.6 Politiques publiques</v>
          </cell>
          <cell r="G395"/>
          <cell r="H395"/>
          <cell r="I395" t="str">
            <v/>
          </cell>
          <cell r="J395" t="str">
            <v/>
          </cell>
          <cell r="K395"/>
          <cell r="L395"/>
          <cell r="M395" t="str">
            <v/>
          </cell>
          <cell r="N395" t="str">
            <v>Non concerné</v>
          </cell>
          <cell r="O395" t="str">
            <v>Non concerné</v>
          </cell>
          <cell r="P395"/>
          <cell r="Q395"/>
          <cell r="R395"/>
          <cell r="S395" t="str">
            <v/>
          </cell>
        </row>
        <row r="396">
          <cell r="A396" t="str">
            <v>El258</v>
          </cell>
          <cell r="B396"/>
          <cell r="C396" t="str">
            <v>E</v>
          </cell>
          <cell r="D396" t="str">
            <v>Oui, une considération environnementale est intégrée à chaque lot</v>
          </cell>
          <cell r="E396"/>
          <cell r="F396" t="str">
            <v>Une considération environnementale est-elle intégrée à chaque lot ?</v>
          </cell>
          <cell r="G396" t="str">
            <v xml:space="preserve">Liste choix unique </v>
          </cell>
          <cell r="H396" t="str">
            <v>Oui, une considération environnementale est intégrée à chaque lot ; Non, Tout ou partie des lots n'intègre pas de considération environnementale</v>
          </cell>
          <cell r="I396" t="str">
            <v>Oui, une considération environnementale est intégrée à chaque lot</v>
          </cell>
          <cell r="J396" t="str">
            <v>x</v>
          </cell>
          <cell r="K396"/>
          <cell r="L396"/>
          <cell r="M396" t="str">
            <v>Conforme au standard</v>
          </cell>
          <cell r="N396" t="str">
            <v>Non concerné</v>
          </cell>
          <cell r="O396" t="str">
            <v>Non concerné</v>
          </cell>
          <cell r="P396"/>
          <cell r="Q396"/>
          <cell r="R396"/>
          <cell r="S396" t="str">
            <v/>
          </cell>
        </row>
        <row r="397">
          <cell r="A397" t="str">
            <v>El258b</v>
          </cell>
          <cell r="B397"/>
          <cell r="C397" t="str">
            <v>Sp</v>
          </cell>
          <cell r="D397" t="str">
            <v/>
          </cell>
          <cell r="E397"/>
          <cell r="F397" t="str">
            <v>Préciser par lot la considération environnementale applicable (spécification technique, condition d'exécution et critère environnemental)</v>
          </cell>
          <cell r="G397" t="str">
            <v>Annexe 10 - Détail lots</v>
          </cell>
          <cell r="H397" t="str">
            <v>Annexe 10 - Détail_Lots</v>
          </cell>
          <cell r="I397" t="str">
            <v>10 - Détail lots</v>
          </cell>
          <cell r="J397" t="str">
            <v/>
          </cell>
          <cell r="K397"/>
          <cell r="L397"/>
          <cell r="M397" t="str">
            <v>Spécifique Offre</v>
          </cell>
          <cell r="N397" t="str">
            <v>Identique</v>
          </cell>
          <cell r="O397" t="str">
            <v>Non concerné</v>
          </cell>
          <cell r="P397"/>
          <cell r="Q397"/>
          <cell r="R397"/>
          <cell r="S397" t="str">
            <v/>
          </cell>
        </row>
        <row r="398">
          <cell r="A398" t="str">
            <v>El258c</v>
          </cell>
          <cell r="B398"/>
          <cell r="C398" t="str">
            <v>Sp</v>
          </cell>
          <cell r="D398" t="str">
            <v/>
          </cell>
          <cell r="E398"/>
          <cell r="F398" t="str">
            <v>L'offre inclut-elle des exigences en matière d'impact environnemental du transport?</v>
          </cell>
          <cell r="G398" t="str">
            <v xml:space="preserve">Liste choix unique </v>
          </cell>
          <cell r="H398" t="str">
            <v>Oui, l'offre inclut des exigences en matière d'impact environnemental du transport;Oui, l'offre n'inclut pas d'exigences en matière d'impact environnemental du transport</v>
          </cell>
          <cell r="I398" t="str">
            <v/>
          </cell>
          <cell r="J398" t="str">
            <v/>
          </cell>
          <cell r="K398"/>
          <cell r="L398"/>
          <cell r="M398" t="str">
            <v>Renseigner la réponse DCO</v>
          </cell>
          <cell r="N398" t="str">
            <v>Non concerné</v>
          </cell>
          <cell r="O398" t="str">
            <v>Non concerné</v>
          </cell>
          <cell r="P398"/>
          <cell r="Q398"/>
          <cell r="R398"/>
          <cell r="S398" t="str">
            <v/>
          </cell>
        </row>
        <row r="399">
          <cell r="A399" t="str">
            <v>El258d</v>
          </cell>
          <cell r="B399"/>
          <cell r="C399" t="str">
            <v>Sp</v>
          </cell>
          <cell r="D399" t="str">
            <v/>
          </cell>
          <cell r="E399"/>
          <cell r="F399" t="str">
            <v>L'offre prévoit-elle un plan de progrès décarbonation du transport?</v>
          </cell>
          <cell r="G399" t="str">
            <v xml:space="preserve">Liste choix unique </v>
          </cell>
          <cell r="H399" t="str">
            <v>Oui, l'offre prévoit un plan de progrès décarbonation du transport;Non, l'offre ne prévoit pas de plan de progrès décarbonation du transport</v>
          </cell>
          <cell r="I399" t="str">
            <v/>
          </cell>
          <cell r="J399"/>
          <cell r="K399"/>
          <cell r="L399"/>
          <cell r="M399" t="str">
            <v>Renseigner la réponse DCO</v>
          </cell>
          <cell r="N399" t="str">
            <v>Non concerné</v>
          </cell>
          <cell r="O399" t="str">
            <v>Non concerné</v>
          </cell>
          <cell r="P399"/>
          <cell r="Q399"/>
          <cell r="R399"/>
          <cell r="S399" t="str">
            <v/>
          </cell>
        </row>
        <row r="400">
          <cell r="A400" t="str">
            <v>El259</v>
          </cell>
          <cell r="B400"/>
          <cell r="C400" t="str">
            <v>Sp</v>
          </cell>
          <cell r="D400" t="str">
            <v/>
          </cell>
          <cell r="E400"/>
          <cell r="F400" t="str">
            <v>L'offre est-elle concernée par une ou plusieurs REP (Responsabilité Elargie des Producteurs) ?</v>
          </cell>
          <cell r="G400" t="str">
            <v xml:space="preserve">Liste choix unique </v>
          </cell>
          <cell r="H400" t="str">
            <v>Tout ou partie des lots sont concernés par une ou plusieurs REP ; Aucun lot n'est concerné par une REP</v>
          </cell>
          <cell r="I400" t="str">
            <v/>
          </cell>
          <cell r="J400" t="str">
            <v>x</v>
          </cell>
          <cell r="K400"/>
          <cell r="L400"/>
          <cell r="M400" t="str">
            <v>Renseigner la réponse DCO</v>
          </cell>
          <cell r="N400" t="str">
            <v>Non concerné</v>
          </cell>
          <cell r="O400" t="str">
            <v>Non concerné</v>
          </cell>
          <cell r="P400"/>
          <cell r="Q400"/>
          <cell r="R400"/>
          <cell r="S400" t="str">
            <v/>
          </cell>
        </row>
        <row r="401">
          <cell r="A401" t="str">
            <v>El260</v>
          </cell>
          <cell r="B401"/>
          <cell r="C401" t="str">
            <v>Sp</v>
          </cell>
          <cell r="D401" t="str">
            <v/>
          </cell>
          <cell r="E401"/>
          <cell r="F401" t="str">
            <v>Si tout ou partie des lots concernés, préciser lesquels</v>
          </cell>
          <cell r="G401" t="str">
            <v>Annexe 10 - Détail lots</v>
          </cell>
          <cell r="H401" t="str">
            <v>Annexe 10 - Détail_Lots</v>
          </cell>
          <cell r="I401" t="str">
            <v>10 - Détail lots</v>
          </cell>
          <cell r="J401" t="str">
            <v/>
          </cell>
          <cell r="K401" t="str">
            <v>VRAI</v>
          </cell>
          <cell r="L401"/>
          <cell r="M401" t="str">
            <v>Spécifique Offre</v>
          </cell>
          <cell r="N401" t="str">
            <v>Identique</v>
          </cell>
          <cell r="O401" t="str">
            <v>Non concerné</v>
          </cell>
          <cell r="P401"/>
          <cell r="Q401"/>
          <cell r="R401"/>
          <cell r="S401" t="str">
            <v/>
          </cell>
        </row>
        <row r="402">
          <cell r="A402" t="str">
            <v>El496</v>
          </cell>
          <cell r="B402"/>
          <cell r="C402" t="str">
            <v>Sp</v>
          </cell>
          <cell r="D402" t="str">
            <v/>
          </cell>
          <cell r="E402"/>
          <cell r="F402" t="str">
            <v>L'offre est-elle concernée par de la reprise 1 pour 1</v>
          </cell>
          <cell r="G402" t="str">
            <v xml:space="preserve">Liste choix unique </v>
          </cell>
          <cell r="H402" t="str">
            <v>Tout ou partie des lots sont concernés par de la reprise 1 pour 1; Aucun lot n'est concerné par de la reprise 1 pour 1</v>
          </cell>
          <cell r="I402" t="str">
            <v/>
          </cell>
          <cell r="J402" t="str">
            <v>x</v>
          </cell>
          <cell r="K402"/>
          <cell r="L402"/>
          <cell r="M402" t="str">
            <v>Renseigner la réponse DCO</v>
          </cell>
          <cell r="N402" t="str">
            <v>Non concerné</v>
          </cell>
          <cell r="O402" t="str">
            <v>Non concerné</v>
          </cell>
          <cell r="P402"/>
          <cell r="Q402"/>
          <cell r="R402"/>
          <cell r="S402" t="str">
            <v/>
          </cell>
        </row>
        <row r="403">
          <cell r="A403" t="str">
            <v>El497</v>
          </cell>
          <cell r="B403"/>
          <cell r="C403" t="str">
            <v>Sp</v>
          </cell>
          <cell r="D403" t="str">
            <v/>
          </cell>
          <cell r="E403"/>
          <cell r="F403" t="str">
            <v>Si tout ou partie des lots concernés, préciser lesquels</v>
          </cell>
          <cell r="G403" t="str">
            <v>Annexe 10 - Détail lots</v>
          </cell>
          <cell r="H403" t="str">
            <v>Annexe 10 - Détail_Lots</v>
          </cell>
          <cell r="I403" t="str">
            <v>10 - Détail lots</v>
          </cell>
          <cell r="J403" t="str">
            <v/>
          </cell>
          <cell r="K403" t="str">
            <v>VRAI</v>
          </cell>
          <cell r="L403"/>
          <cell r="M403" t="str">
            <v>Spécifique Offre</v>
          </cell>
          <cell r="N403" t="str">
            <v>Identique</v>
          </cell>
          <cell r="O403" t="str">
            <v>Non concerné</v>
          </cell>
          <cell r="P403"/>
          <cell r="Q403"/>
          <cell r="R403"/>
          <cell r="S403" t="str">
            <v/>
          </cell>
        </row>
        <row r="404">
          <cell r="A404" t="str">
            <v>El260a</v>
          </cell>
          <cell r="B404"/>
          <cell r="C404" t="str">
            <v>E</v>
          </cell>
          <cell r="D404" t="str">
            <v>Oui, l'offre/les lots intègre(nt) des produits issus du réemploi/réutilisation</v>
          </cell>
          <cell r="E404"/>
          <cell r="F404" t="str">
            <v>Les produits issus du réemploi/réutilisation sont-ils intégrés dans l'offre (exemple : architecture lot dédié, facultatif libre ...)?</v>
          </cell>
          <cell r="G404" t="str">
            <v>Liste choix unique</v>
          </cell>
          <cell r="H404" t="str">
            <v xml:space="preserve">Oui, l'offre intègre des produits issus du réemploi/réutilisation; Non, l'offre n'intègre pas des produits issus du réemploi/réutilisation </v>
          </cell>
          <cell r="I404" t="str">
            <v>Oui, l'offre/les lots intègre(nt) des produits issus du réemploi/réutilisation</v>
          </cell>
          <cell r="J404" t="str">
            <v>x</v>
          </cell>
          <cell r="K404"/>
          <cell r="L404"/>
          <cell r="M404" t="str">
            <v>Conforme au standard</v>
          </cell>
          <cell r="N404" t="str">
            <v>Non concerné</v>
          </cell>
          <cell r="O404" t="str">
            <v>Non concerné</v>
          </cell>
          <cell r="P404"/>
          <cell r="Q404"/>
          <cell r="R404"/>
          <cell r="S404" t="str">
            <v/>
          </cell>
        </row>
        <row r="405">
          <cell r="A405" t="str">
            <v>El499</v>
          </cell>
          <cell r="B405"/>
          <cell r="C405" t="str">
            <v>Sp</v>
          </cell>
          <cell r="D405" t="str">
            <v/>
          </cell>
          <cell r="E405"/>
          <cell r="F405" t="str">
            <v>Si tout ou partie des lots concernés, préciser lesquels</v>
          </cell>
          <cell r="G405" t="str">
            <v>Annexe 10 - Détail lots</v>
          </cell>
          <cell r="H405" t="str">
            <v>Annexe 10 - Détail_Lots</v>
          </cell>
          <cell r="I405" t="str">
            <v>10 - Détail lots</v>
          </cell>
          <cell r="J405"/>
          <cell r="K405"/>
          <cell r="L405"/>
          <cell r="M405" t="str">
            <v>Spécifique Offre</v>
          </cell>
          <cell r="N405" t="str">
            <v>Identique</v>
          </cell>
          <cell r="O405" t="str">
            <v>Non concerné</v>
          </cell>
          <cell r="P405"/>
          <cell r="Q405"/>
          <cell r="R405"/>
          <cell r="S405" t="str">
            <v/>
          </cell>
        </row>
        <row r="406">
          <cell r="A406" t="str">
            <v>El260b</v>
          </cell>
          <cell r="B406"/>
          <cell r="C406" t="str">
            <v>E</v>
          </cell>
          <cell r="D406" t="str">
            <v>Oui, l'offre/les lots prévoi(en)t pour le titulaire l'obligation de remettre pendant l'exécution du marché ces informations</v>
          </cell>
          <cell r="E406"/>
          <cell r="F406" t="str">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ell>
          <cell r="G406" t="str">
            <v>Liste choix unique</v>
          </cell>
          <cell r="H406" t="str">
            <v>Oui, l'offre prévoit pour le titulaire l'obligation de remettre pendant l'exécution du marché ces informations; Non, l'offre ne prévoit pas la remise de ces informations</v>
          </cell>
          <cell r="I406" t="str">
            <v>Oui, l'offre/les lots prévoi(en)t pour le titulaire l'obligation de remettre pendant l'exécution du marché ces informations</v>
          </cell>
          <cell r="J406" t="str">
            <v/>
          </cell>
          <cell r="K406"/>
          <cell r="L406"/>
          <cell r="M406" t="str">
            <v>Conforme au standard</v>
          </cell>
          <cell r="N406" t="str">
            <v>Non concerné</v>
          </cell>
          <cell r="O406" t="str">
            <v>Non concerné</v>
          </cell>
          <cell r="P406"/>
          <cell r="Q406"/>
          <cell r="R406"/>
          <cell r="S406" t="str">
            <v/>
          </cell>
        </row>
        <row r="407">
          <cell r="A407" t="str">
            <v>El260c</v>
          </cell>
          <cell r="B407"/>
          <cell r="C407" t="str">
            <v>E</v>
          </cell>
          <cell r="D407" t="str">
            <v>Oui, une considération sociale est intégrée à minima à chaque lot</v>
          </cell>
          <cell r="E407"/>
          <cell r="F407" t="str">
            <v>Une considération sociale est elle intégrée à chaque lot (spécifications sociales, conditions d'exécution, critère social avec questionnaire, ots réservés…)  ?</v>
          </cell>
          <cell r="G407" t="str">
            <v>Liste choix unique</v>
          </cell>
          <cell r="H407" t="str">
            <v xml:space="preserve">Oui, une considération sociale est intégrée à minima à chaque lot ; Non, Tout ou partie des lots n'intègre pas de considération sociale
</v>
          </cell>
          <cell r="I407" t="str">
            <v>Oui, une considération sociale est intégrée à minima à chaque lot</v>
          </cell>
          <cell r="J407" t="str">
            <v>x</v>
          </cell>
          <cell r="K407"/>
          <cell r="L407"/>
          <cell r="M407" t="str">
            <v>Conforme au standard</v>
          </cell>
          <cell r="N407" t="str">
            <v>Non concerné</v>
          </cell>
          <cell r="O407" t="str">
            <v>Non concerné</v>
          </cell>
          <cell r="P407"/>
          <cell r="Q407"/>
          <cell r="R407"/>
          <cell r="S407" t="str">
            <v/>
          </cell>
        </row>
        <row r="408">
          <cell r="A408" t="str">
            <v>El260d</v>
          </cell>
          <cell r="B408"/>
          <cell r="C408" t="str">
            <v>Sp</v>
          </cell>
          <cell r="D408" t="str">
            <v/>
          </cell>
          <cell r="E408"/>
          <cell r="F408" t="str">
            <v>Si oui, préciser par lot la considération sociale applicable (Spécification technique sociale (dont l'objet du marché), condition d'exécution sociale et critère social)</v>
          </cell>
          <cell r="G408" t="str">
            <v>Annexe 10 - Détail lots</v>
          </cell>
          <cell r="H408" t="str">
            <v>Annexe 10 - Détail_Lots</v>
          </cell>
          <cell r="I408" t="str">
            <v>10 - Détail lots</v>
          </cell>
          <cell r="J408" t="str">
            <v/>
          </cell>
          <cell r="K408"/>
          <cell r="L408"/>
          <cell r="M408" t="str">
            <v>Spécifique Offre</v>
          </cell>
          <cell r="N408" t="str">
            <v>Identique</v>
          </cell>
          <cell r="O408" t="str">
            <v>Non concerné</v>
          </cell>
          <cell r="P408"/>
          <cell r="Q408"/>
          <cell r="R408"/>
          <cell r="S408" t="str">
            <v/>
          </cell>
        </row>
        <row r="409">
          <cell r="A409" t="str">
            <v>El260i</v>
          </cell>
          <cell r="B409"/>
          <cell r="C409" t="str">
            <v>Sp</v>
          </cell>
          <cell r="D409" t="str">
            <v/>
          </cell>
          <cell r="E409"/>
          <cell r="F409" t="str">
            <v>Si  non,préciser les lots concernés par cette clause</v>
          </cell>
          <cell r="G409" t="str">
            <v>Annexe 10 - Détail lots</v>
          </cell>
          <cell r="H409" t="str">
            <v>Annexe 10 - Détail_Lots</v>
          </cell>
          <cell r="I409" t="str">
            <v>10 - Détail lots</v>
          </cell>
          <cell r="J409"/>
          <cell r="K409"/>
          <cell r="L409"/>
          <cell r="M409" t="str">
            <v>Spécifique Offre</v>
          </cell>
          <cell r="N409" t="str">
            <v>Identique</v>
          </cell>
          <cell r="O409" t="str">
            <v>Non concerné</v>
          </cell>
          <cell r="P409"/>
          <cell r="Q409"/>
          <cell r="R409"/>
          <cell r="S409" t="str">
            <v/>
          </cell>
        </row>
        <row r="410">
          <cell r="A410" t="str">
            <v>El260e</v>
          </cell>
          <cell r="B410"/>
          <cell r="C410" t="str">
            <v>Sp</v>
          </cell>
          <cell r="D410" t="str">
            <v/>
          </cell>
          <cell r="E410"/>
          <cell r="F410" t="str">
            <v>L'offre comprend elle des lots réservés ?</v>
          </cell>
          <cell r="G410" t="str">
            <v xml:space="preserve">Liste choix unique </v>
          </cell>
          <cell r="H410" t="str">
            <v>Oui,au moins un lot réservé ; Non, absence de lots réservés</v>
          </cell>
          <cell r="I410" t="str">
            <v/>
          </cell>
          <cell r="J410" t="str">
            <v>x</v>
          </cell>
          <cell r="K410"/>
          <cell r="L410"/>
          <cell r="M410" t="str">
            <v>Renseigner la réponse DCO</v>
          </cell>
          <cell r="N410" t="str">
            <v>Non concerné</v>
          </cell>
          <cell r="O410" t="str">
            <v>Non concerné</v>
          </cell>
          <cell r="P410"/>
          <cell r="Q410"/>
          <cell r="R410"/>
          <cell r="S410" t="str">
            <v/>
          </cell>
        </row>
        <row r="411">
          <cell r="A411" t="str">
            <v>El498</v>
          </cell>
          <cell r="B411"/>
          <cell r="C411" t="str">
            <v>Sp</v>
          </cell>
          <cell r="D411" t="str">
            <v/>
          </cell>
          <cell r="E411"/>
          <cell r="F411" t="str">
            <v>Si oui, préciser le publics concernés par les lots réservés dans l'annexe tableau allotissement</v>
          </cell>
          <cell r="G411" t="str">
            <v>Annexe 10 - Détail lots</v>
          </cell>
          <cell r="H411" t="str">
            <v>Annexe 10 - Détail_Lots</v>
          </cell>
          <cell r="I411" t="str">
            <v>10 - Détail lots</v>
          </cell>
          <cell r="J411"/>
          <cell r="K411" t="str">
            <v>VRAI</v>
          </cell>
          <cell r="L411"/>
          <cell r="M411" t="str">
            <v>Spécifique Offre</v>
          </cell>
          <cell r="N411" t="str">
            <v>Identique</v>
          </cell>
          <cell r="O411" t="str">
            <v>Non concerné</v>
          </cell>
          <cell r="P411"/>
          <cell r="Q411"/>
          <cell r="R411"/>
          <cell r="S411" t="str">
            <v/>
          </cell>
        </row>
        <row r="412">
          <cell r="A412" t="str">
            <v>El260f</v>
          </cell>
          <cell r="B412"/>
          <cell r="C412" t="str">
            <v>Sp</v>
          </cell>
          <cell r="D412" t="str">
            <v/>
          </cell>
          <cell r="E412"/>
          <cell r="F412" t="str">
            <v>Si oui, préciser le publics concernés par les lots réservés</v>
          </cell>
          <cell r="G412" t="str">
            <v>Annexe 10 - Détail lots</v>
          </cell>
          <cell r="H412" t="str">
            <v>Annexe 10 - Détail_Lots</v>
          </cell>
          <cell r="I412" t="str">
            <v>10 - Détail lots</v>
          </cell>
          <cell r="J412" t="str">
            <v/>
          </cell>
          <cell r="K412"/>
          <cell r="L412"/>
          <cell r="M412" t="str">
            <v>Spécifique Offre</v>
          </cell>
          <cell r="N412" t="str">
            <v>Identique</v>
          </cell>
          <cell r="O412" t="str">
            <v>Non concerné</v>
          </cell>
          <cell r="P412"/>
          <cell r="Q412"/>
          <cell r="R412"/>
          <cell r="S412" t="str">
            <v/>
          </cell>
        </row>
        <row r="413">
          <cell r="A413" t="str">
            <v>El260g</v>
          </cell>
          <cell r="B413"/>
          <cell r="C413" t="str">
            <v>U</v>
          </cell>
          <cell r="D413" t="str">
            <v>Non concerné pour la direction/univers</v>
          </cell>
          <cell r="E413"/>
          <cell r="F413" t="str">
            <v>Les lots prévoient-ils une traçabilité sociale des chaines d'approvisionnement ?</v>
          </cell>
          <cell r="G413" t="str">
            <v>Liste choix unique</v>
          </cell>
          <cell r="H413" t="str">
            <v>Oui, traçabilité sociale des chaines d'approvisionnement pour tous les lots des univers concernés ; Non, pas de traçabilité sociale des chaines d'approvisionnement pour tous les lots des univers concernés.</v>
          </cell>
          <cell r="I413" t="str">
            <v>Non concerné pour la direction/univers</v>
          </cell>
          <cell r="J413" t="str">
            <v/>
          </cell>
          <cell r="K413" t="str">
            <v>VRAI</v>
          </cell>
          <cell r="L413"/>
          <cell r="M413" t="str">
            <v>Non concerné</v>
          </cell>
          <cell r="N413" t="str">
            <v>Non concerné</v>
          </cell>
          <cell r="O413" t="str">
            <v>Non concerné</v>
          </cell>
          <cell r="P413"/>
          <cell r="Q413"/>
          <cell r="R413"/>
          <cell r="S413" t="str">
            <v/>
          </cell>
        </row>
        <row r="414">
          <cell r="A414" t="str">
            <v>El260h</v>
          </cell>
          <cell r="B414"/>
          <cell r="C414" t="str">
            <v>E</v>
          </cell>
          <cell r="D414" t="str">
            <v>Oui, cette clause est intégrée pour chaque lot</v>
          </cell>
          <cell r="E414"/>
          <cell r="F414" t="str">
            <v>Une  clause imposant aux fournisseurs de remettre pendant l'exécution du marché l'information sur l'origine des produits est-elle bien intégrée pour chaque lot ?</v>
          </cell>
          <cell r="G414" t="str">
            <v>Liste choix unique</v>
          </cell>
          <cell r="H414" t="str">
            <v>Oui, cette clause est intégrée pour chaque lot ; Non, cette clause n'est pas intégrée pour chaque lot</v>
          </cell>
          <cell r="I414" t="str">
            <v>Oui, cette clause est intégrée pour chaque lot</v>
          </cell>
          <cell r="J414" t="str">
            <v/>
          </cell>
          <cell r="K414"/>
          <cell r="L414"/>
          <cell r="M414" t="str">
            <v>Conforme au standard</v>
          </cell>
          <cell r="N414" t="str">
            <v>Non concerné</v>
          </cell>
          <cell r="O414" t="str">
            <v>Non concerné</v>
          </cell>
          <cell r="P414"/>
          <cell r="Q414"/>
          <cell r="R414"/>
          <cell r="S414" t="str">
            <v/>
          </cell>
        </row>
        <row r="415">
          <cell r="A415" t="str">
            <v>ElTT469</v>
          </cell>
          <cell r="B415"/>
          <cell r="C415" t="str">
            <v>Titre</v>
          </cell>
          <cell r="D415" t="str">
            <v/>
          </cell>
          <cell r="E415"/>
          <cell r="F415" t="str">
            <v>11.7 Admission des prestations</v>
          </cell>
          <cell r="G415"/>
          <cell r="H415"/>
          <cell r="I415" t="str">
            <v/>
          </cell>
          <cell r="J415" t="str">
            <v/>
          </cell>
          <cell r="K415"/>
          <cell r="L415"/>
          <cell r="M415" t="str">
            <v/>
          </cell>
          <cell r="N415" t="str">
            <v>Non concerné</v>
          </cell>
          <cell r="O415" t="str">
            <v>Non concerné</v>
          </cell>
          <cell r="P415"/>
          <cell r="Q415"/>
          <cell r="R415"/>
          <cell r="S415" t="str">
            <v/>
          </cell>
        </row>
        <row r="416">
          <cell r="A416" t="str">
            <v>El336</v>
          </cell>
          <cell r="B416"/>
          <cell r="C416" t="str">
            <v>U</v>
          </cell>
          <cell r="D416" t="str">
            <v xml:space="preserve">Oui, Modalités particulières de vérification/d'admission sont envisagées </v>
          </cell>
          <cell r="E416"/>
          <cell r="F416" t="str">
            <v>Des modalités particulières de vérification/d'admission sont-elles envisagées ?</v>
          </cell>
          <cell r="G416" t="str">
            <v xml:space="preserve">Liste choix unique </v>
          </cell>
          <cell r="H416" t="str">
            <v xml:space="preserve">Oui, Modalités particulières de vérification/d'admission sont envisagées ;Non, absence de modalités particulières de vérification/d'admission </v>
          </cell>
          <cell r="I416" t="str">
            <v xml:space="preserve">Oui, Modalités particulières de vérification/d'admission sont envisagées </v>
          </cell>
          <cell r="J416" t="str">
            <v>x</v>
          </cell>
          <cell r="K416"/>
          <cell r="L416"/>
          <cell r="M416" t="str">
            <v>Conforme au standard</v>
          </cell>
          <cell r="N416" t="str">
            <v>Non concerné</v>
          </cell>
          <cell r="O416" t="str">
            <v>Non concerné</v>
          </cell>
          <cell r="P416"/>
          <cell r="Q416"/>
          <cell r="R416"/>
          <cell r="S416" t="str">
            <v/>
          </cell>
        </row>
        <row r="417">
          <cell r="A417" t="str">
            <v>El337</v>
          </cell>
          <cell r="B417"/>
          <cell r="C417" t="str">
            <v>Sp</v>
          </cell>
          <cell r="D417" t="str">
            <v/>
          </cell>
          <cell r="E417"/>
          <cell r="F417" t="str">
            <v>Si oui, préciser lesquelles (VA/VSR, contrôle qualité, attestation de service fait à produire…) et préciser notamment quelles sont les actions attendues du client</v>
          </cell>
          <cell r="G417" t="str">
            <v>Texte</v>
          </cell>
          <cell r="H417" t="str">
            <v>Champ libre</v>
          </cell>
          <cell r="I417" t="str">
            <v/>
          </cell>
          <cell r="J417" t="str">
            <v/>
          </cell>
          <cell r="K417"/>
          <cell r="L417"/>
          <cell r="M417" t="str">
            <v>Renseigner la réponse DCO</v>
          </cell>
          <cell r="N417" t="str">
            <v>Non concerné</v>
          </cell>
          <cell r="O417" t="str">
            <v>Non concerné</v>
          </cell>
          <cell r="P417"/>
          <cell r="Q417"/>
          <cell r="R417"/>
          <cell r="S417" t="str">
            <v/>
          </cell>
        </row>
        <row r="418">
          <cell r="A418" t="str">
            <v>El337b</v>
          </cell>
          <cell r="B418"/>
          <cell r="C418" t="str">
            <v>D</v>
          </cell>
          <cell r="D418" t="str">
            <v>Non concerné pour la direction/univers</v>
          </cell>
          <cell r="E418"/>
          <cell r="F418" t="str">
            <v>Une vérification d'aptitude technique est-elle prévue?</v>
          </cell>
          <cell r="G418" t="str">
            <v xml:space="preserve">Liste choix unique </v>
          </cell>
          <cell r="H418" t="str">
            <v>Oui, vérification d'aptitude technique;Non, absence de vérification d'aptitude technique</v>
          </cell>
          <cell r="I418" t="str">
            <v>Non concerné pour la direction/univers</v>
          </cell>
          <cell r="J418" t="str">
            <v/>
          </cell>
          <cell r="K418" t="str">
            <v>VRAI</v>
          </cell>
          <cell r="L418"/>
          <cell r="M418" t="str">
            <v>Non concerné</v>
          </cell>
          <cell r="N418" t="str">
            <v>Non concerné</v>
          </cell>
          <cell r="O418" t="str">
            <v>Non concerné</v>
          </cell>
          <cell r="P418"/>
          <cell r="Q418"/>
          <cell r="R418"/>
          <cell r="S418" t="str">
            <v/>
          </cell>
        </row>
        <row r="419">
          <cell r="A419" t="str">
            <v>El338</v>
          </cell>
          <cell r="B419"/>
          <cell r="C419" t="str">
            <v>D</v>
          </cell>
          <cell r="D419" t="str">
            <v>Non concerné pour la direction/univers</v>
          </cell>
          <cell r="E419"/>
          <cell r="F419" t="str">
            <v>Pour les offres de produits, la réalisation d'une recette technique réalisée par l'UGAP est-elle envisagée ?</v>
          </cell>
          <cell r="G419" t="str">
            <v xml:space="preserve">Liste choix unique </v>
          </cell>
          <cell r="H419" t="str">
            <v>Oui, réalisation d'une recette technique;Non, absence de recette technique réalisée par l'UGAP</v>
          </cell>
          <cell r="I419" t="str">
            <v>Non concerné pour la direction/univers</v>
          </cell>
          <cell r="J419" t="str">
            <v>x</v>
          </cell>
          <cell r="K419" t="str">
            <v>VRAI</v>
          </cell>
          <cell r="L419"/>
          <cell r="M419" t="str">
            <v>Non concerné</v>
          </cell>
          <cell r="N419" t="str">
            <v>Non concerné</v>
          </cell>
          <cell r="O419" t="str">
            <v>Non concerné</v>
          </cell>
          <cell r="P419"/>
          <cell r="Q419"/>
          <cell r="R419"/>
          <cell r="S419" t="str">
            <v/>
          </cell>
        </row>
        <row r="420">
          <cell r="A420" t="str">
            <v>El339b</v>
          </cell>
          <cell r="B420"/>
          <cell r="C420" t="str">
            <v>U</v>
          </cell>
          <cell r="D420" t="str">
            <v>Oui, des documents doivent être fournis par le titulaire au moment de la livraison</v>
          </cell>
          <cell r="E420"/>
          <cell r="F420" t="str">
            <v xml:space="preserve">Des documents doivent-ils être fournis par le titulaire au moment de la livraison? (notice, carnet d'entretien, liste des distributeurs/agents et réparateurs agréés) </v>
          </cell>
          <cell r="G420" t="str">
            <v xml:space="preserve">Liste choix unique </v>
          </cell>
          <cell r="H420" t="str">
            <v>Oui, des documents doivent être fournis par le titulaire au moment de la livraison; Non, absence de documents à fournir</v>
          </cell>
          <cell r="I420" t="str">
            <v>Oui, des documents doivent être fournis par le titulaire au moment de la livraison</v>
          </cell>
          <cell r="J420" t="str">
            <v/>
          </cell>
          <cell r="K420"/>
          <cell r="L420"/>
          <cell r="M420" t="str">
            <v>Conforme au standard</v>
          </cell>
          <cell r="N420" t="str">
            <v>Non concerné</v>
          </cell>
          <cell r="O420" t="str">
            <v>Non concerné</v>
          </cell>
          <cell r="P420"/>
          <cell r="Q420"/>
          <cell r="R420"/>
          <cell r="S420" t="str">
            <v/>
          </cell>
        </row>
        <row r="421">
          <cell r="A421" t="str">
            <v>El339c</v>
          </cell>
          <cell r="B421"/>
          <cell r="C421" t="str">
            <v>E</v>
          </cell>
          <cell r="D421" t="str">
            <v>Oui, un audit est prévu dans le cadre de l'exécution du marché</v>
          </cell>
          <cell r="E421"/>
          <cell r="F421" t="str">
            <v>La possibilité de réalisation d'un audit lors de l'exécution du marché est-il prévu à l'offre?</v>
          </cell>
          <cell r="G421" t="str">
            <v xml:space="preserve">Liste choix unique </v>
          </cell>
          <cell r="H421" t="str">
            <v>Oui, un audit est prévu au démarrage des prestations; Non, absence d'audit prévu au démarrage des prestations</v>
          </cell>
          <cell r="I421" t="str">
            <v>Oui, un audit est prévu dans le cadre de l'exécution du marché</v>
          </cell>
          <cell r="J421" t="str">
            <v/>
          </cell>
          <cell r="K421"/>
          <cell r="L421"/>
          <cell r="M421" t="str">
            <v>Conforme au standard</v>
          </cell>
          <cell r="N421" t="str">
            <v>Non concerné</v>
          </cell>
          <cell r="O421" t="str">
            <v>Non concerné</v>
          </cell>
          <cell r="P421"/>
          <cell r="Q421"/>
          <cell r="R421"/>
          <cell r="S421" t="str">
            <v/>
          </cell>
        </row>
        <row r="422">
          <cell r="A422" t="str">
            <v>El339d</v>
          </cell>
          <cell r="B422"/>
          <cell r="C422" t="str">
            <v>U</v>
          </cell>
          <cell r="D422" t="str">
            <v>A la livraison</v>
          </cell>
          <cell r="E422"/>
          <cell r="F422" t="str">
            <v>Le transfert de propriété au profit du bénéficiaire s'effectue</v>
          </cell>
          <cell r="G422" t="str">
            <v>Liste choix multiple</v>
          </cell>
          <cell r="H422" t="str">
            <v>A la livraison;A la mise en service;Au jour de l'admission</v>
          </cell>
          <cell r="I422" t="str">
            <v>A la livraison</v>
          </cell>
          <cell r="J422" t="str">
            <v/>
          </cell>
          <cell r="K422"/>
          <cell r="L422"/>
          <cell r="M422" t="str">
            <v>Conforme au standard</v>
          </cell>
          <cell r="N422" t="str">
            <v>Non concerné</v>
          </cell>
          <cell r="O422" t="str">
            <v>Non concerné</v>
          </cell>
          <cell r="P422"/>
          <cell r="Q422"/>
          <cell r="R422"/>
          <cell r="S422" t="str">
            <v/>
          </cell>
        </row>
        <row r="423">
          <cell r="A423" t="str">
            <v>ElT470</v>
          </cell>
          <cell r="B423"/>
          <cell r="C423" t="str">
            <v>Titre</v>
          </cell>
          <cell r="D423" t="str">
            <v/>
          </cell>
          <cell r="E423"/>
          <cell r="F423" t="str">
            <v>12.0 MODALITES D'ANALYSE DES CANDIDATURES ET DES OFFRES</v>
          </cell>
          <cell r="G423"/>
          <cell r="H423"/>
          <cell r="I423" t="str">
            <v/>
          </cell>
          <cell r="J423" t="str">
            <v/>
          </cell>
          <cell r="K423"/>
          <cell r="L423"/>
          <cell r="M423" t="str">
            <v/>
          </cell>
          <cell r="N423" t="str">
            <v>Non concerné</v>
          </cell>
          <cell r="O423" t="str">
            <v>Non concerné</v>
          </cell>
          <cell r="P423"/>
          <cell r="Q423"/>
          <cell r="R423"/>
          <cell r="S423" t="str">
            <v/>
          </cell>
        </row>
        <row r="424">
          <cell r="A424" t="str">
            <v>ElTT471</v>
          </cell>
          <cell r="B424"/>
          <cell r="C424" t="str">
            <v>Titre</v>
          </cell>
          <cell r="D424" t="str">
            <v/>
          </cell>
          <cell r="E424"/>
          <cell r="F424" t="str">
            <v>12.1 - Analyse des candidatures</v>
          </cell>
          <cell r="G424"/>
          <cell r="H424"/>
          <cell r="I424" t="str">
            <v/>
          </cell>
          <cell r="J424" t="str">
            <v/>
          </cell>
          <cell r="K424"/>
          <cell r="L424"/>
          <cell r="M424" t="str">
            <v/>
          </cell>
          <cell r="N424" t="str">
            <v>Non concerné</v>
          </cell>
          <cell r="O424" t="str">
            <v>Non concerné</v>
          </cell>
          <cell r="P424"/>
          <cell r="Q424"/>
          <cell r="R424"/>
          <cell r="S424" t="str">
            <v/>
          </cell>
        </row>
        <row r="425">
          <cell r="A425" t="str">
            <v>ElTTT472</v>
          </cell>
          <cell r="B425"/>
          <cell r="C425" t="str">
            <v>Titre</v>
          </cell>
          <cell r="D425" t="str">
            <v/>
          </cell>
          <cell r="E425"/>
          <cell r="F425" t="str">
            <v>12.1.1 - Forme de la candidature</v>
          </cell>
          <cell r="G425"/>
          <cell r="H425"/>
          <cell r="I425" t="str">
            <v/>
          </cell>
          <cell r="J425" t="str">
            <v/>
          </cell>
          <cell r="K425"/>
          <cell r="L425"/>
          <cell r="M425" t="str">
            <v/>
          </cell>
          <cell r="N425" t="str">
            <v>Non concerné</v>
          </cell>
          <cell r="O425" t="str">
            <v>Non concerné</v>
          </cell>
          <cell r="P425"/>
          <cell r="Q425"/>
          <cell r="R425"/>
          <cell r="S425" t="str">
            <v/>
          </cell>
        </row>
        <row r="426">
          <cell r="A426" t="str">
            <v>El348</v>
          </cell>
          <cell r="B426"/>
          <cell r="C426" t="str">
            <v>E</v>
          </cell>
          <cell r="D426" t="str">
            <v>Groupement solidaire et conjoint (avec mandataire solidaire)</v>
          </cell>
          <cell r="E426"/>
          <cell r="F426" t="str">
            <v>Quelle forme de candidature est-elle acceptée ?</v>
          </cell>
          <cell r="G426" t="str">
            <v xml:space="preserve">Liste choix unique </v>
          </cell>
          <cell r="H426" t="str">
            <v>Groupement solidaire obligatoire;Groupement solidaire et conjoint (avec mandataire solidaire)</v>
          </cell>
          <cell r="I426" t="str">
            <v>Groupement solidaire et conjoint (avec mandataire solidaire)</v>
          </cell>
          <cell r="J426" t="str">
            <v>x</v>
          </cell>
          <cell r="K426"/>
          <cell r="L426"/>
          <cell r="M426" t="str">
            <v>Conforme au standard</v>
          </cell>
          <cell r="N426" t="str">
            <v>Non concerné</v>
          </cell>
          <cell r="O426" t="str">
            <v>Non concerné</v>
          </cell>
          <cell r="P426"/>
          <cell r="Q426"/>
          <cell r="R426"/>
          <cell r="S426" t="str">
            <v/>
          </cell>
        </row>
        <row r="427">
          <cell r="A427" t="str">
            <v>El349</v>
          </cell>
          <cell r="B427"/>
          <cell r="C427" t="str">
            <v>Sp</v>
          </cell>
          <cell r="D427" t="str">
            <v/>
          </cell>
          <cell r="E427"/>
          <cell r="F427" t="str">
            <v>Si groupement solidaire obligatoire, justifier de ce choix</v>
          </cell>
          <cell r="G427" t="str">
            <v>Texte</v>
          </cell>
          <cell r="H427" t="str">
            <v>Texte</v>
          </cell>
          <cell r="I427" t="str">
            <v>Non concerné pour l'offre</v>
          </cell>
          <cell r="J427" t="str">
            <v/>
          </cell>
          <cell r="K427" t="str">
            <v>VRAI</v>
          </cell>
          <cell r="L427"/>
          <cell r="M427" t="str">
            <v>Spécifique Offre</v>
          </cell>
          <cell r="N427" t="str">
            <v>Non concerné</v>
          </cell>
          <cell r="O427" t="str">
            <v>Non concerné</v>
          </cell>
          <cell r="P427"/>
          <cell r="Q427"/>
          <cell r="R427"/>
          <cell r="S427" t="str">
            <v/>
          </cell>
        </row>
        <row r="428">
          <cell r="A428" t="str">
            <v>ElTTT473</v>
          </cell>
          <cell r="B428"/>
          <cell r="C428" t="str">
            <v>Titre</v>
          </cell>
          <cell r="D428" t="str">
            <v/>
          </cell>
          <cell r="E428"/>
          <cell r="F428" t="str">
            <v>12.1.2 -Capacité financière</v>
          </cell>
          <cell r="G428"/>
          <cell r="H428"/>
          <cell r="I428" t="str">
            <v/>
          </cell>
          <cell r="J428" t="str">
            <v/>
          </cell>
          <cell r="K428"/>
          <cell r="L428"/>
          <cell r="M428" t="str">
            <v/>
          </cell>
          <cell r="N428" t="str">
            <v>Non concerné</v>
          </cell>
          <cell r="O428" t="str">
            <v>Non concerné</v>
          </cell>
          <cell r="P428"/>
          <cell r="Q428"/>
          <cell r="R428"/>
          <cell r="S428" t="str">
            <v/>
          </cell>
        </row>
        <row r="429">
          <cell r="A429" t="str">
            <v>El350</v>
          </cell>
          <cell r="B429"/>
          <cell r="C429" t="str">
            <v>E</v>
          </cell>
          <cell r="D429" t="str">
            <v>CA global du candidat réalisé au cours des 3 derniers exercices disponibles</v>
          </cell>
          <cell r="E429"/>
          <cell r="F429" t="str">
            <v xml:space="preserve">Eléments pris en compte </v>
          </cell>
          <cell r="G429" t="str">
            <v xml:space="preserve">Liste choix unique </v>
          </cell>
          <cell r="H429" t="str">
            <v xml:space="preserve">CA global du candidat réalisé au cours des 3 derniers exercices disponibles;CA du candidat concernant la fourniture/service objet du marché, réalisé au cours des 3 derniers exercices disponibles </v>
          </cell>
          <cell r="I429" t="str">
            <v>CA global du candidat réalisé au cours des 3 derniers exercices disponibles</v>
          </cell>
          <cell r="J429" t="str">
            <v/>
          </cell>
          <cell r="K429"/>
          <cell r="L429"/>
          <cell r="M429" t="str">
            <v>Conforme au standard</v>
          </cell>
          <cell r="N429" t="str">
            <v>Non concerné</v>
          </cell>
          <cell r="O429" t="str">
            <v>Non concerné</v>
          </cell>
          <cell r="P429"/>
          <cell r="Q429"/>
          <cell r="R429"/>
          <cell r="S429" t="str">
            <v/>
          </cell>
        </row>
        <row r="430">
          <cell r="A430" t="str">
            <v>El352</v>
          </cell>
          <cell r="B430"/>
          <cell r="C430" t="str">
            <v>D</v>
          </cell>
          <cell r="D430" t="str">
            <v>Chiffres d’affaires minimum en montant</v>
          </cell>
          <cell r="E430"/>
          <cell r="F430" t="str">
            <v xml:space="preserve">Modalités de sélection </v>
          </cell>
          <cell r="G430" t="str">
            <v xml:space="preserve">Liste choix unique </v>
          </cell>
          <cell r="H430" t="str">
            <v>Pas de niveau minimal imposé; Chiffres d’affaires minimum en montant; Ratio financier inférieur ou égal à un pourcentage du CA global du candidat; Ratio financier inférieur ou égal à un pourcentage du CA objet du (des) lot(s) du candidat</v>
          </cell>
          <cell r="I430" t="str">
            <v>Chiffres d’affaires minimum en montant</v>
          </cell>
          <cell r="J430" t="str">
            <v/>
          </cell>
          <cell r="K430"/>
          <cell r="L430"/>
          <cell r="M430" t="str">
            <v>Conforme au standard</v>
          </cell>
          <cell r="N430" t="str">
            <v>Non concerné</v>
          </cell>
          <cell r="O430" t="str">
            <v>Non concerné</v>
          </cell>
          <cell r="P430"/>
          <cell r="Q430"/>
          <cell r="R430"/>
          <cell r="S430" t="str">
            <v/>
          </cell>
        </row>
        <row r="431">
          <cell r="A431" t="str">
            <v>ElTTT474</v>
          </cell>
          <cell r="B431"/>
          <cell r="C431" t="str">
            <v>Titre</v>
          </cell>
          <cell r="D431" t="str">
            <v/>
          </cell>
          <cell r="E431"/>
          <cell r="F431" t="str">
            <v>12.1.3 -Capacité professionnelle et technique</v>
          </cell>
          <cell r="G431"/>
          <cell r="H431"/>
          <cell r="I431" t="str">
            <v/>
          </cell>
          <cell r="J431" t="str">
            <v/>
          </cell>
          <cell r="K431"/>
          <cell r="L431"/>
          <cell r="M431" t="str">
            <v/>
          </cell>
          <cell r="N431" t="str">
            <v>Non concerné</v>
          </cell>
          <cell r="O431" t="str">
            <v>Non concerné</v>
          </cell>
          <cell r="P431"/>
          <cell r="Q431"/>
          <cell r="R431"/>
          <cell r="S431" t="str">
            <v/>
          </cell>
        </row>
        <row r="432">
          <cell r="A432" t="str">
            <v>El351</v>
          </cell>
          <cell r="B432"/>
          <cell r="C432" t="str">
            <v>D</v>
          </cell>
          <cell r="D432" t="str">
            <v>Effectifs moyens annuels et importance du personnel d’encadrement, pour chacune des 3 dernières années</v>
          </cell>
          <cell r="E432"/>
          <cell r="F432" t="str">
            <v>Eléments pris en compte pour l'analyse du critère capacité professionnelles et techniques</v>
          </cell>
          <cell r="G432" t="str">
            <v>Liste choix multiple</v>
          </cell>
          <cell r="H432" t="str">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ell>
          <cell r="I432" t="str">
            <v>Effectifs moyens annuels et importance du personnel d’encadrement, pour chacune des 3 dernières années</v>
          </cell>
          <cell r="J432" t="str">
            <v/>
          </cell>
          <cell r="K432"/>
          <cell r="L432"/>
          <cell r="M432" t="str">
            <v>Conforme au standard</v>
          </cell>
          <cell r="N432" t="str">
            <v>Non concerné</v>
          </cell>
          <cell r="O432" t="str">
            <v>Non concerné</v>
          </cell>
          <cell r="P432"/>
          <cell r="Q432"/>
          <cell r="R432"/>
          <cell r="S432" t="str">
            <v>=</v>
          </cell>
        </row>
        <row r="433">
          <cell r="A433" t="str">
            <v>El353</v>
          </cell>
          <cell r="B433"/>
          <cell r="C433" t="str">
            <v>D</v>
          </cell>
          <cell r="D433" t="str">
            <v>Non, Pas de niveau minimal imposé</v>
          </cell>
          <cell r="E433"/>
          <cell r="F433" t="str">
            <v>Un minimum est-il imposé sur ce critère ?</v>
          </cell>
          <cell r="G433" t="str">
            <v xml:space="preserve">Liste choix unique </v>
          </cell>
          <cell r="H433" t="str">
            <v>Non, Pas de niveau minimal imposé;Oui, Niveau minimal imposé</v>
          </cell>
          <cell r="I433" t="str">
            <v>Non, Pas de niveau minimal imposé</v>
          </cell>
          <cell r="J433" t="str">
            <v>x</v>
          </cell>
          <cell r="K433"/>
          <cell r="L433"/>
          <cell r="M433" t="str">
            <v>Conforme au standard</v>
          </cell>
          <cell r="N433" t="str">
            <v>Non concerné</v>
          </cell>
          <cell r="O433" t="str">
            <v>Non concerné</v>
          </cell>
          <cell r="P433"/>
          <cell r="Q433"/>
          <cell r="R433"/>
          <cell r="S433" t="str">
            <v/>
          </cell>
        </row>
        <row r="434">
          <cell r="A434" t="str">
            <v>El353b</v>
          </cell>
          <cell r="B434"/>
          <cell r="C434" t="str">
            <v>Sp</v>
          </cell>
          <cell r="D434" t="str">
            <v/>
          </cell>
          <cell r="E434"/>
          <cell r="F434" t="str">
            <v>Si oui, apporter la justification</v>
          </cell>
          <cell r="G434" t="str">
            <v>Texte</v>
          </cell>
          <cell r="H434" t="str">
            <v>Champ libre</v>
          </cell>
          <cell r="I434" t="str">
            <v>Non concerné pour l'offre</v>
          </cell>
          <cell r="J434" t="str">
            <v/>
          </cell>
          <cell r="K434" t="str">
            <v>VRAI</v>
          </cell>
          <cell r="L434"/>
          <cell r="M434" t="str">
            <v>Spécifique Offre</v>
          </cell>
          <cell r="N434" t="str">
            <v>Non concerné</v>
          </cell>
          <cell r="O434" t="str">
            <v>Non concerné</v>
          </cell>
          <cell r="P434"/>
          <cell r="Q434"/>
          <cell r="R434"/>
          <cell r="S434" t="str">
            <v/>
          </cell>
        </row>
        <row r="435">
          <cell r="A435" t="str">
            <v>ElTTT475</v>
          </cell>
          <cell r="B435"/>
          <cell r="C435" t="str">
            <v>Titre</v>
          </cell>
          <cell r="D435" t="str">
            <v/>
          </cell>
          <cell r="E435"/>
          <cell r="F435" t="str">
            <v>12.1.4 -Convenance des prix</v>
          </cell>
          <cell r="G435"/>
          <cell r="H435"/>
          <cell r="I435" t="str">
            <v/>
          </cell>
          <cell r="J435" t="str">
            <v/>
          </cell>
          <cell r="K435"/>
          <cell r="L435"/>
          <cell r="M435" t="str">
            <v/>
          </cell>
          <cell r="N435" t="str">
            <v>Non concerné</v>
          </cell>
          <cell r="O435" t="str">
            <v>Non concerné</v>
          </cell>
          <cell r="P435"/>
          <cell r="Q435"/>
          <cell r="R435"/>
          <cell r="S435" t="str">
            <v/>
          </cell>
        </row>
        <row r="436">
          <cell r="A436" t="str">
            <v>El356</v>
          </cell>
          <cell r="B436"/>
          <cell r="C436" t="str">
            <v>E</v>
          </cell>
          <cell r="D436" t="str">
            <v>L’analyse de la convenance des prix se fera sur la base du panel articles visé ci-dessus dans la partie « performance de l’offre »</v>
          </cell>
          <cell r="E436"/>
          <cell r="F436" t="str">
            <v>Analyse de la convenance des prix</v>
          </cell>
          <cell r="G436" t="str">
            <v xml:space="preserve">Liste choix unique </v>
          </cell>
          <cell r="H436" t="str">
            <v>L’analyse de la convenance des prix se fera sur la base du panel articles visé ci-dessus dans la partie « performance de l’offre »; L’analyse de la convenance est prévue sur une autre configuration</v>
          </cell>
          <cell r="I436" t="str">
            <v>L’analyse de la convenance des prix se fera sur la base du panel articles visé ci-dessus dans la partie « performance de l’offre »</v>
          </cell>
          <cell r="J436" t="str">
            <v>x</v>
          </cell>
          <cell r="K436"/>
          <cell r="L436"/>
          <cell r="M436" t="str">
            <v>Conforme au standard</v>
          </cell>
          <cell r="N436" t="str">
            <v>Non concerné</v>
          </cell>
          <cell r="O436" t="str">
            <v>Non concerné</v>
          </cell>
          <cell r="P436"/>
          <cell r="Q436"/>
          <cell r="R436"/>
          <cell r="S436" t="str">
            <v/>
          </cell>
        </row>
        <row r="437">
          <cell r="A437" t="str">
            <v>El357</v>
          </cell>
          <cell r="B437"/>
          <cell r="C437" t="str">
            <v>Sp</v>
          </cell>
          <cell r="D437" t="str">
            <v/>
          </cell>
          <cell r="E437"/>
          <cell r="F437" t="str">
            <v>Présenter et motiver le choix d'une analyse de la convenance sur une autre configuration</v>
          </cell>
          <cell r="G437" t="str">
            <v xml:space="preserve">Texte </v>
          </cell>
          <cell r="H437" t="str">
            <v>Champ libre</v>
          </cell>
          <cell r="I437" t="str">
            <v>Non concerné pour l'offre</v>
          </cell>
          <cell r="J437" t="str">
            <v/>
          </cell>
          <cell r="K437" t="str">
            <v>VRAI</v>
          </cell>
          <cell r="L437"/>
          <cell r="M437" t="str">
            <v>Spécifique Offre</v>
          </cell>
          <cell r="N437" t="str">
            <v>Non concerné</v>
          </cell>
          <cell r="O437" t="str">
            <v>Non concerné</v>
          </cell>
          <cell r="P437"/>
          <cell r="Q437"/>
          <cell r="R437"/>
          <cell r="S437" t="str">
            <v/>
          </cell>
        </row>
        <row r="438">
          <cell r="A438" t="str">
            <v>ElTTT476</v>
          </cell>
          <cell r="B438"/>
          <cell r="C438" t="str">
            <v>Titre</v>
          </cell>
          <cell r="D438" t="str">
            <v/>
          </cell>
          <cell r="E438"/>
          <cell r="F438" t="str">
            <v>12.1.5 -Spécimens</v>
          </cell>
          <cell r="G438"/>
          <cell r="H438"/>
          <cell r="I438" t="str">
            <v/>
          </cell>
          <cell r="J438" t="str">
            <v/>
          </cell>
          <cell r="K438"/>
          <cell r="L438"/>
          <cell r="M438" t="str">
            <v/>
          </cell>
          <cell r="N438" t="str">
            <v>Non concerné</v>
          </cell>
          <cell r="O438" t="str">
            <v>Non concerné</v>
          </cell>
          <cell r="P438"/>
          <cell r="Q438"/>
          <cell r="R438"/>
          <cell r="S438" t="str">
            <v/>
          </cell>
        </row>
        <row r="439">
          <cell r="A439" t="str">
            <v>El358</v>
          </cell>
          <cell r="B439"/>
          <cell r="C439" t="str">
            <v>D</v>
          </cell>
          <cell r="D439" t="str">
            <v>Non concerné pour la direction/univers</v>
          </cell>
          <cell r="E439"/>
          <cell r="F439" t="str">
            <v>Nécessité de demander des spécimens dans le cadre de l'analyse des offres ?</v>
          </cell>
          <cell r="G439" t="str">
            <v xml:space="preserve">Liste choix unique </v>
          </cell>
          <cell r="H439" t="str">
            <v>Oui, nécessité de spécimens dans le cadre de l'analyse de l'offre; Non, pas de spécimen demandé</v>
          </cell>
          <cell r="I439" t="str">
            <v>Non concerné pour la direction/univers</v>
          </cell>
          <cell r="J439" t="str">
            <v>x</v>
          </cell>
          <cell r="K439" t="str">
            <v>VRAI</v>
          </cell>
          <cell r="L439"/>
          <cell r="M439" t="str">
            <v>Non concerné</v>
          </cell>
          <cell r="N439" t="str">
            <v>Non concerné</v>
          </cell>
          <cell r="O439" t="str">
            <v>Non concerné</v>
          </cell>
          <cell r="P439"/>
          <cell r="Q439"/>
          <cell r="R439"/>
          <cell r="S439" t="str">
            <v/>
          </cell>
        </row>
        <row r="440">
          <cell r="A440" t="str">
            <v>El359</v>
          </cell>
          <cell r="B440"/>
          <cell r="C440" t="str">
            <v>D</v>
          </cell>
          <cell r="D440" t="str">
            <v>Non concerné pour la direction/univers</v>
          </cell>
          <cell r="E440"/>
          <cell r="F440" t="str">
            <v>Si oui, le versement d'une prime est-elle envisagée ?</v>
          </cell>
          <cell r="G440" t="str">
            <v xml:space="preserve">Liste choix unique </v>
          </cell>
          <cell r="H440" t="str">
            <v>Oui / Non</v>
          </cell>
          <cell r="I440" t="str">
            <v>Non concerné pour la direction/univers</v>
          </cell>
          <cell r="J440" t="str">
            <v/>
          </cell>
          <cell r="K440" t="str">
            <v>VRAI</v>
          </cell>
          <cell r="L440"/>
          <cell r="M440" t="str">
            <v>Non concerné</v>
          </cell>
          <cell r="N440" t="str">
            <v>Non concerné</v>
          </cell>
          <cell r="O440" t="str">
            <v>Non concerné</v>
          </cell>
          <cell r="P440"/>
          <cell r="Q440"/>
          <cell r="R440"/>
          <cell r="S440" t="str">
            <v/>
          </cell>
        </row>
        <row r="441">
          <cell r="A441" t="str">
            <v>ElTT477</v>
          </cell>
          <cell r="B441"/>
          <cell r="C441" t="str">
            <v>Titre</v>
          </cell>
          <cell r="D441" t="str">
            <v/>
          </cell>
          <cell r="E441"/>
          <cell r="F441" t="str">
            <v>12.2 - Analyse des offres</v>
          </cell>
          <cell r="G441"/>
          <cell r="H441"/>
          <cell r="I441" t="str">
            <v/>
          </cell>
          <cell r="J441" t="str">
            <v/>
          </cell>
          <cell r="K441"/>
          <cell r="L441"/>
          <cell r="M441" t="str">
            <v/>
          </cell>
          <cell r="N441" t="str">
            <v>Non concerné</v>
          </cell>
          <cell r="O441" t="str">
            <v>Non concerné</v>
          </cell>
          <cell r="P441"/>
          <cell r="Q441"/>
          <cell r="R441"/>
          <cell r="S441" t="str">
            <v/>
          </cell>
        </row>
        <row r="442">
          <cell r="A442" t="str">
            <v>El360</v>
          </cell>
          <cell r="B442"/>
          <cell r="C442" t="str">
            <v>Sp</v>
          </cell>
          <cell r="D442" t="str">
            <v/>
          </cell>
          <cell r="E442"/>
          <cell r="F442" t="str">
            <v>Quels sont les critères de pondération et pondération applicables</v>
          </cell>
          <cell r="G442" t="str">
            <v>Annexe 10 - Analyse Critères</v>
          </cell>
          <cell r="H442" t="str">
            <v>Annexe 10 - Analyse critères</v>
          </cell>
          <cell r="I442" t="str">
            <v>10 - Analyse Critères</v>
          </cell>
          <cell r="J442" t="str">
            <v/>
          </cell>
          <cell r="K442"/>
          <cell r="L442"/>
          <cell r="M442" t="str">
            <v>Spécifique Offre</v>
          </cell>
          <cell r="N442" t="str">
            <v>Identique</v>
          </cell>
          <cell r="O442" t="str">
            <v>Non concerné</v>
          </cell>
          <cell r="P442"/>
          <cell r="Q442"/>
          <cell r="R442"/>
          <cell r="S442" t="str">
            <v/>
          </cell>
        </row>
        <row r="443">
          <cell r="A443" t="str">
            <v>ElTT478</v>
          </cell>
          <cell r="B443"/>
          <cell r="C443" t="str">
            <v>Titre</v>
          </cell>
          <cell r="D443" t="str">
            <v/>
          </cell>
          <cell r="E443"/>
          <cell r="F443" t="str">
            <v>12.3 - Gain à l'achat</v>
          </cell>
          <cell r="G443"/>
          <cell r="H443"/>
          <cell r="I443" t="str">
            <v/>
          </cell>
          <cell r="J443" t="str">
            <v/>
          </cell>
          <cell r="K443"/>
          <cell r="L443"/>
          <cell r="M443" t="str">
            <v/>
          </cell>
          <cell r="N443" t="str">
            <v>Non concerné</v>
          </cell>
          <cell r="O443" t="str">
            <v>Non concerné</v>
          </cell>
          <cell r="P443"/>
          <cell r="Q443"/>
          <cell r="R443"/>
          <cell r="S443" t="str">
            <v/>
          </cell>
        </row>
        <row r="444">
          <cell r="A444" t="str">
            <v>El285</v>
          </cell>
          <cell r="B444"/>
          <cell r="C444" t="str">
            <v>U</v>
          </cell>
          <cell r="D444" t="str">
            <v>Oui,Accompagnement nécessaire pour le calcul des gains à l'achat</v>
          </cell>
          <cell r="E444"/>
          <cell r="F444" t="str">
            <v xml:space="preserve"> Un accompagnement est-il nécessaire pour le calcul du gain achat ?</v>
          </cell>
          <cell r="G444" t="str">
            <v xml:space="preserve">Liste choix unique </v>
          </cell>
          <cell r="H444" t="str">
            <v>Oui,Accompagnement nécessaire pour le calcul des gains à l'achat; Non, Aucun accompagnement nécessaire pour la calcul des gains à l'achat</v>
          </cell>
          <cell r="I444" t="str">
            <v>Oui,Accompagnement nécessaire pour le calcul des gains à l'achat</v>
          </cell>
          <cell r="J444" t="str">
            <v>x</v>
          </cell>
          <cell r="K444"/>
          <cell r="L444"/>
          <cell r="M444" t="str">
            <v>Conforme au standard</v>
          </cell>
          <cell r="N444" t="str">
            <v>Non concerné</v>
          </cell>
          <cell r="O444" t="str">
            <v>Non concerné</v>
          </cell>
          <cell r="P444"/>
          <cell r="Q444"/>
          <cell r="R444"/>
          <cell r="S444" t="str">
            <v/>
          </cell>
        </row>
        <row r="445">
          <cell r="A445" t="str">
            <v>El291</v>
          </cell>
          <cell r="B445"/>
          <cell r="C445" t="str">
            <v>Sp</v>
          </cell>
          <cell r="D445" t="str">
            <v/>
          </cell>
          <cell r="E445"/>
          <cell r="F445" t="str">
            <v>Panel articles</v>
          </cell>
          <cell r="G445" t="str">
            <v>Texte</v>
          </cell>
          <cell r="H445" t="str">
            <v>Champ libre</v>
          </cell>
          <cell r="I445" t="str">
            <v/>
          </cell>
          <cell r="J445" t="str">
            <v/>
          </cell>
          <cell r="K445"/>
          <cell r="L445"/>
          <cell r="M445" t="str">
            <v>Renseigner la réponse DCO</v>
          </cell>
          <cell r="N445" t="str">
            <v>Non concerné</v>
          </cell>
          <cell r="O445" t="str">
            <v>Non concerné</v>
          </cell>
          <cell r="P445"/>
          <cell r="Q445"/>
          <cell r="R445"/>
          <cell r="S445" t="str">
            <v/>
          </cell>
        </row>
        <row r="446">
          <cell r="A446" t="str">
            <v>ElT479</v>
          </cell>
          <cell r="B446"/>
          <cell r="C446" t="str">
            <v>Titre</v>
          </cell>
          <cell r="D446" t="str">
            <v/>
          </cell>
          <cell r="E446"/>
          <cell r="F446" t="str">
            <v>13.0- COMMERCIALISATION - COMMUNICATION - PROMOTION</v>
          </cell>
          <cell r="G446"/>
          <cell r="H446"/>
          <cell r="I446" t="str">
            <v/>
          </cell>
          <cell r="J446" t="str">
            <v/>
          </cell>
          <cell r="K446"/>
          <cell r="L446"/>
          <cell r="M446" t="str">
            <v/>
          </cell>
          <cell r="N446" t="str">
            <v>Non concerné</v>
          </cell>
          <cell r="O446" t="str">
            <v>Non concerné</v>
          </cell>
          <cell r="P446"/>
          <cell r="Q446"/>
          <cell r="R446"/>
          <cell r="S446" t="str">
            <v/>
          </cell>
        </row>
        <row r="447">
          <cell r="A447" t="str">
            <v>ElTT480</v>
          </cell>
          <cell r="B447"/>
          <cell r="C447" t="str">
            <v>Titre</v>
          </cell>
          <cell r="D447" t="str">
            <v/>
          </cell>
          <cell r="E447"/>
          <cell r="F447" t="str">
            <v>13.1 Référencement</v>
          </cell>
          <cell r="G447"/>
          <cell r="H447"/>
          <cell r="I447" t="str">
            <v/>
          </cell>
          <cell r="J447" t="str">
            <v/>
          </cell>
          <cell r="K447"/>
          <cell r="L447"/>
          <cell r="M447" t="str">
            <v/>
          </cell>
          <cell r="N447" t="str">
            <v>Non concerné</v>
          </cell>
          <cell r="O447" t="str">
            <v>Non concerné</v>
          </cell>
          <cell r="P447"/>
          <cell r="Q447"/>
          <cell r="R447"/>
          <cell r="S447" t="str">
            <v/>
          </cell>
        </row>
        <row r="448">
          <cell r="A448" t="str">
            <v>El509</v>
          </cell>
          <cell r="B448"/>
          <cell r="C448" t="str">
            <v>Sp</v>
          </cell>
          <cell r="D448" t="str">
            <v/>
          </cell>
          <cell r="E448"/>
          <cell r="F448" t="str">
            <v>Une réunion de criticité est-elle à réaliser par le référent référencement ?</v>
          </cell>
          <cell r="G448" t="str">
            <v xml:space="preserve">Liste choix unique </v>
          </cell>
          <cell r="H448" t="str">
            <v>Oui, une réunion de criticité est à réaliser; Non, pas de réunion de criticité</v>
          </cell>
          <cell r="I448" t="str">
            <v/>
          </cell>
          <cell r="J448" t="str">
            <v>x</v>
          </cell>
          <cell r="K448"/>
          <cell r="L448"/>
          <cell r="M448" t="str">
            <v>Renseigner la réponse DCO</v>
          </cell>
          <cell r="N448" t="str">
            <v>Non concerné</v>
          </cell>
          <cell r="O448" t="str">
            <v>Non concerné</v>
          </cell>
          <cell r="P448"/>
          <cell r="Q448"/>
          <cell r="R448"/>
          <cell r="S448" t="str">
            <v/>
          </cell>
        </row>
        <row r="449">
          <cell r="A449" t="str">
            <v>El227</v>
          </cell>
          <cell r="B449"/>
          <cell r="C449" t="str">
            <v>Sp</v>
          </cell>
          <cell r="D449" t="str">
            <v/>
          </cell>
          <cell r="E449"/>
          <cell r="F449" t="str">
            <v xml:space="preserve">Conclusion de la réunion criticité du référencement </v>
          </cell>
          <cell r="G449" t="str">
            <v>Annexe 10 - Criticité référencement</v>
          </cell>
          <cell r="H449" t="str">
            <v>Annexe 10 - Criticité Référencement</v>
          </cell>
          <cell r="I449" t="str">
            <v>10 - Criticité référencement</v>
          </cell>
          <cell r="J449" t="str">
            <v/>
          </cell>
          <cell r="K449" t="str">
            <v>VRAI</v>
          </cell>
          <cell r="L449"/>
          <cell r="M449" t="str">
            <v>Spécifique Offre</v>
          </cell>
          <cell r="N449" t="str">
            <v>Identique</v>
          </cell>
          <cell r="O449" t="str">
            <v>Non concerné</v>
          </cell>
          <cell r="P449"/>
          <cell r="Q449"/>
          <cell r="R449"/>
          <cell r="S449" t="str">
            <v/>
          </cell>
        </row>
        <row r="450">
          <cell r="A450" t="str">
            <v>El217</v>
          </cell>
          <cell r="B450"/>
          <cell r="C450" t="str">
            <v>Sp</v>
          </cell>
          <cell r="D450" t="str">
            <v/>
          </cell>
          <cell r="E450"/>
          <cell r="F450" t="str">
            <v xml:space="preserve">Un comité de référencement est-il à prévoir suite à l'analyse de la criticité du référencement menée par le référent référencement ? </v>
          </cell>
          <cell r="G450" t="str">
            <v xml:space="preserve">Liste choix unique </v>
          </cell>
          <cell r="H450" t="str">
            <v>Oui, un comité de référencement 1 est à prévoir; Non, pas de comité de référencement 1</v>
          </cell>
          <cell r="I450" t="str">
            <v/>
          </cell>
          <cell r="J450" t="str">
            <v>x</v>
          </cell>
          <cell r="K450"/>
          <cell r="L450"/>
          <cell r="M450" t="str">
            <v>Renseigner la réponse DCO</v>
          </cell>
          <cell r="N450" t="str">
            <v>Non concerné</v>
          </cell>
          <cell r="O450" t="str">
            <v>Non concerné</v>
          </cell>
          <cell r="P450"/>
          <cell r="Q450"/>
          <cell r="R450"/>
          <cell r="S450" t="str">
            <v/>
          </cell>
        </row>
        <row r="451">
          <cell r="A451" t="str">
            <v>El218</v>
          </cell>
          <cell r="B451"/>
          <cell r="C451" t="str">
            <v>Sp</v>
          </cell>
          <cell r="D451" t="str">
            <v/>
          </cell>
          <cell r="E451"/>
          <cell r="F451" t="str">
            <v xml:space="preserve">Si oui, sur quelle problématique/thématique du référencement ? </v>
          </cell>
          <cell r="G451" t="str">
            <v>Texte</v>
          </cell>
          <cell r="H451" t="str">
            <v>Champ libre</v>
          </cell>
          <cell r="I451" t="str">
            <v>Non concerné pour l'offre</v>
          </cell>
          <cell r="J451" t="str">
            <v/>
          </cell>
          <cell r="K451" t="str">
            <v>VRAI</v>
          </cell>
          <cell r="L451"/>
          <cell r="M451" t="str">
            <v>Spécifique Offre</v>
          </cell>
          <cell r="N451" t="str">
            <v>Non concerné</v>
          </cell>
          <cell r="O451" t="str">
            <v>Non concerné</v>
          </cell>
          <cell r="P451"/>
          <cell r="Q451"/>
          <cell r="R451"/>
          <cell r="S451" t="str">
            <v/>
          </cell>
        </row>
        <row r="452">
          <cell r="A452" t="str">
            <v>ElTT481</v>
          </cell>
          <cell r="B452"/>
          <cell r="C452" t="str">
            <v>Titre</v>
          </cell>
          <cell r="D452" t="str">
            <v/>
          </cell>
          <cell r="E452"/>
          <cell r="F452" t="str">
            <v>13.2 Promotion de l'offre</v>
          </cell>
          <cell r="G452"/>
          <cell r="H452"/>
          <cell r="I452" t="str">
            <v/>
          </cell>
          <cell r="J452" t="str">
            <v/>
          </cell>
          <cell r="K452"/>
          <cell r="L452"/>
          <cell r="M452" t="str">
            <v/>
          </cell>
          <cell r="N452" t="str">
            <v>Non concerné</v>
          </cell>
          <cell r="O452" t="str">
            <v>Non concerné</v>
          </cell>
          <cell r="P452"/>
          <cell r="Q452"/>
          <cell r="R452"/>
          <cell r="S452" t="str">
            <v/>
          </cell>
        </row>
        <row r="453">
          <cell r="A453" t="str">
            <v>El35</v>
          </cell>
          <cell r="B453"/>
          <cell r="C453" t="str">
            <v>D</v>
          </cell>
          <cell r="D453" t="str">
            <v>Web (ugap.fr);Animation (emailing, communiqué de presse, push…)</v>
          </cell>
          <cell r="E453"/>
          <cell r="F453" t="str">
            <v>Supports utilisés</v>
          </cell>
          <cell r="G453" t="str">
            <v>Liste choix multiple</v>
          </cell>
          <cell r="H453" t="str">
            <v>Print (catalogue général, catalogue spécialisé, plaquettes fournisseurs…);Web (ugap.fr);Animation (emailing, communiqué de presse, push…)</v>
          </cell>
          <cell r="I453" t="str">
            <v>Web (ugap.fr);Animation (emailing, communiqué de presse, push…)</v>
          </cell>
          <cell r="J453" t="str">
            <v/>
          </cell>
          <cell r="K453"/>
          <cell r="L453"/>
          <cell r="M453" t="str">
            <v>Conforme au standard</v>
          </cell>
          <cell r="N453" t="str">
            <v>Non concerné</v>
          </cell>
          <cell r="O453" t="str">
            <v>Non concerné</v>
          </cell>
          <cell r="P453"/>
          <cell r="Q453"/>
          <cell r="R453"/>
          <cell r="S453" t="str">
            <v>=</v>
          </cell>
        </row>
        <row r="454">
          <cell r="A454" t="str">
            <v>El36</v>
          </cell>
          <cell r="B454"/>
          <cell r="C454" t="str">
            <v>D</v>
          </cell>
          <cell r="D454" t="str">
            <v>Non, absence de catalogue privatif</v>
          </cell>
          <cell r="E454"/>
          <cell r="F454" t="str">
            <v>Un ou des catalogues privatifs sont-ils en place ?</v>
          </cell>
          <cell r="G454" t="str">
            <v xml:space="preserve">Liste choix unique </v>
          </cell>
          <cell r="H454" t="str">
            <v>Oui, Catalogue privatif en place; Non, absence de catalogue privatif</v>
          </cell>
          <cell r="I454" t="str">
            <v>Non, absence de catalogue privatif</v>
          </cell>
          <cell r="J454" t="str">
            <v>x</v>
          </cell>
          <cell r="K454"/>
          <cell r="L454"/>
          <cell r="M454" t="str">
            <v>Conforme au standard</v>
          </cell>
          <cell r="N454" t="str">
            <v>Non concerné</v>
          </cell>
          <cell r="O454" t="str">
            <v>Non concerné</v>
          </cell>
          <cell r="P454"/>
          <cell r="Q454"/>
          <cell r="R454"/>
          <cell r="S454" t="str">
            <v/>
          </cell>
        </row>
        <row r="455">
          <cell r="A455" t="str">
            <v>El37</v>
          </cell>
          <cell r="B455"/>
          <cell r="C455" t="str">
            <v>Sp</v>
          </cell>
          <cell r="D455" t="str">
            <v/>
          </cell>
          <cell r="E455"/>
          <cell r="F455" t="str">
            <v>Si oui, préciser</v>
          </cell>
          <cell r="G455" t="str">
            <v>Texte</v>
          </cell>
          <cell r="H455" t="str">
            <v>Champ libre</v>
          </cell>
          <cell r="I455" t="str">
            <v>Non concerné pour l'offre</v>
          </cell>
          <cell r="J455" t="str">
            <v/>
          </cell>
          <cell r="K455" t="str">
            <v>VRAI</v>
          </cell>
          <cell r="L455"/>
          <cell r="M455" t="str">
            <v>Spécifique Offre</v>
          </cell>
          <cell r="N455" t="str">
            <v>Non concerné</v>
          </cell>
          <cell r="O455" t="str">
            <v>Non concerné</v>
          </cell>
          <cell r="P455"/>
          <cell r="Q455"/>
          <cell r="R455"/>
          <cell r="S455" t="str">
            <v/>
          </cell>
        </row>
        <row r="456">
          <cell r="A456" t="str">
            <v>El38</v>
          </cell>
          <cell r="B456"/>
          <cell r="C456" t="str">
            <v>U</v>
          </cell>
          <cell r="D456" t="str">
            <v>Non, absence d'une e-boutique spécifique</v>
          </cell>
          <cell r="E456"/>
          <cell r="F456" t="str">
            <v>Une e-boutique spécifique est-elle en place ?</v>
          </cell>
          <cell r="G456" t="str">
            <v xml:space="preserve">Liste choix unique </v>
          </cell>
          <cell r="H456" t="str">
            <v>Oui, une e-boutique spécifique est en place; Non, absence d'une e-boutique spécifique</v>
          </cell>
          <cell r="I456" t="str">
            <v>Non, absence d'une e-boutique spécifique</v>
          </cell>
          <cell r="J456" t="str">
            <v>x</v>
          </cell>
          <cell r="K456"/>
          <cell r="L456"/>
          <cell r="M456" t="str">
            <v>Conforme au standard</v>
          </cell>
          <cell r="N456" t="str">
            <v>Non concerné</v>
          </cell>
          <cell r="O456" t="str">
            <v>Non concerné</v>
          </cell>
          <cell r="P456"/>
          <cell r="Q456"/>
          <cell r="R456"/>
          <cell r="S456" t="str">
            <v/>
          </cell>
        </row>
        <row r="457">
          <cell r="A457" t="str">
            <v>El38b</v>
          </cell>
          <cell r="B457"/>
          <cell r="C457" t="str">
            <v>Sp</v>
          </cell>
          <cell r="D457" t="str">
            <v/>
          </cell>
          <cell r="E457"/>
          <cell r="F457" t="str">
            <v>Si oui, préciser</v>
          </cell>
          <cell r="G457" t="str">
            <v>Texte</v>
          </cell>
          <cell r="H457" t="str">
            <v>Champ libre</v>
          </cell>
          <cell r="I457" t="str">
            <v>Non concerné pour l'offre</v>
          </cell>
          <cell r="J457" t="str">
            <v/>
          </cell>
          <cell r="K457" t="str">
            <v>VRAI</v>
          </cell>
          <cell r="L457"/>
          <cell r="M457" t="str">
            <v>Spécifique Offre</v>
          </cell>
          <cell r="N457" t="str">
            <v>Non concerné</v>
          </cell>
          <cell r="O457" t="str">
            <v>Non concerné</v>
          </cell>
          <cell r="P457"/>
          <cell r="Q457"/>
          <cell r="R457"/>
          <cell r="S457" t="str">
            <v/>
          </cell>
        </row>
        <row r="458">
          <cell r="A458" t="str">
            <v>ElTT482</v>
          </cell>
          <cell r="B458"/>
          <cell r="C458" t="str">
            <v>Titre</v>
          </cell>
          <cell r="D458" t="str">
            <v/>
          </cell>
          <cell r="E458"/>
          <cell r="F458" t="str">
            <v>13.3 Canaux de vente</v>
          </cell>
          <cell r="G458"/>
          <cell r="H458"/>
          <cell r="I458" t="str">
            <v/>
          </cell>
          <cell r="J458" t="str">
            <v/>
          </cell>
          <cell r="K458"/>
          <cell r="L458"/>
          <cell r="M458" t="str">
            <v/>
          </cell>
          <cell r="N458" t="str">
            <v>Non concerné</v>
          </cell>
          <cell r="O458" t="str">
            <v>Non concerné</v>
          </cell>
          <cell r="P458"/>
          <cell r="Q458"/>
          <cell r="R458"/>
          <cell r="S458" t="str">
            <v/>
          </cell>
        </row>
        <row r="459">
          <cell r="A459" t="str">
            <v>El40</v>
          </cell>
          <cell r="B459"/>
          <cell r="C459" t="str">
            <v>U</v>
          </cell>
          <cell r="D459" t="str">
            <v>Non, absence de commercialisation sur le WEB</v>
          </cell>
          <cell r="E459"/>
          <cell r="F459" t="str">
            <v>Commercialisation de l'offre sur le WEB ?</v>
          </cell>
          <cell r="G459" t="str">
            <v xml:space="preserve">Liste choix unique </v>
          </cell>
          <cell r="H459" t="str">
            <v>Oui, commercialisation de l'offre sur le WEB; Non, absence de commercialisation sur le WEB</v>
          </cell>
          <cell r="I459" t="str">
            <v>Non, absence de commercialisation sur le WEB</v>
          </cell>
          <cell r="J459" t="str">
            <v>x</v>
          </cell>
          <cell r="K459"/>
          <cell r="L459"/>
          <cell r="M459" t="str">
            <v>Conforme au standard</v>
          </cell>
          <cell r="N459" t="str">
            <v>Non concerné</v>
          </cell>
          <cell r="O459" t="str">
            <v>Non concerné</v>
          </cell>
          <cell r="P459"/>
          <cell r="Q459"/>
          <cell r="R459"/>
          <cell r="S459" t="str">
            <v/>
          </cell>
        </row>
        <row r="460">
          <cell r="A460" t="str">
            <v>El41</v>
          </cell>
          <cell r="B460"/>
          <cell r="C460" t="str">
            <v>D</v>
          </cell>
          <cell r="D460" t="str">
            <v>Non, pas d'exclusivité sur le WEB</v>
          </cell>
          <cell r="E460"/>
          <cell r="F460" t="str">
            <v xml:space="preserve">Si oui exclusivement sur le web ? </v>
          </cell>
          <cell r="G460" t="str">
            <v xml:space="preserve">Liste choix unique </v>
          </cell>
          <cell r="H460" t="str">
            <v>Oui, commercialisation exclusive sur le WEB; Non, pas d'exclusivité sur le WEB</v>
          </cell>
          <cell r="I460" t="str">
            <v>Standard non applicable pour cette offre au regard des réponses précédentes apportées</v>
          </cell>
          <cell r="J460" t="str">
            <v>x</v>
          </cell>
          <cell r="K460" t="str">
            <v>VRAI</v>
          </cell>
          <cell r="L460"/>
          <cell r="M460" t="str">
            <v>Non concerné</v>
          </cell>
          <cell r="N460" t="str">
            <v>Non concerné</v>
          </cell>
          <cell r="O460" t="str">
            <v>Non concerné</v>
          </cell>
          <cell r="P460"/>
          <cell r="Q460"/>
          <cell r="R460"/>
          <cell r="S460" t="str">
            <v/>
          </cell>
        </row>
        <row r="461">
          <cell r="A461" t="str">
            <v>El41b</v>
          </cell>
          <cell r="B461"/>
          <cell r="C461" t="str">
            <v>Sp</v>
          </cell>
          <cell r="D461" t="str">
            <v/>
          </cell>
          <cell r="E461"/>
          <cell r="F461" t="str">
            <v>Préciser sur toute ou partie de l'offre</v>
          </cell>
          <cell r="G461" t="str">
            <v xml:space="preserve">Liste choix unique </v>
          </cell>
          <cell r="H461" t="str">
            <v>Totalement;Partiellement</v>
          </cell>
          <cell r="I461" t="str">
            <v>Non concerné pour l'offre</v>
          </cell>
          <cell r="J461" t="str">
            <v/>
          </cell>
          <cell r="K461" t="str">
            <v>VRAI</v>
          </cell>
          <cell r="L461"/>
          <cell r="M461" t="str">
            <v>Spécifique Offre</v>
          </cell>
          <cell r="N461" t="str">
            <v>Non concerné</v>
          </cell>
          <cell r="O461" t="str">
            <v>Non concerné</v>
          </cell>
          <cell r="P461"/>
          <cell r="Q461"/>
          <cell r="R461"/>
          <cell r="S461" t="str">
            <v/>
          </cell>
        </row>
        <row r="462">
          <cell r="A462" t="str">
            <v>El41c</v>
          </cell>
          <cell r="B462"/>
          <cell r="C462" t="str">
            <v>U</v>
          </cell>
          <cell r="D462" t="str">
            <v>Non, absence de configurateur</v>
          </cell>
          <cell r="E462"/>
          <cell r="F462" t="str">
            <v>Un configurateur est-il en place ?</v>
          </cell>
          <cell r="G462" t="str">
            <v>Liste choix unique</v>
          </cell>
          <cell r="H462" t="str">
            <v>Oui, un configurateur est en place; Non, absence de configurateur</v>
          </cell>
          <cell r="I462" t="str">
            <v>Non, absence de configurateur</v>
          </cell>
          <cell r="J462" t="str">
            <v>x</v>
          </cell>
          <cell r="K462"/>
          <cell r="L462"/>
          <cell r="M462" t="str">
            <v>Conforme au standard</v>
          </cell>
          <cell r="N462" t="str">
            <v>Non concerné</v>
          </cell>
          <cell r="O462" t="str">
            <v>Non concerné</v>
          </cell>
          <cell r="P462"/>
          <cell r="Q462"/>
          <cell r="R462"/>
          <cell r="S462" t="str">
            <v/>
          </cell>
        </row>
        <row r="463">
          <cell r="A463" t="str">
            <v>El43</v>
          </cell>
          <cell r="B463"/>
          <cell r="C463" t="str">
            <v>U</v>
          </cell>
          <cell r="D463" t="str">
            <v>Non concerné pour la direction/univers</v>
          </cell>
          <cell r="E463"/>
          <cell r="F463" t="str">
            <v>Si oui, préciser le type de configurateur</v>
          </cell>
          <cell r="G463" t="str">
            <v xml:space="preserve">Liste choix unique </v>
          </cell>
          <cell r="H463" t="str">
            <v>UGAP; Titulaire</v>
          </cell>
          <cell r="I463" t="str">
            <v>Non concerné pour la direction/univers</v>
          </cell>
          <cell r="J463" t="str">
            <v/>
          </cell>
          <cell r="K463" t="str">
            <v>VRAI</v>
          </cell>
          <cell r="L463"/>
          <cell r="M463" t="str">
            <v>Non concerné</v>
          </cell>
          <cell r="N463" t="str">
            <v>Non concerné</v>
          </cell>
          <cell r="O463" t="str">
            <v>Non concerné</v>
          </cell>
          <cell r="P463"/>
          <cell r="Q463"/>
          <cell r="R463"/>
          <cell r="S463" t="str">
            <v/>
          </cell>
        </row>
        <row r="464">
          <cell r="A464" t="str">
            <v>El44</v>
          </cell>
          <cell r="B464"/>
          <cell r="C464" t="str">
            <v>Sp</v>
          </cell>
          <cell r="D464" t="str">
            <v/>
          </cell>
          <cell r="E464"/>
          <cell r="F464" t="str">
            <v>Si oui à la commercialisation sur le WEB, Un contrôle/accès restreint à typologie de clients/utilisateurs chez le client est-il en place ?</v>
          </cell>
          <cell r="G464" t="str">
            <v xml:space="preserve">Liste choix unique </v>
          </cell>
          <cell r="H464" t="str">
            <v>Oui, contrôle/accès restreint à typologie de clients/utilisateurs chez le client; Non, Absence de contrôle/accès restreint à typologie de clients/utilisateurs chez le client</v>
          </cell>
          <cell r="I464" t="str">
            <v>Non concerné pour l'offre</v>
          </cell>
          <cell r="J464" t="str">
            <v>x</v>
          </cell>
          <cell r="K464" t="str">
            <v>VRAI</v>
          </cell>
          <cell r="L464"/>
          <cell r="M464" t="str">
            <v>Spécifique Offre</v>
          </cell>
          <cell r="N464" t="str">
            <v>Non concerné</v>
          </cell>
          <cell r="O464" t="str">
            <v>Non concerné</v>
          </cell>
          <cell r="P464"/>
          <cell r="Q464"/>
          <cell r="R464"/>
          <cell r="S464" t="str">
            <v/>
          </cell>
        </row>
        <row r="465">
          <cell r="A465" t="str">
            <v>El45</v>
          </cell>
          <cell r="B465"/>
          <cell r="C465" t="str">
            <v>Sp</v>
          </cell>
          <cell r="D465" t="str">
            <v/>
          </cell>
          <cell r="E465"/>
          <cell r="F465" t="str">
            <v xml:space="preserve">Si oui à la commercialisation sur le WEB, L'offre nécessite-elle une connexion à une plateforme tierce </v>
          </cell>
          <cell r="G465" t="str">
            <v xml:space="preserve">Liste choix unique </v>
          </cell>
          <cell r="H465" t="str">
            <v xml:space="preserve">Oui, connexion à une plateforme tierce; Non, Absence de connexion à une plateforme tierce </v>
          </cell>
          <cell r="I465" t="str">
            <v>Non concerné pour l'offre</v>
          </cell>
          <cell r="J465" t="str">
            <v/>
          </cell>
          <cell r="K465" t="str">
            <v>VRAI</v>
          </cell>
          <cell r="L465"/>
          <cell r="M465" t="str">
            <v>Spécifique Offre</v>
          </cell>
          <cell r="N465" t="str">
            <v>Non concerné</v>
          </cell>
          <cell r="O465" t="str">
            <v>Non concerné</v>
          </cell>
          <cell r="P465"/>
          <cell r="Q465"/>
          <cell r="R465"/>
          <cell r="S465" t="str">
            <v/>
          </cell>
        </row>
        <row r="466">
          <cell r="A466" t="str">
            <v>El46</v>
          </cell>
          <cell r="B466"/>
          <cell r="C466" t="str">
            <v>Sp</v>
          </cell>
          <cell r="D466" t="str">
            <v/>
          </cell>
          <cell r="E466"/>
          <cell r="F466" t="str">
            <v xml:space="preserve">Si oui à la commercialisation sur le WEB, L'offre est-elle en e-procurement ? </v>
          </cell>
          <cell r="G466" t="str">
            <v xml:space="preserve">Liste choix unique </v>
          </cell>
          <cell r="H466" t="str">
            <v>Oui, offre en e-procurement ;Non, Absence de e-procurement</v>
          </cell>
          <cell r="I466" t="str">
            <v>Non concerné pour l'offre</v>
          </cell>
          <cell r="J466" t="str">
            <v/>
          </cell>
          <cell r="K466" t="str">
            <v>VRAI</v>
          </cell>
          <cell r="L466"/>
          <cell r="M466" t="str">
            <v>Spécifique Offre</v>
          </cell>
          <cell r="N466" t="str">
            <v>Non concerné</v>
          </cell>
          <cell r="O466" t="str">
            <v>Non concerné</v>
          </cell>
          <cell r="P466"/>
          <cell r="Q466"/>
          <cell r="R466"/>
          <cell r="S466" t="str">
            <v/>
          </cell>
        </row>
        <row r="467">
          <cell r="A467" t="str">
            <v>El33</v>
          </cell>
          <cell r="B467"/>
          <cell r="C467" t="str">
            <v>U</v>
          </cell>
          <cell r="D467" t="str">
            <v>100 % vente Assistée</v>
          </cell>
          <cell r="E467"/>
          <cell r="F467" t="str">
            <v>Répartition client Vente Assistée / Vente à Distance envisagée</v>
          </cell>
          <cell r="G467" t="str">
            <v xml:space="preserve">Liste choix unique </v>
          </cell>
          <cell r="H467" t="str">
            <v>100 % Vente Assistée; 50% Vente A Distance;50% Vente Assistée / 50% Vente A Distance;Autre</v>
          </cell>
          <cell r="I467" t="str">
            <v>100 % vente Assistée</v>
          </cell>
          <cell r="J467" t="str">
            <v>x</v>
          </cell>
          <cell r="K467"/>
          <cell r="L467"/>
          <cell r="M467" t="str">
            <v>Conforme au standard</v>
          </cell>
          <cell r="N467" t="str">
            <v>Non concerné</v>
          </cell>
          <cell r="O467" t="str">
            <v>Non concerné</v>
          </cell>
          <cell r="P467"/>
          <cell r="Q467"/>
          <cell r="R467"/>
          <cell r="S467" t="str">
            <v/>
          </cell>
        </row>
        <row r="468">
          <cell r="A468" t="str">
            <v>El33b</v>
          </cell>
          <cell r="B468"/>
          <cell r="C468" t="str">
            <v>Sp</v>
          </cell>
          <cell r="D468" t="str">
            <v/>
          </cell>
          <cell r="E468"/>
          <cell r="F468" t="str">
            <v xml:space="preserve">Si autre répartion Vente Assistée / Vente A distance, préciser </v>
          </cell>
          <cell r="G468" t="str">
            <v>Texte</v>
          </cell>
          <cell r="H468" t="str">
            <v>Champ libre</v>
          </cell>
          <cell r="I468" t="str">
            <v>Non concerné pour l'offre</v>
          </cell>
          <cell r="J468" t="str">
            <v/>
          </cell>
          <cell r="K468" t="str">
            <v>VRAI</v>
          </cell>
          <cell r="L468"/>
          <cell r="M468" t="str">
            <v>Spécifique Offre</v>
          </cell>
          <cell r="N468" t="str">
            <v>Non concerné</v>
          </cell>
          <cell r="O468" t="str">
            <v>Non concerné</v>
          </cell>
          <cell r="P468"/>
          <cell r="Q468"/>
          <cell r="R468"/>
          <cell r="S468" t="str">
            <v/>
          </cell>
        </row>
        <row r="469">
          <cell r="A469" t="str">
            <v>El47</v>
          </cell>
          <cell r="B469"/>
          <cell r="C469" t="str">
            <v>U</v>
          </cell>
          <cell r="D469" t="str">
            <v>Non, exclusion du canal de vente CCM</v>
          </cell>
          <cell r="E469"/>
          <cell r="F469" t="str">
            <v>Commercialisation de l'offre par le CCM  (prise de commande)</v>
          </cell>
          <cell r="G469" t="str">
            <v xml:space="preserve">Liste choix unique </v>
          </cell>
          <cell r="H469" t="str">
            <v>Oui, commercialisation de l'offre par le CCM; Non, exclusion du canal de vente CCM</v>
          </cell>
          <cell r="I469" t="str">
            <v>Non, exclusion du canal de vente CCM</v>
          </cell>
          <cell r="J469" t="str">
            <v/>
          </cell>
          <cell r="K469"/>
          <cell r="L469"/>
          <cell r="M469" t="str">
            <v>Conforme au standard</v>
          </cell>
          <cell r="N469" t="str">
            <v>Non concerné</v>
          </cell>
          <cell r="O469" t="str">
            <v>Non concerné</v>
          </cell>
          <cell r="P469"/>
          <cell r="Q469"/>
          <cell r="R469"/>
          <cell r="S469" t="str">
            <v/>
          </cell>
        </row>
        <row r="470">
          <cell r="A470" t="str">
            <v>El48</v>
          </cell>
          <cell r="B470"/>
          <cell r="C470" t="str">
            <v>D</v>
          </cell>
          <cell r="D470" t="str">
            <v>Oui, commercialisation de l'offre par le réseau</v>
          </cell>
          <cell r="E470"/>
          <cell r="F470" t="str">
            <v>Commercialisation de l'offre par le Réseau</v>
          </cell>
          <cell r="G470" t="str">
            <v xml:space="preserve">Liste choix unique </v>
          </cell>
          <cell r="H470" t="str">
            <v>Oui, commercialisation de l'offre par le réseau; Non, exclusion du commercialisation par le réseau</v>
          </cell>
          <cell r="I470" t="str">
            <v>Oui, commercialisation de l'offre par le réseau</v>
          </cell>
          <cell r="J470" t="str">
            <v/>
          </cell>
          <cell r="K470"/>
          <cell r="L470"/>
          <cell r="M470" t="str">
            <v>Conforme au standard</v>
          </cell>
          <cell r="N470" t="str">
            <v>Non concerné</v>
          </cell>
          <cell r="O470" t="str">
            <v>Non concerné</v>
          </cell>
          <cell r="P470"/>
          <cell r="Q470"/>
          <cell r="R470"/>
          <cell r="S470" t="str">
            <v/>
          </cell>
        </row>
        <row r="471">
          <cell r="A471" t="str">
            <v>El49</v>
          </cell>
          <cell r="B471"/>
          <cell r="C471" t="str">
            <v>U</v>
          </cell>
          <cell r="D471" t="str">
            <v>Non, exclusion d'une commercialisation par la SMAR</v>
          </cell>
          <cell r="E471"/>
          <cell r="F471" t="str">
            <v>SMAR (Gestion centralisée des commandes/ facturation)</v>
          </cell>
          <cell r="G471" t="str">
            <v xml:space="preserve">Liste choix unique </v>
          </cell>
          <cell r="H471" t="str">
            <v>Oui, commercialisation par la SMAR; Non, exclusion d'une commercialisation par la SMAR</v>
          </cell>
          <cell r="I471" t="str">
            <v>Non, exclusion d'une commercialisation par la SMAR</v>
          </cell>
          <cell r="J471" t="str">
            <v/>
          </cell>
          <cell r="K471"/>
          <cell r="L471"/>
          <cell r="M471" t="str">
            <v>Conforme au standard</v>
          </cell>
          <cell r="N471" t="str">
            <v>Non concerné</v>
          </cell>
          <cell r="O471" t="str">
            <v>Non concerné</v>
          </cell>
          <cell r="P471"/>
          <cell r="Q471"/>
          <cell r="R471"/>
          <cell r="S471" t="str">
            <v/>
          </cell>
        </row>
        <row r="472">
          <cell r="A472" t="str">
            <v>ElTT483</v>
          </cell>
          <cell r="B472"/>
          <cell r="C472" t="str">
            <v>Titre</v>
          </cell>
          <cell r="D472" t="str">
            <v/>
          </cell>
          <cell r="E472"/>
          <cell r="F472" t="str">
            <v>13.4 Schémas de vente</v>
          </cell>
          <cell r="G472"/>
          <cell r="H472"/>
          <cell r="I472" t="str">
            <v/>
          </cell>
          <cell r="J472" t="str">
            <v/>
          </cell>
          <cell r="K472"/>
          <cell r="L472"/>
          <cell r="M472" t="str">
            <v/>
          </cell>
          <cell r="N472" t="str">
            <v>Non concerné</v>
          </cell>
          <cell r="O472" t="str">
            <v>Non concerné</v>
          </cell>
          <cell r="P472"/>
          <cell r="Q472"/>
          <cell r="R472"/>
          <cell r="S472" t="str">
            <v/>
          </cell>
        </row>
        <row r="473">
          <cell r="A473" t="str">
            <v>El62</v>
          </cell>
          <cell r="B473"/>
          <cell r="C473" t="str">
            <v>U</v>
          </cell>
          <cell r="D473" t="str">
            <v>Oui, Schéma de vente disponible sous la base de Co</v>
          </cell>
          <cell r="E473"/>
          <cell r="F473" t="str">
            <v xml:space="preserve">Schéma de vente opérationnel est-il disponible sous la base de Co ?	</v>
          </cell>
          <cell r="G473" t="str">
            <v xml:space="preserve">Liste choix unique </v>
          </cell>
          <cell r="H473" t="str">
            <v>Oui, Schéma de vente disponible sous la base de Co; Non, absence du schéma de vente sur la base de co</v>
          </cell>
          <cell r="I473" t="str">
            <v>Oui, Schéma de vente disponible sous la base de Co</v>
          </cell>
          <cell r="J473" t="str">
            <v/>
          </cell>
          <cell r="K473"/>
          <cell r="L473"/>
          <cell r="M473" t="str">
            <v>Conforme au standard</v>
          </cell>
          <cell r="N473" t="str">
            <v>Non concerné</v>
          </cell>
          <cell r="O473" t="str">
            <v>Non concerné</v>
          </cell>
          <cell r="P473"/>
          <cell r="Q473"/>
          <cell r="R473"/>
          <cell r="S473" t="str">
            <v/>
          </cell>
        </row>
        <row r="474">
          <cell r="A474" t="str">
            <v>El63</v>
          </cell>
          <cell r="B474"/>
          <cell r="C474" t="str">
            <v>U</v>
          </cell>
          <cell r="D474" t="str">
            <v>Schéma de vente offre tripartite</v>
          </cell>
          <cell r="E474"/>
          <cell r="F474" t="str">
            <v xml:space="preserve">Type de schéma de vente </v>
          </cell>
          <cell r="G474" t="str">
            <v xml:space="preserve">Liste choix unique </v>
          </cell>
          <cell r="H474" t="str">
            <v>Schéma de vente offre tripartite;Schéma de vente offre avec prestations associées;Schéma de vente offre sans prestation associée;Autre</v>
          </cell>
          <cell r="I474" t="str">
            <v>Schéma de vente offre tripartite</v>
          </cell>
          <cell r="J474" t="str">
            <v>x</v>
          </cell>
          <cell r="K474"/>
          <cell r="L474"/>
          <cell r="M474" t="str">
            <v>Conforme au standard</v>
          </cell>
          <cell r="N474" t="str">
            <v>Non concerné</v>
          </cell>
          <cell r="O474" t="str">
            <v>Non concerné</v>
          </cell>
          <cell r="P474"/>
          <cell r="Q474"/>
          <cell r="R474"/>
          <cell r="S474" t="str">
            <v/>
          </cell>
        </row>
        <row r="475">
          <cell r="A475" t="str">
            <v>El64</v>
          </cell>
          <cell r="B475"/>
          <cell r="C475" t="str">
            <v>Sp</v>
          </cell>
          <cell r="D475" t="str">
            <v/>
          </cell>
          <cell r="E475"/>
          <cell r="F475" t="str">
            <v>Si autre ou si le schéma de vente de l'offre précédente a présenté des écarts ou des problématiques sur le parcours client, présenter le nouveau schéma de vente applicable résultant des échanges avec le référent</v>
          </cell>
          <cell r="G475" t="str">
            <v>Texte</v>
          </cell>
          <cell r="H475" t="str">
            <v>Champ libre</v>
          </cell>
          <cell r="I475" t="str">
            <v>Non concerné pour l'offre</v>
          </cell>
          <cell r="J475" t="str">
            <v/>
          </cell>
          <cell r="K475" t="str">
            <v>VRAI</v>
          </cell>
          <cell r="L475"/>
          <cell r="M475" t="str">
            <v>Spécifique Offre</v>
          </cell>
          <cell r="N475" t="str">
            <v>Non concerné</v>
          </cell>
          <cell r="O475" t="str">
            <v>Non concerné</v>
          </cell>
          <cell r="P475"/>
          <cell r="Q475"/>
          <cell r="R475"/>
          <cell r="S475" t="str">
            <v/>
          </cell>
        </row>
        <row r="476">
          <cell r="A476" t="str">
            <v>ElTT484</v>
          </cell>
          <cell r="B476"/>
          <cell r="C476" t="str">
            <v>Titre</v>
          </cell>
          <cell r="D476" t="str">
            <v/>
          </cell>
          <cell r="E476"/>
          <cell r="F476" t="str">
            <v>13.5 - Support de vente</v>
          </cell>
          <cell r="G476"/>
          <cell r="H476"/>
          <cell r="I476" t="str">
            <v/>
          </cell>
          <cell r="J476" t="str">
            <v/>
          </cell>
          <cell r="K476"/>
          <cell r="L476"/>
          <cell r="M476" t="str">
            <v/>
          </cell>
          <cell r="N476" t="str">
            <v>Non concerné</v>
          </cell>
          <cell r="O476" t="str">
            <v>Non concerné</v>
          </cell>
          <cell r="P476"/>
          <cell r="Q476"/>
          <cell r="R476"/>
          <cell r="S476" t="str">
            <v/>
          </cell>
        </row>
        <row r="477">
          <cell r="A477" t="str">
            <v>El361</v>
          </cell>
          <cell r="B477"/>
          <cell r="C477" t="str">
            <v>D</v>
          </cell>
          <cell r="D477" t="str">
            <v>Fiches technico-commerciales;Images numériques;Publipostages</v>
          </cell>
          <cell r="E477"/>
          <cell r="F477" t="str">
            <v xml:space="preserve">Le titulaire s'engage a fournir : </v>
          </cell>
          <cell r="G477" t="str">
            <v>Liste choix multiple</v>
          </cell>
          <cell r="H477" t="str">
            <v xml:space="preserve">Fiches technico-commerciales; images numériques; Publipostages;Nuanciers; Une banque de donnée de type AUTOCAD;Matériel de démonstration; Guide de vente </v>
          </cell>
          <cell r="I477" t="str">
            <v>Fiches technico-commerciales;Images numériques;Publipostages</v>
          </cell>
          <cell r="J477" t="str">
            <v>x</v>
          </cell>
          <cell r="K477"/>
          <cell r="L477"/>
          <cell r="M477" t="str">
            <v>Conforme au standard</v>
          </cell>
          <cell r="N477" t="str">
            <v>Non concerné</v>
          </cell>
          <cell r="O477" t="str">
            <v>Non concerné</v>
          </cell>
          <cell r="P477"/>
          <cell r="Q477"/>
          <cell r="R477"/>
          <cell r="S477" t="str">
            <v>=</v>
          </cell>
        </row>
        <row r="478">
          <cell r="A478" t="str">
            <v>El361b</v>
          </cell>
          <cell r="B478"/>
          <cell r="C478" t="str">
            <v>Sp</v>
          </cell>
          <cell r="D478" t="str">
            <v/>
          </cell>
          <cell r="E478"/>
          <cell r="F478" t="str">
            <v xml:space="preserve">Dans le cadre du guide vente préciser  les lot(s) concerné(s) ? </v>
          </cell>
          <cell r="G478" t="str">
            <v>Texte</v>
          </cell>
          <cell r="H478" t="str">
            <v>Numéros de lot</v>
          </cell>
          <cell r="I478" t="str">
            <v>Non concerné pour l'offre</v>
          </cell>
          <cell r="J478" t="str">
            <v/>
          </cell>
          <cell r="K478" t="str">
            <v>VRAI</v>
          </cell>
          <cell r="L478"/>
          <cell r="M478" t="str">
            <v>Spécifique Offre</v>
          </cell>
          <cell r="N478" t="str">
            <v>Non concerné</v>
          </cell>
          <cell r="O478" t="str">
            <v>Non concerné</v>
          </cell>
          <cell r="P478"/>
          <cell r="Q478"/>
          <cell r="R478"/>
          <cell r="S478" t="str">
            <v/>
          </cell>
        </row>
        <row r="479">
          <cell r="A479" t="str">
            <v>ElTT485</v>
          </cell>
          <cell r="B479"/>
          <cell r="C479" t="str">
            <v>Titre</v>
          </cell>
          <cell r="D479" t="str">
            <v/>
          </cell>
          <cell r="E479"/>
          <cell r="F479" t="str">
            <v>13.6- Documents contractuels clients</v>
          </cell>
          <cell r="G479"/>
          <cell r="H479"/>
          <cell r="I479" t="str">
            <v/>
          </cell>
          <cell r="J479" t="str">
            <v/>
          </cell>
          <cell r="K479"/>
          <cell r="L479"/>
          <cell r="M479" t="str">
            <v/>
          </cell>
          <cell r="N479" t="str">
            <v>Non concerné</v>
          </cell>
          <cell r="O479" t="str">
            <v>Non concerné</v>
          </cell>
          <cell r="P479"/>
          <cell r="Q479"/>
          <cell r="R479"/>
          <cell r="S479" t="str">
            <v/>
          </cell>
        </row>
        <row r="480">
          <cell r="A480" t="str">
            <v>El116</v>
          </cell>
          <cell r="B480"/>
          <cell r="C480" t="str">
            <v>U</v>
          </cell>
          <cell r="D480" t="str">
            <v>Oui, existence d'une convention client "valant BDC"</v>
          </cell>
          <cell r="E480"/>
          <cell r="F480" t="str">
            <v>Existence d'une convention client?</v>
          </cell>
          <cell r="G480" t="str">
            <v xml:space="preserve">Liste choix unique </v>
          </cell>
          <cell r="H480" t="str">
            <v>Oui, existence d'une convention client "valant BDC"; Oui existence d'une convention client d'embarquement ; Non, absence de convention client</v>
          </cell>
          <cell r="I480" t="str">
            <v>Oui, existence d'une convention client "valant BDC"</v>
          </cell>
          <cell r="J480" t="str">
            <v>x</v>
          </cell>
          <cell r="K480"/>
          <cell r="L480"/>
          <cell r="M480" t="str">
            <v>Conforme au standard</v>
          </cell>
          <cell r="N480" t="str">
            <v>Non concerné</v>
          </cell>
          <cell r="O480" t="str">
            <v>Non concerné</v>
          </cell>
          <cell r="P480"/>
          <cell r="Q480"/>
          <cell r="R480"/>
          <cell r="S480" t="str">
            <v/>
          </cell>
        </row>
        <row r="481">
          <cell r="A481" t="str">
            <v>El117</v>
          </cell>
          <cell r="B481"/>
          <cell r="C481" t="str">
            <v>Sp</v>
          </cell>
          <cell r="D481" t="str">
            <v/>
          </cell>
          <cell r="E481"/>
          <cell r="F481" t="str">
            <v>Si oui préciser l'étendue</v>
          </cell>
          <cell r="G481" t="str">
            <v>Texte</v>
          </cell>
          <cell r="H481" t="str">
            <v>Champ libre</v>
          </cell>
          <cell r="I481" t="str">
            <v/>
          </cell>
          <cell r="J481" t="str">
            <v/>
          </cell>
          <cell r="K481"/>
          <cell r="L481"/>
          <cell r="M481" t="str">
            <v>Renseigner la réponse DCO</v>
          </cell>
          <cell r="N481" t="str">
            <v>Non concerné</v>
          </cell>
          <cell r="O481" t="str">
            <v>Non concerné</v>
          </cell>
          <cell r="P481"/>
          <cell r="Q481"/>
          <cell r="R481"/>
          <cell r="S481" t="str">
            <v/>
          </cell>
        </row>
        <row r="482">
          <cell r="A482" t="str">
            <v>El219</v>
          </cell>
          <cell r="B482"/>
          <cell r="C482" t="str">
            <v>U</v>
          </cell>
          <cell r="D482" t="str">
            <v>Réseau</v>
          </cell>
          <cell r="E482"/>
          <cell r="F482" t="str">
            <v>Si oui, préciser qui traite la convention</v>
          </cell>
          <cell r="G482" t="str">
            <v>Liste choix multiple</v>
          </cell>
          <cell r="H482" t="str">
            <v>Réseau;SMAR</v>
          </cell>
          <cell r="I482" t="str">
            <v>Réseau</v>
          </cell>
          <cell r="J482"/>
          <cell r="K482"/>
          <cell r="L482"/>
          <cell r="M482" t="str">
            <v>Conforme au standard</v>
          </cell>
          <cell r="N482" t="str">
            <v>Non concerné</v>
          </cell>
          <cell r="O482" t="str">
            <v>Non concerné</v>
          </cell>
          <cell r="P482"/>
          <cell r="Q482"/>
          <cell r="R482"/>
          <cell r="S482" t="str">
            <v/>
          </cell>
        </row>
        <row r="483">
          <cell r="A483" t="str">
            <v>El118</v>
          </cell>
          <cell r="B483"/>
          <cell r="C483" t="str">
            <v>E</v>
          </cell>
          <cell r="D483" t="str">
            <v>Oui, existence de CGE</v>
          </cell>
          <cell r="E483"/>
          <cell r="F483" t="str">
            <v>Existence de CGE ?</v>
          </cell>
          <cell r="G483" t="str">
            <v xml:space="preserve">Liste choix unique </v>
          </cell>
          <cell r="H483" t="str">
            <v>Oui, existence de CGE; Non, absence de CGE</v>
          </cell>
          <cell r="I483" t="str">
            <v>Oui, existence de CGE</v>
          </cell>
          <cell r="J483"/>
          <cell r="K483"/>
          <cell r="L483"/>
          <cell r="M483" t="str">
            <v>Conforme au standard</v>
          </cell>
          <cell r="N483" t="str">
            <v>Non concerné</v>
          </cell>
          <cell r="O483" t="str">
            <v>Non concerné</v>
          </cell>
          <cell r="P483"/>
          <cell r="Q483"/>
          <cell r="R483"/>
          <cell r="S483" t="str">
            <v/>
          </cell>
        </row>
        <row r="484">
          <cell r="A484" t="str">
            <v>El369</v>
          </cell>
          <cell r="B484"/>
          <cell r="C484" t="str">
            <v>U</v>
          </cell>
          <cell r="D484" t="str">
            <v>Non, absence d'autres documents commerciaux</v>
          </cell>
          <cell r="E484"/>
          <cell r="F484" t="str">
            <v>Existence d'autres documents commerciaux (exemples : kit de remise en concurrence/passation de marché subséquent, trame type rapport d'analyse, lettre de rejet…)</v>
          </cell>
          <cell r="G484" t="str">
            <v xml:space="preserve">Liste choix unique </v>
          </cell>
          <cell r="H484" t="str">
            <v>Oui, existence d'autres documents commerciaux; Non, absence d'autres documents commerciaux</v>
          </cell>
          <cell r="I484" t="str">
            <v>Non, absence d'autres documents commerciaux</v>
          </cell>
          <cell r="J484" t="str">
            <v>x</v>
          </cell>
          <cell r="K484"/>
          <cell r="L484"/>
          <cell r="M484" t="str">
            <v>Conforme au standard</v>
          </cell>
          <cell r="N484" t="str">
            <v>Non concerné</v>
          </cell>
          <cell r="O484" t="str">
            <v>Non concerné</v>
          </cell>
          <cell r="P484"/>
          <cell r="Q484"/>
          <cell r="R484"/>
          <cell r="S484" t="str">
            <v/>
          </cell>
        </row>
        <row r="485">
          <cell r="A485" t="str">
            <v>El389</v>
          </cell>
          <cell r="B485"/>
          <cell r="C485" t="str">
            <v>Sp</v>
          </cell>
          <cell r="D485" t="str">
            <v/>
          </cell>
          <cell r="E485"/>
          <cell r="F485" t="str">
            <v>Si oui lesquels ?</v>
          </cell>
          <cell r="G485" t="str">
            <v>Texte</v>
          </cell>
          <cell r="H485" t="str">
            <v>Champ libre</v>
          </cell>
          <cell r="I485" t="str">
            <v>Non concerné pour l'offre</v>
          </cell>
          <cell r="J485" t="str">
            <v/>
          </cell>
          <cell r="K485" t="str">
            <v>VRAI</v>
          </cell>
          <cell r="L485"/>
          <cell r="M485" t="str">
            <v>Spécifique Offre</v>
          </cell>
          <cell r="N485" t="str">
            <v>Non concerné</v>
          </cell>
          <cell r="O485" t="str">
            <v>Non concerné</v>
          </cell>
          <cell r="P485"/>
          <cell r="Q485"/>
          <cell r="R485"/>
          <cell r="S485" t="str">
            <v/>
          </cell>
        </row>
        <row r="486">
          <cell r="A486" t="str">
            <v>ElTT486</v>
          </cell>
          <cell r="B486"/>
          <cell r="C486" t="str">
            <v>Titre</v>
          </cell>
          <cell r="D486" t="str">
            <v/>
          </cell>
          <cell r="E486"/>
          <cell r="F486" t="str">
            <v>13.7 - Eléments attendus du titulaire</v>
          </cell>
          <cell r="G486"/>
          <cell r="H486"/>
          <cell r="I486" t="str">
            <v/>
          </cell>
          <cell r="J486" t="str">
            <v/>
          </cell>
          <cell r="K486"/>
          <cell r="L486"/>
          <cell r="M486" t="str">
            <v/>
          </cell>
          <cell r="N486" t="str">
            <v>Non concerné</v>
          </cell>
          <cell r="O486" t="str">
            <v>Non concerné</v>
          </cell>
          <cell r="P486"/>
          <cell r="Q486"/>
          <cell r="R486"/>
          <cell r="S486" t="str">
            <v/>
          </cell>
        </row>
        <row r="487">
          <cell r="A487" t="str">
            <v>El333</v>
          </cell>
          <cell r="B487"/>
          <cell r="C487" t="str">
            <v>D</v>
          </cell>
          <cell r="D487" t="str">
            <v>Réunion de lancement avec le titulaire;Présentation synthétique de son organisation dédiée au marché;Annuaires des contacts;Formation;Information des collaborateurs de l'UGAP</v>
          </cell>
          <cell r="E487"/>
          <cell r="F487" t="str">
            <v>Préciser les éléments attendus de la part du titulaire concernant la formation et l'information</v>
          </cell>
          <cell r="G487" t="str">
            <v>Liste choix multiple</v>
          </cell>
          <cell r="H487" t="str">
            <v>Réunion de lancement avec le titulaire;Présentation synthétique de son organisation dédiée au marché;Annuaires des contacts;Formation;Information des collaborateurs de l'UGAP;Autre</v>
          </cell>
          <cell r="I487" t="str">
            <v>Réunion de lancement avec le titulaire;Présentation synthétique de son organisation dédiée au marché;Annuaires des contacts;Formation;Information des collaborateurs de l'UGAP</v>
          </cell>
          <cell r="J487" t="str">
            <v>x</v>
          </cell>
          <cell r="K487"/>
          <cell r="L487"/>
          <cell r="M487" t="str">
            <v>Conforme au standard</v>
          </cell>
          <cell r="N487" t="str">
            <v>Non concerné</v>
          </cell>
          <cell r="O487" t="str">
            <v>Non concerné</v>
          </cell>
          <cell r="P487"/>
          <cell r="Q487"/>
          <cell r="R487"/>
          <cell r="S487" t="str">
            <v>=</v>
          </cell>
        </row>
        <row r="488">
          <cell r="A488" t="str">
            <v>El333c</v>
          </cell>
          <cell r="B488"/>
          <cell r="C488" t="str">
            <v>Sp</v>
          </cell>
          <cell r="D488" t="str">
            <v/>
          </cell>
          <cell r="E488"/>
          <cell r="F488" t="str">
            <v>Si autres éléments attendus de la part du titulaire concernant la formation et l'information, préciser</v>
          </cell>
          <cell r="G488" t="str">
            <v>Texte</v>
          </cell>
          <cell r="H488" t="str">
            <v>Champ libre</v>
          </cell>
          <cell r="I488" t="str">
            <v>Non concerné pour l'offre</v>
          </cell>
          <cell r="J488"/>
          <cell r="K488" t="str">
            <v>VRAI</v>
          </cell>
          <cell r="L488"/>
          <cell r="M488" t="str">
            <v>Spécifique Offre</v>
          </cell>
          <cell r="N488" t="str">
            <v>Non concerné</v>
          </cell>
          <cell r="O488" t="str">
            <v>Non concerné</v>
          </cell>
          <cell r="P488"/>
          <cell r="Q488"/>
          <cell r="R488"/>
          <cell r="S488" t="str">
            <v/>
          </cell>
        </row>
        <row r="489">
          <cell r="A489" t="str">
            <v>El333b</v>
          </cell>
          <cell r="B489"/>
          <cell r="C489" t="str">
            <v>D</v>
          </cell>
          <cell r="D489" t="str">
            <v>Alimentation et ou validation du référencement;Documentation SAV;Outils;Eléments pour publication (ex : photo)</v>
          </cell>
          <cell r="E489"/>
          <cell r="F489" t="str">
            <v>Préciser les éléments attendus de la part du titulaire concernant le déploiement, la commercialisation et l'exécution de l'offre</v>
          </cell>
          <cell r="G489" t="str">
            <v>Liste choix multiple</v>
          </cell>
          <cell r="H489" t="str">
            <v>Alimentation et ou validation du référencement;Documentation SAV;Outils;Impératifs logistiques UGAP (tracabilité…);Eléments pour publication (ex : photo);Aides à la commercialisation (prêt de matériel...);Autre</v>
          </cell>
          <cell r="I489" t="str">
            <v>Alimentation et ou validation du référencement;Documentation SAV;Outils;Eléments pour publication (ex : photo)</v>
          </cell>
          <cell r="J489" t="str">
            <v>x</v>
          </cell>
          <cell r="K489"/>
          <cell r="L489"/>
          <cell r="M489" t="str">
            <v>Conforme au standard</v>
          </cell>
          <cell r="N489" t="str">
            <v>Non concerné</v>
          </cell>
          <cell r="O489" t="str">
            <v>Non concerné</v>
          </cell>
          <cell r="P489"/>
          <cell r="Q489"/>
          <cell r="R489"/>
          <cell r="S489" t="str">
            <v>=</v>
          </cell>
        </row>
        <row r="490">
          <cell r="A490" t="str">
            <v>El333d</v>
          </cell>
          <cell r="B490"/>
          <cell r="C490" t="str">
            <v>Sp</v>
          </cell>
          <cell r="D490" t="str">
            <v/>
          </cell>
          <cell r="E490"/>
          <cell r="F490" t="str">
            <v>Si autres éléments attendus de la part du titulaire concernant le déploiement, la commercialisation et l'exécution de l'offre, préciser</v>
          </cell>
          <cell r="G490" t="str">
            <v>Texte</v>
          </cell>
          <cell r="H490" t="str">
            <v>Champ libre</v>
          </cell>
          <cell r="I490" t="str">
            <v>Non concerné pour l'offre</v>
          </cell>
          <cell r="J490"/>
          <cell r="K490" t="str">
            <v>VRAI</v>
          </cell>
          <cell r="L490"/>
          <cell r="M490" t="str">
            <v>Spécifique Offre</v>
          </cell>
          <cell r="N490" t="str">
            <v>Non concerné</v>
          </cell>
          <cell r="O490" t="str">
            <v>Non concerné</v>
          </cell>
          <cell r="P490"/>
          <cell r="Q490"/>
          <cell r="R490"/>
          <cell r="S490" t="str">
            <v/>
          </cell>
        </row>
        <row r="491">
          <cell r="A491" t="str">
            <v>El334</v>
          </cell>
          <cell r="B491"/>
          <cell r="C491" t="str">
            <v>Sp</v>
          </cell>
          <cell r="D491" t="str">
            <v/>
          </cell>
          <cell r="E491"/>
          <cell r="F491" t="str">
            <v>Si autre, préciser (en cas de cas non listé, préciser directement les information en texte libre)</v>
          </cell>
          <cell r="G491" t="str">
            <v>Liste choix multiple</v>
          </cell>
          <cell r="H491" t="str">
            <v>Alimentation et ou validation du référencement;Documentation SAV;Outils;Impératifs logistiques UGAP (tracabilité…);Eléments pour publication (ex : photo);Aides à la commercialisation (prêt de matériel...);Autre</v>
          </cell>
          <cell r="I491" t="str">
            <v>Non concerné pour l'offre</v>
          </cell>
          <cell r="J491" t="str">
            <v/>
          </cell>
          <cell r="K491" t="str">
            <v>VRAI</v>
          </cell>
          <cell r="L491"/>
          <cell r="M491" t="str">
            <v>Spécifique Offre</v>
          </cell>
          <cell r="N491" t="str">
            <v>Non concerné</v>
          </cell>
          <cell r="O491" t="str">
            <v>Non concerné</v>
          </cell>
          <cell r="P491"/>
          <cell r="Q491"/>
          <cell r="R491"/>
          <cell r="S491" t="str">
            <v>=</v>
          </cell>
        </row>
        <row r="492">
          <cell r="A492" t="str">
            <v>El335a</v>
          </cell>
          <cell r="B492"/>
          <cell r="C492" t="str">
            <v>E</v>
          </cell>
          <cell r="D492" t="str">
            <v>Oui, la contractualisation d'un interlocuteur dédié est à prévoir dans le CCAP</v>
          </cell>
          <cell r="E492"/>
          <cell r="F492" t="str">
            <v>La contractualisation d'un interlocuteur dédié dans le CCAP est-elle à prévoir ?</v>
          </cell>
          <cell r="G492" t="str">
            <v xml:space="preserve">Liste choix unique </v>
          </cell>
          <cell r="H492" t="str">
            <v>Oui, la contractualisation d'un interlocuteur dédié est à prévoir dans le CCAP;Non, absence de mention de contractualisation d'un interlocuteur dédié dans le CCAP</v>
          </cell>
          <cell r="I492" t="str">
            <v>Oui, la contractualisation d'un interlocuteur dédié est à prévoir dans le CCAP</v>
          </cell>
          <cell r="J492" t="str">
            <v>x</v>
          </cell>
          <cell r="K492"/>
          <cell r="L492"/>
          <cell r="M492" t="str">
            <v>Conforme au standard</v>
          </cell>
          <cell r="N492" t="str">
            <v>Non concerné</v>
          </cell>
          <cell r="O492" t="str">
            <v>Non concerné</v>
          </cell>
          <cell r="P492"/>
          <cell r="Q492"/>
          <cell r="R492"/>
          <cell r="S492" t="str">
            <v/>
          </cell>
        </row>
        <row r="493">
          <cell r="A493" t="str">
            <v>El335</v>
          </cell>
          <cell r="B493"/>
          <cell r="C493" t="str">
            <v>Sp</v>
          </cell>
          <cell r="D493" t="str">
            <v/>
          </cell>
          <cell r="E493"/>
          <cell r="F493" t="str">
            <v>Si oui, décrire le niveau d'exigences associé et les documents associés (CCAP, CCTP, Annexes….) et les modalités retenues afin d'assurer la disponibilité des données produits ou services nécessaires notamment au déploiement de l'offre (Données, produits, certificats, images...)</v>
          </cell>
          <cell r="G493" t="str">
            <v>Texte</v>
          </cell>
          <cell r="H493" t="str">
            <v>Champ libre</v>
          </cell>
          <cell r="I493" t="str">
            <v/>
          </cell>
          <cell r="J493" t="str">
            <v/>
          </cell>
          <cell r="K493"/>
          <cell r="L493"/>
          <cell r="M493" t="str">
            <v>Renseigner la réponse DCO</v>
          </cell>
          <cell r="N493" t="str">
            <v>Non concerné</v>
          </cell>
          <cell r="O493" t="str">
            <v>Non concerné</v>
          </cell>
          <cell r="P493"/>
          <cell r="Q493"/>
          <cell r="R493"/>
          <cell r="S493" t="str">
            <v/>
          </cell>
        </row>
        <row r="494">
          <cell r="A494" t="str">
            <v>El335f</v>
          </cell>
          <cell r="B494"/>
          <cell r="C494" t="str">
            <v>Sp</v>
          </cell>
          <cell r="D494" t="str">
            <v/>
          </cell>
          <cell r="E494"/>
          <cell r="F494" t="str">
            <v>Si non, cette obligation fait-elle l'objet d'un critère d'analyse des offres ?</v>
          </cell>
          <cell r="G494" t="str">
            <v xml:space="preserve">Liste choix unique </v>
          </cell>
          <cell r="H494" t="str">
            <v>Oui, cette obligation fait l'objet d'un critère d'analyse des offres;Non, absence de critère d'analyse des offres</v>
          </cell>
          <cell r="I494" t="str">
            <v>Non concerné pour l'offre</v>
          </cell>
          <cell r="J494" t="str">
            <v/>
          </cell>
          <cell r="K494" t="str">
            <v>VRAI</v>
          </cell>
          <cell r="L494"/>
          <cell r="M494" t="str">
            <v>Spécifique Offre</v>
          </cell>
          <cell r="N494" t="str">
            <v>Non concerné</v>
          </cell>
          <cell r="O494" t="str">
            <v>Non concerné</v>
          </cell>
          <cell r="P494"/>
          <cell r="Q494"/>
          <cell r="R494"/>
          <cell r="S494" t="str">
            <v/>
          </cell>
        </row>
        <row r="495">
          <cell r="A495" t="str">
            <v>El335g</v>
          </cell>
          <cell r="B495"/>
          <cell r="C495" t="str">
            <v>Sp</v>
          </cell>
          <cell r="D495" t="str">
            <v/>
          </cell>
          <cell r="E495"/>
          <cell r="F495" t="str">
            <v>Quelles sont les annexes à l'acte d'engagement pour chaque lot?</v>
          </cell>
          <cell r="G495" t="str">
            <v>Annexe 10 - Listes Annexes AE</v>
          </cell>
          <cell r="H495" t="str">
            <v>Annexe 10 - Listes Annexes AE</v>
          </cell>
          <cell r="I495" t="str">
            <v>10 - Listes Annexes AE</v>
          </cell>
          <cell r="J495" t="str">
            <v/>
          </cell>
          <cell r="K495"/>
          <cell r="L495"/>
          <cell r="M495" t="str">
            <v>Spécifique Offre</v>
          </cell>
          <cell r="N495" t="str">
            <v>Identique</v>
          </cell>
          <cell r="O495" t="str">
            <v>Non concerné</v>
          </cell>
          <cell r="P495"/>
          <cell r="Q495"/>
          <cell r="R495"/>
          <cell r="S495" t="str">
            <v/>
          </cell>
        </row>
        <row r="496">
          <cell r="A496" t="str">
            <v>El335e</v>
          </cell>
          <cell r="B496"/>
          <cell r="C496" t="str">
            <v>Sp</v>
          </cell>
          <cell r="D496" t="str">
            <v/>
          </cell>
          <cell r="E496"/>
          <cell r="F496" t="str">
            <v>Quels sont les autres documents du marché?</v>
          </cell>
          <cell r="G496" t="str">
            <v>Liste choix multiple</v>
          </cell>
          <cell r="H496" t="str">
            <v>CCP-COD;CCAP sans annexe;CCAP avec annexes;CCTP;Dossier Technique;Mémoire technique du titulaire;Fiches technico-commerciale;CCF</v>
          </cell>
          <cell r="I496" t="str">
            <v/>
          </cell>
          <cell r="J496" t="str">
            <v>x</v>
          </cell>
          <cell r="K496"/>
          <cell r="L496"/>
          <cell r="M496" t="str">
            <v>Renseigner la réponse DCO</v>
          </cell>
          <cell r="N496" t="str">
            <v>Non concerné</v>
          </cell>
          <cell r="O496" t="str">
            <v>Non concerné</v>
          </cell>
          <cell r="P496"/>
          <cell r="Q496"/>
          <cell r="R496"/>
          <cell r="S496" t="str">
            <v/>
          </cell>
        </row>
        <row r="497">
          <cell r="A497" t="str">
            <v>El335h</v>
          </cell>
          <cell r="B497"/>
          <cell r="C497" t="str">
            <v>Sp</v>
          </cell>
          <cell r="D497" t="str">
            <v/>
          </cell>
          <cell r="E497"/>
          <cell r="F497" t="str">
            <v>Si présence d'annexes au CCAP, préciser lesquelles</v>
          </cell>
          <cell r="G497" t="str">
            <v>Liste choix multiple</v>
          </cell>
          <cell r="H497" t="str">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ell>
          <cell r="I497" t="str">
            <v>Non concerné pour l'offre</v>
          </cell>
          <cell r="J497" t="str">
            <v/>
          </cell>
          <cell r="K497" t="str">
            <v>VRAI</v>
          </cell>
          <cell r="L497"/>
          <cell r="M497" t="str">
            <v>Spécifique Offre</v>
          </cell>
          <cell r="N497" t="str">
            <v>Non concerné</v>
          </cell>
          <cell r="O497" t="str">
            <v>Non concerné</v>
          </cell>
          <cell r="P497"/>
          <cell r="Q497"/>
          <cell r="R497"/>
          <cell r="S497" t="str">
            <v/>
          </cell>
        </row>
        <row r="498">
          <cell r="A498" t="str">
            <v>ElTT487</v>
          </cell>
          <cell r="B498"/>
          <cell r="C498" t="str">
            <v>Titre</v>
          </cell>
          <cell r="D498" t="str">
            <v/>
          </cell>
          <cell r="E498"/>
          <cell r="F498" t="str">
            <v>13.8 Embarquement client - Identifier et préciser de manière synthétique si des obligations / actions particulières/spécifiques sont envisagées en avant-vente (recueil besoin, devis, commande) à la charge :</v>
          </cell>
          <cell r="G498"/>
          <cell r="H498"/>
          <cell r="I498" t="str">
            <v/>
          </cell>
          <cell r="J498" t="str">
            <v/>
          </cell>
          <cell r="K498"/>
          <cell r="L498"/>
          <cell r="M498" t="str">
            <v/>
          </cell>
          <cell r="N498" t="str">
            <v>Non concerné</v>
          </cell>
          <cell r="O498" t="str">
            <v>Non concerné</v>
          </cell>
          <cell r="P498"/>
          <cell r="Q498"/>
          <cell r="R498"/>
          <cell r="S498" t="str">
            <v/>
          </cell>
        </row>
        <row r="499">
          <cell r="A499" t="str">
            <v>El304</v>
          </cell>
          <cell r="B499"/>
          <cell r="C499" t="str">
            <v>Sp</v>
          </cell>
          <cell r="D499" t="str">
            <v/>
          </cell>
          <cell r="E499"/>
          <cell r="F499" t="str">
            <v>Client</v>
          </cell>
          <cell r="G499" t="str">
            <v>Liste choix multiple</v>
          </cell>
          <cell r="H499" t="str">
            <v>Définition du besoin, acceptation du devis UGAP;Emission d’une commande client et signature des CGE;Non concerné pour l'offre</v>
          </cell>
          <cell r="I499" t="str">
            <v/>
          </cell>
          <cell r="J499" t="str">
            <v/>
          </cell>
          <cell r="K499"/>
          <cell r="L499"/>
          <cell r="M499" t="str">
            <v>Renseigner la réponse DCO</v>
          </cell>
          <cell r="N499" t="str">
            <v>Non concerné</v>
          </cell>
          <cell r="O499" t="str">
            <v>Non concerné</v>
          </cell>
          <cell r="P499"/>
          <cell r="Q499"/>
          <cell r="R499"/>
          <cell r="S499" t="str">
            <v>=</v>
          </cell>
        </row>
        <row r="500">
          <cell r="A500" t="str">
            <v>El305</v>
          </cell>
          <cell r="B500"/>
          <cell r="C500" t="str">
            <v>Sp</v>
          </cell>
          <cell r="D500" t="str">
            <v/>
          </cell>
          <cell r="E500"/>
          <cell r="F500" t="str">
            <v>Fournisseur</v>
          </cell>
          <cell r="G500" t="str">
            <v>Liste choix multiple</v>
          </cell>
          <cell r="H500" t="str">
            <v>Recueil des besoins;Remise d’un dossier technique à l’appui du devis qualification et solution technique;Non concerné pour l'offre</v>
          </cell>
          <cell r="I500" t="str">
            <v/>
          </cell>
          <cell r="J500" t="str">
            <v/>
          </cell>
          <cell r="K500"/>
          <cell r="L500"/>
          <cell r="M500" t="str">
            <v>Renseigner la réponse DCO</v>
          </cell>
          <cell r="N500" t="str">
            <v>Non concerné</v>
          </cell>
          <cell r="O500" t="str">
            <v>Non concerné</v>
          </cell>
          <cell r="P500"/>
          <cell r="Q500"/>
          <cell r="R500"/>
          <cell r="S500" t="str">
            <v>=</v>
          </cell>
        </row>
        <row r="501">
          <cell r="A501" t="str">
            <v>El306</v>
          </cell>
          <cell r="B501"/>
          <cell r="C501" t="str">
            <v>Sp</v>
          </cell>
          <cell r="D501" t="str">
            <v/>
          </cell>
          <cell r="E501"/>
          <cell r="F501" t="str">
            <v>UGAP</v>
          </cell>
          <cell r="G501" t="str">
            <v>Liste choix multiple</v>
          </cell>
          <cell r="H501" t="str">
            <v>Accompagnement client et réalisation devis/commande;Application du process de commande et veille à ce que celui-ci soit respecté tout au long du marché;D’une manière générale, amélioration de la qualité de service rendue au client;Non concerné pour l'offre</v>
          </cell>
          <cell r="I501" t="str">
            <v/>
          </cell>
          <cell r="J501" t="str">
            <v/>
          </cell>
          <cell r="K501"/>
          <cell r="L501"/>
          <cell r="M501" t="str">
            <v>Renseigner la réponse DCO</v>
          </cell>
          <cell r="N501" t="str">
            <v>Non concerné</v>
          </cell>
          <cell r="O501" t="str">
            <v>Non concerné</v>
          </cell>
          <cell r="P501"/>
          <cell r="Q501"/>
          <cell r="R501"/>
          <cell r="S501" t="str">
            <v>=</v>
          </cell>
        </row>
        <row r="502">
          <cell r="K502"/>
          <cell r="M502"/>
          <cell r="N502"/>
          <cell r="O502"/>
          <cell r="Q502"/>
          <cell r="R502"/>
          <cell r="S502"/>
        </row>
        <row r="503">
          <cell r="K503"/>
          <cell r="M503"/>
          <cell r="N503"/>
          <cell r="O503"/>
          <cell r="Q503"/>
          <cell r="R503"/>
          <cell r="S503"/>
        </row>
        <row r="504">
          <cell r="K504"/>
          <cell r="M504"/>
          <cell r="N504"/>
          <cell r="O504"/>
          <cell r="Q504"/>
          <cell r="R504"/>
          <cell r="S504"/>
        </row>
        <row r="505">
          <cell r="K505"/>
          <cell r="M505"/>
          <cell r="N505"/>
          <cell r="O505"/>
          <cell r="Q505"/>
          <cell r="R505"/>
          <cell r="S505"/>
        </row>
        <row r="506">
          <cell r="K506"/>
          <cell r="M506"/>
          <cell r="N506"/>
          <cell r="O506"/>
          <cell r="Q506"/>
          <cell r="R506"/>
          <cell r="S506"/>
        </row>
        <row r="507">
          <cell r="K507"/>
          <cell r="M507"/>
          <cell r="N507"/>
          <cell r="O507"/>
          <cell r="Q507"/>
          <cell r="R507"/>
          <cell r="S507"/>
        </row>
        <row r="508">
          <cell r="K508"/>
          <cell r="M508"/>
          <cell r="N508"/>
          <cell r="O508"/>
          <cell r="Q508"/>
          <cell r="R508"/>
          <cell r="S508"/>
        </row>
        <row r="509">
          <cell r="K509"/>
          <cell r="M509"/>
          <cell r="N509"/>
          <cell r="O509"/>
          <cell r="Q509"/>
          <cell r="R509"/>
          <cell r="S509"/>
        </row>
        <row r="510">
          <cell r="K510"/>
          <cell r="M510"/>
          <cell r="N510"/>
          <cell r="O510"/>
          <cell r="Q510"/>
          <cell r="R510"/>
          <cell r="S510"/>
        </row>
        <row r="511">
          <cell r="K511"/>
          <cell r="M511"/>
          <cell r="N511"/>
          <cell r="O511"/>
          <cell r="Q511"/>
          <cell r="R511"/>
          <cell r="S511"/>
        </row>
        <row r="512">
          <cell r="K512"/>
          <cell r="M512"/>
          <cell r="N512"/>
          <cell r="O512"/>
          <cell r="Q512"/>
          <cell r="R512"/>
          <cell r="S512"/>
        </row>
        <row r="513">
          <cell r="K513"/>
          <cell r="M513"/>
          <cell r="N513"/>
          <cell r="O513"/>
          <cell r="Q513"/>
          <cell r="R513"/>
          <cell r="S513"/>
        </row>
        <row r="514">
          <cell r="K514"/>
          <cell r="M514"/>
          <cell r="N514"/>
          <cell r="O514"/>
          <cell r="Q514"/>
          <cell r="R514"/>
          <cell r="S514"/>
        </row>
        <row r="515">
          <cell r="K515"/>
          <cell r="M515"/>
          <cell r="N515"/>
          <cell r="O515"/>
          <cell r="Q515"/>
          <cell r="R515"/>
          <cell r="S515"/>
        </row>
        <row r="516">
          <cell r="K516"/>
          <cell r="M516"/>
          <cell r="N516"/>
          <cell r="O516"/>
          <cell r="Q516"/>
          <cell r="R516"/>
          <cell r="S516"/>
        </row>
        <row r="517">
          <cell r="K517"/>
          <cell r="M517"/>
          <cell r="N517"/>
          <cell r="O517"/>
          <cell r="Q517"/>
          <cell r="R517"/>
          <cell r="S517"/>
        </row>
        <row r="518">
          <cell r="K518"/>
          <cell r="M518"/>
          <cell r="N518"/>
          <cell r="O518"/>
          <cell r="Q518"/>
          <cell r="R518"/>
          <cell r="S518"/>
        </row>
        <row r="519">
          <cell r="K519"/>
          <cell r="M519"/>
          <cell r="N519"/>
          <cell r="O519"/>
          <cell r="Q519"/>
          <cell r="R519"/>
          <cell r="S519"/>
        </row>
        <row r="520">
          <cell r="K520"/>
          <cell r="M520"/>
          <cell r="N520"/>
          <cell r="O520"/>
          <cell r="Q520"/>
          <cell r="R520"/>
          <cell r="S520"/>
        </row>
        <row r="521">
          <cell r="K521"/>
          <cell r="M521"/>
          <cell r="N521"/>
          <cell r="O521"/>
          <cell r="Q521"/>
          <cell r="R521"/>
          <cell r="S521"/>
        </row>
        <row r="522">
          <cell r="K522"/>
          <cell r="M522"/>
          <cell r="N522"/>
          <cell r="O522"/>
          <cell r="Q522"/>
          <cell r="R522"/>
          <cell r="S522"/>
        </row>
        <row r="523">
          <cell r="K523"/>
          <cell r="M523"/>
          <cell r="N523"/>
          <cell r="O523"/>
          <cell r="Q523"/>
          <cell r="R523"/>
          <cell r="S523"/>
        </row>
        <row r="524">
          <cell r="K524"/>
          <cell r="M524"/>
          <cell r="N524"/>
          <cell r="O524"/>
          <cell r="Q524"/>
          <cell r="R524"/>
          <cell r="S524"/>
        </row>
        <row r="525">
          <cell r="K525"/>
          <cell r="M525"/>
          <cell r="N525"/>
          <cell r="O525"/>
          <cell r="Q525"/>
          <cell r="R525"/>
          <cell r="S525"/>
        </row>
        <row r="526">
          <cell r="K526"/>
          <cell r="M526"/>
          <cell r="N526"/>
          <cell r="O526"/>
          <cell r="Q526"/>
          <cell r="R526"/>
          <cell r="S526"/>
        </row>
        <row r="527">
          <cell r="K527"/>
          <cell r="M527"/>
          <cell r="N527"/>
          <cell r="O527"/>
          <cell r="Q527"/>
          <cell r="R527"/>
          <cell r="S527"/>
        </row>
        <row r="528">
          <cell r="K528"/>
          <cell r="M528"/>
          <cell r="N528"/>
          <cell r="O528"/>
          <cell r="Q528"/>
          <cell r="R528"/>
          <cell r="S528"/>
        </row>
        <row r="529">
          <cell r="K529"/>
          <cell r="M529"/>
          <cell r="N529"/>
          <cell r="O529"/>
          <cell r="Q529"/>
          <cell r="R529"/>
          <cell r="S529"/>
        </row>
        <row r="530">
          <cell r="K530"/>
          <cell r="M530"/>
          <cell r="N530"/>
          <cell r="O530"/>
          <cell r="Q530"/>
          <cell r="R530"/>
          <cell r="S530"/>
        </row>
        <row r="531">
          <cell r="K531"/>
          <cell r="M531"/>
          <cell r="N531"/>
          <cell r="O531"/>
          <cell r="Q531"/>
          <cell r="R531"/>
          <cell r="S531"/>
        </row>
        <row r="532">
          <cell r="K532"/>
          <cell r="M532"/>
          <cell r="N532"/>
          <cell r="O532"/>
          <cell r="Q532"/>
          <cell r="R532"/>
          <cell r="S532"/>
        </row>
        <row r="533">
          <cell r="K533"/>
          <cell r="M533"/>
          <cell r="N533"/>
          <cell r="O533"/>
          <cell r="Q533"/>
          <cell r="R533"/>
          <cell r="S533"/>
        </row>
        <row r="534">
          <cell r="K534"/>
          <cell r="M534"/>
          <cell r="N534"/>
          <cell r="O534"/>
          <cell r="Q534"/>
          <cell r="R534"/>
          <cell r="S534"/>
        </row>
        <row r="535">
          <cell r="K535"/>
          <cell r="M535"/>
          <cell r="N535"/>
          <cell r="O535"/>
          <cell r="Q535"/>
          <cell r="R535"/>
          <cell r="S535"/>
        </row>
        <row r="536">
          <cell r="K536"/>
          <cell r="M536"/>
          <cell r="N536"/>
          <cell r="O536"/>
          <cell r="Q536"/>
          <cell r="R536"/>
          <cell r="S536"/>
        </row>
        <row r="537">
          <cell r="K537"/>
          <cell r="M537"/>
          <cell r="N537"/>
          <cell r="O537"/>
          <cell r="Q537"/>
          <cell r="R537"/>
          <cell r="S537"/>
        </row>
        <row r="538">
          <cell r="K538"/>
          <cell r="M538"/>
          <cell r="N538"/>
          <cell r="O538"/>
          <cell r="Q538"/>
          <cell r="R538"/>
          <cell r="S538"/>
        </row>
        <row r="539">
          <cell r="K539"/>
          <cell r="M539"/>
          <cell r="N539"/>
          <cell r="O539"/>
          <cell r="Q539"/>
          <cell r="R539"/>
          <cell r="S539"/>
        </row>
        <row r="540">
          <cell r="K540"/>
          <cell r="M540"/>
          <cell r="N540"/>
          <cell r="O540"/>
          <cell r="Q540"/>
          <cell r="R540"/>
          <cell r="S540"/>
        </row>
        <row r="541">
          <cell r="K541"/>
          <cell r="M541"/>
          <cell r="N541"/>
          <cell r="O541"/>
          <cell r="Q541"/>
          <cell r="R541"/>
          <cell r="S541"/>
        </row>
        <row r="542">
          <cell r="K542"/>
          <cell r="M542"/>
          <cell r="N542"/>
          <cell r="O542"/>
          <cell r="Q542"/>
          <cell r="R542"/>
          <cell r="S542"/>
        </row>
        <row r="543">
          <cell r="K543"/>
          <cell r="M543"/>
          <cell r="N543"/>
          <cell r="O543"/>
          <cell r="Q543"/>
          <cell r="R543"/>
          <cell r="S543"/>
        </row>
        <row r="544">
          <cell r="K544"/>
          <cell r="M544"/>
          <cell r="N544"/>
          <cell r="O544"/>
          <cell r="Q544"/>
          <cell r="R544"/>
          <cell r="S544"/>
        </row>
        <row r="545">
          <cell r="K545"/>
          <cell r="M545"/>
          <cell r="N545"/>
          <cell r="O545"/>
          <cell r="Q545"/>
          <cell r="R545"/>
          <cell r="S545"/>
        </row>
        <row r="546">
          <cell r="K546"/>
          <cell r="M546"/>
          <cell r="N546"/>
          <cell r="O546"/>
          <cell r="Q546"/>
          <cell r="R546"/>
          <cell r="S546"/>
        </row>
        <row r="547">
          <cell r="K547"/>
          <cell r="M547"/>
          <cell r="N547"/>
          <cell r="O547"/>
          <cell r="Q547"/>
          <cell r="R547"/>
          <cell r="S547"/>
        </row>
        <row r="548">
          <cell r="K548"/>
          <cell r="M548"/>
          <cell r="N548"/>
          <cell r="O548"/>
          <cell r="Q548"/>
          <cell r="R548"/>
          <cell r="S548"/>
        </row>
        <row r="549">
          <cell r="K549"/>
          <cell r="M549"/>
          <cell r="N549"/>
          <cell r="O549"/>
          <cell r="Q549"/>
          <cell r="R549"/>
          <cell r="S549"/>
        </row>
        <row r="550">
          <cell r="K550"/>
          <cell r="M550"/>
          <cell r="N550"/>
          <cell r="O550"/>
          <cell r="Q550"/>
          <cell r="R550"/>
          <cell r="S550"/>
        </row>
        <row r="551">
          <cell r="K551"/>
          <cell r="M551"/>
          <cell r="N551"/>
          <cell r="O551"/>
          <cell r="Q551"/>
          <cell r="R551"/>
          <cell r="S551"/>
        </row>
        <row r="552">
          <cell r="K552"/>
          <cell r="M552"/>
          <cell r="N552"/>
          <cell r="O552"/>
          <cell r="Q552"/>
          <cell r="R552"/>
          <cell r="S552"/>
        </row>
        <row r="553">
          <cell r="K553"/>
          <cell r="M553"/>
          <cell r="N553"/>
          <cell r="O553"/>
          <cell r="Q553"/>
          <cell r="R553"/>
          <cell r="S553"/>
        </row>
        <row r="554">
          <cell r="K554"/>
          <cell r="M554"/>
          <cell r="N554"/>
          <cell r="O554"/>
          <cell r="Q554"/>
          <cell r="R554"/>
          <cell r="S554"/>
        </row>
        <row r="555">
          <cell r="K555"/>
          <cell r="M555"/>
          <cell r="N555"/>
          <cell r="O555"/>
          <cell r="Q555"/>
          <cell r="R555"/>
          <cell r="S555"/>
        </row>
        <row r="556">
          <cell r="K556"/>
          <cell r="M556"/>
          <cell r="N556"/>
          <cell r="O556"/>
          <cell r="Q556"/>
          <cell r="R556"/>
          <cell r="S556"/>
        </row>
        <row r="557">
          <cell r="K557"/>
          <cell r="M557"/>
          <cell r="N557"/>
          <cell r="O557"/>
          <cell r="Q557"/>
          <cell r="R557"/>
          <cell r="S557"/>
        </row>
        <row r="558">
          <cell r="K558"/>
          <cell r="M558"/>
          <cell r="N558"/>
          <cell r="O558"/>
          <cell r="Q558"/>
          <cell r="R558"/>
          <cell r="S558"/>
        </row>
        <row r="559">
          <cell r="K559"/>
          <cell r="M559"/>
          <cell r="N559"/>
          <cell r="O559"/>
          <cell r="Q559"/>
          <cell r="R559"/>
          <cell r="S559"/>
        </row>
        <row r="560">
          <cell r="K560"/>
          <cell r="M560"/>
          <cell r="N560"/>
          <cell r="O560"/>
          <cell r="Q560"/>
          <cell r="R560"/>
          <cell r="S560"/>
        </row>
        <row r="561">
          <cell r="K561"/>
          <cell r="M561"/>
          <cell r="N561"/>
          <cell r="O561"/>
          <cell r="Q561"/>
          <cell r="R561"/>
          <cell r="S561"/>
        </row>
        <row r="562">
          <cell r="K562"/>
          <cell r="M562"/>
          <cell r="N562"/>
          <cell r="O562"/>
          <cell r="Q562"/>
          <cell r="R562"/>
          <cell r="S562"/>
        </row>
        <row r="563">
          <cell r="K563"/>
          <cell r="M563"/>
          <cell r="N563"/>
          <cell r="O563"/>
          <cell r="Q563"/>
          <cell r="R563"/>
          <cell r="S563"/>
        </row>
        <row r="564">
          <cell r="K564"/>
          <cell r="M564"/>
          <cell r="N564"/>
          <cell r="O564"/>
          <cell r="Q564"/>
          <cell r="R564"/>
          <cell r="S564"/>
        </row>
        <row r="565">
          <cell r="K565"/>
          <cell r="M565"/>
          <cell r="N565"/>
          <cell r="O565"/>
          <cell r="Q565"/>
          <cell r="R565"/>
          <cell r="S565"/>
        </row>
        <row r="566">
          <cell r="K566"/>
          <cell r="M566"/>
          <cell r="N566"/>
          <cell r="O566"/>
          <cell r="Q566"/>
          <cell r="R566"/>
          <cell r="S566"/>
        </row>
        <row r="567">
          <cell r="K567"/>
          <cell r="M567"/>
          <cell r="N567"/>
          <cell r="O567"/>
          <cell r="Q567"/>
          <cell r="R567"/>
          <cell r="S567"/>
        </row>
        <row r="568">
          <cell r="K568"/>
          <cell r="M568"/>
          <cell r="N568"/>
          <cell r="O568"/>
          <cell r="Q568"/>
          <cell r="R568"/>
          <cell r="S568"/>
        </row>
        <row r="569">
          <cell r="K569"/>
          <cell r="M569"/>
          <cell r="N569"/>
          <cell r="O569"/>
          <cell r="Q569"/>
          <cell r="R569"/>
          <cell r="S569"/>
        </row>
        <row r="570">
          <cell r="K570"/>
          <cell r="M570"/>
          <cell r="N570"/>
          <cell r="O570"/>
          <cell r="Q570"/>
          <cell r="R570"/>
          <cell r="S570"/>
        </row>
        <row r="571">
          <cell r="K571"/>
          <cell r="M571"/>
          <cell r="N571"/>
          <cell r="O571"/>
          <cell r="Q571"/>
          <cell r="R571"/>
          <cell r="S571"/>
        </row>
        <row r="572">
          <cell r="K572"/>
          <cell r="M572"/>
          <cell r="N572"/>
          <cell r="O572"/>
          <cell r="Q572"/>
          <cell r="R572"/>
          <cell r="S572"/>
        </row>
        <row r="573">
          <cell r="K573"/>
          <cell r="M573"/>
          <cell r="N573"/>
          <cell r="O573"/>
          <cell r="Q573"/>
          <cell r="R573"/>
          <cell r="S573"/>
        </row>
        <row r="574">
          <cell r="K574"/>
          <cell r="M574"/>
          <cell r="N574"/>
          <cell r="O574"/>
          <cell r="Q574"/>
          <cell r="R574"/>
          <cell r="S574"/>
        </row>
        <row r="575">
          <cell r="K575"/>
          <cell r="M575"/>
          <cell r="N575"/>
          <cell r="O575"/>
          <cell r="Q575"/>
          <cell r="R575"/>
          <cell r="S575"/>
        </row>
        <row r="576">
          <cell r="K576"/>
          <cell r="M576"/>
          <cell r="N576"/>
          <cell r="O576"/>
          <cell r="Q576"/>
          <cell r="R576"/>
          <cell r="S576"/>
        </row>
        <row r="577">
          <cell r="K577"/>
          <cell r="M577"/>
          <cell r="N577"/>
          <cell r="O577"/>
          <cell r="Q577"/>
          <cell r="R577"/>
          <cell r="S577"/>
        </row>
        <row r="578">
          <cell r="K578"/>
          <cell r="M578"/>
          <cell r="N578"/>
          <cell r="O578"/>
          <cell r="Q578"/>
          <cell r="R578"/>
          <cell r="S578"/>
        </row>
        <row r="579">
          <cell r="K579"/>
          <cell r="M579"/>
          <cell r="N579"/>
          <cell r="O579"/>
          <cell r="Q579"/>
          <cell r="R579"/>
          <cell r="S579"/>
        </row>
        <row r="580">
          <cell r="K580"/>
          <cell r="M580"/>
          <cell r="N580"/>
          <cell r="O580"/>
          <cell r="Q580"/>
          <cell r="R580"/>
          <cell r="S580"/>
        </row>
        <row r="581">
          <cell r="K581"/>
          <cell r="M581"/>
          <cell r="N581"/>
          <cell r="O581"/>
          <cell r="Q581"/>
          <cell r="R581"/>
          <cell r="S581"/>
        </row>
        <row r="582">
          <cell r="K582"/>
          <cell r="M582"/>
          <cell r="N582"/>
          <cell r="O582"/>
          <cell r="Q582"/>
          <cell r="R582"/>
          <cell r="S582"/>
        </row>
        <row r="583">
          <cell r="K583"/>
          <cell r="M583"/>
          <cell r="N583"/>
          <cell r="O583"/>
          <cell r="Q583"/>
          <cell r="R583"/>
          <cell r="S583"/>
        </row>
        <row r="584">
          <cell r="K584"/>
          <cell r="M584"/>
          <cell r="N584"/>
          <cell r="O584"/>
          <cell r="Q584"/>
          <cell r="R584"/>
          <cell r="S584"/>
        </row>
        <row r="585">
          <cell r="K585"/>
          <cell r="M585"/>
          <cell r="N585"/>
          <cell r="O585"/>
          <cell r="Q585"/>
          <cell r="R585"/>
          <cell r="S585"/>
        </row>
        <row r="586">
          <cell r="K586"/>
          <cell r="M586"/>
          <cell r="N586"/>
          <cell r="O586"/>
          <cell r="Q586"/>
          <cell r="R586"/>
          <cell r="S586"/>
        </row>
        <row r="587">
          <cell r="K587"/>
          <cell r="M587"/>
          <cell r="N587"/>
          <cell r="O587"/>
          <cell r="Q587"/>
          <cell r="R587"/>
          <cell r="S587"/>
        </row>
        <row r="588">
          <cell r="K588"/>
          <cell r="M588"/>
          <cell r="N588"/>
          <cell r="O588"/>
          <cell r="Q588"/>
          <cell r="R588"/>
          <cell r="S588"/>
        </row>
        <row r="589">
          <cell r="K589"/>
          <cell r="M589"/>
          <cell r="N589"/>
          <cell r="O589"/>
          <cell r="Q589"/>
          <cell r="R589"/>
          <cell r="S589"/>
        </row>
        <row r="590">
          <cell r="K590"/>
          <cell r="M590"/>
          <cell r="N590"/>
          <cell r="O590"/>
          <cell r="Q590"/>
          <cell r="R590"/>
          <cell r="S590"/>
        </row>
        <row r="591">
          <cell r="K591"/>
          <cell r="M591"/>
          <cell r="N591"/>
          <cell r="O591"/>
          <cell r="Q591"/>
          <cell r="R591"/>
          <cell r="S591"/>
        </row>
        <row r="592">
          <cell r="K592"/>
          <cell r="M592"/>
          <cell r="N592"/>
          <cell r="O592"/>
          <cell r="Q592"/>
          <cell r="R592"/>
          <cell r="S592"/>
        </row>
        <row r="593">
          <cell r="K593"/>
          <cell r="M593"/>
          <cell r="N593"/>
          <cell r="O593"/>
          <cell r="Q593"/>
          <cell r="R593"/>
          <cell r="S593"/>
        </row>
        <row r="594">
          <cell r="K594"/>
          <cell r="M594"/>
          <cell r="N594"/>
          <cell r="O594"/>
          <cell r="Q594"/>
          <cell r="R594"/>
          <cell r="S594"/>
        </row>
        <row r="595">
          <cell r="K595"/>
          <cell r="M595"/>
          <cell r="N595"/>
          <cell r="O595"/>
          <cell r="Q595"/>
          <cell r="R595"/>
          <cell r="S595"/>
        </row>
        <row r="596">
          <cell r="K596"/>
          <cell r="M596"/>
          <cell r="N596"/>
          <cell r="O596"/>
          <cell r="Q596"/>
          <cell r="R596"/>
          <cell r="S596"/>
        </row>
        <row r="597">
          <cell r="K597"/>
          <cell r="M597"/>
          <cell r="N597"/>
          <cell r="O597"/>
          <cell r="Q597"/>
          <cell r="R597"/>
          <cell r="S597"/>
        </row>
        <row r="598">
          <cell r="K598"/>
          <cell r="M598"/>
          <cell r="N598"/>
          <cell r="O598"/>
          <cell r="Q598"/>
          <cell r="R598"/>
          <cell r="S598"/>
        </row>
        <row r="599">
          <cell r="K599"/>
          <cell r="M599"/>
          <cell r="N599"/>
          <cell r="O599"/>
          <cell r="Q599"/>
          <cell r="R599"/>
          <cell r="S599"/>
        </row>
        <row r="600">
          <cell r="K600"/>
          <cell r="M600"/>
          <cell r="N600"/>
          <cell r="O600"/>
          <cell r="Q600"/>
          <cell r="R600"/>
          <cell r="S600"/>
        </row>
        <row r="601">
          <cell r="K601"/>
          <cell r="M601"/>
          <cell r="N601"/>
          <cell r="O601"/>
          <cell r="Q601"/>
          <cell r="R601"/>
          <cell r="S601"/>
        </row>
        <row r="602">
          <cell r="K602"/>
          <cell r="M602"/>
          <cell r="N602"/>
          <cell r="O602"/>
          <cell r="Q602"/>
          <cell r="R602"/>
          <cell r="S602"/>
        </row>
        <row r="603">
          <cell r="K603"/>
          <cell r="M603"/>
          <cell r="N603"/>
          <cell r="O603"/>
          <cell r="Q603"/>
          <cell r="R603"/>
          <cell r="S603"/>
        </row>
        <row r="604">
          <cell r="K604"/>
          <cell r="M604"/>
          <cell r="N604"/>
          <cell r="O604"/>
          <cell r="Q604"/>
          <cell r="R604"/>
          <cell r="S604"/>
        </row>
        <row r="605">
          <cell r="K605"/>
          <cell r="M605"/>
          <cell r="N605"/>
          <cell r="O605"/>
          <cell r="Q605"/>
          <cell r="R605"/>
          <cell r="S605"/>
        </row>
        <row r="606">
          <cell r="K606"/>
          <cell r="M606"/>
          <cell r="N606"/>
          <cell r="O606"/>
          <cell r="Q606"/>
          <cell r="R606"/>
          <cell r="S606"/>
        </row>
        <row r="607">
          <cell r="K607"/>
          <cell r="M607"/>
          <cell r="N607"/>
          <cell r="O607"/>
          <cell r="Q607"/>
          <cell r="R607"/>
          <cell r="S607"/>
        </row>
        <row r="608">
          <cell r="K608"/>
          <cell r="M608"/>
          <cell r="N608"/>
          <cell r="O608"/>
          <cell r="Q608"/>
          <cell r="R608"/>
          <cell r="S608"/>
        </row>
        <row r="609">
          <cell r="K609"/>
          <cell r="M609"/>
          <cell r="N609"/>
          <cell r="O609"/>
          <cell r="Q609"/>
          <cell r="R609"/>
          <cell r="S609"/>
        </row>
        <row r="610">
          <cell r="K610"/>
          <cell r="M610"/>
          <cell r="N610"/>
          <cell r="O610"/>
          <cell r="Q610"/>
          <cell r="R610"/>
          <cell r="S610"/>
        </row>
        <row r="611">
          <cell r="K611"/>
          <cell r="M611"/>
          <cell r="N611"/>
          <cell r="O611"/>
          <cell r="Q611"/>
          <cell r="R611"/>
          <cell r="S611"/>
        </row>
        <row r="612">
          <cell r="K612"/>
          <cell r="M612"/>
          <cell r="N612"/>
          <cell r="O612"/>
          <cell r="Q612"/>
          <cell r="R612"/>
          <cell r="S612"/>
        </row>
        <row r="613">
          <cell r="K613"/>
          <cell r="M613"/>
          <cell r="N613"/>
          <cell r="O613"/>
          <cell r="Q613"/>
          <cell r="R613"/>
          <cell r="S613"/>
        </row>
        <row r="614">
          <cell r="K614"/>
          <cell r="M614"/>
          <cell r="N614"/>
          <cell r="O614"/>
          <cell r="Q614"/>
          <cell r="R614"/>
          <cell r="S614"/>
        </row>
        <row r="615">
          <cell r="K615"/>
          <cell r="M615"/>
          <cell r="N615"/>
          <cell r="O615"/>
          <cell r="Q615"/>
          <cell r="R615"/>
          <cell r="S615"/>
        </row>
        <row r="616">
          <cell r="K616"/>
          <cell r="M616"/>
          <cell r="N616"/>
          <cell r="O616"/>
          <cell r="Q616"/>
          <cell r="R616"/>
          <cell r="S616"/>
        </row>
        <row r="617">
          <cell r="K617"/>
          <cell r="M617"/>
          <cell r="N617"/>
          <cell r="O617"/>
          <cell r="Q617"/>
          <cell r="R617"/>
          <cell r="S617"/>
        </row>
        <row r="618">
          <cell r="K618"/>
          <cell r="M618"/>
          <cell r="N618"/>
          <cell r="O618"/>
          <cell r="Q618"/>
          <cell r="R618"/>
          <cell r="S618"/>
        </row>
        <row r="619">
          <cell r="K619"/>
          <cell r="M619"/>
          <cell r="N619"/>
          <cell r="O619"/>
          <cell r="Q619"/>
          <cell r="R619"/>
          <cell r="S619"/>
        </row>
        <row r="620">
          <cell r="K620"/>
          <cell r="M620"/>
          <cell r="N620"/>
          <cell r="O620"/>
          <cell r="Q620"/>
          <cell r="R620"/>
          <cell r="S620"/>
        </row>
        <row r="621">
          <cell r="K621"/>
          <cell r="M621"/>
          <cell r="N621"/>
          <cell r="O621"/>
          <cell r="Q621"/>
          <cell r="R621"/>
          <cell r="S621"/>
        </row>
        <row r="622">
          <cell r="K622"/>
          <cell r="M622"/>
          <cell r="N622"/>
          <cell r="O622"/>
          <cell r="Q622"/>
          <cell r="R622"/>
          <cell r="S622"/>
        </row>
        <row r="623">
          <cell r="K623"/>
          <cell r="M623"/>
          <cell r="N623"/>
          <cell r="O623"/>
          <cell r="Q623"/>
          <cell r="R623"/>
          <cell r="S623"/>
        </row>
        <row r="624">
          <cell r="K624"/>
          <cell r="M624"/>
          <cell r="N624"/>
          <cell r="O624"/>
          <cell r="Q624"/>
          <cell r="R624"/>
          <cell r="S624"/>
        </row>
        <row r="625">
          <cell r="K625"/>
          <cell r="M625"/>
          <cell r="N625"/>
          <cell r="O625"/>
          <cell r="Q625"/>
          <cell r="R625"/>
          <cell r="S625"/>
        </row>
        <row r="626">
          <cell r="K626"/>
          <cell r="M626"/>
          <cell r="N626"/>
          <cell r="O626"/>
          <cell r="Q626"/>
          <cell r="R626"/>
          <cell r="S626"/>
        </row>
        <row r="627">
          <cell r="K627"/>
          <cell r="M627"/>
          <cell r="N627"/>
          <cell r="O627"/>
          <cell r="Q627"/>
          <cell r="R627"/>
          <cell r="S627"/>
        </row>
        <row r="628">
          <cell r="K628"/>
          <cell r="M628"/>
          <cell r="N628"/>
          <cell r="O628"/>
          <cell r="Q628"/>
          <cell r="R628"/>
          <cell r="S628"/>
        </row>
        <row r="629">
          <cell r="K629"/>
          <cell r="M629"/>
          <cell r="N629"/>
          <cell r="O629"/>
          <cell r="Q629"/>
          <cell r="R629"/>
          <cell r="S629"/>
        </row>
        <row r="630">
          <cell r="K630"/>
          <cell r="M630"/>
          <cell r="N630"/>
          <cell r="O630"/>
          <cell r="Q630"/>
          <cell r="R630"/>
          <cell r="S630"/>
        </row>
        <row r="631">
          <cell r="K631"/>
          <cell r="M631"/>
          <cell r="N631"/>
          <cell r="O631"/>
          <cell r="Q631"/>
          <cell r="R631"/>
          <cell r="S631"/>
        </row>
        <row r="632">
          <cell r="K632"/>
          <cell r="M632"/>
          <cell r="N632"/>
          <cell r="O632"/>
          <cell r="Q632"/>
          <cell r="R632"/>
          <cell r="S632"/>
        </row>
        <row r="633">
          <cell r="K633"/>
          <cell r="M633"/>
          <cell r="N633"/>
          <cell r="O633"/>
          <cell r="Q633"/>
          <cell r="R633"/>
          <cell r="S633"/>
        </row>
        <row r="634">
          <cell r="K634"/>
          <cell r="M634"/>
          <cell r="N634"/>
          <cell r="O634"/>
          <cell r="Q634"/>
          <cell r="R634"/>
          <cell r="S634"/>
        </row>
        <row r="635">
          <cell r="K635"/>
          <cell r="M635"/>
          <cell r="N635"/>
          <cell r="O635"/>
          <cell r="Q635"/>
          <cell r="R635"/>
          <cell r="S635"/>
        </row>
        <row r="636">
          <cell r="K636"/>
          <cell r="M636"/>
          <cell r="N636"/>
          <cell r="O636"/>
          <cell r="Q636"/>
          <cell r="R636"/>
          <cell r="S636"/>
        </row>
        <row r="637">
          <cell r="K637"/>
          <cell r="M637"/>
          <cell r="N637"/>
          <cell r="O637"/>
          <cell r="Q637"/>
          <cell r="R637"/>
          <cell r="S637"/>
        </row>
        <row r="638">
          <cell r="K638"/>
          <cell r="M638"/>
          <cell r="N638"/>
          <cell r="O638"/>
          <cell r="Q638"/>
          <cell r="R638"/>
          <cell r="S638"/>
        </row>
        <row r="639">
          <cell r="K639"/>
          <cell r="M639"/>
          <cell r="N639"/>
          <cell r="O639"/>
          <cell r="Q639"/>
          <cell r="R639"/>
          <cell r="S639"/>
        </row>
        <row r="640">
          <cell r="K640"/>
          <cell r="M640"/>
          <cell r="N640"/>
          <cell r="O640"/>
          <cell r="Q640"/>
          <cell r="R640"/>
          <cell r="S640"/>
        </row>
        <row r="641">
          <cell r="K641"/>
          <cell r="M641"/>
          <cell r="N641"/>
          <cell r="O641"/>
          <cell r="Q641"/>
          <cell r="R641"/>
          <cell r="S641"/>
        </row>
        <row r="642">
          <cell r="K642"/>
          <cell r="M642"/>
          <cell r="N642"/>
          <cell r="O642"/>
          <cell r="Q642"/>
          <cell r="R642"/>
          <cell r="S642"/>
        </row>
        <row r="643">
          <cell r="K643"/>
          <cell r="M643"/>
          <cell r="N643"/>
          <cell r="O643"/>
          <cell r="Q643"/>
          <cell r="R643"/>
          <cell r="S643"/>
        </row>
        <row r="644">
          <cell r="K644"/>
          <cell r="M644"/>
          <cell r="N644"/>
          <cell r="O644"/>
          <cell r="Q644"/>
          <cell r="R644"/>
          <cell r="S644"/>
        </row>
        <row r="645">
          <cell r="K645"/>
          <cell r="M645"/>
          <cell r="N645"/>
          <cell r="O645"/>
          <cell r="Q645"/>
          <cell r="R645"/>
          <cell r="S645"/>
        </row>
        <row r="646">
          <cell r="K646"/>
          <cell r="M646"/>
          <cell r="N646"/>
          <cell r="O646"/>
          <cell r="Q646"/>
          <cell r="R646"/>
          <cell r="S646"/>
        </row>
        <row r="647">
          <cell r="K647"/>
          <cell r="M647"/>
          <cell r="N647"/>
          <cell r="O647"/>
          <cell r="Q647"/>
          <cell r="R647"/>
          <cell r="S647"/>
        </row>
        <row r="648">
          <cell r="K648"/>
          <cell r="M648"/>
          <cell r="N648"/>
          <cell r="O648"/>
          <cell r="Q648"/>
          <cell r="R648"/>
          <cell r="S648"/>
        </row>
        <row r="649">
          <cell r="K649"/>
          <cell r="M649"/>
          <cell r="N649"/>
          <cell r="O649"/>
          <cell r="Q649"/>
          <cell r="R649"/>
          <cell r="S649"/>
        </row>
        <row r="650">
          <cell r="K650"/>
          <cell r="M650"/>
          <cell r="N650"/>
          <cell r="O650"/>
          <cell r="Q650"/>
          <cell r="R650"/>
          <cell r="S650"/>
        </row>
        <row r="651">
          <cell r="K651"/>
          <cell r="M651"/>
          <cell r="N651"/>
          <cell r="O651"/>
          <cell r="Q651"/>
          <cell r="R651"/>
          <cell r="S651"/>
        </row>
        <row r="652">
          <cell r="K652"/>
          <cell r="M652"/>
          <cell r="N652"/>
          <cell r="O652"/>
          <cell r="Q652"/>
          <cell r="R652"/>
          <cell r="S652"/>
        </row>
        <row r="653">
          <cell r="K653"/>
          <cell r="M653"/>
          <cell r="N653"/>
          <cell r="O653"/>
          <cell r="Q653"/>
          <cell r="R653"/>
          <cell r="S653"/>
        </row>
        <row r="654">
          <cell r="K654"/>
          <cell r="M654"/>
          <cell r="N654"/>
          <cell r="O654"/>
          <cell r="Q654"/>
          <cell r="R654"/>
          <cell r="S654"/>
        </row>
        <row r="655">
          <cell r="K655"/>
          <cell r="M655"/>
          <cell r="N655"/>
          <cell r="O655"/>
          <cell r="Q655"/>
          <cell r="R655"/>
          <cell r="S655"/>
        </row>
        <row r="656">
          <cell r="K656"/>
          <cell r="M656"/>
          <cell r="N656"/>
          <cell r="O656"/>
          <cell r="Q656"/>
          <cell r="R656"/>
          <cell r="S656"/>
        </row>
        <row r="657">
          <cell r="K657"/>
          <cell r="M657"/>
          <cell r="N657"/>
          <cell r="O657"/>
          <cell r="Q657"/>
          <cell r="R657"/>
          <cell r="S657"/>
        </row>
        <row r="658">
          <cell r="K658"/>
          <cell r="M658"/>
          <cell r="N658"/>
          <cell r="O658"/>
          <cell r="Q658"/>
          <cell r="R658"/>
          <cell r="S658"/>
        </row>
        <row r="659">
          <cell r="K659"/>
          <cell r="M659"/>
          <cell r="N659"/>
          <cell r="O659"/>
          <cell r="Q659"/>
          <cell r="R659"/>
          <cell r="S659"/>
        </row>
        <row r="660">
          <cell r="K660"/>
          <cell r="M660"/>
          <cell r="N660"/>
          <cell r="O660"/>
          <cell r="Q660"/>
          <cell r="R660"/>
          <cell r="S660"/>
        </row>
        <row r="661">
          <cell r="K661"/>
          <cell r="M661"/>
          <cell r="N661"/>
          <cell r="O661"/>
          <cell r="Q661"/>
          <cell r="R661"/>
          <cell r="S661"/>
        </row>
        <row r="662">
          <cell r="K662"/>
          <cell r="M662"/>
          <cell r="N662"/>
          <cell r="O662"/>
          <cell r="Q662"/>
          <cell r="R662"/>
          <cell r="S662"/>
        </row>
        <row r="663">
          <cell r="K663"/>
          <cell r="M663"/>
          <cell r="N663"/>
          <cell r="O663"/>
          <cell r="Q663"/>
          <cell r="R663"/>
          <cell r="S663"/>
        </row>
        <row r="664">
          <cell r="K664"/>
          <cell r="M664"/>
          <cell r="N664"/>
          <cell r="O664"/>
          <cell r="Q664"/>
          <cell r="R664"/>
          <cell r="S664"/>
        </row>
        <row r="665">
          <cell r="K665"/>
          <cell r="M665"/>
          <cell r="N665"/>
          <cell r="O665"/>
          <cell r="Q665"/>
          <cell r="R665"/>
          <cell r="S665"/>
        </row>
        <row r="666">
          <cell r="K666"/>
          <cell r="M666"/>
          <cell r="N666"/>
          <cell r="O666"/>
          <cell r="Q666"/>
          <cell r="R666"/>
          <cell r="S666"/>
        </row>
        <row r="667">
          <cell r="K667"/>
          <cell r="M667"/>
          <cell r="N667"/>
          <cell r="O667"/>
          <cell r="Q667"/>
          <cell r="R667"/>
          <cell r="S667"/>
        </row>
        <row r="668">
          <cell r="K668"/>
          <cell r="M668"/>
          <cell r="N668"/>
          <cell r="O668"/>
          <cell r="Q668"/>
          <cell r="R668"/>
          <cell r="S668"/>
        </row>
        <row r="669">
          <cell r="K669"/>
          <cell r="M669"/>
          <cell r="N669"/>
          <cell r="O669"/>
          <cell r="Q669"/>
          <cell r="R669"/>
          <cell r="S669"/>
        </row>
        <row r="670">
          <cell r="K670"/>
          <cell r="M670"/>
          <cell r="N670"/>
          <cell r="O670"/>
          <cell r="Q670"/>
          <cell r="R670"/>
          <cell r="S670"/>
        </row>
        <row r="671">
          <cell r="K671"/>
          <cell r="M671"/>
          <cell r="N671"/>
          <cell r="O671"/>
          <cell r="Q671"/>
          <cell r="R671"/>
          <cell r="S671"/>
        </row>
        <row r="672">
          <cell r="K672"/>
          <cell r="M672"/>
          <cell r="N672"/>
          <cell r="O672"/>
          <cell r="Q672"/>
          <cell r="R672"/>
          <cell r="S672"/>
        </row>
        <row r="673">
          <cell r="K673"/>
          <cell r="M673"/>
          <cell r="N673"/>
          <cell r="O673"/>
          <cell r="Q673"/>
          <cell r="R673"/>
          <cell r="S673"/>
        </row>
        <row r="674">
          <cell r="K674"/>
          <cell r="M674"/>
          <cell r="N674"/>
          <cell r="O674"/>
          <cell r="Q674"/>
          <cell r="R674"/>
          <cell r="S674"/>
        </row>
        <row r="675">
          <cell r="K675"/>
          <cell r="M675"/>
          <cell r="N675"/>
          <cell r="O675"/>
          <cell r="Q675"/>
          <cell r="R675"/>
          <cell r="S675"/>
        </row>
        <row r="676">
          <cell r="K676"/>
          <cell r="M676"/>
          <cell r="N676"/>
          <cell r="O676"/>
          <cell r="Q676"/>
          <cell r="R676"/>
          <cell r="S676"/>
        </row>
        <row r="677">
          <cell r="K677"/>
          <cell r="M677"/>
          <cell r="N677"/>
          <cell r="O677"/>
          <cell r="Q677"/>
          <cell r="R677"/>
          <cell r="S677"/>
        </row>
        <row r="678">
          <cell r="K678"/>
          <cell r="M678"/>
          <cell r="N678"/>
          <cell r="O678"/>
          <cell r="Q678"/>
          <cell r="R678"/>
          <cell r="S678"/>
        </row>
        <row r="679">
          <cell r="K679"/>
          <cell r="M679"/>
          <cell r="N679"/>
          <cell r="O679"/>
          <cell r="Q679"/>
          <cell r="R679"/>
          <cell r="S679"/>
        </row>
        <row r="680">
          <cell r="K680"/>
          <cell r="M680"/>
          <cell r="N680"/>
          <cell r="O680"/>
          <cell r="Q680"/>
          <cell r="R680"/>
          <cell r="S680"/>
        </row>
        <row r="681">
          <cell r="K681"/>
          <cell r="M681"/>
          <cell r="N681"/>
          <cell r="O681"/>
          <cell r="Q681"/>
          <cell r="R681"/>
          <cell r="S681"/>
        </row>
        <row r="682">
          <cell r="K682"/>
          <cell r="M682"/>
          <cell r="N682"/>
          <cell r="O682"/>
          <cell r="Q682"/>
          <cell r="R682"/>
          <cell r="S682"/>
        </row>
        <row r="683">
          <cell r="K683"/>
          <cell r="M683"/>
          <cell r="N683"/>
          <cell r="O683"/>
          <cell r="Q683"/>
          <cell r="R683"/>
          <cell r="S683"/>
        </row>
        <row r="684">
          <cell r="K684"/>
          <cell r="M684"/>
          <cell r="N684"/>
          <cell r="O684"/>
          <cell r="Q684"/>
          <cell r="R684"/>
          <cell r="S684"/>
        </row>
        <row r="685">
          <cell r="K685"/>
          <cell r="M685"/>
          <cell r="N685"/>
          <cell r="O685"/>
          <cell r="Q685"/>
          <cell r="R685"/>
          <cell r="S685"/>
        </row>
        <row r="686">
          <cell r="K686"/>
          <cell r="M686"/>
          <cell r="N686"/>
          <cell r="O686"/>
          <cell r="Q686"/>
          <cell r="R686"/>
          <cell r="S686"/>
        </row>
        <row r="687">
          <cell r="K687"/>
          <cell r="M687"/>
          <cell r="N687"/>
          <cell r="O687"/>
          <cell r="Q687"/>
          <cell r="R687"/>
          <cell r="S687"/>
        </row>
        <row r="688">
          <cell r="K688"/>
          <cell r="M688"/>
          <cell r="N688"/>
          <cell r="O688"/>
          <cell r="Q688"/>
          <cell r="R688"/>
          <cell r="S688"/>
        </row>
        <row r="689">
          <cell r="K689"/>
          <cell r="M689"/>
          <cell r="N689"/>
          <cell r="O689"/>
          <cell r="Q689"/>
          <cell r="R689"/>
          <cell r="S689"/>
        </row>
        <row r="690">
          <cell r="K690"/>
          <cell r="M690"/>
          <cell r="N690"/>
          <cell r="O690"/>
          <cell r="Q690"/>
          <cell r="R690"/>
          <cell r="S690"/>
        </row>
        <row r="691">
          <cell r="K691"/>
          <cell r="M691"/>
          <cell r="N691"/>
          <cell r="O691"/>
          <cell r="Q691"/>
          <cell r="R691"/>
          <cell r="S691"/>
        </row>
        <row r="692">
          <cell r="K692"/>
          <cell r="M692"/>
          <cell r="N692"/>
          <cell r="O692"/>
          <cell r="Q692"/>
          <cell r="R692"/>
          <cell r="S692"/>
        </row>
        <row r="693">
          <cell r="K693"/>
          <cell r="M693"/>
          <cell r="N693"/>
          <cell r="O693"/>
          <cell r="Q693"/>
          <cell r="R693"/>
          <cell r="S693"/>
        </row>
        <row r="694">
          <cell r="K694"/>
          <cell r="M694"/>
          <cell r="N694"/>
          <cell r="O694"/>
          <cell r="Q694"/>
          <cell r="R694"/>
          <cell r="S694"/>
        </row>
        <row r="695">
          <cell r="K695"/>
          <cell r="M695"/>
          <cell r="N695"/>
          <cell r="O695"/>
          <cell r="Q695"/>
          <cell r="R695"/>
          <cell r="S695"/>
        </row>
        <row r="696">
          <cell r="K696"/>
          <cell r="M696"/>
          <cell r="N696"/>
          <cell r="O696"/>
          <cell r="Q696"/>
          <cell r="R696"/>
          <cell r="S696"/>
        </row>
        <row r="697">
          <cell r="K697"/>
          <cell r="M697"/>
          <cell r="N697"/>
          <cell r="O697"/>
          <cell r="Q697"/>
          <cell r="R697"/>
          <cell r="S697"/>
        </row>
        <row r="698">
          <cell r="K698"/>
          <cell r="M698"/>
          <cell r="N698"/>
          <cell r="O698"/>
          <cell r="Q698"/>
          <cell r="R698"/>
          <cell r="S698"/>
        </row>
        <row r="699">
          <cell r="K699"/>
          <cell r="M699"/>
          <cell r="N699"/>
          <cell r="O699"/>
          <cell r="Q699"/>
          <cell r="R699"/>
          <cell r="S699"/>
        </row>
        <row r="700">
          <cell r="K700"/>
          <cell r="M700"/>
          <cell r="N700"/>
          <cell r="O700"/>
          <cell r="Q700"/>
          <cell r="R700"/>
          <cell r="S700"/>
        </row>
        <row r="701">
          <cell r="K701"/>
          <cell r="M701"/>
          <cell r="N701"/>
          <cell r="O701"/>
          <cell r="Q701"/>
          <cell r="R701"/>
          <cell r="S701"/>
        </row>
        <row r="702">
          <cell r="K702"/>
          <cell r="M702"/>
          <cell r="N702"/>
          <cell r="O702"/>
          <cell r="Q702"/>
          <cell r="R702"/>
          <cell r="S702"/>
        </row>
        <row r="703">
          <cell r="K703"/>
          <cell r="M703"/>
          <cell r="N703"/>
          <cell r="O703"/>
          <cell r="Q703"/>
          <cell r="R703"/>
          <cell r="S703"/>
        </row>
        <row r="704">
          <cell r="K704"/>
          <cell r="M704"/>
          <cell r="N704"/>
          <cell r="O704"/>
          <cell r="Q704"/>
          <cell r="R704"/>
          <cell r="S704"/>
        </row>
        <row r="705">
          <cell r="K705"/>
          <cell r="M705"/>
          <cell r="N705"/>
          <cell r="O705"/>
          <cell r="Q705"/>
          <cell r="R705"/>
          <cell r="S705"/>
        </row>
        <row r="706">
          <cell r="K706"/>
          <cell r="M706"/>
          <cell r="N706"/>
          <cell r="O706"/>
          <cell r="Q706"/>
          <cell r="R706"/>
          <cell r="S706"/>
        </row>
        <row r="707">
          <cell r="K707"/>
          <cell r="M707"/>
          <cell r="N707"/>
          <cell r="O707"/>
          <cell r="Q707"/>
          <cell r="R707"/>
          <cell r="S707"/>
        </row>
        <row r="708">
          <cell r="K708"/>
          <cell r="M708"/>
          <cell r="N708"/>
          <cell r="O708"/>
          <cell r="Q708"/>
          <cell r="R708"/>
          <cell r="S708"/>
        </row>
        <row r="709">
          <cell r="K709"/>
          <cell r="M709"/>
          <cell r="N709"/>
          <cell r="O709"/>
          <cell r="Q709"/>
          <cell r="R709"/>
          <cell r="S709"/>
        </row>
        <row r="710">
          <cell r="K710"/>
          <cell r="M710"/>
          <cell r="N710"/>
          <cell r="O710"/>
          <cell r="Q710"/>
          <cell r="R710"/>
          <cell r="S710"/>
        </row>
        <row r="711">
          <cell r="K711"/>
          <cell r="M711"/>
          <cell r="N711"/>
          <cell r="O711"/>
          <cell r="Q711"/>
          <cell r="R711"/>
          <cell r="S711"/>
        </row>
        <row r="712">
          <cell r="K712"/>
          <cell r="M712"/>
          <cell r="N712"/>
          <cell r="O712"/>
          <cell r="Q712"/>
          <cell r="R712"/>
          <cell r="S712"/>
        </row>
        <row r="713">
          <cell r="K713"/>
          <cell r="M713"/>
          <cell r="N713"/>
          <cell r="O713"/>
          <cell r="Q713"/>
          <cell r="R713"/>
          <cell r="S713"/>
        </row>
        <row r="714">
          <cell r="K714"/>
          <cell r="M714"/>
          <cell r="N714"/>
          <cell r="O714"/>
          <cell r="Q714"/>
          <cell r="R714"/>
          <cell r="S714"/>
        </row>
        <row r="715">
          <cell r="K715"/>
          <cell r="M715"/>
          <cell r="N715"/>
          <cell r="O715"/>
          <cell r="Q715"/>
          <cell r="R715"/>
          <cell r="S715"/>
        </row>
        <row r="716">
          <cell r="K716"/>
          <cell r="M716"/>
          <cell r="N716"/>
          <cell r="O716"/>
          <cell r="Q716"/>
          <cell r="R716"/>
          <cell r="S716"/>
        </row>
        <row r="717">
          <cell r="K717"/>
          <cell r="M717"/>
          <cell r="N717"/>
          <cell r="O717"/>
          <cell r="Q717"/>
          <cell r="R717"/>
          <cell r="S717"/>
        </row>
        <row r="718">
          <cell r="K718"/>
          <cell r="M718"/>
          <cell r="N718"/>
          <cell r="O718"/>
          <cell r="Q718"/>
          <cell r="R718"/>
          <cell r="S718"/>
        </row>
        <row r="719">
          <cell r="K719"/>
          <cell r="M719"/>
          <cell r="N719"/>
          <cell r="O719"/>
          <cell r="Q719"/>
          <cell r="R719"/>
          <cell r="S719"/>
        </row>
        <row r="720">
          <cell r="K720"/>
          <cell r="M720"/>
          <cell r="N720"/>
          <cell r="O720"/>
          <cell r="Q720"/>
          <cell r="R720"/>
          <cell r="S720"/>
        </row>
        <row r="721">
          <cell r="K721"/>
          <cell r="M721"/>
          <cell r="N721"/>
          <cell r="O721"/>
          <cell r="Q721"/>
          <cell r="R721"/>
          <cell r="S721"/>
        </row>
        <row r="722">
          <cell r="K722"/>
          <cell r="M722"/>
          <cell r="N722"/>
          <cell r="O722"/>
          <cell r="Q722"/>
          <cell r="R722"/>
          <cell r="S722"/>
        </row>
        <row r="723">
          <cell r="K723"/>
          <cell r="M723"/>
          <cell r="N723"/>
          <cell r="O723"/>
          <cell r="Q723"/>
          <cell r="R723"/>
          <cell r="S723"/>
        </row>
        <row r="724">
          <cell r="K724"/>
          <cell r="M724"/>
          <cell r="N724"/>
          <cell r="O724"/>
          <cell r="Q724"/>
          <cell r="R724"/>
          <cell r="S724"/>
        </row>
        <row r="725">
          <cell r="K725"/>
          <cell r="M725"/>
          <cell r="N725"/>
          <cell r="O725"/>
          <cell r="Q725"/>
          <cell r="R725"/>
          <cell r="S725"/>
        </row>
        <row r="726">
          <cell r="K726"/>
          <cell r="M726"/>
          <cell r="N726"/>
          <cell r="O726"/>
          <cell r="Q726"/>
          <cell r="R726"/>
          <cell r="S726"/>
        </row>
        <row r="727">
          <cell r="K727"/>
          <cell r="M727"/>
          <cell r="N727"/>
          <cell r="O727"/>
          <cell r="Q727"/>
          <cell r="R727"/>
          <cell r="S727"/>
        </row>
        <row r="728">
          <cell r="K728"/>
          <cell r="M728"/>
          <cell r="N728"/>
          <cell r="O728"/>
          <cell r="Q728"/>
          <cell r="R728"/>
          <cell r="S728"/>
        </row>
        <row r="729">
          <cell r="K729"/>
          <cell r="M729"/>
          <cell r="N729"/>
          <cell r="O729"/>
          <cell r="Q729"/>
          <cell r="R729"/>
          <cell r="S729"/>
        </row>
        <row r="730">
          <cell r="K730"/>
          <cell r="M730"/>
          <cell r="N730"/>
          <cell r="O730"/>
          <cell r="Q730"/>
          <cell r="R730"/>
          <cell r="S730"/>
        </row>
        <row r="731">
          <cell r="K731"/>
          <cell r="M731"/>
          <cell r="N731"/>
          <cell r="O731"/>
          <cell r="Q731"/>
          <cell r="R731"/>
          <cell r="S731"/>
        </row>
        <row r="732">
          <cell r="K732"/>
          <cell r="M732"/>
          <cell r="N732"/>
          <cell r="O732"/>
          <cell r="Q732"/>
          <cell r="R732"/>
          <cell r="S732"/>
        </row>
        <row r="733">
          <cell r="K733"/>
          <cell r="M733"/>
          <cell r="N733"/>
          <cell r="O733"/>
          <cell r="Q733"/>
          <cell r="R733"/>
          <cell r="S733"/>
        </row>
        <row r="734">
          <cell r="K734"/>
          <cell r="M734"/>
          <cell r="N734"/>
          <cell r="O734"/>
          <cell r="Q734"/>
          <cell r="R734"/>
          <cell r="S734"/>
        </row>
        <row r="735">
          <cell r="K735"/>
          <cell r="M735"/>
          <cell r="N735"/>
          <cell r="O735"/>
          <cell r="Q735"/>
          <cell r="R735"/>
          <cell r="S735"/>
        </row>
        <row r="736">
          <cell r="K736"/>
          <cell r="M736"/>
          <cell r="N736"/>
          <cell r="O736"/>
          <cell r="Q736"/>
          <cell r="R736"/>
          <cell r="S736"/>
        </row>
        <row r="737">
          <cell r="K737"/>
          <cell r="M737"/>
          <cell r="N737"/>
          <cell r="O737"/>
          <cell r="Q737"/>
          <cell r="R737"/>
          <cell r="S737"/>
        </row>
        <row r="738">
          <cell r="K738"/>
          <cell r="M738"/>
          <cell r="N738"/>
          <cell r="O738"/>
          <cell r="Q738"/>
          <cell r="R738"/>
          <cell r="S738"/>
        </row>
        <row r="739">
          <cell r="K739"/>
          <cell r="M739"/>
          <cell r="N739"/>
          <cell r="O739"/>
          <cell r="Q739"/>
          <cell r="R739"/>
          <cell r="S739"/>
        </row>
        <row r="740">
          <cell r="K740"/>
          <cell r="M740"/>
          <cell r="N740"/>
          <cell r="O740"/>
          <cell r="Q740"/>
          <cell r="R740"/>
          <cell r="S740"/>
        </row>
        <row r="741">
          <cell r="K741"/>
          <cell r="M741"/>
          <cell r="N741"/>
          <cell r="O741"/>
          <cell r="Q741"/>
          <cell r="R741"/>
          <cell r="S741"/>
        </row>
        <row r="742">
          <cell r="K742"/>
          <cell r="M742"/>
          <cell r="N742"/>
          <cell r="O742"/>
          <cell r="Q742"/>
          <cell r="R742"/>
          <cell r="S742"/>
        </row>
        <row r="743">
          <cell r="K743"/>
          <cell r="M743"/>
          <cell r="N743"/>
          <cell r="O743"/>
          <cell r="Q743"/>
          <cell r="R743"/>
          <cell r="S743"/>
        </row>
        <row r="744">
          <cell r="K744"/>
          <cell r="M744"/>
          <cell r="N744"/>
          <cell r="O744"/>
          <cell r="Q744"/>
          <cell r="R744"/>
          <cell r="S744"/>
        </row>
        <row r="745">
          <cell r="K745"/>
          <cell r="M745"/>
          <cell r="N745"/>
          <cell r="O745"/>
          <cell r="Q745"/>
          <cell r="R745"/>
          <cell r="S745"/>
        </row>
        <row r="746">
          <cell r="K746"/>
          <cell r="M746"/>
          <cell r="N746"/>
          <cell r="O746"/>
          <cell r="Q746"/>
          <cell r="R746"/>
          <cell r="S746"/>
        </row>
        <row r="747">
          <cell r="K747"/>
          <cell r="M747"/>
          <cell r="N747"/>
          <cell r="O747"/>
          <cell r="Q747"/>
          <cell r="R747"/>
          <cell r="S747"/>
        </row>
        <row r="748">
          <cell r="K748"/>
          <cell r="M748"/>
          <cell r="N748"/>
          <cell r="O748"/>
          <cell r="Q748"/>
          <cell r="R748"/>
          <cell r="S748"/>
        </row>
        <row r="749">
          <cell r="K749"/>
          <cell r="M749"/>
          <cell r="N749"/>
          <cell r="O749"/>
          <cell r="Q749"/>
          <cell r="R749"/>
          <cell r="S749"/>
        </row>
        <row r="750">
          <cell r="K750"/>
          <cell r="M750"/>
          <cell r="N750"/>
          <cell r="O750"/>
          <cell r="Q750"/>
          <cell r="R750"/>
          <cell r="S750"/>
        </row>
        <row r="751">
          <cell r="K751"/>
          <cell r="M751"/>
          <cell r="N751"/>
          <cell r="O751"/>
          <cell r="Q751"/>
          <cell r="R751"/>
          <cell r="S751"/>
        </row>
        <row r="752">
          <cell r="K752"/>
          <cell r="M752"/>
          <cell r="N752"/>
          <cell r="O752"/>
          <cell r="Q752"/>
          <cell r="R752"/>
          <cell r="S752"/>
        </row>
        <row r="753">
          <cell r="K753"/>
          <cell r="M753"/>
          <cell r="N753"/>
          <cell r="O753"/>
          <cell r="Q753"/>
          <cell r="R753"/>
          <cell r="S753"/>
        </row>
        <row r="754">
          <cell r="K754"/>
          <cell r="M754"/>
          <cell r="N754"/>
          <cell r="O754"/>
          <cell r="Q754"/>
          <cell r="R754"/>
          <cell r="S754"/>
        </row>
        <row r="755">
          <cell r="K755"/>
          <cell r="M755"/>
          <cell r="N755"/>
          <cell r="O755"/>
          <cell r="Q755"/>
          <cell r="R755"/>
          <cell r="S755"/>
        </row>
        <row r="756">
          <cell r="K756"/>
          <cell r="M756"/>
          <cell r="N756"/>
          <cell r="O756"/>
          <cell r="Q756"/>
          <cell r="R756"/>
          <cell r="S756"/>
        </row>
        <row r="757">
          <cell r="K757"/>
          <cell r="M757"/>
          <cell r="N757"/>
          <cell r="O757"/>
          <cell r="Q757"/>
          <cell r="R757"/>
          <cell r="S757"/>
        </row>
        <row r="758">
          <cell r="K758"/>
          <cell r="M758"/>
          <cell r="N758"/>
          <cell r="O758"/>
          <cell r="Q758"/>
          <cell r="R758"/>
          <cell r="S758"/>
        </row>
        <row r="759">
          <cell r="K759"/>
          <cell r="M759"/>
          <cell r="N759"/>
          <cell r="O759"/>
          <cell r="Q759"/>
          <cell r="R759"/>
          <cell r="S759"/>
        </row>
        <row r="760">
          <cell r="K760"/>
          <cell r="M760"/>
          <cell r="N760"/>
          <cell r="O760"/>
          <cell r="Q760"/>
          <cell r="R760"/>
          <cell r="S760"/>
        </row>
        <row r="761">
          <cell r="K761"/>
          <cell r="M761"/>
          <cell r="N761"/>
          <cell r="O761"/>
          <cell r="Q761"/>
          <cell r="R761"/>
          <cell r="S761"/>
        </row>
        <row r="762">
          <cell r="K762"/>
          <cell r="M762"/>
          <cell r="N762"/>
          <cell r="O762"/>
          <cell r="Q762"/>
          <cell r="R762"/>
          <cell r="S762"/>
        </row>
        <row r="763">
          <cell r="K763"/>
          <cell r="M763"/>
          <cell r="N763"/>
          <cell r="O763"/>
          <cell r="Q763"/>
          <cell r="R763"/>
          <cell r="S763"/>
        </row>
        <row r="764">
          <cell r="K764"/>
          <cell r="M764"/>
          <cell r="N764"/>
          <cell r="O764"/>
          <cell r="Q764"/>
          <cell r="R764"/>
          <cell r="S764"/>
        </row>
        <row r="765">
          <cell r="K765"/>
          <cell r="M765"/>
          <cell r="N765"/>
          <cell r="O765"/>
          <cell r="Q765"/>
          <cell r="R765"/>
          <cell r="S765"/>
        </row>
        <row r="766">
          <cell r="K766"/>
          <cell r="M766"/>
          <cell r="N766"/>
          <cell r="O766"/>
          <cell r="Q766"/>
          <cell r="R766"/>
          <cell r="S766"/>
        </row>
        <row r="767">
          <cell r="K767"/>
          <cell r="M767"/>
          <cell r="N767"/>
          <cell r="O767"/>
          <cell r="Q767"/>
          <cell r="R767"/>
          <cell r="S767"/>
        </row>
        <row r="768">
          <cell r="K768"/>
          <cell r="M768"/>
          <cell r="N768"/>
          <cell r="O768"/>
          <cell r="Q768"/>
          <cell r="R768"/>
          <cell r="S768"/>
        </row>
        <row r="769">
          <cell r="K769"/>
          <cell r="M769"/>
          <cell r="N769"/>
          <cell r="O769"/>
          <cell r="Q769"/>
          <cell r="R769"/>
          <cell r="S769"/>
        </row>
        <row r="770">
          <cell r="K770"/>
          <cell r="M770"/>
          <cell r="N770"/>
          <cell r="O770"/>
          <cell r="Q770"/>
          <cell r="R770"/>
          <cell r="S770"/>
        </row>
        <row r="771">
          <cell r="K771"/>
          <cell r="M771"/>
          <cell r="N771"/>
          <cell r="O771"/>
          <cell r="Q771"/>
          <cell r="R771"/>
          <cell r="S771"/>
        </row>
        <row r="772">
          <cell r="K772"/>
          <cell r="M772"/>
          <cell r="N772"/>
          <cell r="O772"/>
          <cell r="Q772"/>
          <cell r="R772"/>
          <cell r="S772"/>
        </row>
        <row r="773">
          <cell r="K773"/>
          <cell r="M773"/>
          <cell r="N773"/>
          <cell r="O773"/>
          <cell r="Q773"/>
          <cell r="R773"/>
          <cell r="S773"/>
        </row>
        <row r="774">
          <cell r="K774"/>
          <cell r="M774"/>
          <cell r="N774"/>
          <cell r="O774"/>
          <cell r="Q774"/>
          <cell r="R774"/>
          <cell r="S774"/>
        </row>
        <row r="775">
          <cell r="K775"/>
          <cell r="M775"/>
          <cell r="N775"/>
          <cell r="O775"/>
          <cell r="Q775"/>
          <cell r="R775"/>
          <cell r="S775"/>
        </row>
        <row r="776">
          <cell r="K776"/>
          <cell r="M776"/>
          <cell r="N776"/>
          <cell r="O776"/>
          <cell r="Q776"/>
          <cell r="R776"/>
          <cell r="S776"/>
        </row>
        <row r="777">
          <cell r="K777"/>
          <cell r="M777"/>
          <cell r="N777"/>
          <cell r="O777"/>
          <cell r="Q777"/>
          <cell r="R777"/>
          <cell r="S777"/>
        </row>
        <row r="778">
          <cell r="K778"/>
          <cell r="M778"/>
          <cell r="N778"/>
          <cell r="O778"/>
          <cell r="Q778"/>
          <cell r="R778"/>
          <cell r="S778"/>
        </row>
        <row r="779">
          <cell r="K779"/>
          <cell r="M779"/>
          <cell r="N779"/>
          <cell r="O779"/>
          <cell r="Q779"/>
          <cell r="R779"/>
          <cell r="S779"/>
        </row>
        <row r="780">
          <cell r="K780"/>
          <cell r="M780"/>
          <cell r="N780"/>
          <cell r="O780"/>
          <cell r="Q780"/>
          <cell r="R780"/>
          <cell r="S780"/>
        </row>
        <row r="781">
          <cell r="K781"/>
          <cell r="M781"/>
          <cell r="N781"/>
          <cell r="O781"/>
          <cell r="Q781"/>
          <cell r="R781"/>
          <cell r="S781"/>
        </row>
        <row r="782">
          <cell r="K782"/>
          <cell r="M782"/>
          <cell r="N782"/>
          <cell r="O782"/>
          <cell r="Q782"/>
          <cell r="R782"/>
          <cell r="S782"/>
        </row>
        <row r="783">
          <cell r="K783"/>
          <cell r="M783"/>
          <cell r="N783"/>
          <cell r="O783"/>
          <cell r="Q783"/>
          <cell r="R783"/>
          <cell r="S783"/>
        </row>
        <row r="784">
          <cell r="K784"/>
          <cell r="M784"/>
          <cell r="N784"/>
          <cell r="O784"/>
          <cell r="Q784"/>
          <cell r="R784"/>
          <cell r="S784"/>
        </row>
        <row r="785">
          <cell r="K785"/>
          <cell r="M785"/>
          <cell r="N785"/>
          <cell r="O785"/>
          <cell r="Q785"/>
          <cell r="R785"/>
          <cell r="S785"/>
        </row>
        <row r="786">
          <cell r="K786"/>
          <cell r="M786"/>
          <cell r="N786"/>
          <cell r="O786"/>
          <cell r="Q786"/>
          <cell r="R786"/>
          <cell r="S786"/>
        </row>
        <row r="787">
          <cell r="K787"/>
          <cell r="M787"/>
          <cell r="N787"/>
          <cell r="O787"/>
          <cell r="Q787"/>
          <cell r="R787"/>
          <cell r="S787"/>
        </row>
        <row r="788">
          <cell r="K788"/>
          <cell r="M788"/>
          <cell r="N788"/>
          <cell r="O788"/>
          <cell r="Q788"/>
          <cell r="R788"/>
          <cell r="S788"/>
        </row>
        <row r="789">
          <cell r="K789"/>
          <cell r="M789"/>
          <cell r="N789"/>
          <cell r="O789"/>
          <cell r="Q789"/>
          <cell r="R789"/>
          <cell r="S789"/>
        </row>
        <row r="790">
          <cell r="K790"/>
          <cell r="M790"/>
          <cell r="N790"/>
          <cell r="O790"/>
          <cell r="Q790"/>
          <cell r="R790"/>
          <cell r="S790"/>
        </row>
        <row r="791">
          <cell r="K791"/>
          <cell r="M791"/>
          <cell r="N791"/>
          <cell r="O791"/>
          <cell r="Q791"/>
          <cell r="R791"/>
          <cell r="S791"/>
        </row>
        <row r="792">
          <cell r="K792"/>
          <cell r="M792"/>
          <cell r="N792"/>
          <cell r="O792"/>
          <cell r="Q792"/>
          <cell r="R792"/>
          <cell r="S792"/>
        </row>
        <row r="793">
          <cell r="K793"/>
          <cell r="M793"/>
          <cell r="N793"/>
          <cell r="O793"/>
          <cell r="Q793"/>
          <cell r="R793"/>
          <cell r="S793"/>
        </row>
        <row r="794">
          <cell r="K794"/>
          <cell r="M794"/>
          <cell r="N794"/>
          <cell r="O794"/>
          <cell r="Q794"/>
          <cell r="R794"/>
          <cell r="S794"/>
        </row>
        <row r="795">
          <cell r="K795"/>
          <cell r="M795"/>
          <cell r="N795"/>
          <cell r="O795"/>
          <cell r="Q795"/>
          <cell r="R795"/>
          <cell r="S795"/>
        </row>
        <row r="796">
          <cell r="K796"/>
          <cell r="M796"/>
          <cell r="N796"/>
          <cell r="O796"/>
          <cell r="Q796"/>
          <cell r="R796"/>
          <cell r="S796"/>
        </row>
        <row r="797">
          <cell r="K797"/>
          <cell r="M797"/>
          <cell r="N797"/>
          <cell r="O797"/>
          <cell r="Q797"/>
          <cell r="R797"/>
          <cell r="S797"/>
        </row>
        <row r="798">
          <cell r="K798"/>
          <cell r="M798"/>
          <cell r="N798"/>
          <cell r="O798"/>
          <cell r="Q798"/>
          <cell r="R798"/>
          <cell r="S798"/>
        </row>
        <row r="799">
          <cell r="K799"/>
          <cell r="M799"/>
          <cell r="N799"/>
          <cell r="O799"/>
          <cell r="Q799"/>
          <cell r="R799"/>
          <cell r="S799"/>
        </row>
        <row r="800">
          <cell r="K800"/>
          <cell r="M800"/>
          <cell r="N800"/>
          <cell r="O800"/>
          <cell r="Q800"/>
          <cell r="R800"/>
          <cell r="S800"/>
        </row>
        <row r="801">
          <cell r="K801"/>
          <cell r="M801"/>
          <cell r="N801"/>
          <cell r="O801"/>
          <cell r="Q801"/>
          <cell r="R801"/>
          <cell r="S801"/>
        </row>
        <row r="802">
          <cell r="K802"/>
          <cell r="M802"/>
          <cell r="N802"/>
          <cell r="O802"/>
          <cell r="Q802"/>
          <cell r="R802"/>
          <cell r="S802"/>
        </row>
        <row r="803">
          <cell r="K803"/>
          <cell r="M803"/>
          <cell r="N803"/>
          <cell r="O803"/>
          <cell r="Q803"/>
          <cell r="R803"/>
          <cell r="S803"/>
        </row>
        <row r="804">
          <cell r="K804"/>
          <cell r="M804"/>
          <cell r="N804"/>
          <cell r="O804"/>
          <cell r="Q804"/>
          <cell r="R804"/>
          <cell r="S804"/>
        </row>
        <row r="805">
          <cell r="K805"/>
          <cell r="M805"/>
          <cell r="N805"/>
          <cell r="O805"/>
          <cell r="Q805"/>
          <cell r="R805"/>
          <cell r="S805"/>
        </row>
        <row r="806">
          <cell r="K806"/>
          <cell r="M806"/>
          <cell r="N806"/>
          <cell r="O806"/>
          <cell r="Q806"/>
          <cell r="R806"/>
          <cell r="S806"/>
        </row>
        <row r="807">
          <cell r="K807"/>
          <cell r="M807"/>
          <cell r="N807"/>
          <cell r="O807"/>
          <cell r="Q807"/>
          <cell r="R807"/>
          <cell r="S807"/>
        </row>
        <row r="808">
          <cell r="K808"/>
          <cell r="M808"/>
          <cell r="N808"/>
          <cell r="O808"/>
          <cell r="Q808"/>
          <cell r="R808"/>
          <cell r="S808"/>
        </row>
        <row r="809">
          <cell r="K809"/>
          <cell r="M809"/>
          <cell r="N809"/>
          <cell r="O809"/>
          <cell r="Q809"/>
          <cell r="R809"/>
          <cell r="S809"/>
        </row>
        <row r="810">
          <cell r="K810"/>
          <cell r="M810"/>
          <cell r="N810"/>
          <cell r="O810"/>
          <cell r="Q810"/>
          <cell r="R810"/>
          <cell r="S810"/>
        </row>
        <row r="811">
          <cell r="K811"/>
          <cell r="M811"/>
          <cell r="N811"/>
          <cell r="O811"/>
          <cell r="Q811"/>
          <cell r="R811"/>
          <cell r="S811"/>
        </row>
        <row r="812">
          <cell r="K812"/>
          <cell r="M812"/>
          <cell r="N812"/>
          <cell r="O812"/>
          <cell r="Q812"/>
          <cell r="R812"/>
          <cell r="S812"/>
        </row>
        <row r="813">
          <cell r="K813"/>
          <cell r="M813"/>
          <cell r="N813"/>
          <cell r="O813"/>
          <cell r="Q813"/>
          <cell r="R813"/>
          <cell r="S813"/>
        </row>
        <row r="814">
          <cell r="K814"/>
          <cell r="M814"/>
          <cell r="N814"/>
          <cell r="O814"/>
          <cell r="Q814"/>
          <cell r="R814"/>
          <cell r="S814"/>
        </row>
        <row r="815">
          <cell r="K815"/>
          <cell r="M815"/>
          <cell r="N815"/>
          <cell r="O815"/>
          <cell r="Q815"/>
          <cell r="R815"/>
          <cell r="S815"/>
        </row>
        <row r="816">
          <cell r="K816"/>
          <cell r="M816"/>
          <cell r="N816"/>
          <cell r="O816"/>
          <cell r="Q816"/>
          <cell r="R816"/>
          <cell r="S816"/>
        </row>
        <row r="817">
          <cell r="K817"/>
          <cell r="M817"/>
          <cell r="N817"/>
          <cell r="O817"/>
          <cell r="Q817"/>
          <cell r="R817"/>
          <cell r="S817"/>
        </row>
        <row r="818">
          <cell r="K818"/>
          <cell r="M818"/>
          <cell r="N818"/>
          <cell r="O818"/>
          <cell r="Q818"/>
          <cell r="R818"/>
          <cell r="S818"/>
        </row>
        <row r="819">
          <cell r="K819"/>
          <cell r="M819"/>
          <cell r="N819"/>
          <cell r="O819"/>
          <cell r="Q819"/>
          <cell r="R819"/>
          <cell r="S819"/>
        </row>
        <row r="820">
          <cell r="K820"/>
          <cell r="M820"/>
          <cell r="N820"/>
          <cell r="O820"/>
          <cell r="Q820"/>
          <cell r="R820"/>
          <cell r="S820"/>
        </row>
        <row r="821">
          <cell r="K821"/>
          <cell r="M821"/>
          <cell r="N821"/>
          <cell r="O821"/>
          <cell r="Q821"/>
          <cell r="R821"/>
          <cell r="S821"/>
        </row>
        <row r="822">
          <cell r="K822"/>
          <cell r="M822"/>
          <cell r="N822"/>
          <cell r="O822"/>
          <cell r="Q822"/>
          <cell r="R822"/>
          <cell r="S822"/>
        </row>
        <row r="823">
          <cell r="K823"/>
          <cell r="M823"/>
          <cell r="N823"/>
          <cell r="O823"/>
          <cell r="Q823"/>
          <cell r="R823"/>
          <cell r="S823"/>
        </row>
        <row r="824">
          <cell r="K824"/>
          <cell r="M824"/>
          <cell r="N824"/>
          <cell r="O824"/>
          <cell r="Q824"/>
          <cell r="R824"/>
          <cell r="S824"/>
        </row>
        <row r="825">
          <cell r="K825"/>
          <cell r="M825"/>
          <cell r="N825"/>
          <cell r="O825"/>
          <cell r="Q825"/>
          <cell r="R825"/>
          <cell r="S825"/>
        </row>
        <row r="826">
          <cell r="K826"/>
          <cell r="M826"/>
          <cell r="N826"/>
          <cell r="O826"/>
          <cell r="Q826"/>
          <cell r="R826"/>
          <cell r="S826"/>
        </row>
        <row r="827">
          <cell r="K827"/>
          <cell r="M827"/>
          <cell r="N827"/>
          <cell r="O827"/>
          <cell r="Q827"/>
          <cell r="R827"/>
          <cell r="S827"/>
        </row>
        <row r="828">
          <cell r="K828"/>
          <cell r="M828"/>
          <cell r="N828"/>
          <cell r="O828"/>
          <cell r="Q828"/>
          <cell r="R828"/>
          <cell r="S828"/>
        </row>
        <row r="829">
          <cell r="K829"/>
          <cell r="M829"/>
          <cell r="N829"/>
          <cell r="O829"/>
          <cell r="Q829"/>
          <cell r="R829"/>
          <cell r="S829"/>
        </row>
        <row r="830">
          <cell r="K830"/>
          <cell r="M830"/>
          <cell r="N830"/>
          <cell r="O830"/>
          <cell r="Q830"/>
          <cell r="R830"/>
          <cell r="S830"/>
        </row>
        <row r="831">
          <cell r="K831"/>
          <cell r="M831"/>
          <cell r="N831"/>
          <cell r="O831"/>
          <cell r="Q831"/>
          <cell r="R831"/>
          <cell r="S831"/>
        </row>
        <row r="832">
          <cell r="K832"/>
          <cell r="M832"/>
          <cell r="N832"/>
          <cell r="O832"/>
          <cell r="Q832"/>
          <cell r="R832"/>
          <cell r="S832"/>
        </row>
        <row r="833">
          <cell r="K833"/>
          <cell r="M833"/>
          <cell r="N833"/>
          <cell r="O833"/>
          <cell r="Q833"/>
          <cell r="R833"/>
          <cell r="S833"/>
        </row>
        <row r="834">
          <cell r="K834"/>
          <cell r="M834"/>
          <cell r="N834"/>
          <cell r="O834"/>
          <cell r="Q834"/>
          <cell r="R834"/>
          <cell r="S834"/>
        </row>
        <row r="835">
          <cell r="K835"/>
          <cell r="M835"/>
          <cell r="N835"/>
          <cell r="O835"/>
          <cell r="Q835"/>
          <cell r="R835"/>
          <cell r="S835"/>
        </row>
        <row r="836">
          <cell r="K836"/>
          <cell r="M836"/>
          <cell r="N836"/>
          <cell r="O836"/>
          <cell r="Q836"/>
          <cell r="R836"/>
          <cell r="S836"/>
        </row>
        <row r="837">
          <cell r="K837"/>
          <cell r="M837"/>
          <cell r="N837"/>
          <cell r="O837"/>
          <cell r="Q837"/>
          <cell r="R837"/>
          <cell r="S837"/>
        </row>
        <row r="838">
          <cell r="K838"/>
          <cell r="M838"/>
          <cell r="N838"/>
          <cell r="O838"/>
          <cell r="Q838"/>
          <cell r="R838"/>
          <cell r="S838"/>
        </row>
        <row r="839">
          <cell r="K839"/>
          <cell r="M839"/>
          <cell r="N839"/>
          <cell r="O839"/>
          <cell r="Q839"/>
          <cell r="R839"/>
          <cell r="S839"/>
        </row>
        <row r="840">
          <cell r="K840"/>
          <cell r="M840"/>
          <cell r="N840"/>
          <cell r="O840"/>
          <cell r="Q840"/>
          <cell r="R840"/>
          <cell r="S840"/>
        </row>
        <row r="841">
          <cell r="K841"/>
          <cell r="M841"/>
          <cell r="N841"/>
          <cell r="O841"/>
          <cell r="Q841"/>
          <cell r="R841"/>
          <cell r="S841"/>
        </row>
        <row r="842">
          <cell r="K842"/>
          <cell r="M842"/>
          <cell r="N842"/>
          <cell r="O842"/>
          <cell r="Q842"/>
          <cell r="R842"/>
          <cell r="S842"/>
        </row>
        <row r="843">
          <cell r="K843"/>
          <cell r="M843"/>
          <cell r="N843"/>
          <cell r="O843"/>
          <cell r="Q843"/>
          <cell r="R843"/>
          <cell r="S843"/>
        </row>
        <row r="844">
          <cell r="K844"/>
          <cell r="M844"/>
          <cell r="N844"/>
          <cell r="O844"/>
          <cell r="Q844"/>
          <cell r="R844"/>
          <cell r="S844"/>
        </row>
        <row r="845">
          <cell r="K845"/>
          <cell r="M845"/>
          <cell r="N845"/>
          <cell r="O845"/>
          <cell r="Q845"/>
          <cell r="R845"/>
          <cell r="S845"/>
        </row>
        <row r="846">
          <cell r="K846"/>
          <cell r="M846"/>
          <cell r="N846"/>
          <cell r="O846"/>
          <cell r="Q846"/>
          <cell r="R846"/>
          <cell r="S846"/>
        </row>
        <row r="847">
          <cell r="K847"/>
          <cell r="M847"/>
          <cell r="N847"/>
          <cell r="O847"/>
          <cell r="Q847"/>
          <cell r="R847"/>
          <cell r="S847"/>
        </row>
        <row r="848">
          <cell r="K848"/>
          <cell r="M848"/>
          <cell r="N848"/>
          <cell r="O848"/>
          <cell r="Q848"/>
          <cell r="R848"/>
          <cell r="S848"/>
        </row>
        <row r="849">
          <cell r="K849"/>
          <cell r="M849"/>
          <cell r="N849"/>
          <cell r="O849"/>
          <cell r="Q849"/>
          <cell r="R849"/>
          <cell r="S849"/>
        </row>
        <row r="850">
          <cell r="K850"/>
          <cell r="M850"/>
          <cell r="N850"/>
          <cell r="O850"/>
          <cell r="Q850"/>
          <cell r="R850"/>
          <cell r="S850"/>
        </row>
        <row r="851">
          <cell r="K851"/>
          <cell r="M851"/>
          <cell r="N851"/>
          <cell r="O851"/>
          <cell r="Q851"/>
          <cell r="R851"/>
          <cell r="S851"/>
        </row>
        <row r="852">
          <cell r="K852"/>
          <cell r="M852"/>
          <cell r="N852"/>
          <cell r="O852"/>
          <cell r="Q852"/>
          <cell r="R852"/>
          <cell r="S852"/>
        </row>
        <row r="853">
          <cell r="K853"/>
          <cell r="M853"/>
          <cell r="N853"/>
          <cell r="O853"/>
          <cell r="Q853"/>
          <cell r="R853"/>
          <cell r="S853"/>
        </row>
        <row r="854">
          <cell r="K854"/>
          <cell r="M854"/>
          <cell r="N854"/>
          <cell r="O854"/>
          <cell r="Q854"/>
          <cell r="R854"/>
          <cell r="S854"/>
        </row>
        <row r="855">
          <cell r="K855"/>
          <cell r="M855"/>
          <cell r="N855"/>
          <cell r="O855"/>
          <cell r="Q855"/>
          <cell r="R855"/>
          <cell r="S855"/>
        </row>
        <row r="856">
          <cell r="K856"/>
          <cell r="M856"/>
          <cell r="N856"/>
          <cell r="O856"/>
          <cell r="Q856"/>
          <cell r="R856"/>
          <cell r="S856"/>
        </row>
        <row r="857">
          <cell r="K857"/>
          <cell r="M857"/>
          <cell r="N857"/>
          <cell r="O857"/>
          <cell r="Q857"/>
          <cell r="R857"/>
          <cell r="S857"/>
        </row>
        <row r="858">
          <cell r="K858"/>
          <cell r="M858"/>
          <cell r="N858"/>
          <cell r="O858"/>
          <cell r="Q858"/>
          <cell r="R858"/>
          <cell r="S858"/>
        </row>
        <row r="859">
          <cell r="K859"/>
          <cell r="M859"/>
          <cell r="N859"/>
          <cell r="O859"/>
          <cell r="Q859"/>
          <cell r="R859"/>
          <cell r="S859"/>
        </row>
        <row r="860">
          <cell r="K860"/>
          <cell r="M860"/>
          <cell r="N860"/>
          <cell r="O860"/>
          <cell r="Q860"/>
          <cell r="R860"/>
          <cell r="S860"/>
        </row>
        <row r="861">
          <cell r="K861"/>
          <cell r="M861"/>
          <cell r="N861"/>
          <cell r="O861"/>
          <cell r="Q861"/>
          <cell r="R861"/>
          <cell r="S861"/>
        </row>
        <row r="862">
          <cell r="K862"/>
          <cell r="M862"/>
          <cell r="N862"/>
          <cell r="O862"/>
          <cell r="Q862"/>
          <cell r="R862"/>
          <cell r="S862"/>
        </row>
        <row r="863">
          <cell r="K863"/>
          <cell r="M863"/>
          <cell r="N863"/>
          <cell r="O863"/>
          <cell r="Q863"/>
          <cell r="R863"/>
          <cell r="S863"/>
        </row>
        <row r="864">
          <cell r="K864"/>
          <cell r="M864"/>
          <cell r="N864"/>
          <cell r="O864"/>
          <cell r="Q864"/>
          <cell r="R864"/>
          <cell r="S864"/>
        </row>
        <row r="865">
          <cell r="K865"/>
          <cell r="M865"/>
          <cell r="N865"/>
          <cell r="O865"/>
          <cell r="Q865"/>
          <cell r="R865"/>
          <cell r="S865"/>
        </row>
        <row r="866">
          <cell r="K866"/>
          <cell r="M866"/>
          <cell r="N866"/>
          <cell r="O866"/>
          <cell r="Q866"/>
          <cell r="R866"/>
          <cell r="S866"/>
        </row>
        <row r="867">
          <cell r="K867"/>
          <cell r="M867"/>
          <cell r="N867"/>
          <cell r="O867"/>
          <cell r="Q867"/>
          <cell r="R867"/>
          <cell r="S867"/>
        </row>
        <row r="868">
          <cell r="K868"/>
          <cell r="M868"/>
          <cell r="N868"/>
          <cell r="O868"/>
          <cell r="Q868"/>
          <cell r="R868"/>
          <cell r="S868"/>
        </row>
        <row r="869">
          <cell r="K869"/>
          <cell r="M869"/>
          <cell r="N869"/>
          <cell r="O869"/>
          <cell r="Q869"/>
          <cell r="R869"/>
          <cell r="S869"/>
        </row>
        <row r="870">
          <cell r="K870"/>
          <cell r="M870"/>
          <cell r="N870"/>
          <cell r="O870"/>
          <cell r="Q870"/>
          <cell r="R870"/>
          <cell r="S870"/>
        </row>
        <row r="871">
          <cell r="K871"/>
          <cell r="M871"/>
          <cell r="N871"/>
          <cell r="O871"/>
          <cell r="Q871"/>
          <cell r="R871"/>
          <cell r="S871"/>
        </row>
        <row r="872">
          <cell r="K872"/>
          <cell r="M872"/>
          <cell r="N872"/>
          <cell r="O872"/>
          <cell r="Q872"/>
          <cell r="R872"/>
          <cell r="S872"/>
        </row>
        <row r="873">
          <cell r="K873"/>
          <cell r="M873"/>
          <cell r="N873"/>
          <cell r="O873"/>
          <cell r="Q873"/>
          <cell r="R873"/>
          <cell r="S873"/>
        </row>
        <row r="874">
          <cell r="K874"/>
          <cell r="M874"/>
          <cell r="N874"/>
          <cell r="O874"/>
          <cell r="Q874"/>
          <cell r="R874"/>
          <cell r="S874"/>
        </row>
        <row r="875">
          <cell r="K875"/>
          <cell r="M875"/>
          <cell r="N875"/>
          <cell r="O875"/>
          <cell r="Q875"/>
          <cell r="R875"/>
          <cell r="S875"/>
        </row>
        <row r="876">
          <cell r="K876"/>
          <cell r="M876"/>
          <cell r="N876"/>
          <cell r="O876"/>
          <cell r="Q876"/>
          <cell r="R876"/>
          <cell r="S876"/>
        </row>
        <row r="877">
          <cell r="K877"/>
          <cell r="M877"/>
          <cell r="N877"/>
          <cell r="O877"/>
          <cell r="Q877"/>
          <cell r="R877"/>
          <cell r="S877"/>
        </row>
        <row r="878">
          <cell r="K878"/>
          <cell r="M878"/>
          <cell r="N878"/>
          <cell r="O878"/>
          <cell r="Q878"/>
          <cell r="R878"/>
          <cell r="S878"/>
        </row>
        <row r="879">
          <cell r="K879"/>
          <cell r="M879"/>
          <cell r="N879"/>
          <cell r="O879"/>
          <cell r="Q879"/>
          <cell r="R879"/>
          <cell r="S879"/>
        </row>
        <row r="880">
          <cell r="K880"/>
          <cell r="M880"/>
          <cell r="N880"/>
          <cell r="O880"/>
          <cell r="Q880"/>
          <cell r="R880"/>
          <cell r="S880"/>
        </row>
        <row r="881">
          <cell r="K881"/>
          <cell r="M881"/>
          <cell r="N881"/>
          <cell r="O881"/>
          <cell r="Q881"/>
          <cell r="R881"/>
          <cell r="S881"/>
        </row>
        <row r="882">
          <cell r="K882"/>
          <cell r="M882"/>
          <cell r="N882"/>
          <cell r="O882"/>
          <cell r="Q882"/>
          <cell r="R882"/>
          <cell r="S882"/>
        </row>
        <row r="883">
          <cell r="K883"/>
          <cell r="M883"/>
          <cell r="N883"/>
          <cell r="O883"/>
          <cell r="Q883"/>
          <cell r="R883"/>
          <cell r="S883"/>
        </row>
        <row r="884">
          <cell r="K884"/>
          <cell r="M884"/>
          <cell r="N884"/>
          <cell r="O884"/>
          <cell r="Q884"/>
          <cell r="R884"/>
          <cell r="S884"/>
        </row>
        <row r="885">
          <cell r="K885"/>
          <cell r="M885"/>
          <cell r="N885"/>
          <cell r="O885"/>
          <cell r="Q885"/>
          <cell r="R885"/>
          <cell r="S885"/>
        </row>
        <row r="886">
          <cell r="K886"/>
          <cell r="M886"/>
          <cell r="N886"/>
          <cell r="O886"/>
          <cell r="Q886"/>
          <cell r="R886"/>
          <cell r="S886"/>
        </row>
        <row r="887">
          <cell r="K887"/>
          <cell r="M887"/>
          <cell r="N887"/>
          <cell r="O887"/>
          <cell r="Q887"/>
          <cell r="R887"/>
          <cell r="S887"/>
        </row>
        <row r="888">
          <cell r="K888"/>
          <cell r="M888"/>
          <cell r="N888"/>
          <cell r="O888"/>
          <cell r="Q888"/>
          <cell r="R888"/>
          <cell r="S888"/>
        </row>
        <row r="889">
          <cell r="K889"/>
          <cell r="M889"/>
          <cell r="N889"/>
          <cell r="O889"/>
          <cell r="Q889"/>
          <cell r="R889"/>
          <cell r="S889"/>
        </row>
        <row r="890">
          <cell r="K890"/>
          <cell r="M890"/>
          <cell r="N890"/>
          <cell r="O890"/>
          <cell r="Q890"/>
          <cell r="R890"/>
          <cell r="S890"/>
        </row>
        <row r="891">
          <cell r="K891"/>
          <cell r="M891"/>
          <cell r="N891"/>
          <cell r="O891"/>
          <cell r="Q891"/>
          <cell r="R891"/>
          <cell r="S891"/>
        </row>
        <row r="892">
          <cell r="K892"/>
          <cell r="M892"/>
          <cell r="N892"/>
          <cell r="O892"/>
          <cell r="Q892"/>
          <cell r="R892"/>
          <cell r="S892"/>
        </row>
        <row r="893">
          <cell r="K893"/>
          <cell r="M893"/>
          <cell r="N893"/>
          <cell r="O893"/>
          <cell r="Q893"/>
          <cell r="R893"/>
          <cell r="S893"/>
        </row>
        <row r="894">
          <cell r="K894"/>
          <cell r="M894"/>
          <cell r="N894"/>
          <cell r="O894"/>
          <cell r="Q894"/>
          <cell r="R894"/>
          <cell r="S894"/>
        </row>
        <row r="895">
          <cell r="K895"/>
          <cell r="M895"/>
          <cell r="N895"/>
          <cell r="O895"/>
          <cell r="Q895"/>
          <cell r="R895"/>
          <cell r="S895"/>
        </row>
        <row r="896">
          <cell r="K896"/>
          <cell r="M896"/>
          <cell r="N896"/>
          <cell r="O896"/>
          <cell r="Q896"/>
          <cell r="R896"/>
          <cell r="S896"/>
        </row>
        <row r="897">
          <cell r="K897"/>
          <cell r="M897"/>
          <cell r="N897"/>
          <cell r="O897"/>
          <cell r="Q897"/>
          <cell r="R897"/>
          <cell r="S897"/>
        </row>
        <row r="898">
          <cell r="K898"/>
          <cell r="M898"/>
          <cell r="N898"/>
          <cell r="O898"/>
          <cell r="Q898"/>
          <cell r="R898"/>
          <cell r="S898"/>
        </row>
        <row r="899">
          <cell r="K899"/>
          <cell r="M899"/>
          <cell r="N899"/>
          <cell r="O899"/>
          <cell r="Q899"/>
          <cell r="R899"/>
          <cell r="S899"/>
        </row>
        <row r="900">
          <cell r="K900"/>
          <cell r="M900"/>
          <cell r="N900"/>
          <cell r="O900"/>
          <cell r="Q900"/>
          <cell r="R900"/>
          <cell r="S900"/>
        </row>
        <row r="901">
          <cell r="K901"/>
          <cell r="M901"/>
          <cell r="N901"/>
          <cell r="O901"/>
          <cell r="Q901"/>
          <cell r="R901"/>
          <cell r="S901"/>
        </row>
        <row r="902">
          <cell r="K902"/>
          <cell r="M902"/>
          <cell r="N902"/>
          <cell r="O902"/>
          <cell r="Q902"/>
          <cell r="R902"/>
          <cell r="S902"/>
        </row>
        <row r="903">
          <cell r="K903"/>
          <cell r="M903"/>
          <cell r="N903"/>
          <cell r="O903"/>
          <cell r="Q903"/>
          <cell r="R903"/>
          <cell r="S903"/>
        </row>
        <row r="904">
          <cell r="K904"/>
          <cell r="M904"/>
          <cell r="N904"/>
          <cell r="O904"/>
          <cell r="Q904"/>
          <cell r="R904"/>
          <cell r="S904"/>
        </row>
        <row r="905">
          <cell r="K905"/>
          <cell r="M905"/>
          <cell r="N905"/>
          <cell r="O905"/>
          <cell r="Q905"/>
          <cell r="R905"/>
          <cell r="S905"/>
        </row>
        <row r="906">
          <cell r="K906"/>
          <cell r="M906"/>
          <cell r="N906"/>
          <cell r="O906"/>
          <cell r="Q906"/>
          <cell r="R906"/>
          <cell r="S906"/>
        </row>
        <row r="907">
          <cell r="K907"/>
          <cell r="M907"/>
          <cell r="N907"/>
          <cell r="O907"/>
          <cell r="Q907"/>
          <cell r="R907"/>
          <cell r="S907"/>
        </row>
        <row r="908">
          <cell r="K908"/>
          <cell r="M908"/>
          <cell r="N908"/>
          <cell r="O908"/>
          <cell r="Q908"/>
          <cell r="R908"/>
          <cell r="S908"/>
        </row>
        <row r="909">
          <cell r="K909"/>
          <cell r="M909"/>
          <cell r="N909"/>
          <cell r="O909"/>
          <cell r="Q909"/>
          <cell r="R909"/>
          <cell r="S909"/>
        </row>
        <row r="910">
          <cell r="K910"/>
          <cell r="M910"/>
          <cell r="N910"/>
          <cell r="O910"/>
          <cell r="Q910"/>
          <cell r="R910"/>
          <cell r="S910"/>
        </row>
        <row r="911">
          <cell r="K911"/>
          <cell r="M911"/>
          <cell r="N911"/>
          <cell r="O911"/>
          <cell r="Q911"/>
          <cell r="R911"/>
          <cell r="S911"/>
        </row>
        <row r="912">
          <cell r="K912"/>
          <cell r="M912"/>
          <cell r="N912"/>
          <cell r="O912"/>
          <cell r="Q912"/>
          <cell r="R912"/>
          <cell r="S912"/>
        </row>
        <row r="913">
          <cell r="K913"/>
          <cell r="M913"/>
          <cell r="N913"/>
          <cell r="O913"/>
          <cell r="Q913"/>
          <cell r="R913"/>
          <cell r="S913"/>
        </row>
        <row r="914">
          <cell r="K914"/>
          <cell r="M914"/>
          <cell r="N914"/>
          <cell r="O914"/>
          <cell r="Q914"/>
          <cell r="R914"/>
          <cell r="S914"/>
        </row>
        <row r="915">
          <cell r="K915"/>
          <cell r="M915"/>
          <cell r="N915"/>
          <cell r="O915"/>
          <cell r="Q915"/>
          <cell r="R915"/>
          <cell r="S915"/>
        </row>
        <row r="916">
          <cell r="K916"/>
          <cell r="M916"/>
          <cell r="N916"/>
          <cell r="O916"/>
          <cell r="Q916"/>
          <cell r="R916"/>
          <cell r="S916"/>
        </row>
        <row r="917">
          <cell r="K917"/>
          <cell r="M917"/>
          <cell r="N917"/>
          <cell r="O917"/>
          <cell r="Q917"/>
          <cell r="R917"/>
          <cell r="S917"/>
        </row>
        <row r="918">
          <cell r="K918"/>
          <cell r="M918"/>
          <cell r="N918"/>
          <cell r="O918"/>
          <cell r="Q918"/>
          <cell r="R918"/>
          <cell r="S918"/>
        </row>
        <row r="919">
          <cell r="K919"/>
          <cell r="M919"/>
          <cell r="N919"/>
          <cell r="O919"/>
          <cell r="Q919"/>
          <cell r="R919"/>
          <cell r="S919"/>
        </row>
        <row r="920">
          <cell r="K920"/>
          <cell r="M920"/>
          <cell r="N920"/>
          <cell r="O920"/>
          <cell r="Q920"/>
          <cell r="R920"/>
          <cell r="S920"/>
        </row>
        <row r="921">
          <cell r="K921"/>
          <cell r="M921"/>
          <cell r="N921"/>
          <cell r="O921"/>
          <cell r="Q921"/>
          <cell r="R921"/>
          <cell r="S921"/>
        </row>
        <row r="922">
          <cell r="K922"/>
          <cell r="M922"/>
          <cell r="N922"/>
          <cell r="O922"/>
          <cell r="Q922"/>
          <cell r="R922"/>
          <cell r="S922"/>
        </row>
        <row r="923">
          <cell r="K923"/>
          <cell r="M923"/>
          <cell r="N923"/>
          <cell r="O923"/>
          <cell r="Q923"/>
          <cell r="R923"/>
          <cell r="S923"/>
        </row>
        <row r="924">
          <cell r="K924"/>
          <cell r="M924"/>
          <cell r="N924"/>
          <cell r="O924"/>
          <cell r="Q924"/>
          <cell r="R924"/>
          <cell r="S924"/>
        </row>
        <row r="925">
          <cell r="K925"/>
          <cell r="M925"/>
          <cell r="N925"/>
          <cell r="O925"/>
          <cell r="Q925"/>
          <cell r="R925"/>
          <cell r="S925"/>
        </row>
        <row r="926">
          <cell r="K926"/>
          <cell r="M926"/>
          <cell r="N926"/>
          <cell r="O926"/>
          <cell r="Q926"/>
          <cell r="R926"/>
          <cell r="S926"/>
        </row>
        <row r="927">
          <cell r="K927"/>
          <cell r="M927"/>
          <cell r="N927"/>
          <cell r="O927"/>
          <cell r="Q927"/>
          <cell r="R927"/>
          <cell r="S927"/>
        </row>
        <row r="928">
          <cell r="K928"/>
          <cell r="M928"/>
          <cell r="N928"/>
          <cell r="O928"/>
          <cell r="Q928"/>
          <cell r="R928"/>
          <cell r="S928"/>
        </row>
        <row r="929">
          <cell r="K929"/>
          <cell r="M929"/>
          <cell r="N929"/>
          <cell r="O929"/>
          <cell r="Q929"/>
          <cell r="R929"/>
          <cell r="S929"/>
        </row>
        <row r="930">
          <cell r="K930"/>
          <cell r="M930"/>
          <cell r="N930"/>
          <cell r="O930"/>
          <cell r="Q930"/>
          <cell r="R930"/>
          <cell r="S930"/>
        </row>
        <row r="931">
          <cell r="K931"/>
          <cell r="M931"/>
          <cell r="N931"/>
          <cell r="O931"/>
          <cell r="Q931"/>
          <cell r="R931"/>
          <cell r="S931"/>
        </row>
        <row r="932">
          <cell r="K932"/>
          <cell r="M932"/>
          <cell r="N932"/>
          <cell r="O932"/>
          <cell r="Q932"/>
          <cell r="R932"/>
          <cell r="S932"/>
        </row>
        <row r="933">
          <cell r="K933"/>
          <cell r="M933"/>
          <cell r="N933"/>
          <cell r="O933"/>
          <cell r="Q933"/>
          <cell r="R933"/>
          <cell r="S933"/>
        </row>
        <row r="934">
          <cell r="K934"/>
          <cell r="M934"/>
          <cell r="N934"/>
          <cell r="O934"/>
          <cell r="Q934"/>
          <cell r="R934"/>
          <cell r="S934"/>
        </row>
        <row r="935">
          <cell r="K935"/>
          <cell r="M935"/>
          <cell r="N935"/>
          <cell r="O935"/>
          <cell r="Q935"/>
          <cell r="R935"/>
          <cell r="S935"/>
        </row>
        <row r="936">
          <cell r="K936"/>
          <cell r="M936"/>
          <cell r="N936"/>
          <cell r="O936"/>
          <cell r="Q936"/>
          <cell r="R936"/>
          <cell r="S936"/>
        </row>
        <row r="937">
          <cell r="K937"/>
          <cell r="M937"/>
          <cell r="N937"/>
          <cell r="O937"/>
          <cell r="Q937"/>
          <cell r="R937"/>
          <cell r="S937"/>
        </row>
        <row r="938">
          <cell r="K938"/>
          <cell r="M938"/>
          <cell r="N938"/>
          <cell r="O938"/>
          <cell r="Q938"/>
          <cell r="R938"/>
          <cell r="S938"/>
        </row>
        <row r="939">
          <cell r="K939"/>
          <cell r="M939"/>
          <cell r="N939"/>
          <cell r="O939"/>
          <cell r="Q939"/>
          <cell r="R939"/>
          <cell r="S939"/>
        </row>
        <row r="940">
          <cell r="K940"/>
          <cell r="M940"/>
          <cell r="N940"/>
          <cell r="O940"/>
          <cell r="Q940"/>
          <cell r="R940"/>
          <cell r="S940"/>
        </row>
        <row r="941">
          <cell r="K941"/>
          <cell r="M941"/>
          <cell r="N941"/>
          <cell r="O941"/>
          <cell r="Q941"/>
          <cell r="R941"/>
          <cell r="S941"/>
        </row>
        <row r="942">
          <cell r="K942"/>
          <cell r="M942"/>
          <cell r="N942"/>
          <cell r="O942"/>
          <cell r="Q942"/>
          <cell r="R942"/>
          <cell r="S942"/>
        </row>
        <row r="943">
          <cell r="K943"/>
          <cell r="M943"/>
          <cell r="N943"/>
          <cell r="O943"/>
          <cell r="Q943"/>
          <cell r="R943"/>
          <cell r="S943"/>
        </row>
        <row r="944">
          <cell r="K944"/>
          <cell r="M944"/>
          <cell r="N944"/>
          <cell r="O944"/>
          <cell r="Q944"/>
          <cell r="R944"/>
          <cell r="S944"/>
        </row>
        <row r="945">
          <cell r="K945"/>
          <cell r="M945"/>
          <cell r="N945"/>
          <cell r="O945"/>
          <cell r="Q945"/>
          <cell r="R945"/>
          <cell r="S945"/>
        </row>
        <row r="946">
          <cell r="K946"/>
          <cell r="M946"/>
          <cell r="N946"/>
          <cell r="O946"/>
          <cell r="Q946"/>
          <cell r="R946"/>
          <cell r="S946"/>
        </row>
        <row r="947">
          <cell r="K947"/>
          <cell r="M947"/>
          <cell r="N947"/>
          <cell r="O947"/>
          <cell r="Q947"/>
          <cell r="R947"/>
          <cell r="S947"/>
        </row>
        <row r="948">
          <cell r="K948"/>
          <cell r="M948"/>
          <cell r="N948"/>
          <cell r="O948"/>
          <cell r="Q948"/>
          <cell r="R948"/>
          <cell r="S948"/>
        </row>
        <row r="949">
          <cell r="K949"/>
          <cell r="M949"/>
          <cell r="N949"/>
          <cell r="O949"/>
          <cell r="Q949"/>
          <cell r="R949"/>
          <cell r="S949"/>
        </row>
        <row r="950">
          <cell r="K950"/>
          <cell r="M950"/>
          <cell r="N950"/>
          <cell r="O950"/>
          <cell r="Q950"/>
          <cell r="R950"/>
          <cell r="S950"/>
        </row>
        <row r="951">
          <cell r="K951"/>
          <cell r="M951"/>
          <cell r="N951"/>
          <cell r="O951"/>
          <cell r="Q951"/>
          <cell r="R951"/>
          <cell r="S951"/>
        </row>
        <row r="952">
          <cell r="K952"/>
          <cell r="M952"/>
          <cell r="N952"/>
          <cell r="O952"/>
          <cell r="Q952"/>
          <cell r="R952"/>
          <cell r="S952"/>
        </row>
        <row r="953">
          <cell r="K953"/>
          <cell r="M953"/>
          <cell r="N953"/>
          <cell r="O953"/>
          <cell r="Q953"/>
          <cell r="R953"/>
          <cell r="S953"/>
        </row>
        <row r="954">
          <cell r="K954"/>
          <cell r="M954"/>
          <cell r="N954"/>
          <cell r="O954"/>
          <cell r="Q954"/>
          <cell r="R954"/>
          <cell r="S954"/>
        </row>
        <row r="955">
          <cell r="K955"/>
          <cell r="M955"/>
          <cell r="N955"/>
          <cell r="O955"/>
          <cell r="Q955"/>
          <cell r="R955"/>
          <cell r="S955"/>
        </row>
        <row r="956">
          <cell r="K956"/>
          <cell r="M956"/>
          <cell r="N956"/>
          <cell r="O956"/>
          <cell r="Q956"/>
          <cell r="R956"/>
          <cell r="S956"/>
        </row>
        <row r="957">
          <cell r="K957"/>
          <cell r="M957"/>
          <cell r="N957"/>
          <cell r="O957"/>
          <cell r="Q957"/>
          <cell r="R957"/>
          <cell r="S957"/>
        </row>
        <row r="958">
          <cell r="K958"/>
          <cell r="M958"/>
          <cell r="N958"/>
          <cell r="O958"/>
          <cell r="Q958"/>
          <cell r="R958"/>
          <cell r="S958"/>
        </row>
        <row r="959">
          <cell r="K959"/>
          <cell r="M959"/>
          <cell r="N959"/>
          <cell r="O959"/>
          <cell r="Q959"/>
          <cell r="R959"/>
          <cell r="S959"/>
        </row>
        <row r="960">
          <cell r="K960"/>
          <cell r="M960"/>
          <cell r="N960"/>
          <cell r="O960"/>
          <cell r="Q960"/>
          <cell r="R960"/>
          <cell r="S960"/>
        </row>
        <row r="961">
          <cell r="K961"/>
          <cell r="M961"/>
          <cell r="N961"/>
          <cell r="O961"/>
          <cell r="Q961"/>
          <cell r="R961"/>
          <cell r="S961"/>
        </row>
        <row r="962">
          <cell r="K962"/>
          <cell r="M962"/>
          <cell r="N962"/>
          <cell r="O962"/>
          <cell r="Q962"/>
          <cell r="R962"/>
          <cell r="S962"/>
        </row>
        <row r="963">
          <cell r="K963"/>
          <cell r="M963"/>
          <cell r="N963"/>
          <cell r="O963"/>
          <cell r="Q963"/>
          <cell r="R963"/>
          <cell r="S963"/>
        </row>
        <row r="964">
          <cell r="K964"/>
          <cell r="M964"/>
          <cell r="N964"/>
          <cell r="O964"/>
          <cell r="Q964"/>
          <cell r="R964"/>
          <cell r="S964"/>
        </row>
        <row r="965">
          <cell r="K965"/>
          <cell r="M965"/>
          <cell r="N965"/>
          <cell r="O965"/>
          <cell r="Q965"/>
          <cell r="R965"/>
          <cell r="S965"/>
        </row>
        <row r="966">
          <cell r="K966"/>
          <cell r="M966"/>
          <cell r="N966"/>
          <cell r="O966"/>
          <cell r="Q966"/>
          <cell r="R966"/>
          <cell r="S966"/>
        </row>
        <row r="967">
          <cell r="K967"/>
          <cell r="M967"/>
          <cell r="N967"/>
          <cell r="O967"/>
          <cell r="Q967"/>
          <cell r="R967"/>
          <cell r="S967"/>
        </row>
        <row r="968">
          <cell r="K968"/>
          <cell r="M968"/>
          <cell r="N968"/>
          <cell r="O968"/>
          <cell r="Q968"/>
          <cell r="R968"/>
          <cell r="S968"/>
        </row>
        <row r="969">
          <cell r="K969"/>
          <cell r="M969"/>
          <cell r="N969"/>
          <cell r="O969"/>
          <cell r="Q969"/>
          <cell r="R969"/>
          <cell r="S969"/>
        </row>
        <row r="970">
          <cell r="K970"/>
          <cell r="M970"/>
          <cell r="N970"/>
          <cell r="O970"/>
          <cell r="Q970"/>
          <cell r="R970"/>
          <cell r="S970"/>
        </row>
        <row r="971">
          <cell r="K971"/>
          <cell r="M971"/>
          <cell r="N971"/>
          <cell r="O971"/>
          <cell r="Q971"/>
          <cell r="R971"/>
          <cell r="S971"/>
        </row>
        <row r="972">
          <cell r="K972"/>
          <cell r="M972"/>
          <cell r="N972"/>
          <cell r="O972"/>
          <cell r="Q972"/>
          <cell r="R972"/>
          <cell r="S972"/>
        </row>
        <row r="973">
          <cell r="K973"/>
          <cell r="M973"/>
          <cell r="N973"/>
          <cell r="O973"/>
          <cell r="Q973"/>
          <cell r="R973"/>
          <cell r="S973"/>
        </row>
        <row r="974">
          <cell r="K974"/>
          <cell r="M974"/>
          <cell r="N974"/>
          <cell r="O974"/>
          <cell r="Q974"/>
          <cell r="R974"/>
          <cell r="S974"/>
        </row>
        <row r="975">
          <cell r="K975"/>
          <cell r="M975"/>
          <cell r="N975"/>
          <cell r="O975"/>
          <cell r="Q975"/>
          <cell r="R975"/>
          <cell r="S975"/>
        </row>
        <row r="976">
          <cell r="K976"/>
          <cell r="M976"/>
          <cell r="N976"/>
          <cell r="O976"/>
          <cell r="Q976"/>
          <cell r="R976"/>
          <cell r="S976"/>
        </row>
        <row r="977">
          <cell r="K977"/>
          <cell r="M977"/>
          <cell r="N977"/>
          <cell r="O977"/>
          <cell r="Q977"/>
          <cell r="R977"/>
          <cell r="S977"/>
        </row>
        <row r="978">
          <cell r="K978"/>
          <cell r="M978"/>
          <cell r="N978"/>
          <cell r="O978"/>
          <cell r="Q978"/>
          <cell r="R978"/>
          <cell r="S978"/>
        </row>
        <row r="979">
          <cell r="K979"/>
          <cell r="M979"/>
          <cell r="N979"/>
          <cell r="O979"/>
          <cell r="Q979"/>
          <cell r="R979"/>
          <cell r="S979"/>
        </row>
        <row r="980">
          <cell r="K980"/>
          <cell r="M980"/>
          <cell r="N980"/>
          <cell r="O980"/>
          <cell r="Q980"/>
          <cell r="R980"/>
          <cell r="S980"/>
        </row>
        <row r="981">
          <cell r="K981"/>
          <cell r="M981"/>
          <cell r="N981"/>
          <cell r="O981"/>
          <cell r="Q981"/>
          <cell r="R981"/>
          <cell r="S981"/>
        </row>
        <row r="982">
          <cell r="K982"/>
          <cell r="M982"/>
          <cell r="N982"/>
          <cell r="O982"/>
          <cell r="Q982"/>
          <cell r="R982"/>
          <cell r="S982"/>
        </row>
        <row r="983">
          <cell r="K983"/>
          <cell r="M983"/>
          <cell r="N983"/>
          <cell r="O983"/>
          <cell r="Q983"/>
          <cell r="R983"/>
          <cell r="S983"/>
        </row>
        <row r="984">
          <cell r="K984"/>
          <cell r="M984"/>
          <cell r="N984"/>
          <cell r="O984"/>
          <cell r="Q984"/>
          <cell r="R984"/>
          <cell r="S984"/>
        </row>
        <row r="985">
          <cell r="K985"/>
          <cell r="M985"/>
          <cell r="N985"/>
          <cell r="O985"/>
          <cell r="Q985"/>
          <cell r="R985"/>
          <cell r="S985"/>
        </row>
        <row r="986">
          <cell r="K986"/>
          <cell r="M986"/>
          <cell r="N986"/>
          <cell r="O986"/>
          <cell r="Q986"/>
          <cell r="R986"/>
          <cell r="S986"/>
        </row>
        <row r="987">
          <cell r="K987"/>
          <cell r="M987"/>
          <cell r="N987"/>
          <cell r="O987"/>
          <cell r="Q987"/>
          <cell r="R987"/>
          <cell r="S987"/>
        </row>
        <row r="988">
          <cell r="K988"/>
          <cell r="M988"/>
          <cell r="N988"/>
          <cell r="O988"/>
          <cell r="Q988"/>
          <cell r="R988"/>
          <cell r="S988"/>
        </row>
        <row r="989">
          <cell r="K989"/>
          <cell r="M989"/>
          <cell r="N989"/>
          <cell r="O989"/>
          <cell r="Q989"/>
          <cell r="R989"/>
          <cell r="S989"/>
        </row>
        <row r="990">
          <cell r="K990"/>
          <cell r="M990"/>
          <cell r="N990"/>
          <cell r="O990"/>
          <cell r="Q990"/>
          <cell r="R990"/>
          <cell r="S990"/>
        </row>
        <row r="991">
          <cell r="K991"/>
          <cell r="M991"/>
          <cell r="N991"/>
          <cell r="O991"/>
          <cell r="Q991"/>
          <cell r="R991"/>
          <cell r="S991"/>
        </row>
        <row r="992">
          <cell r="K992"/>
          <cell r="M992"/>
          <cell r="N992"/>
          <cell r="O992"/>
          <cell r="Q992"/>
          <cell r="R992"/>
          <cell r="S992"/>
        </row>
        <row r="993">
          <cell r="K993"/>
          <cell r="M993"/>
          <cell r="N993"/>
          <cell r="O993"/>
          <cell r="Q993"/>
          <cell r="R993"/>
          <cell r="S993"/>
        </row>
        <row r="994">
          <cell r="K994"/>
          <cell r="M994"/>
          <cell r="N994"/>
          <cell r="O994"/>
          <cell r="Q994"/>
          <cell r="R994"/>
          <cell r="S994"/>
        </row>
        <row r="995">
          <cell r="K995"/>
          <cell r="M995"/>
          <cell r="N995"/>
          <cell r="O995"/>
          <cell r="Q995"/>
          <cell r="R995"/>
          <cell r="S995"/>
        </row>
        <row r="996">
          <cell r="K996"/>
          <cell r="M996"/>
          <cell r="N996"/>
          <cell r="O996"/>
          <cell r="Q996"/>
          <cell r="R996"/>
          <cell r="S996"/>
        </row>
        <row r="997">
          <cell r="K997"/>
          <cell r="M997"/>
          <cell r="N997"/>
          <cell r="O997"/>
          <cell r="Q997"/>
          <cell r="R997"/>
          <cell r="S997"/>
        </row>
        <row r="998">
          <cell r="K998"/>
          <cell r="M998"/>
          <cell r="N998"/>
          <cell r="O998"/>
          <cell r="Q998"/>
          <cell r="R998"/>
          <cell r="S998"/>
        </row>
        <row r="999">
          <cell r="K999"/>
          <cell r="M999"/>
          <cell r="N999"/>
          <cell r="O999"/>
          <cell r="Q999"/>
          <cell r="R999"/>
          <cell r="S999"/>
        </row>
        <row r="1000">
          <cell r="K1000"/>
          <cell r="M1000"/>
          <cell r="N1000"/>
          <cell r="O1000"/>
          <cell r="Q1000"/>
          <cell r="R1000"/>
          <cell r="S1000"/>
        </row>
        <row r="1001">
          <cell r="K1001"/>
          <cell r="M1001"/>
          <cell r="N1001"/>
          <cell r="O1001"/>
          <cell r="Q1001"/>
          <cell r="R1001"/>
          <cell r="S1001"/>
        </row>
        <row r="1002">
          <cell r="K1002"/>
          <cell r="M1002"/>
          <cell r="N1002"/>
          <cell r="O1002"/>
          <cell r="Q1002"/>
          <cell r="R1002"/>
          <cell r="S1002"/>
        </row>
        <row r="1003">
          <cell r="K1003"/>
          <cell r="M1003"/>
          <cell r="N1003"/>
          <cell r="O1003"/>
          <cell r="Q1003"/>
          <cell r="R1003"/>
          <cell r="S1003"/>
        </row>
        <row r="1004">
          <cell r="K1004"/>
          <cell r="M1004"/>
          <cell r="N1004"/>
          <cell r="O1004"/>
          <cell r="Q1004"/>
          <cell r="R1004"/>
          <cell r="S1004"/>
        </row>
        <row r="1005">
          <cell r="K1005"/>
          <cell r="M1005"/>
          <cell r="N1005"/>
          <cell r="O1005"/>
          <cell r="Q1005"/>
          <cell r="R1005"/>
          <cell r="S1005"/>
        </row>
        <row r="1006">
          <cell r="K1006"/>
          <cell r="M1006"/>
          <cell r="N1006"/>
          <cell r="O1006"/>
          <cell r="Q1006"/>
          <cell r="R1006"/>
          <cell r="S1006"/>
        </row>
        <row r="1007">
          <cell r="K1007"/>
          <cell r="M1007"/>
          <cell r="N1007"/>
          <cell r="O1007"/>
          <cell r="Q1007"/>
          <cell r="R1007"/>
          <cell r="S1007"/>
        </row>
        <row r="1008">
          <cell r="K1008"/>
          <cell r="M1008"/>
          <cell r="N1008"/>
          <cell r="O1008"/>
          <cell r="Q1008"/>
          <cell r="R1008"/>
          <cell r="S1008"/>
        </row>
        <row r="1009">
          <cell r="K1009"/>
          <cell r="M1009"/>
          <cell r="N1009"/>
          <cell r="O1009"/>
          <cell r="Q1009"/>
          <cell r="R1009"/>
          <cell r="S1009"/>
        </row>
        <row r="1010">
          <cell r="K1010"/>
          <cell r="M1010"/>
          <cell r="N1010"/>
          <cell r="O1010"/>
          <cell r="Q1010"/>
          <cell r="R1010"/>
          <cell r="S1010"/>
        </row>
        <row r="1011">
          <cell r="K1011"/>
          <cell r="M1011"/>
          <cell r="N1011"/>
          <cell r="O1011"/>
          <cell r="Q1011"/>
          <cell r="R1011"/>
          <cell r="S1011"/>
        </row>
        <row r="1012">
          <cell r="K1012"/>
          <cell r="M1012"/>
          <cell r="N1012"/>
          <cell r="O1012"/>
          <cell r="Q1012"/>
          <cell r="R1012"/>
          <cell r="S1012"/>
        </row>
        <row r="1013">
          <cell r="K1013"/>
          <cell r="M1013"/>
          <cell r="N1013"/>
          <cell r="O1013"/>
          <cell r="Q1013"/>
          <cell r="R1013"/>
          <cell r="S1013"/>
        </row>
        <row r="1014">
          <cell r="K1014"/>
          <cell r="M1014"/>
          <cell r="N1014"/>
          <cell r="O1014"/>
          <cell r="Q1014"/>
          <cell r="R1014"/>
          <cell r="S1014"/>
        </row>
        <row r="1015">
          <cell r="K1015"/>
          <cell r="M1015"/>
          <cell r="N1015"/>
          <cell r="O1015"/>
          <cell r="Q1015"/>
          <cell r="R1015"/>
          <cell r="S1015"/>
        </row>
        <row r="1016">
          <cell r="K1016"/>
          <cell r="M1016"/>
          <cell r="N1016"/>
          <cell r="O1016"/>
          <cell r="Q1016"/>
          <cell r="R1016"/>
          <cell r="S1016"/>
        </row>
        <row r="1017">
          <cell r="K1017"/>
          <cell r="M1017"/>
          <cell r="N1017"/>
          <cell r="O1017"/>
          <cell r="Q1017"/>
          <cell r="R1017"/>
          <cell r="S1017"/>
        </row>
        <row r="1020">
          <cell r="G1020"/>
        </row>
      </sheetData>
      <sheetData sheetId="3"/>
      <sheetData sheetId="4"/>
      <sheetData sheetId="5"/>
      <sheetData sheetId="6"/>
      <sheetData sheetId="7"/>
      <sheetData sheetId="8">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H2" t="str">
            <v>Pour évolutions techniques ou technologiques</v>
          </cell>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H3" t="str">
            <v>Suite à évolutions techniques et règlementaires</v>
          </cell>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H4" t="str">
            <v>Ajouts nécessaires à bonne exécution de marché</v>
          </cell>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H5" t="str">
            <v>En cas de circonstances imprévisibles</v>
          </cell>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H6" t="str">
            <v>Modifications du montant maximum</v>
          </cell>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H7" t="str">
            <v>Autres</v>
          </cell>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O70" t="str">
            <v>Support achat</v>
          </cell>
          <cell r="Q70" t="str">
            <v>Vente exclusive par catalogue privatif</v>
          </cell>
        </row>
        <row r="71">
          <cell r="A71" t="str">
            <v>Non</v>
          </cell>
          <cell r="C71" t="str">
            <v>&lt; 50 %</v>
          </cell>
          <cell r="G71" t="str">
            <v>Informatique et infrastructures</v>
          </cell>
          <cell r="I71" t="str">
            <v>Envoi direct</v>
          </cell>
          <cell r="K71" t="str">
            <v>Acquisition</v>
          </cell>
          <cell r="O71" t="str">
            <v>Chef de produit</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dy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Non, absence de commande à échéance sauf pour les prestations de maintenance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relivraisons prévus; Non, absence de frais de modification ou relivraison</v>
          </cell>
          <cell r="AM102" t="str">
            <v>Oui, l'offre prévoit des supports d'enregistrement</v>
          </cell>
          <cell r="AN102" t="str">
            <v>Oui, une rémunération pour copie privée est prévue</v>
          </cell>
          <cell r="AO102" t="str">
            <v>Oui, le taux de remise peut varier</v>
          </cell>
          <cell r="AP102" t="str">
            <v>Oui, le surcoût outer-mer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 sauf pour les prestations de maintenance</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outer-mer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G104" t="str">
            <v>Non, Facturation indépendante d'un échéancier</v>
          </cell>
          <cell r="H104" t="str">
            <v>Oui, commande à échéance</v>
          </cell>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9"/>
      <sheetData sheetId="10"/>
      <sheetData sheetId="11"/>
      <sheetData sheetId="12"/>
      <sheetData sheetId="13">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t="str">
            <v>Non concerné pour l'offre</v>
          </cell>
          <cell r="BS11"/>
          <cell r="BT11"/>
          <cell r="BW11"/>
        </row>
        <row r="12">
          <cell r="K12"/>
          <cell r="Z12"/>
          <cell r="AA12" t="str">
            <v>Non concerné pour l'offre</v>
          </cell>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Justification
Concerne les cas dérogatoires aux standards et différenciants à l'offre précédente</v>
          </cell>
          <cell r="P1"/>
          <cell r="Q1" t="str">
            <v>Commentaires</v>
          </cell>
          <cell r="R1" t="str">
            <v>Commentaires Intra</v>
          </cell>
          <cell r="S1" t="str">
            <v>Opérateur standard</v>
          </cell>
        </row>
      </sheetData>
      <sheetData sheetId="31"/>
      <sheetData sheetId="32"/>
      <sheetData sheetId="33"/>
      <sheetData sheetId="34"/>
      <sheetData sheetId="35"/>
      <sheetData sheetId="36">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7"/>
      <sheetData sheetId="38"/>
      <sheetData sheetId="3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OUDI Farouk" refreshedDate="46184.600182986112" createdVersion="8" refreshedVersion="8" minRefreshableVersion="3" recordCount="304" xr:uid="{DDAFF103-F031-425A-A478-05416F0C0F31}">
  <cacheSource type="worksheet">
    <worksheetSource ref="A1:F305" sheet="100-Parametres"/>
  </cacheSource>
  <cacheFields count="6">
    <cacheField name="QuestionAAfficher" numFmtId="0">
      <sharedItems count="284">
        <s v="El100"/>
        <s v="El103"/>
        <s v="El104b"/>
        <s v="El105"/>
        <s v="El107"/>
        <s v="El111"/>
        <s v="El111b"/>
        <s v="El112"/>
        <s v="El114"/>
        <s v="El114b"/>
        <s v="El117"/>
        <s v="El219"/>
        <s v="El123"/>
        <s v="El124"/>
        <s v="El127"/>
        <s v="El128"/>
        <s v="El132b"/>
        <s v="El133"/>
        <s v="El136b"/>
        <s v="El137"/>
        <s v="El139"/>
        <s v="El144"/>
        <s v="El146"/>
        <s v="El147"/>
        <s v="El149"/>
        <s v="El151b"/>
        <s v="El152"/>
        <s v="El494"/>
        <s v="El152b"/>
        <s v="El494b"/>
        <s v="El154"/>
        <s v="El157b"/>
        <s v="El158"/>
        <s v="El159"/>
        <s v="El161b"/>
        <s v="El161c"/>
        <s v="El162"/>
        <s v="El163"/>
        <s v="El163b"/>
        <s v="El163d"/>
        <s v="El163f"/>
        <s v="El164"/>
        <s v="El165"/>
        <s v="El166"/>
        <s v="El167"/>
        <s v="El168"/>
        <s v="El169"/>
        <s v="El170"/>
        <s v="El171"/>
        <s v="El172b"/>
        <s v="El172c"/>
        <s v="El172d"/>
        <s v="El172e"/>
        <s v="El173b"/>
        <s v="El174"/>
        <s v="El488"/>
        <s v="El180"/>
        <s v="El181"/>
        <s v="El317a"/>
        <s v="El183b"/>
        <s v="El183l"/>
        <s v="El183m"/>
        <s v="El183f"/>
        <s v="El183h"/>
        <s v="El183j"/>
        <s v="El183k"/>
        <s v="El185"/>
        <s v="El186"/>
        <s v="El188"/>
        <s v="El190"/>
        <s v="El191"/>
        <s v="El206"/>
        <s v="El206b"/>
        <s v="El207"/>
        <s v="El209"/>
        <s v="El211"/>
        <s v="El213"/>
        <s v="El221"/>
        <s v="El224a"/>
        <s v="El224b"/>
        <s v="El224c"/>
        <s v="El224d"/>
        <s v="El258b"/>
        <s v="El26"/>
        <s v="El260"/>
        <s v="el260d"/>
        <s v="el260f"/>
        <s v="el260g"/>
        <s v="el260h"/>
        <s v="el260i"/>
        <s v="El264"/>
        <s v="El265"/>
        <s v="El268"/>
        <s v="El27"/>
        <s v="El270"/>
        <s v="El271"/>
        <s v="El271b"/>
        <s v="El271c"/>
        <s v="El291"/>
        <s v="El218"/>
        <s v="El2b"/>
        <s v="El30"/>
        <s v="El303"/>
        <s v="El303b"/>
        <s v="El308c"/>
        <s v="El308d"/>
        <s v="El308e"/>
        <s v="El308f"/>
        <s v="El308g"/>
        <s v="El308h"/>
        <s v="El310"/>
        <s v="El311"/>
        <s v="El312"/>
        <s v="El314"/>
        <s v="El315b"/>
        <s v="El316a"/>
        <s v="El403"/>
        <s v="El506"/>
        <s v="El506a"/>
        <s v="El506b"/>
        <s v="El506c"/>
        <s v="El506d"/>
        <s v="El506e"/>
        <s v="El510"/>
        <s v="El510a"/>
        <s v="El510b"/>
        <s v="El510c"/>
        <s v="El510d"/>
        <s v="El510e"/>
        <s v="El510f"/>
        <s v="El318"/>
        <s v="El318a"/>
        <s v="El319"/>
        <s v="El321"/>
        <s v="El322"/>
        <s v="El323"/>
        <s v="El323b"/>
        <s v="El323c"/>
        <s v="El324"/>
        <s v="El187"/>
        <s v="El223e"/>
        <s v="El326"/>
        <s v="El326b"/>
        <s v="El327"/>
        <s v="El328"/>
        <s v="El328b"/>
        <s v="El331"/>
        <s v="El332b"/>
        <s v="El334"/>
        <s v="El337"/>
        <s v="El337b"/>
        <s v="El338"/>
        <s v="El343"/>
        <s v="El343b"/>
        <s v="El344"/>
        <s v="El345"/>
        <s v="El347"/>
        <s v="El349"/>
        <s v="El353b"/>
        <s v="El357"/>
        <s v="El359"/>
        <s v="El361b"/>
        <s v="El37"/>
        <s v="El389"/>
        <s v="El38b"/>
        <s v="El390"/>
        <s v="El391"/>
        <s v="El392"/>
        <s v="El395"/>
        <s v="El402"/>
        <s v="El41"/>
        <s v="El41b"/>
        <s v="El5e"/>
        <s v="El60b"/>
        <s v="El64"/>
        <s v="El70"/>
        <s v="El78h"/>
        <s v="El74"/>
        <s v="El73"/>
        <s v="El78i"/>
        <s v="El78j"/>
        <s v="ElTTT417"/>
        <s v="El78g"/>
        <s v="El78k"/>
        <s v="El78l"/>
        <s v="El78m"/>
        <s v="ElTTT416"/>
        <s v="El78a"/>
        <s v="El78f"/>
        <s v="El78b"/>
        <s v="El78c"/>
        <s v="El78d"/>
        <s v="El78e"/>
        <s v="El78n"/>
        <s v="El7b"/>
        <s v="El81b"/>
        <s v="El83"/>
        <s v="El85b"/>
        <s v="El84b"/>
        <s v="El84c"/>
        <s v="El84d"/>
        <s v="El84e"/>
        <s v="El87"/>
        <s v="El87b"/>
        <s v="El87c"/>
        <s v="El88b"/>
        <s v="El92"/>
        <s v="El93"/>
        <s v="El95"/>
        <s v="El96"/>
        <s v="El98"/>
        <s v="El121"/>
        <s v="El507"/>
        <s v="El183"/>
        <s v="El489"/>
        <s v="El335e"/>
        <s v="ElTT502"/>
        <s v="El134"/>
        <s v="El381"/>
        <s v="ElTT503"/>
        <s v="El387"/>
        <s v="El396"/>
        <s v="El5c"/>
        <s v="El178"/>
        <s v="El179"/>
        <s v="El500"/>
        <s v="El500c"/>
        <s v="El220"/>
        <s v="El60d"/>
        <s v="El60c"/>
        <s v="El493"/>
        <s v="El370"/>
        <s v="El372"/>
        <s v="El378"/>
        <s v="El379"/>
        <s v="El380"/>
        <s v="El376"/>
        <s v="El377"/>
        <s v="El30c"/>
        <s v="El332c"/>
        <s v="El141"/>
        <s v="El508"/>
        <s v="El333c"/>
        <s v="El333d"/>
        <s v="El33b"/>
        <s v="El112c"/>
        <s v="El103c"/>
        <s v="El160b"/>
        <s v="El182b"/>
        <s v="El497"/>
        <s v="El498"/>
        <s v="El499"/>
        <s v="El227"/>
        <s v="El44"/>
        <s v="El45"/>
        <s v="El73b"/>
        <s v="El73d"/>
        <s v="El73e"/>
        <s v="El73f"/>
        <s v="El73g"/>
        <s v="El335f"/>
        <s v="El183e"/>
        <s v="El335h"/>
        <s v="El317"/>
        <s v="El258c"/>
        <s v="El258d"/>
        <s v="El199c"/>
        <s v="ElTT446"/>
        <s v="El177"/>
        <s v="El180a"/>
        <s v="El181b"/>
        <s v="El182"/>
        <s v="ElTT447"/>
        <s v="El189"/>
        <s v="El192"/>
        <s v="El183g"/>
        <s v="El183i"/>
        <s v="ElTT448"/>
        <s v="El184"/>
        <s v="ElTT437"/>
        <s v="El4"/>
        <s v="El335"/>
        <s v="El46"/>
        <s v="El43"/>
      </sharedItems>
    </cacheField>
    <cacheField name="Champ2" caption="Champ2" numFmtId="0">
      <sharedItems longText="1"/>
    </cacheField>
    <cacheField name="Question conditionnante" numFmtId="0">
      <sharedItems count="155">
        <s v="El99"/>
        <s v="El102"/>
        <s v="El104"/>
        <s v="El104b"/>
        <s v="El110"/>
        <s v="El111"/>
        <s v="El113"/>
        <s v="El114"/>
        <s v="El116"/>
        <s v="El122"/>
        <s v="El123"/>
        <s v="El125"/>
        <s v="El127"/>
        <s v="El132"/>
        <s v="El136"/>
        <s v="El138"/>
        <s v="El143"/>
        <s v="El146"/>
        <s v="El148"/>
        <s v="El151"/>
        <s v="El151b"/>
        <s v="El153"/>
        <s v="El156"/>
        <s v="El161"/>
        <s v="El2"/>
        <s v="El162"/>
        <s v="El163"/>
        <s v="El163c"/>
        <s v="El163e"/>
        <s v="El164a"/>
        <s v="El164"/>
        <s v="El168"/>
        <s v="El172"/>
        <s v="El393"/>
        <s v="El177"/>
        <s v="El180a"/>
        <s v="El220"/>
        <s v="El0a"/>
        <s v="El183l"/>
        <s v="El183e"/>
        <s v="El183g"/>
        <s v="El183i"/>
        <s v="El183b"/>
        <s v="El184"/>
        <s v="El189"/>
        <s v="El205"/>
        <s v="El206"/>
        <s v="El208"/>
        <s v="El210"/>
        <s v="El211"/>
        <s v="El223"/>
        <s v="El258"/>
        <s v="El25"/>
        <s v="El259"/>
        <s v="el260c"/>
        <s v="el260e"/>
        <s v="El263"/>
        <s v="El490"/>
        <s v="El266"/>
        <s v="El270"/>
        <s v="El271b"/>
        <s v="El285"/>
        <s v="El217"/>
        <s v="El29"/>
        <s v="El302"/>
        <s v="El303"/>
        <s v="El308b"/>
        <s v="El309"/>
        <s v="El311"/>
        <s v="El313"/>
        <s v="El315"/>
        <s v="El316"/>
        <s v="El506c"/>
        <s v="El510b"/>
        <s v="El510e"/>
        <s v="El317"/>
        <s v="El318a"/>
        <s v="El320"/>
        <s v="El321"/>
        <s v="El223d"/>
        <s v="El325"/>
        <s v="El326"/>
        <s v="El328"/>
        <s v="El330"/>
        <s v="El332"/>
        <s v="El333b"/>
        <s v="El336"/>
        <s v="El342"/>
        <s v="El344"/>
        <s v="El346"/>
        <s v="El348"/>
        <s v="El353"/>
        <s v="El356"/>
        <s v="El358"/>
        <s v="El361"/>
        <s v="El36"/>
        <s v="El369"/>
        <s v="El38"/>
        <s v="El269"/>
        <s v="El163d"/>
        <s v="El3b"/>
        <s v="El401"/>
        <s v="El40"/>
        <s v="El41"/>
        <s v="El5c"/>
        <s v="El60"/>
        <s v="El63"/>
        <s v="El69"/>
        <s v="El71"/>
        <s v="El72"/>
        <s v="El77"/>
        <s v="El78m"/>
        <s v="El7"/>
        <s v="El80"/>
        <s v="El80a"/>
        <s v="El84"/>
        <s v="El84d"/>
        <s v="El86"/>
        <s v="El87b"/>
        <s v="El88"/>
        <s v="El91"/>
        <s v="El94"/>
        <s v="El97"/>
        <s v="El120"/>
        <s v="El183j"/>
        <s v="El335b"/>
        <s v="El4"/>
        <s v="El134"/>
        <s v="El387"/>
        <s v="El488"/>
        <s v="El59"/>
        <s v="El500c"/>
        <s v="El60b"/>
        <s v="El60c"/>
        <s v="El370"/>
        <s v="El30"/>
        <s v="El332b"/>
        <s v="El140"/>
        <s v="El333"/>
        <s v="El33"/>
        <s v="El96"/>
        <s v="El103"/>
        <s v="El160"/>
        <s v="El182"/>
        <s v="El496"/>
        <s v="El260a"/>
        <s v="El509"/>
        <s v="El73"/>
        <s v="El73e"/>
        <s v="El78h"/>
        <s v="El335a"/>
        <s v="El335e"/>
        <s v="El199b"/>
        <s v="El445"/>
        <s v="El41c"/>
      </sharedItems>
    </cacheField>
    <cacheField name="Champ4" caption="Champ4" numFmtId="0">
      <sharedItems longText="1"/>
    </cacheField>
    <cacheField name="Si" numFmtId="0">
      <sharedItems/>
    </cacheField>
    <cacheField name="Condition Pour Afficher" numFmtId="0">
      <sharedItems count="47">
        <s v="Non"/>
        <s v="Oui"/>
        <s v="clause de réexamen"/>
        <s v="Autres"/>
        <s v="Clause promo"/>
        <s v="Autre"/>
        <s v="Non conforme"/>
        <s v="échéance"/>
        <s v="mono"/>
        <s v="multi"/>
        <s v="Matériel"/>
        <s v="Franco France Métropolitaine"/>
        <s v="Franco France Continentale"/>
        <s v="Départ Usine"/>
        <s v="FEC (Entrepôt UGAP)"/>
        <s v="DAV"/>
        <s v="outre"/>
        <s v="véhicule"/>
        <s v="Pilotage avec KPI"/>
        <s v="Pas de critère Qualité de Service"/>
        <s v="Tout ou partie"/>
        <s v="prestation"/>
        <s v="FEC"/>
        <s v="ferme"/>
        <s v="indice"/>
        <s v=" tarif public à tout mo"/>
        <s v=" tarif public à date fixe"/>
        <s v="Sur indice"/>
        <s v="Groupement solidaire obligatoire"/>
        <s v="Oui. Niveau minimal imposé"/>
        <s v="L’analyse de la convenance est prévue sur une autre configuration"/>
        <s v="Guide de vente "/>
        <s v="Multi échéance"/>
        <s v="Marchés subséquents"/>
        <s v="et"/>
        <s v="Multi attribué"/>
        <s v="Offre exécutée"/>
        <s v="Offre non exécutée"/>
        <s v="Renouvellement d'offre"/>
        <s v="maintenance"/>
        <s v="etranger"/>
        <s v="OM"/>
        <s v="corrective"/>
        <s v="Différent"/>
        <s v="engagement"/>
        <s v="CCAP avec annexes"/>
        <s v="taux de remi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
  <r>
    <x v="0"/>
    <s v="Si non, préciser la marge spécifique applicable (ex : taux unique, PA=PV...) et justifier de cette dérogation"/>
    <x v="0"/>
    <s v="La rémunération par le client correspond-elle au standard (Taux de marge applicable au PA) avec distinction grands comptes - partenaire ?"/>
    <s v="&lt;&gt;"/>
    <x v="0"/>
  </r>
  <r>
    <x v="1"/>
    <s v="Si oui, préciser le contenu de l'offre concerné par l'exclusion (ex : prestation d'assurance)"/>
    <x v="1"/>
    <s v="Une partie de l'offre fait-elle l'objet d'une exclusion de marge"/>
    <s v="&lt;&gt;"/>
    <x v="1"/>
  </r>
  <r>
    <x v="2"/>
    <s v="Si clause de réexamen applicable, quel est le périmètre de la clause de réexamen "/>
    <x v="2"/>
    <s v="Quelles sont les clauses modificatives applicables ?_x0009_"/>
    <s v="&lt;&gt;"/>
    <x v="2"/>
  </r>
  <r>
    <x v="3"/>
    <s v="Si autre, expliquer le périmètre complémentaire applicable en matière de clause de réexamen"/>
    <x v="3"/>
    <s v="Si clause de réexamen applicable, quel est le périmètre de la clause de réexamen "/>
    <s v="&lt;&gt;"/>
    <x v="3"/>
  </r>
  <r>
    <x v="4"/>
    <s v="Si clause promotionnelle applicable, quel est le périmètre applicable ?"/>
    <x v="2"/>
    <s v="Quelles sont les clauses modificatives applicables ?_x0009_"/>
    <s v="&lt;&gt;"/>
    <x v="4"/>
  </r>
  <r>
    <x v="5"/>
    <s v="Si oui, préciser lesquels"/>
    <x v="4"/>
    <s v="Existe-il des prérequis à l’établissement d’un devis ?"/>
    <s v="&lt;&gt;"/>
    <x v="1"/>
  </r>
  <r>
    <x v="6"/>
    <s v="Si oui, pour quels lots"/>
    <x v="4"/>
    <s v="Existe-il des prérequis à l’établissement d’un devis ?"/>
    <s v="&lt;&gt;"/>
    <x v="1"/>
  </r>
  <r>
    <x v="7"/>
    <s v="Si autre, préciser lesquels"/>
    <x v="5"/>
    <s v="Si oui, préciser lesquels"/>
    <s v="&lt;&gt;"/>
    <x v="5"/>
  </r>
  <r>
    <x v="8"/>
    <s v="Si non, préciser lesquels"/>
    <x v="6"/>
    <s v="Canal d’enregistrement des devis est-il identique à celui de la commande ?"/>
    <s v="&lt;&gt;"/>
    <x v="0"/>
  </r>
  <r>
    <x v="9"/>
    <s v="Si autre, précisez"/>
    <x v="7"/>
    <s v="Si non, préciser lesquels"/>
    <s v="&lt;&gt;"/>
    <x v="5"/>
  </r>
  <r>
    <x v="10"/>
    <s v="Si oui préciser l'étendue"/>
    <x v="8"/>
    <s v="Existence d'une convention client?"/>
    <s v="&lt;&gt;"/>
    <x v="1"/>
  </r>
  <r>
    <x v="11"/>
    <s v="Si oui, préciser qui traite la convention"/>
    <x v="8"/>
    <s v="Existence d'une convention client?"/>
    <s v="&lt;&gt;"/>
    <x v="1"/>
  </r>
  <r>
    <x v="12"/>
    <s v="Si non, préciser les modalités particulières applicables"/>
    <x v="9"/>
    <s v="Modalités standard de commande "/>
    <s v="&lt;&gt;"/>
    <x v="0"/>
  </r>
  <r>
    <x v="13"/>
    <s v="Si autre, préciser"/>
    <x v="10"/>
    <s v="Si non, préciser les modalités particulières applicables"/>
    <s v="&lt;&gt;"/>
    <x v="5"/>
  </r>
  <r>
    <x v="14"/>
    <s v="Si oui, le délai de transmission des informations (confirmation de commande, date prévisionnelle…) est-il conforme au délai standard de 3 jours ?"/>
    <x v="11"/>
    <s v="Une dématerialisation des commandes est-elle a mettre en place via SINOE ?"/>
    <s v="&lt;&gt;"/>
    <x v="1"/>
  </r>
  <r>
    <x v="15"/>
    <s v="Si délai non conforme au standard, préciser le délai applicable"/>
    <x v="12"/>
    <s v="Si oui, le délai de transmission des informations (confirmation de commande, date prévisionnelle…) est-il conforme au délai standard de 3 jours ?"/>
    <s v="&lt;&gt;"/>
    <x v="6"/>
  </r>
  <r>
    <x v="16"/>
    <s v="En cas de BDC à échéance, préciser s'il s'agit d'une mono, multi échéance et pour quelle échéance l'UGAP émet-elle une commande ? (mensuelle, trimestrielle, semestrielle ou annuelle)"/>
    <x v="13"/>
    <s v="Quelle est la fréquence d'émission des bons de commandes ?"/>
    <s v="&lt;&gt;"/>
    <x v="7"/>
  </r>
  <r>
    <x v="17"/>
    <s v="Si fréquence d'émission &quot;autre&quot; ou &quot;mixte&quot; apporter des précisions après échanges auprès du référent devis/commande "/>
    <x v="13"/>
    <s v="Quelle est la fréquence d'émission des bons de commandes ?"/>
    <s v="&lt;&gt;"/>
    <x v="5"/>
  </r>
  <r>
    <x v="18"/>
    <s v="Et si non, quel est le délai"/>
    <x v="14"/>
    <s v="Le délai de modification/résiliation ou d'annulation du BDC fournisseur est-il conforme à la règle des 8 jours "/>
    <s v="&lt;&gt;"/>
    <x v="0"/>
  </r>
  <r>
    <x v="19"/>
    <s v="En cas d'émission de bons de commande dématérialisée autre que SINOE  : dans quels délais les informations (confirmation de la commande, date prévisionnelle…) doivent-elles être transmises ? "/>
    <x v="11"/>
    <s v="Une dématerialisation des commandes est-elle a mettre en place via SINOE ?"/>
    <s v="&lt;&gt;"/>
    <x v="0"/>
  </r>
  <r>
    <x v="20"/>
    <s v="Si oui, Précisez les modalités particulières de modifications/annulations qui s'appliquent"/>
    <x v="15"/>
    <s v="En cas d’annulation/modification des bons de Commande client existe-t-il une dérogation aux CGV (=annulation le jour même)? _x0009_"/>
    <s v="&lt;&gt;"/>
    <x v="1"/>
  </r>
  <r>
    <x v="21"/>
    <s v="Si non, est-il prévu un autre élément déclencheur de la facture client et si oui, préciser lequel (ex :  le motif de commande - CF Annexe)"/>
    <x v="16"/>
    <s v="Flux facturation Client standard (Facturation fournisseur déclenche facturation client)"/>
    <s v="&lt;&gt;"/>
    <x v="0"/>
  </r>
  <r>
    <x v="22"/>
    <s v="Si non, s'agit-il d'une commande à échéance ?"/>
    <x v="16"/>
    <s v="Flux facturation Client standard (Facturation fournisseur déclenche facturation client)"/>
    <s v="&lt;&gt;"/>
    <x v="0"/>
  </r>
  <r>
    <x v="23"/>
    <s v="Si oui, quel est le terme applicable"/>
    <x v="17"/>
    <s v="Si non, s'agit-il d'une commande à échéance ?"/>
    <s v="&lt;&gt;"/>
    <x v="1"/>
  </r>
  <r>
    <x v="24"/>
    <s v="Si non, justifier et présenter le schéma de facturation dérogatoire (ex : une commande = plusieurs factures)"/>
    <x v="18"/>
    <s v="Le flux de facturation fournisseur correspond au standard (commande d'achat = facture) ?"/>
    <s v="&lt;&gt;"/>
    <x v="0"/>
  </r>
  <r>
    <x v="25"/>
    <s v="Si oui, en préciser le type d'échéance"/>
    <x v="19"/>
    <s v="S'agit-il d'une commande à échéance ? "/>
    <s v="&lt;&gt;"/>
    <x v="1"/>
  </r>
  <r>
    <x v="26"/>
    <s v="Si mono échéance, en préciser le terme applicable"/>
    <x v="20"/>
    <s v="Si oui, en préciser le type d'échéance"/>
    <s v="&lt;&gt;"/>
    <x v="8"/>
  </r>
  <r>
    <x v="27"/>
    <s v="Si mono échéance, préciser la périodicité applicable"/>
    <x v="20"/>
    <s v="Si oui, en préciser le type d'échéance"/>
    <s v="&lt;&gt;"/>
    <x v="8"/>
  </r>
  <r>
    <x v="28"/>
    <s v="Si multi échéance, en préciser le terme applicable"/>
    <x v="20"/>
    <s v="Si oui, en préciser le type d'échéance"/>
    <s v="&lt;&gt;"/>
    <x v="9"/>
  </r>
  <r>
    <x v="29"/>
    <s v="Si multi échéance, préciser la périodicité applicable"/>
    <x v="20"/>
    <s v="Si oui, en préciser le type d'échéance"/>
    <s v="&lt;&gt;"/>
    <x v="9"/>
  </r>
  <r>
    <x v="30"/>
    <s v="Si non, justifier de la facturation partielle"/>
    <x v="21"/>
    <s v="Facturation fournisseur en totalité (hors acomptes, avances…)"/>
    <s v="&lt;&gt;"/>
    <x v="0"/>
  </r>
  <r>
    <x v="31"/>
    <s v="Si oui, préciser si celles-ci concernent  le client et les particularités qui s'appliquent"/>
    <x v="22"/>
    <s v="Des actions ou des particularités s'appliquent-elles pour le paiement du client vis-à-vis de l'UGAP et/ou de l'UGAP vis-à-vis du fournisseur ?"/>
    <s v="&lt;&gt;"/>
    <x v="1"/>
  </r>
  <r>
    <x v="32"/>
    <s v="Si oui, préciser si celles-ci concernent le fourniseur et les particularités qui s'appliquent"/>
    <x v="22"/>
    <s v="Des actions ou des particularités s'appliquent-elles pour le paiement du client vis-à-vis de l'UGAP et/ou de l'UGAP vis-à-vis du fournisseur ?"/>
    <s v="&lt;&gt;"/>
    <x v="1"/>
  </r>
  <r>
    <x v="33"/>
    <s v="Si oui, préciser si celles-ci concernent l'UGAP et les particularités qui s'appliquent"/>
    <x v="22"/>
    <s v="Des actions ou des particularités s'appliquent-elles pour le paiement du client vis-à-vis de l'UGAP et/ou de l'UGAP vis-à-vis du fournisseur ?"/>
    <s v="&lt;&gt;"/>
    <x v="1"/>
  </r>
  <r>
    <x v="34"/>
    <s v="Si non, justifier de la dérogation au standard de 90%"/>
    <x v="23"/>
    <s v="Le montant total des acomptes est conforme au standard et ne peut pas excéder 90% du montant hors taxe de la commande concernée."/>
    <s v="&lt;&gt;"/>
    <x v="0"/>
  </r>
  <r>
    <x v="35"/>
    <s v="Si non, indiquer le pourcentage"/>
    <x v="23"/>
    <s v="Le montant total des acomptes est conforme au standard et ne peut pas excéder 90% du montant hors taxe de la commande concernée."/>
    <s v="&lt;&gt;"/>
    <x v="0"/>
  </r>
  <r>
    <x v="36"/>
    <s v="Un acompte pour approvisionnement est-il prévu ?"/>
    <x v="24"/>
    <s v="Etendue de l'offre"/>
    <s v="&lt;&gt;"/>
    <x v="10"/>
  </r>
  <r>
    <x v="37"/>
    <s v="Si oui, est-il conforme au standard:_x000a_- Montant est supérieur à 50 K€_x000a_- Délai de la prestation est supérieur à 90 jours _x000a_- Montant d'acompte fixé au maximum à 40% du montant TTC du BDC?"/>
    <x v="25"/>
    <s v="Un acompte pour approvisionnement est-il prévu ?"/>
    <s v="&lt;&gt;"/>
    <x v="1"/>
  </r>
  <r>
    <x v="38"/>
    <s v="Si non, préciser montant, delai et  le pourcentage"/>
    <x v="26"/>
    <s v="Si oui, est-il conforme au standard:_x000a_- Montant est supérieur à 50 K€_x000a_- Délai de la prestation est supérieur à 90 jours _x000a_- Montant d'acompte fixé au maximum à 40% du montant TTC du BDC?"/>
    <s v="&lt;&gt;"/>
    <x v="6"/>
  </r>
  <r>
    <x v="39"/>
    <s v="Si oui, le montant de cet acompte est-il conforme au standard de 80% du montant HT du BDC?"/>
    <x v="27"/>
    <s v="Le marché prévoit-il un acompte pour report de livraison/ d'exécution de plus de trente jours ?"/>
    <s v="&lt;&gt;"/>
    <x v="1"/>
  </r>
  <r>
    <x v="40"/>
    <s v="Si oui la demande d’acompte ne pourra dépasser la limite de 70% H.T du montant total de la commande_x000a_=&gt; la demande d’acompte est conforme au standard: _x000a_- 70% maximum du montant total de la commande HT_x000a_- Répartis dans la limite de 35% pour le maquettage du véhicule dit &quot;téte de série&quot; et 35 % lors de la sortie usine du véhicule en version dit « tête de série » "/>
    <x v="28"/>
    <s v="Le marché prévoit-il un acompte pour remise de la tête de série?"/>
    <s v="&lt;&gt;"/>
    <x v="1"/>
  </r>
  <r>
    <x v="41"/>
    <s v="Les produits sont-ils soumis à une réglementation spécifique de stockage (autorisations=, ICPE, produit inflammable…)"/>
    <x v="29"/>
    <s v="Ce chapitre est-il applicable "/>
    <s v="&lt;&gt;"/>
    <x v="1"/>
  </r>
  <r>
    <x v="42"/>
    <s v="Si oui, laquelle "/>
    <x v="30"/>
    <s v="Les produits sont-ils soumis à une réglementation spécifique de stockage (autorisations=, ICPE, produit inflammable…)"/>
    <s v="&lt;&gt;"/>
    <x v="1"/>
  </r>
  <r>
    <x v="43"/>
    <s v="Quels sont les conditionnements envisagés (cartons, palettes…)"/>
    <x v="29"/>
    <s v="Ce chapitre est-il applicable "/>
    <s v="&lt;&gt;"/>
    <x v="1"/>
  </r>
  <r>
    <x v="44"/>
    <s v="Pour les emballages à qui appartiennent-ils ?"/>
    <x v="29"/>
    <s v="Ce chapitre est-il applicable "/>
    <s v="&lt;&gt;"/>
    <x v="1"/>
  </r>
  <r>
    <x v="45"/>
    <s v="Une distribution stock est-elle prévue pour tout ou partie ?"/>
    <x v="29"/>
    <s v="Ce chapitre est-il applicable "/>
    <s v="&lt;&gt;"/>
    <x v="1"/>
  </r>
  <r>
    <x v="46"/>
    <s v="Si oui, préciser les modalités de stockage"/>
    <x v="31"/>
    <s v="Une distribution stock est-elle prévue pour tout ou partie ?"/>
    <s v="&lt;&gt;"/>
    <x v="1"/>
  </r>
  <r>
    <x v="47"/>
    <s v="Précisions, le cas échéant"/>
    <x v="29"/>
    <s v="Ce chapitre est-il applicable "/>
    <s v="&lt;&gt;"/>
    <x v="1"/>
  </r>
  <r>
    <x v="48"/>
    <s v="Préciser les modalités de transport utilisées et les services associés (tracking, garantie..)"/>
    <x v="29"/>
    <s v="Ce chapitre est-il applicable "/>
    <s v="&lt;&gt;"/>
    <x v="1"/>
  </r>
  <r>
    <x v="49"/>
    <s v="Si FFM, quels sont les lots concernés"/>
    <x v="32"/>
    <s v="Quelles sont les conditions d'achat applicables ?"/>
    <s v="&lt;&gt;"/>
    <x v="11"/>
  </r>
  <r>
    <x v="50"/>
    <s v="Si FFC, quels sont les lots concernés"/>
    <x v="32"/>
    <s v="Quelles sont les conditions d'achat applicables ?"/>
    <s v="&lt;&gt;"/>
    <x v="12"/>
  </r>
  <r>
    <x v="51"/>
    <s v="Si DU, quels sont les lots concernés"/>
    <x v="32"/>
    <s v="Quelles sont les conditions d'achat applicables ?"/>
    <s v="&lt;&gt;"/>
    <x v="13"/>
  </r>
  <r>
    <x v="52"/>
    <s v="Si FEC, quels sont les lots concernés"/>
    <x v="32"/>
    <s v="Quelles sont les conditions d'achat applicables ?"/>
    <s v="&lt;&gt;"/>
    <x v="14"/>
  </r>
  <r>
    <x v="53"/>
    <s v="Livraison Tête de série?"/>
    <x v="33"/>
    <s v="Direction"/>
    <s v="&lt;&gt;"/>
    <x v="15"/>
  </r>
  <r>
    <x v="54"/>
    <s v="Est-il prévu de mettre à disposition sur ugap.fr l'affichage du stock disponible ?"/>
    <x v="29"/>
    <s v="Ce chapitre est-il applicable "/>
    <s v="="/>
    <x v="1"/>
  </r>
  <r>
    <x v="55"/>
    <s v="Si oui, préciser si les durées sont conformes au standard (≤ 2 ans pour les produits neufs et ≤ 1 an pour les produits reconditionnés)"/>
    <x v="34"/>
    <s v="Une garantie commerciale contractuelle ou une garantie de bon fonctionnement en cas de logiciel est-elle en place et applicable pour l'ensemble des lots ?"/>
    <s v="&lt;&gt;"/>
    <x v="1"/>
  </r>
  <r>
    <x v="56"/>
    <s v="Si oui, préciser le détail de la garantie"/>
    <x v="35"/>
    <s v="Le détail de la garantie est-il commun à l'ensemble des lots de la procédure"/>
    <s v="&lt;&gt;"/>
    <x v="1"/>
  </r>
  <r>
    <x v="57"/>
    <s v="Si non, préciser pour chaque lot la durée de cette garantie, les conditions de garantie "/>
    <x v="35"/>
    <s v="Le détail de la garantie est-il commun à l'ensemble des lots de la procédure"/>
    <s v="&lt;&gt;"/>
    <x v="0"/>
  </r>
  <r>
    <x v="58"/>
    <s v="Le surcoût outer-mer peut-il varier?"/>
    <x v="36"/>
    <s v="S'il existe un surcoût, préciser lequel"/>
    <s v="&lt;&gt;"/>
    <x v="16"/>
  </r>
  <r>
    <x v="59"/>
    <s v="Y-a-t-il une garantie de disponibilité du véhicule pour chaque véhicule immobilisé à cause d’une défaillance prise en charge au titre de la garantie ?"/>
    <x v="37"/>
    <s v="Cette procédure est-elle concernée par une des définitions suivantes et si oui sélectionner les définitions concernées : "/>
    <s v="&lt;&gt;"/>
    <x v="17"/>
  </r>
  <r>
    <x v="60"/>
    <s v="Y-a-t-il une garantie minimum de base du véhicule complet hors batterie ?"/>
    <x v="37"/>
    <s v="Cette procédure est-elle concernée par une des définitions suivantes et si oui sélectionner les définitions concernées : "/>
    <s v="&lt;&gt;"/>
    <x v="17"/>
  </r>
  <r>
    <x v="61"/>
    <s v="Si oui, quelle est la durée de garantie minimum de base du véhicule complet hors batterie ?"/>
    <x v="38"/>
    <s v="Y-a-t-il une garantie minimum de base du véhicule complet hors batterie ?"/>
    <s v="&lt;&gt;"/>
    <x v="1"/>
  </r>
  <r>
    <x v="62"/>
    <s v="Si oui, quelle est la durée de garantie d'autonomie minimum de base (80% de la charge initiale de l'ensemble batterie)? (adapter et multiplier selon le nombre de lots)"/>
    <x v="39"/>
    <s v="Y-a-t-il une garantie de base d'autonomie de l'ensemble batterie ?"/>
    <s v="&lt;&gt;"/>
    <x v="1"/>
  </r>
  <r>
    <x v="63"/>
    <s v="Si oui, quelle est la durée garantie minimum de base (en mois/ année/ km) ? (adapter et multiplier selon le nombre de lots)"/>
    <x v="40"/>
    <s v="Y-a-t-il une garantie contractuelle anticorrosion ?"/>
    <s v="&lt;&gt;"/>
    <x v="1"/>
  </r>
  <r>
    <x v="64"/>
    <s v="Si oui, quel est le délai correspondant après la fin de la fabrication du dernier matériel  ?  "/>
    <x v="41"/>
    <s v="Le titulaire est-il tenu de fournir les pièces détachées nécessaires à la réparation du matériel ? "/>
    <s v="&lt;&gt;"/>
    <x v="1"/>
  </r>
  <r>
    <x v="65"/>
    <s v="Si oui, quelle est la durée maximum de jours d’immobilisation du véhicule par année ? (adapter et multiplier selon le nombre de lots)"/>
    <x v="42"/>
    <s v="Y-a-t-il une garantie de disponibilité du véhicule pour chaque véhicule immobilisé à cause d’une défaillance prise en charge au titre de la garantie ?"/>
    <s v="&lt;&gt;"/>
    <x v="1"/>
  </r>
  <r>
    <x v="66"/>
    <s v="Si oui, concerne t'elle un matériel référencé  par le titulaire auprès du constructeur ?"/>
    <x v="43"/>
    <s v="Une extension de garantie doit-elle être mise en place ?"/>
    <s v="&lt;&gt;"/>
    <x v="1"/>
  </r>
  <r>
    <x v="67"/>
    <s v="Si oui, s'agit-il d'une extension de garantie contrôlée ?"/>
    <x v="43"/>
    <s v="Une extension de garantie doit-elle être mise en place ?"/>
    <s v="&lt;&gt;"/>
    <x v="1"/>
  </r>
  <r>
    <x v="68"/>
    <s v="Si oui, préciser la ou les durées de garantie par lot "/>
    <x v="43"/>
    <s v="Une extension de garantie doit-elle être mise en place ?"/>
    <s v="&lt;&gt;"/>
    <x v="1"/>
  </r>
  <r>
    <x v="69"/>
    <s v="Si non, préciser le(s) délai(s) "/>
    <x v="44"/>
    <s v="Dans le cadre de la garantie le délai de prise en charge du SAV par le titulaire est-il conforme au standard (48h en France Continentale et Corse / 72h pour DROM COM)"/>
    <s v="&lt;&gt;"/>
    <x v="0"/>
  </r>
  <r>
    <x v="70"/>
    <s v="Y-a t'il des produits en stock"/>
    <x v="24"/>
    <s v="Etendue de l'offre"/>
    <s v="&lt;&gt;"/>
    <x v="10"/>
  </r>
  <r>
    <x v="71"/>
    <s v="Si pilotage avec KPI, indiquer les indicateurs envisager pour suivre l'exécution"/>
    <x v="45"/>
    <s v="La mesure de la qualité de service et du suivi des titulaires sont réalisés au travers des critères "/>
    <s v="&lt;&gt;"/>
    <x v="18"/>
  </r>
  <r>
    <x v="72"/>
    <s v="Si autre, indiquer les indicateurs envisager pour suivre l'exécution (en cas de sélection autre, saisir directement les indicateurs en texte libre)"/>
    <x v="46"/>
    <s v="Si pilotage avec KPI, indiquer les indicateurs envisager pour suivre l'exécution"/>
    <s v="&lt;&gt;"/>
    <x v="5"/>
  </r>
  <r>
    <x v="73"/>
    <s v="En cas d'absence de critère qualité de service, justifier pourquoi"/>
    <x v="45"/>
    <s v="La mesure de la qualité de service et du suivi des titulaires sont réalisés au travers des critères "/>
    <s v="&lt;&gt;"/>
    <x v="19"/>
  </r>
  <r>
    <x v="74"/>
    <s v="Si oui, renseigner le tableau d'allotissement"/>
    <x v="47"/>
    <s v="Le marché prévoit-il dans le cadre du SAV des pénalités pour non respect de la GTI/GTR (Garantie en Temps d'Intervention/Garantie en Temps de Rétablissement)?"/>
    <s v="&lt;&gt;"/>
    <x v="1"/>
  </r>
  <r>
    <x v="75"/>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x v="48"/>
    <s v="Existe-il des pénalités de défaut de mise en œuvre de la clause d'insertion"/>
    <s v="&lt;&gt;"/>
    <x v="1"/>
  </r>
  <r>
    <x v="76"/>
    <s v="Si non, préciser le montant de chaque pénalité applicable ? "/>
    <x v="49"/>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s v="&lt;&gt;"/>
    <x v="0"/>
  </r>
  <r>
    <x v="77"/>
    <s v="Si surcoût outre-mer, préciser si celui comprend des éléments supplémentaires à tropicalisation, emballage, étiquetage spécifique pour l'envoi du matériel/produit, frais afférents à la préparation technique et administrative des matériels/produits"/>
    <x v="36"/>
    <s v="S'il existe un surcoût, préciser lequel"/>
    <s v="&lt;&gt;"/>
    <x v="16"/>
  </r>
  <r>
    <x v="78"/>
    <s v="Si oui préciser si elles sont liées à des prestations locales"/>
    <x v="50"/>
    <s v="L'offre comprend-elle des taxes spécifiques (TVA différente de 20%, éco contribution, taxe parafiscale…)"/>
    <s v="&lt;&gt;"/>
    <x v="1"/>
  </r>
  <r>
    <x v="79"/>
    <s v="Si oui préciser si elles concernent l'immatriculation de véhicules"/>
    <x v="50"/>
    <s v="L'offre comprend-elle des taxes spécifiques (TVA différente de 20%, éco contribution, taxe parafiscale…)"/>
    <s v="&lt;&gt;"/>
    <x v="1"/>
  </r>
  <r>
    <x v="80"/>
    <s v="Si oui préciser si elles concernent les frais de transport"/>
    <x v="50"/>
    <s v="L'offre comprend-elle des taxes spécifiques (TVA différente de 20%, éco contribution, taxe parafiscale…)"/>
    <s v="&lt;&gt;"/>
    <x v="1"/>
  </r>
  <r>
    <x v="81"/>
    <s v="Si oui préciser si elles concernent l'assurance livraison"/>
    <x v="50"/>
    <s v="L'offre comprend-elle des taxes spécifiques (TVA différente de 20%, éco contribution, taxe parafiscale…)"/>
    <s v="&lt;&gt;"/>
    <x v="1"/>
  </r>
  <r>
    <x v="82"/>
    <s v="Préciser par lot la considération environnementale applicable (spécification technique, condition d'exécution et critère environnemental)"/>
    <x v="51"/>
    <s v="Une considération environnementale est-elle intégrée à chaque lot ?"/>
    <s v="&lt;&gt;"/>
    <x v="1"/>
  </r>
  <r>
    <x v="83"/>
    <s v="Si oui, Une action auprès d'un de ces organismes est-elle envisagée ?"/>
    <x v="52"/>
    <s v="L'UGAP est-elle en lien avec une fédération / syndicats professionnels / Groupement d'entreprises sur ce secteur"/>
    <s v="&lt;&gt;"/>
    <x v="1"/>
  </r>
  <r>
    <x v="84"/>
    <s v="Si tout ou partie des lots concernés, préciser lesquels"/>
    <x v="53"/>
    <s v="L'offre est-elle concernée par une ou plusieurs REP (Responsabilité Elargie des Producteurs) ?"/>
    <s v="&lt;&gt;"/>
    <x v="20"/>
  </r>
  <r>
    <x v="85"/>
    <s v="Si oui, préciser par lot la considération sociale applicable (Spécification technique sociale (dont l'objet du marché), condition d'exécution sociale et critère social)"/>
    <x v="54"/>
    <s v="Une considération sociale est elle intégrée à chaque lot (spécifications sociales, conditions d'exécution, critère social avec questionnaire, ots réservés…)  ?"/>
    <s v="&lt;&gt;"/>
    <x v="1"/>
  </r>
  <r>
    <x v="86"/>
    <s v="Si oui, préciser le publics concernés par les lots réservés"/>
    <x v="55"/>
    <s v="L'offre comprend elle des lots réservés ?"/>
    <s v="&lt;&gt;"/>
    <x v="1"/>
  </r>
  <r>
    <x v="87"/>
    <s v="Les lots prévoient-ils une traçabilité sociale des chaines d'approvisionnement ?"/>
    <x v="55"/>
    <s v="L'offre comprend elle des lots réservés ?"/>
    <s v="&lt;&gt;"/>
    <x v="1"/>
  </r>
  <r>
    <x v="88"/>
    <s v="Une  clause imposant aux fournisseurs de remettre pendant l'exécution du marché l'information sur l'origine des produits est-elle bien intégrée pour chaque lot ?"/>
    <x v="55"/>
    <s v="L'offre comprend elle des lots réservés ?"/>
    <s v="&lt;&gt;"/>
    <x v="1"/>
  </r>
  <r>
    <x v="89"/>
    <s v="Si  non,préciser les lots concernés par cette clause"/>
    <x v="54"/>
    <s v="Une considération sociale est elle intégrée à chaque lot (spécifications sociales, conditions d'exécution, critère social avec questionnaire, ots réservés…)  ?"/>
    <s v="&lt;&gt;"/>
    <x v="0"/>
  </r>
  <r>
    <x v="90"/>
    <s v="Si oui, justifier pourquoi et prendre attache auprès du chargé de mission NTIC et le Délégué de Protection des Données"/>
    <x v="56"/>
    <s v="Les données personnelles relatives aux utilisateurs finaux de la prestation ont-elles vocation à transiter / intégrer le système d’information de l’UGAP ? "/>
    <s v="&lt;&gt;"/>
    <x v="1"/>
  </r>
  <r>
    <x v="91"/>
    <s v="Si oui, une analyse d'impact au sens RGPD doit-elle être mise en œuvre après échanges avec le chargé de mission NTIC et le DPD ?"/>
    <x v="57"/>
    <s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
    <s v="&lt;&gt;"/>
    <x v="1"/>
  </r>
  <r>
    <x v="92"/>
    <s v="Si oui, à compter de quel délai le titulaire s'engage à communiquer au bénéficiaire le droit d'utilisation des logiciels concédés ? _x000a_(si délai autre que le choix sur liste, saisir directement le délai dans la réponse)"/>
    <x v="58"/>
    <s v="Est-il prévu des logiciels dans les éléments cédés ou concédés ?"/>
    <s v="&lt;&gt;"/>
    <x v="1"/>
  </r>
  <r>
    <x v="93"/>
    <s v="Si non, pourquoi ?"/>
    <x v="52"/>
    <s v="L'UGAP est-elle en lien avec une fédération / syndicats professionnels / Groupement d'entreprises sur ce secteur"/>
    <s v="&lt;&gt;"/>
    <x v="0"/>
  </r>
  <r>
    <x v="94"/>
    <s v="L'offre antérieure affiche-t'elle un stock fournisseur  ?"/>
    <x v="29"/>
    <s v="Ce chapitre est-il applicable "/>
    <s v="&lt;&gt;"/>
    <x v="1"/>
  </r>
  <r>
    <x v="95"/>
    <s v="Si oui, préciser à la charge de qui "/>
    <x v="59"/>
    <s v="L'offre antérieure affiche-t'elle un stock fournisseur  ?"/>
    <s v="&lt;&gt;"/>
    <x v="1"/>
  </r>
  <r>
    <x v="96"/>
    <s v="Une clause de stockage est-elle a intégrer dans le CCAP ?"/>
    <x v="29"/>
    <s v="Ce chapitre est-il applicable "/>
    <s v="&lt;&gt;"/>
    <x v="1"/>
  </r>
  <r>
    <x v="97"/>
    <s v="Si oui, quelle clause est applicable"/>
    <x v="60"/>
    <s v="Une clause de stockage est-elle a intégrer dans le CCAP ?"/>
    <s v="&lt;&gt;"/>
    <x v="1"/>
  </r>
  <r>
    <x v="98"/>
    <s v="Panel articles"/>
    <x v="61"/>
    <s v=" Un accompagnement est-il nécessaire pour le calcul du gain achat ?"/>
    <s v="&lt;&gt;"/>
    <x v="1"/>
  </r>
  <r>
    <x v="99"/>
    <s v="Si oui, sur quelle problématique/thématique du référencement ? "/>
    <x v="62"/>
    <s v="Un comité de référencement est-il à prévoir suite à l'analyse de la criticité du référencement menée par le référent référencement ? "/>
    <s v="&lt;&gt;"/>
    <x v="1"/>
  </r>
  <r>
    <x v="100"/>
    <s v="Si prestations, préciser leur nature"/>
    <x v="24"/>
    <s v="Etendue de l'offre"/>
    <s v="&lt;&gt;"/>
    <x v="21"/>
  </r>
  <r>
    <x v="101"/>
    <s v="Si autres, préciser si les bénéficiaires concernés sont les Sociétés d’autoroutes pou les Délégataires de service public"/>
    <x v="63"/>
    <s v="Etendue des Bénéficiaires"/>
    <s v="&lt;&gt;"/>
    <x v="3"/>
  </r>
  <r>
    <x v="102"/>
    <s v="Si non, un engagement maximum et minimum s'applique-t 'il ?"/>
    <x v="64"/>
    <s v="Le principe d'engagement maximum sans minimum s'applique-t 'il ?"/>
    <s v="&lt;&gt;"/>
    <x v="0"/>
  </r>
  <r>
    <x v="103"/>
    <s v="Si non, expliquez l'engagement applicable"/>
    <x v="65"/>
    <s v="Si non, un engagement maximum et minimum s'applique-t 'il ?"/>
    <s v="&lt;&gt;"/>
    <x v="0"/>
  </r>
  <r>
    <x v="104"/>
    <s v="Si FFM, quels sont les lots concernés"/>
    <x v="66"/>
    <s v="Quels sont les prix applicables?"/>
    <s v="&lt;&gt;"/>
    <x v="11"/>
  </r>
  <r>
    <x v="105"/>
    <s v="Si FFC, quels sont les lots concernés"/>
    <x v="66"/>
    <s v="Quels sont les prix applicables?"/>
    <s v="&lt;&gt;"/>
    <x v="12"/>
  </r>
  <r>
    <x v="106"/>
    <s v="Si DU, quels sont les lots concernés"/>
    <x v="66"/>
    <s v="Quels sont les prix applicables?"/>
    <s v="&lt;&gt;"/>
    <x v="13"/>
  </r>
  <r>
    <x v="107"/>
    <s v="Si FEC, quels sont les lots concernés"/>
    <x v="66"/>
    <s v="Quels sont les prix applicables?"/>
    <s v="&lt;&gt;"/>
    <x v="22"/>
  </r>
  <r>
    <x v="108"/>
    <s v="Si DU, le prix des modalités DU correspond-il à un % de minoration"/>
    <x v="66"/>
    <s v="Quels sont les prix applicables?"/>
    <s v="&lt;&gt;"/>
    <x v="13"/>
  </r>
  <r>
    <x v="109"/>
    <s v="Si  FEC, le prix des modalités FEC correspond-il à un % de minoration"/>
    <x v="66"/>
    <s v="Quels sont les prix applicables?"/>
    <s v="&lt;&gt;"/>
    <x v="14"/>
  </r>
  <r>
    <x v="110"/>
    <s v="Si non, préciser les modalités particlulières pour chaque lot"/>
    <x v="67"/>
    <s v="Ces modalités  s'appliquent-elles à l'ensemble des lots ?"/>
    <s v="&lt;&gt;"/>
    <x v="0"/>
  </r>
  <r>
    <x v="111"/>
    <s v="Est-il demandé aux candidats une remise sur catalogue ?"/>
    <x v="24"/>
    <s v="Etendue de l'offre"/>
    <s v="&lt;&gt;"/>
    <x v="10"/>
  </r>
  <r>
    <x v="112"/>
    <s v="Si oui, préciser sur quoi porte cette remise "/>
    <x v="68"/>
    <s v="Est-il demandé aux candidats une remise sur catalogue ?"/>
    <s v="&lt;&gt;"/>
    <x v="1"/>
  </r>
  <r>
    <x v="113"/>
    <s v="Si oui, préciser "/>
    <x v="69"/>
    <s v="Les prix couvrent-ils les frais d'hébergement, de transport et de restauration en lien avec les prestations ? "/>
    <s v="&lt;&gt;"/>
    <x v="1"/>
  </r>
  <r>
    <x v="114"/>
    <s v="Si oui, une rémunération pour copie privée est-elle prévue ? "/>
    <x v="70"/>
    <s v="L'offre prévoit-elle des supports d'enregistrement (cles USB, disques durs, CD, …)?"/>
    <s v="&lt;&gt;"/>
    <x v="1"/>
  </r>
  <r>
    <x v="115"/>
    <s v="Préciser le périmètre concerné par l'actualisation des prix fermes"/>
    <x v="71"/>
    <s v="Quelles sont les modalités de variation des prix   ?"/>
    <s v="&lt;&gt;"/>
    <x v="23"/>
  </r>
  <r>
    <x v="116"/>
    <s v="Si révision sur indice, préciser les modalités de variation par lot"/>
    <x v="71"/>
    <s v="Quelles sont les modalités de variation des prix   ?"/>
    <s v="&lt;&gt;"/>
    <x v="24"/>
  </r>
  <r>
    <x v="117"/>
    <s v="Si révision sur tarif public à tout moment, préciser les lots"/>
    <x v="71"/>
    <s v="Quelles sont les modalités de variation des prix   ?"/>
    <s v="&lt;&gt;"/>
    <x v="25"/>
  </r>
  <r>
    <x v="118"/>
    <s v="Préciser le périmètre concerné par la révision sur tarif public à tout moment"/>
    <x v="71"/>
    <s v="Quelles sont les modalités de variation des prix   ?"/>
    <s v="&lt;&gt;"/>
    <x v="25"/>
  </r>
  <r>
    <x v="119"/>
    <s v="Si révision sur tarif public à tout moment, date de départ de la première période de révision, à la baisse uniquement, pour une durée de 6 mois"/>
    <x v="71"/>
    <s v="Quelles sont les modalités de variation des prix   ?"/>
    <s v="&lt;&gt;"/>
    <x v="25"/>
  </r>
  <r>
    <x v="120"/>
    <s v="Si révision sur tarif public à tout moment, préciser le rythme de révision après la première période de 6 mois"/>
    <x v="71"/>
    <s v="Quelles sont les modalités de variation des prix   ?"/>
    <s v="&lt;&gt;"/>
    <x v="25"/>
  </r>
  <r>
    <x v="121"/>
    <s v="Si autre de ryhtme de révision sur tarif public à tout moment, préciser "/>
    <x v="72"/>
    <s v="Si révision sur tarif public à tout moment, préciser le rythme de révision après la première période de 6 mois"/>
    <s v="&lt;&gt;"/>
    <x v="5"/>
  </r>
  <r>
    <x v="122"/>
    <s v="Date d'entrée en vigueur du nouveau prix sur tarif public"/>
    <x v="71"/>
    <s v="Quelles sont les modalités de variation des prix   ?"/>
    <s v="&lt;&gt;"/>
    <x v="25"/>
  </r>
  <r>
    <x v="123"/>
    <s v="Si révision sur tarif public à date fixe ou anniversaire, préciser les lot"/>
    <x v="71"/>
    <s v="Quelles sont les modalités de variation des prix   ?"/>
    <s v="&lt;&gt;"/>
    <x v="26"/>
  </r>
  <r>
    <x v="124"/>
    <s v="Préciser le périmètre concerné par la révision sur tarif public à date fixe ou anniversaire"/>
    <x v="71"/>
    <s v="Quelles sont les modalités de variation des prix   ?"/>
    <s v="&lt;&gt;"/>
    <x v="26"/>
  </r>
  <r>
    <x v="125"/>
    <s v="Si révision sur tarif public à date fixe ou anniversaire, préciser la date de révision"/>
    <x v="71"/>
    <s v="Quelles sont les modalités de variation des prix   ?"/>
    <s v="&lt;&gt;"/>
    <x v="26"/>
  </r>
  <r>
    <x v="126"/>
    <s v="Si révision sur tarif public à date fixe ou anniversaire à une autre date, préciser"/>
    <x v="73"/>
    <s v="Si révision sur tarif public à date fixe ou anniversaire, préciser la date de révision"/>
    <s v="&lt;&gt;"/>
    <x v="5"/>
  </r>
  <r>
    <x v="127"/>
    <s v="Les prix figurant au tarif public du titulaire, objet du présent marché sont révisables à date fixe ou anniversaire, à l'exception du prix suivant"/>
    <x v="71"/>
    <s v="Quelles sont les modalités de variation des prix   ?"/>
    <s v="&lt;&gt;"/>
    <x v="26"/>
  </r>
  <r>
    <x v="128"/>
    <s v="Date butoir de communication de son nouveau tarif à l'UGAP par le titulaire"/>
    <x v="71"/>
    <s v="Quelles sont les modalités de variation des prix   ?"/>
    <s v="&lt;&gt;"/>
    <x v="26"/>
  </r>
  <r>
    <x v="129"/>
    <s v="Si autre date butoir, préciser"/>
    <x v="74"/>
    <s v="Date butoir de communication de son nouveau tarif à l'UGAP par le titulaire"/>
    <s v="&lt;&gt;"/>
    <x v="5"/>
  </r>
  <r>
    <x v="130"/>
    <s v="Si le taux de remise peut varier, préciser les modalités de variation du taux dans le cadre de la mise en œuvre de la formule de révision des prix ou des offres promotionnelles "/>
    <x v="75"/>
    <s v="Le taux de remise peut-il varier?"/>
    <s v="&lt;&gt;"/>
    <x v="1"/>
  </r>
  <r>
    <x v="131"/>
    <s v="Ces modalités particulières s'appliquent-elles à l'ensemble des lots ?"/>
    <x v="75"/>
    <s v="Le taux de remise peut-il varier?"/>
    <s v="&lt;&gt;"/>
    <x v="1"/>
  </r>
  <r>
    <x v="132"/>
    <s v="Si non, préciser les modalités particlulières pour chaque lot"/>
    <x v="76"/>
    <s v="Ces modalités particulières s'appliquent-elles à l'ensemble des lots ?"/>
    <s v="&lt;&gt;"/>
    <x v="0"/>
  </r>
  <r>
    <x v="133"/>
    <s v="Si oui, laquelle est la première révision des prix"/>
    <x v="77"/>
    <s v="Existe-il une première clause de 1ère révision des prix"/>
    <s v="&lt;&gt;"/>
    <x v="1"/>
  </r>
  <r>
    <x v="134"/>
    <s v="Si révision sur indice, préciser la formule de révision applicable"/>
    <x v="78"/>
    <s v="Si oui, laquelle est la première révision des prix"/>
    <s v="&lt;&gt;"/>
    <x v="27"/>
  </r>
  <r>
    <x v="135"/>
    <s v="Si 1ère révision des prix, préciser la fréquence"/>
    <x v="77"/>
    <s v="Existe-il une première clause de 1ère révision des prix"/>
    <s v="&lt;&gt;"/>
    <x v="1"/>
  </r>
  <r>
    <x v="136"/>
    <s v="Si 1ère révision des prix, préciser le type de date applicable "/>
    <x v="77"/>
    <s v="Existe-il une première clause de 1ère révision des prix"/>
    <s v="&lt;&gt;"/>
    <x v="1"/>
  </r>
  <r>
    <x v="137"/>
    <s v="Date à préciser"/>
    <x v="77"/>
    <s v="Existe-il une première clause de 1ère révision des prix"/>
    <s v="&lt;&gt;"/>
    <x v="1"/>
  </r>
  <r>
    <x v="138"/>
    <s v="Si oui, Y-a-t'il une variation de l'écocontribution ? "/>
    <x v="79"/>
    <s v="Existance d'une écocontribution / Multi contributions pour un même produit"/>
    <s v="&lt;&gt;"/>
    <x v="1"/>
  </r>
  <r>
    <x v="139"/>
    <s v="Si oui, l'affichage de l'écocontribution est-il sytématisé ?"/>
    <x v="79"/>
    <s v="Existance d'une écocontribution / Multi contributions pour un même produit"/>
    <s v="&lt;&gt;"/>
    <x v="1"/>
  </r>
  <r>
    <x v="140"/>
    <s v="Si oui, quel(s) sont / est le(s) lot(s) concerné(s) ? "/>
    <x v="79"/>
    <s v="Existance d'une écocontribution / Multi contributions pour un même produit"/>
    <s v="&lt;&gt;"/>
    <x v="1"/>
  </r>
  <r>
    <x v="141"/>
    <s v="Si oui, le pourcentage est-il conforme au standard ?"/>
    <x v="80"/>
    <s v="Une clause de sauvegarde est-elle prévue ?"/>
    <s v="&lt;&gt;"/>
    <x v="1"/>
  </r>
  <r>
    <x v="142"/>
    <s v="Si le pourcentage est dérogatoire, préciser la valeur ?"/>
    <x v="81"/>
    <s v="Si oui, le pourcentage est-il conforme au standard ?"/>
    <s v="&lt;&gt;"/>
    <x v="0"/>
  </r>
  <r>
    <x v="143"/>
    <s v="Si oui, quelle est la base de calcul de la clause de sauvegarde"/>
    <x v="80"/>
    <s v="Une clause de sauvegarde est-elle prévue ?"/>
    <s v="&lt;&gt;"/>
    <x v="1"/>
  </r>
  <r>
    <x v="144"/>
    <s v="Si oui, préciser la période de calcul (X mois / X périodes successives / Autre)"/>
    <x v="80"/>
    <s v="Une clause de sauvegarde est-elle prévue ?"/>
    <s v="&lt;&gt;"/>
    <x v="1"/>
  </r>
  <r>
    <x v="145"/>
    <s v="Si autre, préciser"/>
    <x v="82"/>
    <s v="Si oui, préciser la période de calcul (X mois / X périodes successives / Autre)"/>
    <s v="&lt;&gt;"/>
    <x v="5"/>
  </r>
  <r>
    <x v="146"/>
    <s v="Si oui, préciser le / les délais maximum par lots/produits concernés concernés"/>
    <x v="83"/>
    <s v="L'offre est-elle concernée par des délais courts/ délai réduit (stock savigny le temple ou stock plateforme externalisée - Ugap Pack service plus)"/>
    <s v="&lt;&gt;"/>
    <x v="1"/>
  </r>
  <r>
    <x v="147"/>
    <s v="Quelle est sa durée maximale et le délai de prévenance ?"/>
    <x v="84"/>
    <s v="Une période de neutralisation des prestations (hors SAV) est-elle à prévoir ?"/>
    <s v="&lt;&gt;"/>
    <x v="1"/>
  </r>
  <r>
    <x v="148"/>
    <s v="Si autre, préciser (en cas de cas non listé, préciser directement les information en texte libre)"/>
    <x v="85"/>
    <s v="Préciser les éléments attendus de la part du titulaire concernant le déploiement, la commercialisation et l'exécution de l'offre"/>
    <s v="&lt;&gt;"/>
    <x v="5"/>
  </r>
  <r>
    <x v="149"/>
    <s v="Si oui, préciser lesquelles (VA/VSR, contrôle qualité, attestation de service fait à produire…) et préciser notamment quelles sont les actions attendues du client"/>
    <x v="86"/>
    <s v="Des modalités particulières de vérification/d'admission sont-elles envisagées ?"/>
    <s v="&lt;&gt;"/>
    <x v="1"/>
  </r>
  <r>
    <x v="150"/>
    <s v="Une vérification d'aptitude technique est-elle prévue?"/>
    <x v="86"/>
    <s v="Des modalités particulières de vérification/d'admission sont-elles envisagées ?"/>
    <s v="&lt;&gt;"/>
    <x v="1"/>
  </r>
  <r>
    <x v="151"/>
    <s v="Pour les offres de produits, la réalisation d'une recette technique réalisée par l'UGAP est-elle envisagée ?"/>
    <x v="24"/>
    <s v="Etendue de l'offre"/>
    <s v="&lt;&gt;"/>
    <x v="10"/>
  </r>
  <r>
    <x v="152"/>
    <s v="Si oui, préciser si un traitement particulier doit être mis en place sur les iles littorales (mise en œuvre de la garantie contractuelle, prestations associées de base, recette technique le cas échéant, prestations associées optionnelles, autres..."/>
    <x v="87"/>
    <s v="Exécution des prestations Iles littorales et/ou DROM – COM (offres de produits)"/>
    <s v="&lt;&gt;"/>
    <x v="1"/>
  </r>
  <r>
    <x v="153"/>
    <s v="Si oui, préciser si un traitement particulier doit être mis en place sur les DROM-COM (mise en œuvre de la garantie contractuelle, prestations associées de base, recette technique le cas échéant, prestations associées optionnelles, autres..."/>
    <x v="87"/>
    <s v="Exécution des prestations Iles littorales et/ou DROM – COM (offres de produits)"/>
    <s v="&lt;&gt;"/>
    <x v="1"/>
  </r>
  <r>
    <x v="154"/>
    <s v="Retour du matériel (offres de produits)"/>
    <x v="24"/>
    <s v="Etendue de l'offre"/>
    <s v="&lt;&gt;"/>
    <x v="10"/>
  </r>
  <r>
    <x v="155"/>
    <s v="Si oui, détailler les modalités de retour de produit par typologie"/>
    <x v="88"/>
    <s v="Retour du matériel (offres de produits)"/>
    <s v="&lt;&gt;"/>
    <x v="1"/>
  </r>
  <r>
    <x v="156"/>
    <s v="Si oui, préciser lesquelles et par qui (client / Fournisseur / UGAP)"/>
    <x v="89"/>
    <s v="Autres modalités particulières d’exécution (toute offre)"/>
    <s v="&lt;&gt;"/>
    <x v="1"/>
  </r>
  <r>
    <x v="157"/>
    <s v="Si groupement solidaire obligatoire, justifier de ce choix"/>
    <x v="90"/>
    <s v="Quelle forme de candidature est-elle acceptée ?"/>
    <s v="&lt;&gt;"/>
    <x v="28"/>
  </r>
  <r>
    <x v="158"/>
    <s v="Si oui, apporter la justification"/>
    <x v="91"/>
    <s v="Un minimum est-il imposé sur ce critère ?"/>
    <s v="&lt;&gt;"/>
    <x v="29"/>
  </r>
  <r>
    <x v="159"/>
    <s v="Présenter et motiver le choix d'une analyse de la convenance sur une autre configuration"/>
    <x v="92"/>
    <s v="Analyse de la convenance des prix"/>
    <s v="&lt;&gt;"/>
    <x v="30"/>
  </r>
  <r>
    <x v="160"/>
    <s v="Si oui, le versement d'une prime est-elle envisagée ?"/>
    <x v="93"/>
    <s v="Nécessité de demander des spécimens dans le cadre de l'analyse des offres ?"/>
    <s v="&lt;&gt;"/>
    <x v="1"/>
  </r>
  <r>
    <x v="161"/>
    <s v="Dans le cadre du guide vente préciser  les lot(s) concerné(s) ? "/>
    <x v="94"/>
    <s v="Le titulaire s'engage a fournir : "/>
    <s v="&lt;&gt;"/>
    <x v="31"/>
  </r>
  <r>
    <x v="162"/>
    <s v="Si oui, préciser"/>
    <x v="95"/>
    <s v="Un ou des catalogues privatifs sont-ils en place ?"/>
    <s v="&lt;&gt;"/>
    <x v="1"/>
  </r>
  <r>
    <x v="163"/>
    <s v="Si oui lesquels ?"/>
    <x v="96"/>
    <s v="Existence d'autres documents commerciaux (exemples : kit de remise en concurrence/passation de marché subséquent, trame type rapport d'analyse, lettre de rejet…)"/>
    <s v="&lt;&gt;"/>
    <x v="1"/>
  </r>
  <r>
    <x v="164"/>
    <s v="Si oui, préciser"/>
    <x v="97"/>
    <s v="Une e-boutique spécifique est-elle en place ?"/>
    <s v="&lt;&gt;"/>
    <x v="1"/>
  </r>
  <r>
    <x v="165"/>
    <s v="Si oui, préciser l'attendu après échanges avec les référents DCDT concernés"/>
    <x v="98"/>
    <s v="Des obligations particulières relatives à la gestion des fins de contrats sont-elles a préciser dans des documents contractuels, processus et ou pilotées  ?"/>
    <s v="&lt;&gt;"/>
    <x v="1"/>
  </r>
  <r>
    <x v="166"/>
    <s v="Si oui, un accompagnement est-il souhaité pour la modélisation du plan de gestion des fins de contrat ?"/>
    <x v="98"/>
    <s v="Des obligations particulières relatives à la gestion des fins de contrats sont-elles a préciser dans des documents contractuels, processus et ou pilotées  ?"/>
    <s v="&lt;&gt;"/>
    <x v="1"/>
  </r>
  <r>
    <x v="167"/>
    <s v="Si non, préciser le pourcentage applicabe"/>
    <x v="99"/>
    <s v="Si oui, le montant de cet acompte est-il conforme au standard de 80% du montant HT du BDC?"/>
    <s v="&lt;&gt;"/>
    <x v="0"/>
  </r>
  <r>
    <x v="168"/>
    <s v="Si oui, préciser les conditions de commandes qui justifient cette multi attribution UGAP"/>
    <x v="100"/>
    <s v="Les matériels ou prestations concernés par l'offre font-ils l'objet d'autres offres UGAP ?"/>
    <s v="&lt;&gt;"/>
    <x v="1"/>
  </r>
  <r>
    <x v="169"/>
    <s v="Le cas échéant, quel est le montant par lot ?"/>
    <x v="101"/>
    <s v="Le marché prévoit-il dans le cadre de la maintenance des pénalités pour non respect du délai de réparation ?"/>
    <s v="&lt;&gt;"/>
    <x v="1"/>
  </r>
  <r>
    <x v="170"/>
    <s v="Si oui exclusivement sur le web ? "/>
    <x v="102"/>
    <s v="Commercialisation de l'offre sur le WEB ?"/>
    <s v="&lt;&gt;"/>
    <x v="1"/>
  </r>
  <r>
    <x v="171"/>
    <s v="Préciser sur toute ou partie de l'offre"/>
    <x v="103"/>
    <s v="Si oui exclusivement sur le web ? "/>
    <s v="&lt;&gt;"/>
    <x v="1"/>
  </r>
  <r>
    <x v="172"/>
    <s v="Quelle est la périodicité de commande d’achat envisagée en Multi échéance ?_x000a_"/>
    <x v="104"/>
    <s v="Quel est le(s) format(s) d'émission de commande d’achat envisagé(s) pour les prestations de location/maintenance ?"/>
    <s v="&lt;&gt;"/>
    <x v="32"/>
  </r>
  <r>
    <x v="173"/>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x v="105"/>
    <s v="Préciser s'il existe une couverture géographique à caractère facultatif des matériels et/ou prestations à livrer ou exécuter par le titulaire"/>
    <s v="&lt;&gt;"/>
    <x v="1"/>
  </r>
  <r>
    <x v="174"/>
    <s v="Si autre ou si le schéma de vente de l'offre précédente a présenté des écarts ou des problématiques sur le parcours client, présenter le nouveau schéma de vente applicable résultant des échanges avec le référent"/>
    <x v="106"/>
    <s v="Type de schéma de vente "/>
    <s v="&lt;&gt;"/>
    <x v="5"/>
  </r>
  <r>
    <x v="175"/>
    <s v="Si non, préciser le mode de passation et justifier du choix"/>
    <x v="107"/>
    <s v="Le mode de passation de l'appel d'offres est-il ouvert ?"/>
    <s v="&lt;&gt;"/>
    <x v="0"/>
  </r>
  <r>
    <x v="176"/>
    <s v="Quelles sont les modalités de passation des marchés subséquents ou de passation de bons de commandes ?"/>
    <x v="108"/>
    <s v="Type d’accords-cadres"/>
    <s v="&lt;&gt;"/>
    <x v="33"/>
  </r>
  <r>
    <x v="177"/>
    <s v="Si AC mixte, préciser par lot les modalités d'attribution "/>
    <x v="108"/>
    <s v="Type d’accords-cadres"/>
    <s v="&lt;&gt;"/>
    <x v="34"/>
  </r>
  <r>
    <x v="178"/>
    <s v="Si AC BDC multi attribué ou mixte (Mono et multi attribué) préciser la modalité de multi attribution"/>
    <x v="109"/>
    <s v="Dans le cadre d'un AC à BDC ou mixte (à BDC et Marchés subséquents), quelles sont les modalités d'attribution des accords-cadres à bons de commande"/>
    <s v="&lt;&gt;"/>
    <x v="35"/>
  </r>
  <r>
    <x v="176"/>
    <s v="Quelles sont les modalités de passation des marchés subséquents ou de passation de bons de commandes ?"/>
    <x v="110"/>
    <s v="Quelles sont les modalités d’intervention de l’UGAP ?"/>
    <s v="&lt;&gt;"/>
    <x v="36"/>
  </r>
  <r>
    <x v="179"/>
    <s v="Quel est le volume estimé des marchés par an ?"/>
    <x v="108"/>
    <s v="Type d’accords-cadres"/>
    <s v="&lt;&gt;"/>
    <x v="33"/>
  </r>
  <r>
    <x v="179"/>
    <s v="Quel est le volume estimé des marchés par an ?"/>
    <x v="110"/>
    <s v="Quelles sont les modalités d’intervention de l’UGAP ?"/>
    <s v="&lt;&gt;"/>
    <x v="36"/>
  </r>
  <r>
    <x v="180"/>
    <s v="Quelle sera la forme des marchés subséquents "/>
    <x v="108"/>
    <s v="Type d’accords-cadres"/>
    <s v="&lt;&gt;"/>
    <x v="33"/>
  </r>
  <r>
    <x v="181"/>
    <s v="03.2.3 Offre exécutée"/>
    <x v="110"/>
    <s v="Quelles sont les modalités d’intervention de l’UGAP ?"/>
    <s v="&lt;&gt;"/>
    <x v="36"/>
  </r>
  <r>
    <x v="182"/>
    <s v="Préciser les modalités de passation en Accord-cadre mono et/ou en Accord-cadre multi attribué "/>
    <x v="110"/>
    <s v="Quelles sont les modalités d’intervention de l’UGAP ?"/>
    <s v="&lt;&gt;"/>
    <x v="36"/>
  </r>
  <r>
    <x v="180"/>
    <s v="Quelle sera la forme des marchés subséquents "/>
    <x v="110"/>
    <s v="Quelles sont les modalités d’intervention de l’UGAP ?"/>
    <s v="&lt;&gt;"/>
    <x v="36"/>
  </r>
  <r>
    <x v="183"/>
    <s v="Préciser les modalités de passation des marchés subséquents multi attribué ou des Accord-cadre avec BDC multi-attribué"/>
    <x v="110"/>
    <s v="Quelles sont les modalités d’intervention de l’UGAP ?"/>
    <s v="&lt;&gt;"/>
    <x v="36"/>
  </r>
  <r>
    <x v="184"/>
    <s v="Quelles est la règle d'attribution des bons de commande  ?"/>
    <x v="110"/>
    <s v="Quelles sont les modalités d’intervention de l’UGAP ?"/>
    <s v="&lt;&gt;"/>
    <x v="36"/>
  </r>
  <r>
    <x v="185"/>
    <s v="Le format &quot;offre plurielle&quot; s'applique-t'il ?"/>
    <x v="110"/>
    <s v="Quelles sont les modalités d’intervention de l’UGAP ?"/>
    <s v="&lt;&gt;"/>
    <x v="36"/>
  </r>
  <r>
    <x v="186"/>
    <s v="03.2.2 Offre non exécutée"/>
    <x v="110"/>
    <s v="Quelles sont les modalités d’intervention de l’UGAP ?"/>
    <s v="&lt;&gt;"/>
    <x v="37"/>
  </r>
  <r>
    <x v="187"/>
    <s v="Préciser les modalités de passation des marchés subséquents en Accord-cadre mono et/ou en Accord-cadre multi attribué "/>
    <x v="110"/>
    <s v="Quelles sont les modalités d’intervention de l’UGAP ?"/>
    <s v="="/>
    <x v="37"/>
  </r>
  <r>
    <x v="188"/>
    <s v="Y’a-t-il une dérogation au principe de non exclusivité ? "/>
    <x v="110"/>
    <s v="Quelles sont les modalités d’intervention de l’UGAP ?"/>
    <s v="&lt;&gt;"/>
    <x v="37"/>
  </r>
  <r>
    <x v="189"/>
    <s v="L’adhésion ou la renonciation se fera t’elle via un formulaire d’enquête sur Ugap.fr ? "/>
    <x v="110"/>
    <s v="Quelles sont les modalités d’intervention de l’UGAP ?"/>
    <s v="&lt;&gt;"/>
    <x v="37"/>
  </r>
  <r>
    <x v="190"/>
    <s v="Dans le cadre de la passation de marchés subséquents sur AC non exécuté qui effectuera la remise en concurrence/la passation/la notification des marchés subséquents ? "/>
    <x v="108"/>
    <s v="Type d’accords-cadres"/>
    <s v="&lt;&gt;"/>
    <x v="33"/>
  </r>
  <r>
    <x v="190"/>
    <s v="Dans le cadre de la passation de marchés subséquents sur AC non exécuté qui effectuera la remise en concurrence/la passation/la notification des marchés subséquents ? "/>
    <x v="110"/>
    <s v="Quelles sont les modalités d’intervention de l’UGAP ?"/>
    <s v="&lt;&gt;"/>
    <x v="37"/>
  </r>
  <r>
    <x v="191"/>
    <s v="Quel est le volume estimé des marchés par an ?"/>
    <x v="110"/>
    <s v="Quelles sont les modalités d’intervention de l’UGAP ?"/>
    <s v="&lt;&gt;"/>
    <x v="37"/>
  </r>
  <r>
    <x v="192"/>
    <s v="Quelles sont les modalités de passation des marchés subséquents ?"/>
    <x v="108"/>
    <s v="Type d’accords-cadres"/>
    <s v="&lt;&gt;"/>
    <x v="33"/>
  </r>
  <r>
    <x v="192"/>
    <s v="Quelles sont les modalités de passation des marchés subséquents ?"/>
    <x v="110"/>
    <s v="Quelles sont les modalités d’intervention de l’UGAP ?"/>
    <s v="&lt;&gt;"/>
    <x v="37"/>
  </r>
  <r>
    <x v="193"/>
    <s v="Si oui, renseigner les lots concernés"/>
    <x v="111"/>
    <s v="Le format &quot;offre plurielle&quot; s'applique-t'il ?"/>
    <s v="&lt;&gt;"/>
    <x v="1"/>
  </r>
  <r>
    <x v="194"/>
    <s v="En cas de renouvellement, préciser le(s) numéro(s) de la(es) précédente procédure(s) ainsi que les numéros de marchés correspondants"/>
    <x v="112"/>
    <s v="Projet d'offre concerne un renouvellement (avec ou sans création/extension) ou le lancement d'une nouvelle offre ?"/>
    <s v="&lt;&gt;"/>
    <x v="38"/>
  </r>
  <r>
    <x v="195"/>
    <s v="Si non, préciser la durée du marché toutes reconductions comprises_x000a_(si durée autre que le choix sur liste, saisir directement le délai dans la réponse)"/>
    <x v="113"/>
    <s v="La durée du(es) marchés est-elle de 48 mois (toutes reconductions comprises) ?"/>
    <s v="&lt;&gt;"/>
    <x v="0"/>
  </r>
  <r>
    <x v="196"/>
    <s v="Si autre, préciser la durée initiale "/>
    <x v="114"/>
    <s v="Quelle est la durée initiale en mois du marché ? "/>
    <s v="&lt;&gt;"/>
    <x v="5"/>
  </r>
  <r>
    <x v="197"/>
    <s v="Si oui, expliquer les modalités de reconduction ?"/>
    <x v="115"/>
    <s v="Le principe de reconduction s'applique t'il ?"/>
    <s v="&lt;&gt;"/>
    <x v="1"/>
  </r>
  <r>
    <x v="198"/>
    <s v="Si oui, Quel est le nombre de reconductions possibles ? "/>
    <x v="115"/>
    <s v="Le principe de reconduction s'applique t'il ?"/>
    <s v="&lt;&gt;"/>
    <x v="1"/>
  </r>
  <r>
    <x v="199"/>
    <s v="Si oui, Quelle est la durée de chaque reconduction ? "/>
    <x v="115"/>
    <s v="Le principe de reconduction s'applique t'il ?"/>
    <s v="&lt;&gt;"/>
    <x v="1"/>
  </r>
  <r>
    <x v="200"/>
    <s v="Ces modalités  s'appliquent-elles à l'ensemble des lots ?"/>
    <x v="115"/>
    <s v="Le principe de reconduction s'applique t'il ?"/>
    <s v="&lt;&gt;"/>
    <x v="1"/>
  </r>
  <r>
    <x v="201"/>
    <s v="Si non, préciser les modalités particlulières pour chaque lot"/>
    <x v="116"/>
    <s v="Ces modalités  s'appliquent-elles à l'ensemble des lots ?"/>
    <s v="&lt;&gt;"/>
    <x v="0"/>
  </r>
  <r>
    <x v="202"/>
    <s v="Si oui, de combien de mois et sur quel périmètre (Ex : prestations de maintenance…) ?"/>
    <x v="117"/>
    <s v="Durée d'exécution des bons de commande ou des marchés subséquents  dépassera t'elle la date de fin du support contractuel ? "/>
    <s v="&lt;&gt;"/>
    <x v="1"/>
  </r>
  <r>
    <x v="203"/>
    <s v="Si oui, ces modalités  s'appliquent-elles à l'ensemble des lots ?"/>
    <x v="117"/>
    <s v="Durée d'exécution des bons de commande ou des marchés subséquents  dépassera t'elle la date de fin du support contractuel ? "/>
    <s v="&lt;&gt;"/>
    <x v="1"/>
  </r>
  <r>
    <x v="204"/>
    <s v="Si non, préciser les modalités particlulières pour chaque lot"/>
    <x v="118"/>
    <s v="Si oui, ces modalités  s'appliquent-elles à l'ensemble des lots ?"/>
    <s v="&lt;&gt;"/>
    <x v="0"/>
  </r>
  <r>
    <x v="205"/>
    <s v="Si oui, préciser le nombre de lots (indiquer uniquement un chiffre)"/>
    <x v="119"/>
    <s v="Procédure avec allotissement"/>
    <s v="&lt;&gt;"/>
    <x v="1"/>
  </r>
  <r>
    <x v="206"/>
    <s v="Si oui, préciser le(s) évolution(s) concerné(es) : Est-il envisagé d'abandonner certains lots, d'ajouter des lots, de faire évoluer les formats…"/>
    <x v="120"/>
    <s v="L'allotissement fait-il l'objet d'une évolution "/>
    <s v="&lt;&gt;"/>
    <x v="1"/>
  </r>
  <r>
    <x v="207"/>
    <s v="Si oui, expliquer pourquoi et dans quel objectif ?"/>
    <x v="120"/>
    <s v="L'allotissement fait-il l'objet d'une évolution "/>
    <s v="&lt;&gt;"/>
    <x v="1"/>
  </r>
  <r>
    <x v="208"/>
    <s v="Si oui, préciser à quel stade de la procédure"/>
    <x v="121"/>
    <s v="Une limitation du nombre de lots par titulaire est-elle envisagée ?"/>
    <s v="&lt;&gt;"/>
    <x v="1"/>
  </r>
  <r>
    <x v="209"/>
    <s v="Si oui, en préciser les raisons"/>
    <x v="121"/>
    <s v="Une limitation du nombre de lots par titulaire est-elle envisagée ?"/>
    <s v="&lt;&gt;"/>
    <x v="1"/>
  </r>
  <r>
    <x v="210"/>
    <s v="Si non, préciser quel schéma de rémunération s'applique à l'offre (exemple: ristourne, délégation de marge pour compte...) justifier de cette la dérogation et préciser les modalités de calcul associées - périodicité - seuil mini d'application ou l'absence de rémunération"/>
    <x v="122"/>
    <s v="La rémunération par le titulaire en contrepartie d’un service rendu correspond-elle a la contribution standard 1%-4000€-Trimestriel ?"/>
    <s v="&lt;&gt;"/>
    <x v="0"/>
  </r>
  <r>
    <x v="211"/>
    <s v="Si oui, s'agit-il d'un montant de commande en quantité ou en montant ?"/>
    <x v="123"/>
    <s v="Un minimum de commande client géré par l'UGAP est-il en envisagé ? _x0009_"/>
    <s v="&lt;&gt;"/>
    <x v="1"/>
  </r>
  <r>
    <x v="212"/>
    <s v="Si oui, la gestion du minimum de commande nécessite-'elle des paramétrages informatiques ?"/>
    <x v="123"/>
    <s v="Un minimum de commande client géré par l'UGAP est-il en envisagé ? _x0009_"/>
    <s v="&lt;&gt;"/>
    <x v="1"/>
  </r>
  <r>
    <x v="213"/>
    <s v="Une fiche SAV est-elle exigée ?"/>
    <x v="24"/>
    <s v="Etendue de l'offre"/>
    <s v="&lt;&gt;"/>
    <x v="10"/>
  </r>
  <r>
    <x v="214"/>
    <s v="Si autre, préciser le délai applicable"/>
    <x v="124"/>
    <s v="Si oui, quel est le délai correspondant après la fin de la fabrication du dernier matériel  ?  "/>
    <s v="&lt;&gt;"/>
    <x v="5"/>
  </r>
  <r>
    <x v="215"/>
    <s v="Quels sont les autres documents du marché?"/>
    <x v="125"/>
    <s v="Y a-t-il des annexes au CCAP ? "/>
    <s v="&lt;&gt;"/>
    <x v="1"/>
  </r>
  <r>
    <x v="216"/>
    <s v="05.4.1 Typologie, prix et durée de la maintenance"/>
    <x v="126"/>
    <s v="Des prestations de maintenance  et/ou location - maintenance sont-elles à prévoir ?"/>
    <s v="&lt;&gt;"/>
    <x v="1"/>
  </r>
  <r>
    <x v="217"/>
    <s v="Quelles sont les typologies de commande de maintenance?"/>
    <x v="126"/>
    <s v="Des prestations de maintenance  et/ou location - maintenance sont-elles à prévoir ?"/>
    <s v="&lt;&gt;"/>
    <x v="1"/>
  </r>
  <r>
    <x v="218"/>
    <s v="La maintenance des équipements couvre-t-elle les bris ? "/>
    <x v="127"/>
    <s v="Quelles sont les typologies de commande de maintenance?"/>
    <s v="&lt;&gt;"/>
    <x v="39"/>
  </r>
  <r>
    <x v="219"/>
    <s v="05.4.2 Commande de maintenance"/>
    <x v="126"/>
    <s v="Des prestations de maintenance  et/ou location - maintenance sont-elles à prévoir ?"/>
    <s v="&lt;&gt;"/>
    <x v="1"/>
  </r>
  <r>
    <x v="220"/>
    <s v="Préciser l'élément déclencheur des commandes (concomitant à la commande, livraison, carte grise…), les formats de commande envisagés (mono ou multi échéance) et la périodicité des commande (unique, mensuelle, trimestrielle, annuelle, autre…)"/>
    <x v="127"/>
    <s v="Quelles sont les typologies de commande de maintenance?"/>
    <s v="&lt;&gt;"/>
    <x v="39"/>
  </r>
  <r>
    <x v="221"/>
    <s v="Si &quot;autre&quot; préciser l'élément déclencheur des commandes, les formats de commande envisagés et la périodicité"/>
    <x v="128"/>
    <s v="Préciser l'élément déclencheur des commandes (concomitant à la commande, livraison, carte grise…), les formats de commande envisagés (mono ou multi échéance) et la périodicité des commande (unique, mensuelle, trimestrielle, annuelle, autre…)"/>
    <s v="&lt;&gt;"/>
    <x v="5"/>
  </r>
  <r>
    <x v="222"/>
    <s v="Quel est le(s) format(s) d'émission de commande d’achat envisagé(s) pour les prestations de location/maintenance ?"/>
    <x v="127"/>
    <s v="Quelles sont les typologies de commande de maintenance?"/>
    <s v="&lt;&gt;"/>
    <x v="39"/>
  </r>
  <r>
    <x v="223"/>
    <s v="Si non, préciser les durées applicabes"/>
    <x v="129"/>
    <s v="Si oui, préciser si les durées sont conformes au standard (≤ 2 ans pour les produits neufs et ≤ 1 an pour les produits reconditionnés)"/>
    <s v="&lt;&gt;"/>
    <x v="0"/>
  </r>
  <r>
    <x v="224"/>
    <s v="Si oui, préciser par qui elle est assurée "/>
    <x v="129"/>
    <s v="Si oui, préciser si les durées sont conformes au standard (≤ 2 ans pour les produits neufs et ≤ 1 an pour les produits reconditionnés)"/>
    <s v="&lt;&gt;"/>
    <x v="1"/>
  </r>
  <r>
    <x v="225"/>
    <s v="Si autres, préciser la couverture géographique concernée"/>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6"/>
    <s v="Si couverture géographique obligatoire à l'étranger, l'étranger comprend"/>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5"/>
    <s v="Si autres, préciser la couverture géographique concernée"/>
    <x v="131"/>
    <s v="Si couverture géographique obligatoire à l'étranger, l'étranger comprend"/>
    <s v="&lt;&gt;"/>
    <x v="3"/>
  </r>
  <r>
    <x v="228"/>
    <s v="Si autres, préciser la couverture géographique concernée"/>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9"/>
    <s v="Si couverture géographique facultative à l'étranger, l'étranger comprend"/>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8"/>
    <s v="Si autres, préciser la couverture géographique concernée"/>
    <x v="133"/>
    <s v="Si couverture géographique facultative à l'étranger, l'étranger comprend"/>
    <s v="&lt;&gt;"/>
    <x v="3"/>
  </r>
  <r>
    <x v="230"/>
    <s v="Si oui, préciser la périodicité applicable"/>
    <x v="17"/>
    <s v="Si non, s'agit-il d'une commande à échéance ?"/>
    <s v="&lt;&gt;"/>
    <x v="1"/>
  </r>
  <r>
    <x v="231"/>
    <s v="Quelles sont les modalités de maintenance (préventive, corrective…) prévues ? "/>
    <x v="127"/>
    <s v="Quelles sont les typologies de commande de maintenance?"/>
    <s v="&lt;&gt;"/>
    <x v="39"/>
  </r>
  <r>
    <x v="232"/>
    <s v="Préciser la durée ?"/>
    <x v="134"/>
    <s v="Quelles sont les modalités de maintenance (préventive, corrective…) prévues ? "/>
    <s v="&lt;&gt;"/>
    <x v="39"/>
  </r>
  <r>
    <x v="233"/>
    <s v="En cas de dysfonctionnement, sous quel délai le titulaire doit-il intervenir en France métropolitaine pour des prestations de maintenance corrective/curative  ? "/>
    <x v="127"/>
    <s v="Quelles sont les typologies de commande de maintenance?"/>
    <s v="&lt;&gt;"/>
    <x v="39"/>
  </r>
  <r>
    <x v="234"/>
    <s v="En cas de dysfonctionnement, sous quel délai le titulaire doit-il intervenir en outre-mer pour des prestations de maintenance corrective/curative  ?  ? "/>
    <x v="127"/>
    <s v="Quelles sont les typologies de commande de maintenance?"/>
    <s v="&lt;&gt;"/>
    <x v="39"/>
  </r>
  <r>
    <x v="235"/>
    <s v="La prestation de maintenance s'étend-elle à la fourniture et l'installation d'accessoires et options ajoutés ? "/>
    <x v="127"/>
    <s v="Quelles sont les typologies de commande de maintenance?"/>
    <s v="&lt;&gt;"/>
    <x v="39"/>
  </r>
  <r>
    <x v="236"/>
    <s v="Si maintenance corrective/curative son prix est-il inclus dans le prix du matériel/Logiciel/fourniture ?"/>
    <x v="134"/>
    <s v="Quelles sont les modalités de maintenance (préventive, corrective…) prévues ? "/>
    <s v="&lt;&gt;"/>
    <x v="42"/>
  </r>
  <r>
    <x v="237"/>
    <s v="Si maintenance corrective/curative, l'intervention du titulaire vise quelle remise en état ?"/>
    <x v="134"/>
    <s v="Quelles sont les modalités de maintenance (préventive, corrective…) prévues ? "/>
    <s v="&lt;&gt;"/>
    <x v="42"/>
  </r>
  <r>
    <x v="238"/>
    <s v="Si autres, préciser les bénéficiaires concernés"/>
    <x v="135"/>
    <s v="Si autres, préciser si les bénéficiaires concernés sont les Sociétés d’autoroutes pou les Délégataires de service public"/>
    <s v="&lt;&gt;"/>
    <x v="5"/>
  </r>
  <r>
    <x v="239"/>
    <s v="Si autre, préciser la durée maximale et le délai de prévenance"/>
    <x v="136"/>
    <s v="Quelle est sa durée maximale et le délai de prévenance ?"/>
    <s v="&lt;&gt;"/>
    <x v="5"/>
  </r>
  <r>
    <x v="240"/>
    <s v="Si oui, s'agit-il d'un montant de commande en quantité ou en montant ?"/>
    <x v="137"/>
    <s v="Un minimum de commande fournisseur géré par l'UGAP est-il en envisagé ? _x0009_"/>
    <s v="&lt;&gt;"/>
    <x v="1"/>
  </r>
  <r>
    <x v="241"/>
    <s v="Si oui, la gestion du minimum de commande nécessite-'elle des paramétrages informatiques ?"/>
    <x v="137"/>
    <s v="Un minimum de commande fournisseur géré par l'UGAP est-il en envisagé ? _x0009_"/>
    <s v="&lt;&gt;"/>
    <x v="1"/>
  </r>
  <r>
    <x v="242"/>
    <s v="Si autres éléments attendus de la part du titulaire concernant la formation et l'information, préciser"/>
    <x v="138"/>
    <s v="Préciser les éléments attendus de la part du titulaire concernant la formation et l'information"/>
    <s v="&lt;&gt;"/>
    <x v="5"/>
  </r>
  <r>
    <x v="243"/>
    <s v="Si autres éléments attendus de la part du titulaire concernant le déploiement, la commercialisation et l'exécution de l'offre, préciser"/>
    <x v="85"/>
    <s v="Préciser les éléments attendus de la part du titulaire concernant le déploiement, la commercialisation et l'exécution de l'offre"/>
    <s v="&lt;&gt;"/>
    <x v="5"/>
  </r>
  <r>
    <x v="244"/>
    <s v="Si autre répartion Vente Assistée / Vente A distance, préciser "/>
    <x v="139"/>
    <s v="Répartition client Vente Assistée / Vente à Distance envisagée"/>
    <s v="&lt;&gt;"/>
    <x v="5"/>
  </r>
  <r>
    <x v="245"/>
    <s v="Si autre, en préciser la raison"/>
    <x v="140"/>
    <s v="Si oui, en préciser les raisons"/>
    <s v="&lt;&gt;"/>
    <x v="5"/>
  </r>
  <r>
    <x v="246"/>
    <s v="Si autre, préciser le contenu de l'offre concerné par l'exclusion (ex : prestation d'assurance)"/>
    <x v="141"/>
    <s v="Si oui, préciser le contenu de l'offre concerné par l'exclusion (ex : prestation d'assurance)"/>
    <s v="&lt;&gt;"/>
    <x v="5"/>
  </r>
  <r>
    <x v="247"/>
    <s v="Si non, préciser"/>
    <x v="142"/>
    <s v="Les modalités envisagées en terme d'avance sont-elles conformes au code de la commande publique :_x000a_Son taux est fixé à 5 %._x000a_Le montant de l’avance versée au titulaire n’est ni révisable ni actualisable ?"/>
    <s v="&lt;&gt;"/>
    <x v="0"/>
  </r>
  <r>
    <x v="248"/>
    <s v="Si délai minimal du titulaire pour assurer la résolution du SAV est non conforme au standard, préciser le délai applicable"/>
    <x v="143"/>
    <s v="Sous quel délai minimal le titulaire doit assurer la résolution du SAV (hors refabrication complète du matériel)"/>
    <s v="&lt;&gt;"/>
    <x v="43"/>
  </r>
  <r>
    <x v="224"/>
    <s v="Si oui, préciser par qui elle est assurée "/>
    <x v="34"/>
    <s v="Une garantie commerciale contractuelle ou une garantie de bon fonctionnement en cas de logiciel est-elle en place et applicable pour l'ensemble des lots ?"/>
    <s v="&lt;&gt;"/>
    <x v="1"/>
  </r>
  <r>
    <x v="223"/>
    <s v="Si non, préciser les durées applicabes"/>
    <x v="34"/>
    <s v="Une garantie commerciale contractuelle ou une garantie de bon fonctionnement en cas de logiciel est-elle en place et applicable pour l'ensemble des lots ?"/>
    <s v="&lt;&gt;"/>
    <x v="0"/>
  </r>
  <r>
    <x v="249"/>
    <s v="Si tout ou partie des lots concernés, préciser lesquels"/>
    <x v="144"/>
    <s v="L'offre est-elle concernée par de la reprise 1 pour 1"/>
    <s v="&lt;&gt;"/>
    <x v="20"/>
  </r>
  <r>
    <x v="250"/>
    <s v="Si oui, préciser le publics concernés par les lots réservés dans l'annexe tableau allotissement"/>
    <x v="55"/>
    <s v="L'offre comprend elle des lots réservés ?"/>
    <s v="&lt;&gt;"/>
    <x v="1"/>
  </r>
  <r>
    <x v="251"/>
    <s v="Si tout ou partie des lots concernés, préciser lesquels"/>
    <x v="145"/>
    <s v="Les produits issus du réemploi/réutilisation sont-ils intégrés dans l'offre (exemple : architecture lot dédié, facultatif libre ...)?"/>
    <s v="&lt;&gt;"/>
    <x v="1"/>
  </r>
  <r>
    <x v="252"/>
    <s v="Conclusion de la réunion criticité du référencement "/>
    <x v="146"/>
    <s v="Une réunion de criticité est-elle à réaliser par le référent référencement ?"/>
    <s v="&lt;&gt;"/>
    <x v="1"/>
  </r>
  <r>
    <x v="253"/>
    <s v="Si oui à la commercialisation sur le WEB, Un contrôle/accès restreint à typologie de clients/utilisateurs chez le client est-il en place ?"/>
    <x v="102"/>
    <s v="Commercialisation de l'offre sur le WEB ?"/>
    <s v="&lt;&gt;"/>
    <x v="1"/>
  </r>
  <r>
    <x v="254"/>
    <s v="Si oui à la commercialisation sur le WEB, L'offre nécessite-elle une connexion à une plateforme tierce "/>
    <x v="102"/>
    <s v="Commercialisation de l'offre sur le WEB ?"/>
    <s v="&lt;&gt;"/>
    <x v="1"/>
  </r>
  <r>
    <x v="255"/>
    <s v="Si autre mode de multi attribution, préciser"/>
    <x v="147"/>
    <s v="Si AC BDC multi attribué ou mixte (Mono et multi attribué) préciser la modalité de multi attribution"/>
    <s v="&lt;&gt;"/>
    <x v="5"/>
  </r>
  <r>
    <x v="256"/>
    <s v="Si multi attribution sur quantité minimale d’engagement au marché, précier le mode d'attribution par titulaire"/>
    <x v="147"/>
    <s v="Si AC BDC multi attribué ou mixte (Mono et multi attribué) préciser la modalité de multi attribution"/>
    <s v="&lt;&gt;"/>
    <x v="44"/>
  </r>
  <r>
    <x v="257"/>
    <s v="Ces modalités d'attribution sont-elles les identiques pour tous les lots?"/>
    <x v="109"/>
    <s v="Dans le cadre d'un AC à BDC ou mixte (à BDC et Marchés subséquents), quelles sont les modalités d'attribution des accords-cadres à bons de commande"/>
    <s v="&lt;&gt;"/>
    <x v="35"/>
  </r>
  <r>
    <x v="258"/>
    <s v="Si non, préciser le détail par lot"/>
    <x v="148"/>
    <s v="Ces modalités d'attribution sont-elles les identiques pour tous les lots?"/>
    <s v="&lt;&gt;"/>
    <x v="0"/>
  </r>
  <r>
    <x v="259"/>
    <s v="Si multi attribution préciser le nombre de titulaires par lot"/>
    <x v="109"/>
    <s v="Dans le cadre d'un AC à BDC ou mixte (à BDC et Marchés subséquents), quelles sont les modalités d'attribution des accords-cadres à bons de commande"/>
    <s v="&lt;&gt;"/>
    <x v="35"/>
  </r>
  <r>
    <x v="179"/>
    <s v="Quel est le volume estimé des marchés par an ?"/>
    <x v="149"/>
    <s v="Quelles sont les modalités de passation des marchés subséquents ou de passation de bons de commandes ?"/>
    <s v="&lt;&gt;"/>
    <x v="33"/>
  </r>
  <r>
    <x v="180"/>
    <s v="Quelle sera la forme des marchés subséquents "/>
    <x v="149"/>
    <s v="Quelles sont les modalités de passation des marchés subséquents ou de passation de bons de commandes ?"/>
    <s v="&lt;&gt;"/>
    <x v="33"/>
  </r>
  <r>
    <x v="260"/>
    <s v="Si non, cette obligation fait-elle l'objet d'un critère d'analyse des offres ?"/>
    <x v="150"/>
    <s v="La contractualisation d'un interlocuteur dédié dans le CCAP est-elle à prévoir ?"/>
    <s v="&lt;&gt;"/>
    <x v="0"/>
  </r>
  <r>
    <x v="59"/>
    <s v="Y-a-t-il une garantie de disponibilité du véhicule pour chaque véhicule immobilisé à cause d’une défaillance prise en charge au titre de la garantie ?"/>
    <x v="33"/>
    <s v="Direction"/>
    <s v="&lt;&gt;"/>
    <x v="15"/>
  </r>
  <r>
    <x v="261"/>
    <s v="Y-a-t-il une garantie de base d'autonomie de l'ensemble batterie ?"/>
    <x v="33"/>
    <s v="Direction"/>
    <s v="&lt;&gt;"/>
    <x v="15"/>
  </r>
  <r>
    <x v="262"/>
    <s v="Si présence d'annexes au CCAP, préciser lesquelles"/>
    <x v="151"/>
    <s v="Quels sont les autres documents du marché?"/>
    <s v="&lt;&gt;"/>
    <x v="45"/>
  </r>
  <r>
    <x v="263"/>
    <s v="Le taux de remise peut-il varier?"/>
    <x v="71"/>
    <s v="Quelles sont les modalités de variation des prix   ?"/>
    <s v="&lt;&gt;"/>
    <x v="46"/>
  </r>
  <r>
    <x v="264"/>
    <s v="L'offre inclut-elle des exigences en matière d'impact environnemental du transport?"/>
    <x v="51"/>
    <s v="Une considération environnementale est-elle intégrée à chaque lot ?"/>
    <s v="&lt;&gt;"/>
    <x v="1"/>
  </r>
  <r>
    <x v="265"/>
    <s v="L'offre prévoit-elle un plan de progrès décarbonation du transport?"/>
    <x v="51"/>
    <s v="Une considération environnementale est-elle intégrée à chaque lot ?"/>
    <s v="&lt;&gt;"/>
    <x v="1"/>
  </r>
  <r>
    <x v="266"/>
    <s v="En cas de plafond de pénaité dérogatoire au standard, préciser le pourcentage du bon de commande ou le montant du plafond"/>
    <x v="152"/>
    <s v="Le plafond des pénalités est-il conforme au standard établi?"/>
    <s v="&lt;&gt;"/>
    <x v="0"/>
  </r>
  <r>
    <x v="267"/>
    <s v="05.1 Garantie contractuelle de base"/>
    <x v="153"/>
    <s v="Ce chapitre est-il applicable "/>
    <s v="&lt;&gt;"/>
    <x v="1"/>
  </r>
  <r>
    <x v="268"/>
    <s v="Une garantie commerciale contractuelle ou une garantie de bon fonctionnement en cas de logiciel est-elle en place et applicable pour l'ensemble des lots ?"/>
    <x v="153"/>
    <s v="Ce chapitre est-il applicable "/>
    <s v="&lt;&gt;"/>
    <x v="1"/>
  </r>
  <r>
    <x v="269"/>
    <s v="Le détail de la garantie est-il commun à l'ensemble des lots de la procédure"/>
    <x v="153"/>
    <s v="Ce chapitre est-il applicable "/>
    <s v="&lt;&gt;"/>
    <x v="1"/>
  </r>
  <r>
    <x v="57"/>
    <s v="Si non, préciser pour chaque lot la durée de cette garantie, les conditions de garantie "/>
    <x v="153"/>
    <s v="Ce chapitre est-il applicable "/>
    <s v="&lt;&gt;"/>
    <x v="1"/>
  </r>
  <r>
    <x v="270"/>
    <s v="Quelles sont les conditions de garantie ? "/>
    <x v="153"/>
    <s v="Ce chapitre est-il applicable "/>
    <s v="&lt;&gt;"/>
    <x v="1"/>
  </r>
  <r>
    <x v="271"/>
    <s v="Sous quel délai minimal le titulaire doit assurer la résolution du SAV (hors refabrication complète du matériel)"/>
    <x v="153"/>
    <s v="Ce chapitre est-il applicable "/>
    <s v="&lt;&gt;"/>
    <x v="1"/>
  </r>
  <r>
    <x v="272"/>
    <s v="05.2 Etendue de la garantie"/>
    <x v="153"/>
    <s v="Ce chapitre est-il applicable "/>
    <s v="&lt;&gt;"/>
    <x v="1"/>
  </r>
  <r>
    <x v="273"/>
    <s v="Dans le cadre de la garantie le délai de prise en charge du SAV par le titulaire est-il conforme au standard (48h en France Continentale et Corse / 72h pour DROM COM)"/>
    <x v="153"/>
    <s v="Ce chapitre est-il applicable "/>
    <s v="&lt;&gt;"/>
    <x v="1"/>
  </r>
  <r>
    <x v="274"/>
    <s v="Existe t'il une Garantie en Temps de rétablissement (GTR)"/>
    <x v="153"/>
    <s v="Ce chapitre est-il applicable "/>
    <s v="&lt;&gt;"/>
    <x v="1"/>
  </r>
  <r>
    <x v="70"/>
    <s v="Y-a t'il des produits en stock"/>
    <x v="153"/>
    <s v="Ce chapitre est-il applicable "/>
    <s v="&lt;&gt;"/>
    <x v="1"/>
  </r>
  <r>
    <x v="213"/>
    <s v="Une fiche SAV est-elle exigée ?"/>
    <x v="153"/>
    <s v="Ce chapitre est-il applicable "/>
    <s v="&lt;&gt;"/>
    <x v="1"/>
  </r>
  <r>
    <x v="261"/>
    <s v="Y-a-t-il une garantie de base d'autonomie de l'ensemble batterie ?"/>
    <x v="153"/>
    <s v="Ce chapitre est-il applicable "/>
    <s v="&lt;&gt;"/>
    <x v="1"/>
  </r>
  <r>
    <x v="275"/>
    <s v="Y-a-t-il une garantie contractuelle anticorrosion ?"/>
    <x v="153"/>
    <s v="Ce chapitre est-il applicable "/>
    <s v="&lt;&gt;"/>
    <x v="1"/>
  </r>
  <r>
    <x v="276"/>
    <s v="Le titulaire est-il tenu de fournir les pièces détachées nécessaires à la réparation du matériel ? "/>
    <x v="153"/>
    <s v="Ce chapitre est-il applicable "/>
    <s v="&lt;&gt;"/>
    <x v="1"/>
  </r>
  <r>
    <x v="277"/>
    <s v="05.3 Extension de la garantie"/>
    <x v="153"/>
    <s v="Ce chapitre est-il applicable "/>
    <s v="&lt;&gt;"/>
    <x v="1"/>
  </r>
  <r>
    <x v="278"/>
    <s v="Une extension de garantie doit-elle être mise en place ?"/>
    <x v="153"/>
    <s v="Ce chapitre est-il applicable "/>
    <s v="&lt;&gt;"/>
    <x v="1"/>
  </r>
  <r>
    <x v="279"/>
    <s v="05.4 Maintenance"/>
    <x v="153"/>
    <s v="Ce chapitre est-il applicable "/>
    <s v="&lt;&gt;"/>
    <x v="1"/>
  </r>
  <r>
    <x v="280"/>
    <s v="Des prestations de maintenance  et/ou location - maintenance sont-elles à prévoir ?"/>
    <x v="153"/>
    <s v="Ce chapitre est-il applicable "/>
    <s v="&lt;&gt;"/>
    <x v="1"/>
  </r>
  <r>
    <x v="216"/>
    <s v="05.4.1 Typologie, prix et durée de la maintenance"/>
    <x v="153"/>
    <s v="Ce chapitre est-il applicable "/>
    <s v="&lt;&gt;"/>
    <x v="1"/>
  </r>
  <r>
    <x v="231"/>
    <s v="Quelles sont les modalités de maintenance (préventive, corrective…) prévues ? "/>
    <x v="153"/>
    <s v="Ce chapitre est-il applicable "/>
    <s v="&lt;&gt;"/>
    <x v="1"/>
  </r>
  <r>
    <x v="219"/>
    <s v="05.4.2 Commande de maintenance"/>
    <x v="153"/>
    <s v="Ce chapitre est-il applicable "/>
    <s v="&lt;&gt;"/>
    <x v="1"/>
  </r>
  <r>
    <x v="281"/>
    <s v="Si oui, décrire le niveau d'exigences associé et les documents associés (CCAP, CCTP, Annexes….) et les modalités retenues afin d'assurer la disponibilité des données produits ou services nécessaires notamment au déploiement de l'offre (Données, produits, certificats, images...)"/>
    <x v="150"/>
    <s v="La contractualisation d'un interlocuteur dédié dans le CCAP est-elle à prévoir ?"/>
    <s v="&lt;&gt;"/>
    <x v="1"/>
  </r>
  <r>
    <x v="282"/>
    <s v="Si oui à la commercialisation sur le WEB, L'offre est-elle en e-procurement ? "/>
    <x v="102"/>
    <s v="Commercialisation de l'offre sur le WEB ?"/>
    <s v="&lt;&gt;"/>
    <x v="1"/>
  </r>
  <r>
    <x v="283"/>
    <s v="Si oui, préciser le type de configurateur"/>
    <x v="154"/>
    <s v="Un configurateur est-il en place ?"/>
    <s v="&lt;&g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C27134-F4CB-427B-9B65-D4E508729C58}" name="Tableau croisé dynamique2" cacheId="1"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F3:G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s>
  <rowFields count="2">
    <field x="2"/>
    <field x="0"/>
  </rowFields>
  <rowItems count="304">
    <i>
      <x/>
      <x v="68"/>
    </i>
    <i r="1">
      <x v="76"/>
    </i>
    <i>
      <x v="1"/>
      <x v="1"/>
    </i>
    <i>
      <x v="2"/>
      <x v="2"/>
    </i>
    <i>
      <x v="3"/>
      <x v="3"/>
    </i>
    <i r="1">
      <x v="5"/>
    </i>
    <i>
      <x v="4"/>
      <x v="4"/>
    </i>
    <i>
      <x v="5"/>
      <x v="6"/>
    </i>
    <i r="1">
      <x v="7"/>
    </i>
    <i>
      <x v="6"/>
      <x v="8"/>
    </i>
    <i>
      <x v="7"/>
      <x v="10"/>
    </i>
    <i>
      <x v="8"/>
      <x v="11"/>
    </i>
    <i>
      <x v="9"/>
      <x v="12"/>
    </i>
    <i r="1">
      <x v="95"/>
    </i>
    <i>
      <x v="10"/>
      <x v="13"/>
    </i>
    <i r="1">
      <x v="222"/>
    </i>
    <i>
      <x v="11"/>
      <x v="14"/>
    </i>
    <i>
      <x v="12"/>
      <x v="15"/>
    </i>
    <i>
      <x v="13"/>
      <x v="16"/>
    </i>
    <i r="1">
      <x v="22"/>
    </i>
    <i>
      <x v="14"/>
      <x v="17"/>
    </i>
    <i>
      <x v="15"/>
      <x v="18"/>
    </i>
    <i r="1">
      <x v="19"/>
    </i>
    <i>
      <x v="16"/>
      <x v="181"/>
    </i>
    <i r="1">
      <x v="185"/>
    </i>
    <i r="1">
      <x v="186"/>
    </i>
    <i r="1">
      <x v="187"/>
    </i>
    <i r="1">
      <x v="188"/>
    </i>
    <i r="1">
      <x v="189"/>
    </i>
    <i r="1">
      <x v="231"/>
    </i>
    <i>
      <x v="17"/>
      <x v="21"/>
    </i>
    <i>
      <x v="18"/>
      <x v="23"/>
    </i>
    <i>
      <x v="19"/>
      <x v="24"/>
    </i>
    <i r="1">
      <x v="223"/>
    </i>
    <i>
      <x v="20"/>
      <x v="25"/>
    </i>
    <i r="1">
      <x v="26"/>
    </i>
    <i>
      <x v="21"/>
      <x v="27"/>
    </i>
    <i r="1">
      <x v="208"/>
    </i>
    <i>
      <x v="22"/>
      <x v="28"/>
    </i>
    <i>
      <x v="23"/>
      <x v="29"/>
    </i>
    <i>
      <x v="24"/>
      <x v="30"/>
    </i>
    <i r="1">
      <x v="31"/>
    </i>
    <i r="1">
      <x v="209"/>
    </i>
    <i r="1">
      <x v="210"/>
    </i>
    <i>
      <x v="25"/>
      <x v="32"/>
    </i>
    <i>
      <x v="26"/>
      <x v="33"/>
    </i>
    <i r="1">
      <x v="34"/>
    </i>
    <i r="1">
      <x v="35"/>
    </i>
    <i>
      <x v="27"/>
      <x v="36"/>
    </i>
    <i>
      <x v="28"/>
      <x v="37"/>
    </i>
    <i r="1">
      <x v="38"/>
    </i>
    <i>
      <x v="29"/>
      <x v="40"/>
    </i>
    <i>
      <x v="30"/>
      <x v="41"/>
    </i>
    <i>
      <x v="31"/>
      <x v="42"/>
    </i>
    <i>
      <x v="32"/>
      <x v="194"/>
    </i>
    <i>
      <x v="33"/>
      <x v="43"/>
    </i>
    <i>
      <x v="34"/>
      <x v="45"/>
    </i>
    <i>
      <x v="35"/>
      <x v="44"/>
    </i>
    <i r="1">
      <x v="46"/>
    </i>
    <i r="1">
      <x v="47"/>
    </i>
    <i r="1">
      <x v="48"/>
    </i>
    <i r="1">
      <x v="50"/>
    </i>
    <i r="1">
      <x v="51"/>
    </i>
    <i r="1">
      <x v="57"/>
    </i>
    <i r="1">
      <x v="118"/>
    </i>
    <i r="1">
      <x v="120"/>
    </i>
    <i>
      <x v="36"/>
      <x v="49"/>
    </i>
    <i>
      <x v="37"/>
      <x v="52"/>
    </i>
    <i r="1">
      <x v="53"/>
    </i>
    <i r="1">
      <x v="54"/>
    </i>
    <i r="1">
      <x v="55"/>
    </i>
    <i>
      <x v="38"/>
      <x v="59"/>
    </i>
    <i r="1">
      <x v="60"/>
    </i>
    <i r="1">
      <x v="206"/>
    </i>
    <i>
      <x v="39"/>
      <x v="61"/>
    </i>
    <i r="1">
      <x v="63"/>
    </i>
    <i>
      <x v="40"/>
      <x v="66"/>
    </i>
    <i>
      <x v="41"/>
      <x v="75"/>
    </i>
    <i>
      <x v="42"/>
      <x v="70"/>
    </i>
    <i>
      <x v="43"/>
      <x v="72"/>
    </i>
    <i>
      <x v="44"/>
      <x v="74"/>
    </i>
    <i>
      <x v="45"/>
      <x v="207"/>
    </i>
    <i>
      <x v="46"/>
      <x v="77"/>
    </i>
    <i>
      <x v="47"/>
      <x v="79"/>
    </i>
    <i r="1">
      <x v="80"/>
    </i>
    <i r="1">
      <x v="82"/>
    </i>
    <i>
      <x v="48"/>
      <x v="84"/>
    </i>
    <i>
      <x v="49"/>
      <x v="87"/>
    </i>
    <i>
      <x v="50"/>
      <x v="39"/>
    </i>
    <i r="1">
      <x v="67"/>
    </i>
    <i r="1">
      <x v="85"/>
    </i>
    <i r="1">
      <x v="123"/>
    </i>
    <i r="1">
      <x v="135"/>
    </i>
    <i r="1">
      <x v="168"/>
    </i>
    <i r="1">
      <x v="172"/>
    </i>
    <i>
      <x v="51"/>
      <x v="88"/>
    </i>
    <i r="1">
      <x v="90"/>
    </i>
    <i>
      <x v="52"/>
      <x v="89"/>
    </i>
    <i>
      <x v="53"/>
      <x v="91"/>
    </i>
    <i>
      <x v="54"/>
      <x v="92"/>
    </i>
    <i>
      <x v="55"/>
      <x v="93"/>
    </i>
    <i>
      <x v="56"/>
      <x v="94"/>
    </i>
    <i>
      <x v="57"/>
      <x v="97"/>
    </i>
    <i r="1">
      <x v="141"/>
    </i>
    <i>
      <x v="58"/>
      <x v="99"/>
    </i>
    <i r="1">
      <x v="100"/>
    </i>
    <i r="1">
      <x v="101"/>
    </i>
    <i r="1">
      <x v="102"/>
    </i>
    <i>
      <x v="59"/>
      <x v="81"/>
    </i>
    <i r="1">
      <x v="98"/>
    </i>
    <i r="1">
      <x v="150"/>
    </i>
    <i>
      <x v="60"/>
      <x v="107"/>
    </i>
    <i r="1">
      <x v="117"/>
    </i>
    <i>
      <x v="61"/>
      <x v="104"/>
    </i>
    <i r="1">
      <x v="105"/>
    </i>
    <i r="1">
      <x v="106"/>
    </i>
    <i>
      <x v="62"/>
      <x v="108"/>
    </i>
    <i>
      <x v="63"/>
      <x v="213"/>
    </i>
    <i>
      <x v="64"/>
      <x v="109"/>
    </i>
    <i r="1">
      <x v="113"/>
    </i>
    <i>
      <x v="65"/>
      <x v="110"/>
    </i>
    <i r="1">
      <x v="111"/>
    </i>
    <i r="1">
      <x v="112"/>
    </i>
    <i r="1">
      <x v="212"/>
    </i>
    <i>
      <x v="66"/>
      <x v="114"/>
    </i>
    <i>
      <x v="67"/>
      <x v="116"/>
    </i>
    <i>
      <x v="68"/>
      <x v="192"/>
    </i>
    <i r="1">
      <x v="193"/>
    </i>
    <i>
      <x v="69"/>
      <x v="119"/>
    </i>
    <i>
      <x v="70"/>
      <x v="121"/>
    </i>
    <i>
      <x v="71"/>
      <x v="122"/>
    </i>
    <i>
      <x v="72"/>
      <x v="124"/>
    </i>
    <i>
      <x v="73"/>
      <x v="133"/>
    </i>
    <i>
      <x v="74"/>
      <x v="125"/>
    </i>
    <i>
      <x v="75"/>
      <x v="126"/>
    </i>
    <i>
      <x v="76"/>
      <x v="127"/>
    </i>
    <i r="1">
      <x v="128"/>
    </i>
    <i r="1">
      <x v="129"/>
    </i>
    <i r="1">
      <x v="130"/>
    </i>
    <i r="1">
      <x v="131"/>
    </i>
    <i r="1">
      <x v="132"/>
    </i>
    <i>
      <x v="77"/>
      <x v="134"/>
    </i>
    <i>
      <x v="78"/>
      <x v="136"/>
    </i>
    <i>
      <x v="79"/>
      <x v="137"/>
    </i>
    <i>
      <x v="80"/>
      <x v="138"/>
    </i>
    <i>
      <x v="81"/>
      <x v="139"/>
    </i>
    <i r="1">
      <x v="140"/>
    </i>
    <i r="1">
      <x v="199"/>
    </i>
    <i r="1">
      <x v="216"/>
    </i>
    <i r="1">
      <x v="217"/>
    </i>
    <i r="1">
      <x v="218"/>
    </i>
    <i r="1">
      <x v="219"/>
    </i>
    <i r="1">
      <x v="221"/>
    </i>
    <i r="1">
      <x v="224"/>
    </i>
    <i r="1">
      <x v="225"/>
    </i>
    <i r="1">
      <x v="226"/>
    </i>
    <i r="1">
      <x v="228"/>
    </i>
    <i r="1">
      <x v="229"/>
    </i>
    <i>
      <x v="82"/>
      <x v="142"/>
    </i>
    <i r="1">
      <x v="143"/>
    </i>
    <i>
      <x v="83"/>
      <x v="144"/>
    </i>
    <i>
      <x v="84"/>
      <x v="145"/>
    </i>
    <i r="1">
      <x v="147"/>
    </i>
    <i r="1">
      <x v="148"/>
    </i>
    <i r="1">
      <x v="149"/>
    </i>
    <i>
      <x v="85"/>
      <x v="146"/>
    </i>
    <i>
      <x v="86"/>
      <x v="151"/>
    </i>
    <i r="1">
      <x v="153"/>
    </i>
    <i r="1">
      <x v="154"/>
    </i>
    <i>
      <x v="87"/>
      <x v="152"/>
    </i>
    <i>
      <x v="88"/>
      <x v="155"/>
    </i>
    <i>
      <x v="89"/>
      <x v="169"/>
    </i>
    <i>
      <x v="90"/>
      <x v="156"/>
    </i>
    <i>
      <x v="91"/>
      <x v="157"/>
    </i>
    <i>
      <x v="92"/>
      <x v="158"/>
    </i>
    <i>
      <x v="93"/>
      <x v="159"/>
    </i>
    <i>
      <x v="94"/>
      <x v="160"/>
    </i>
    <i r="1">
      <x v="161"/>
    </i>
    <i>
      <x v="95"/>
      <x v="162"/>
    </i>
    <i r="1">
      <x v="164"/>
    </i>
    <i>
      <x v="96"/>
      <x v="163"/>
    </i>
    <i>
      <x v="97"/>
      <x v="165"/>
    </i>
    <i>
      <x v="98"/>
      <x v="166"/>
    </i>
    <i r="1">
      <x v="167"/>
    </i>
    <i>
      <x v="99"/>
      <x v="170"/>
    </i>
    <i r="1">
      <x v="171"/>
    </i>
    <i>
      <x v="100"/>
      <x v="173"/>
    </i>
    <i>
      <x v="101"/>
      <x v="174"/>
    </i>
    <i>
      <x v="102"/>
      <x v="175"/>
    </i>
    <i>
      <x v="103"/>
      <x v="176"/>
    </i>
    <i>
      <x v="104"/>
      <x v="177"/>
    </i>
    <i>
      <x v="105"/>
      <x v="178"/>
    </i>
    <i>
      <x v="106"/>
      <x v="180"/>
    </i>
    <i>
      <x v="107"/>
      <x v="179"/>
    </i>
    <i>
      <x v="108"/>
      <x v="190"/>
    </i>
    <i>
      <x v="109"/>
      <x v="182"/>
    </i>
    <i r="1">
      <x v="183"/>
    </i>
    <i r="1">
      <x v="184"/>
    </i>
    <i>
      <x v="110"/>
      <x v="191"/>
    </i>
    <i>
      <x v="111"/>
      <x v="196"/>
    </i>
    <i>
      <x v="112"/>
      <x v="56"/>
    </i>
    <i r="1">
      <x v="68"/>
    </i>
    <i r="1">
      <x v="69"/>
    </i>
    <i>
      <x v="113"/>
      <x v="195"/>
    </i>
    <i>
      <x v="114"/>
      <x v="20"/>
    </i>
    <i r="1">
      <x v="280"/>
    </i>
    <i r="1">
      <x v="281"/>
    </i>
    <i>
      <x v="115"/>
      <x v="200"/>
    </i>
    <i r="1">
      <x v="203"/>
    </i>
    <i r="1">
      <x v="204"/>
    </i>
    <i r="1">
      <x v="205"/>
    </i>
    <i>
      <x v="116"/>
      <x v="198"/>
    </i>
    <i>
      <x v="117"/>
      <x v="201"/>
    </i>
    <i>
      <x v="118"/>
      <x v="202"/>
    </i>
    <i>
      <x v="119"/>
      <x v="58"/>
    </i>
    <i r="1">
      <x v="62"/>
    </i>
    <i r="1">
      <x v="63"/>
    </i>
    <i r="1">
      <x v="64"/>
    </i>
    <i r="1">
      <x v="65"/>
    </i>
    <i r="1">
      <x v="67"/>
    </i>
    <i r="1">
      <x v="69"/>
    </i>
    <i r="1">
      <x v="71"/>
    </i>
    <i r="1">
      <x v="73"/>
    </i>
    <i r="1">
      <x v="78"/>
    </i>
    <i r="1">
      <x v="83"/>
    </i>
    <i r="1">
      <x v="85"/>
    </i>
    <i r="1">
      <x v="86"/>
    </i>
    <i r="1">
      <x v="181"/>
    </i>
    <i r="1">
      <x v="197"/>
    </i>
    <i r="1">
      <x v="276"/>
    </i>
    <i r="1">
      <x v="277"/>
    </i>
    <i r="1">
      <x v="278"/>
    </i>
    <i r="1">
      <x v="279"/>
    </i>
    <i r="1">
      <x v="280"/>
    </i>
    <i r="1">
      <x v="281"/>
    </i>
    <i>
      <x v="120"/>
      <x v="59"/>
    </i>
    <i r="1">
      <x v="60"/>
    </i>
    <i>
      <x v="121"/>
      <x v="115"/>
    </i>
    <i>
      <x v="122"/>
      <x v="211"/>
    </i>
    <i>
      <x v="123"/>
      <x v="214"/>
    </i>
    <i>
      <x v="124"/>
      <x v="220"/>
    </i>
    <i>
      <x v="125"/>
      <x v="103"/>
    </i>
    <i>
      <x v="126"/>
      <x v="227"/>
    </i>
    <i>
      <x v="127"/>
      <x v="230"/>
    </i>
    <i>
      <x v="128"/>
      <x v="96"/>
    </i>
    <i r="1">
      <x v="214"/>
    </i>
    <i r="1">
      <x v="215"/>
    </i>
    <i>
      <x v="129"/>
      <x v="232"/>
    </i>
    <i>
      <x v="130"/>
      <x v="233"/>
    </i>
    <i>
      <x v="131"/>
      <x v="96"/>
    </i>
    <i r="1">
      <x v="234"/>
    </i>
    <i r="1">
      <x v="235"/>
    </i>
    <i>
      <x v="132"/>
      <x v="235"/>
    </i>
    <i>
      <x v="133"/>
      <x v="236"/>
    </i>
    <i>
      <x v="134"/>
      <x v="237"/>
    </i>
    <i>
      <x v="135"/>
      <x v="259"/>
    </i>
    <i>
      <x v="136"/>
      <x v="244"/>
    </i>
    <i r="1">
      <x v="247"/>
    </i>
    <i r="1">
      <x v="249"/>
    </i>
    <i r="1">
      <x v="252"/>
    </i>
    <i r="1">
      <x v="253"/>
    </i>
    <i r="1">
      <x v="254"/>
    </i>
    <i>
      <x v="137"/>
      <x v="238"/>
    </i>
    <i r="1">
      <x v="241"/>
    </i>
    <i r="1">
      <x v="243"/>
    </i>
    <i>
      <x v="138"/>
      <x v="239"/>
    </i>
    <i r="1">
      <x v="240"/>
    </i>
    <i>
      <x v="139"/>
      <x v="242"/>
    </i>
    <i>
      <x v="140"/>
      <x v="245"/>
    </i>
    <i r="1">
      <x v="246"/>
    </i>
    <i r="1">
      <x v="247"/>
    </i>
    <i r="1">
      <x v="248"/>
    </i>
    <i r="1">
      <x v="249"/>
    </i>
    <i r="1">
      <x v="250"/>
    </i>
    <i r="1">
      <x v="251"/>
    </i>
    <i r="1">
      <x v="252"/>
    </i>
    <i r="1">
      <x v="253"/>
    </i>
    <i r="1">
      <x v="254"/>
    </i>
    <i r="1">
      <x v="255"/>
    </i>
    <i r="1">
      <x v="256"/>
    </i>
    <i r="1">
      <x v="257"/>
    </i>
    <i r="1">
      <x v="282"/>
    </i>
    <i r="1">
      <x v="283"/>
    </i>
    <i>
      <x v="141"/>
      <x v="253"/>
    </i>
    <i r="1">
      <x v="254"/>
    </i>
    <i>
      <x v="142"/>
      <x v="258"/>
    </i>
    <i>
      <x v="143"/>
      <x v="260"/>
    </i>
    <i>
      <x v="144"/>
      <x v="261"/>
    </i>
    <i>
      <x v="145"/>
      <x v="262"/>
    </i>
    <i r="1">
      <x v="263"/>
    </i>
    <i r="1">
      <x v="264"/>
    </i>
    <i r="1">
      <x v="266"/>
    </i>
    <i>
      <x v="146"/>
      <x v="265"/>
    </i>
    <i>
      <x v="147"/>
      <x v="267"/>
    </i>
    <i r="1">
      <x v="268"/>
    </i>
    <i>
      <x v="148"/>
      <x v="269"/>
    </i>
    <i>
      <x v="149"/>
      <x v="270"/>
    </i>
    <i>
      <x v="150"/>
      <x v="271"/>
    </i>
    <i r="1">
      <x v="272"/>
    </i>
    <i>
      <x v="151"/>
      <x v="273"/>
    </i>
    <i r="1">
      <x v="274"/>
    </i>
    <i>
      <x v="152"/>
      <x v="9"/>
    </i>
    <i>
      <x v="153"/>
      <x v="275"/>
    </i>
    <i>
      <x v="154"/>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C598AF-EE9D-4330-96AA-087038FC1EE5}" name="Tableau croisé dynamique1" cacheId="1"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A3:B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pivotField>
    <pivotField compact="0" outline="0" showAll="0" defaultSubtotal="0"/>
    <pivotField compact="0" outline="0" showAll="0" defaultSubtotal="0"/>
    <pivotField compact="0" outline="0" showAll="0" defaultSubtotal="0">
      <items count="47">
        <item x="26"/>
        <item x="25"/>
        <item x="5"/>
        <item x="3"/>
        <item x="45"/>
        <item x="2"/>
        <item x="4"/>
        <item x="42"/>
        <item x="15"/>
        <item x="13"/>
        <item x="43"/>
        <item x="7"/>
        <item x="44"/>
        <item x="34"/>
        <item x="40"/>
        <item x="22"/>
        <item x="14"/>
        <item x="23"/>
        <item x="12"/>
        <item x="11"/>
        <item x="28"/>
        <item x="31"/>
        <item x="24"/>
        <item x="30"/>
        <item x="39"/>
        <item x="33"/>
        <item x="10"/>
        <item x="8"/>
        <item x="9"/>
        <item x="35"/>
        <item x="32"/>
        <item x="0"/>
        <item x="6"/>
        <item x="36"/>
        <item x="37"/>
        <item x="41"/>
        <item x="1"/>
        <item x="29"/>
        <item x="16"/>
        <item x="19"/>
        <item x="18"/>
        <item x="21"/>
        <item x="38"/>
        <item x="27"/>
        <item x="46"/>
        <item x="20"/>
        <item x="17"/>
      </items>
    </pivotField>
  </pivotFields>
  <rowFields count="2">
    <field x="0"/>
    <field x="2"/>
  </rowFields>
  <rowItems count="304">
    <i>
      <x/>
      <x v="154"/>
    </i>
    <i>
      <x v="1"/>
      <x v="1"/>
    </i>
    <i>
      <x v="2"/>
      <x v="2"/>
    </i>
    <i>
      <x v="3"/>
      <x v="3"/>
    </i>
    <i>
      <x v="4"/>
      <x v="4"/>
    </i>
    <i>
      <x v="5"/>
      <x v="3"/>
    </i>
    <i>
      <x v="6"/>
      <x v="5"/>
    </i>
    <i>
      <x v="7"/>
      <x v="5"/>
    </i>
    <i>
      <x v="8"/>
      <x v="6"/>
    </i>
    <i>
      <x v="9"/>
      <x v="152"/>
    </i>
    <i>
      <x v="10"/>
      <x v="7"/>
    </i>
    <i>
      <x v="11"/>
      <x v="8"/>
    </i>
    <i>
      <x v="12"/>
      <x v="9"/>
    </i>
    <i>
      <x v="13"/>
      <x v="10"/>
    </i>
    <i>
      <x v="14"/>
      <x v="11"/>
    </i>
    <i>
      <x v="15"/>
      <x v="12"/>
    </i>
    <i>
      <x v="16"/>
      <x v="13"/>
    </i>
    <i>
      <x v="17"/>
      <x v="14"/>
    </i>
    <i>
      <x v="18"/>
      <x v="15"/>
    </i>
    <i>
      <x v="19"/>
      <x v="15"/>
    </i>
    <i>
      <x v="20"/>
      <x v="114"/>
    </i>
    <i>
      <x v="21"/>
      <x v="17"/>
    </i>
    <i>
      <x v="22"/>
      <x v="13"/>
    </i>
    <i>
      <x v="23"/>
      <x v="18"/>
    </i>
    <i>
      <x v="24"/>
      <x v="19"/>
    </i>
    <i>
      <x v="25"/>
      <x v="20"/>
    </i>
    <i>
      <x v="26"/>
      <x v="20"/>
    </i>
    <i>
      <x v="27"/>
      <x v="21"/>
    </i>
    <i>
      <x v="28"/>
      <x v="22"/>
    </i>
    <i>
      <x v="29"/>
      <x v="23"/>
    </i>
    <i>
      <x v="30"/>
      <x v="24"/>
    </i>
    <i>
      <x v="31"/>
      <x v="24"/>
    </i>
    <i>
      <x v="32"/>
      <x v="25"/>
    </i>
    <i>
      <x v="33"/>
      <x v="26"/>
    </i>
    <i>
      <x v="34"/>
      <x v="26"/>
    </i>
    <i>
      <x v="35"/>
      <x v="26"/>
    </i>
    <i>
      <x v="36"/>
      <x v="27"/>
    </i>
    <i>
      <x v="37"/>
      <x v="28"/>
    </i>
    <i>
      <x v="38"/>
      <x v="28"/>
    </i>
    <i>
      <x v="39"/>
      <x v="50"/>
    </i>
    <i>
      <x v="40"/>
      <x v="29"/>
    </i>
    <i>
      <x v="41"/>
      <x v="30"/>
    </i>
    <i>
      <x v="42"/>
      <x v="31"/>
    </i>
    <i>
      <x v="43"/>
      <x v="33"/>
    </i>
    <i>
      <x v="44"/>
      <x v="35"/>
    </i>
    <i>
      <x v="45"/>
      <x v="34"/>
    </i>
    <i>
      <x v="46"/>
      <x v="35"/>
    </i>
    <i>
      <x v="47"/>
      <x v="35"/>
    </i>
    <i>
      <x v="48"/>
      <x v="35"/>
    </i>
    <i>
      <x v="49"/>
      <x v="36"/>
    </i>
    <i>
      <x v="50"/>
      <x v="35"/>
    </i>
    <i>
      <x v="51"/>
      <x v="35"/>
    </i>
    <i>
      <x v="52"/>
      <x v="37"/>
    </i>
    <i>
      <x v="53"/>
      <x v="37"/>
    </i>
    <i>
      <x v="54"/>
      <x v="37"/>
    </i>
    <i>
      <x v="55"/>
      <x v="37"/>
    </i>
    <i>
      <x v="56"/>
      <x v="112"/>
    </i>
    <i>
      <x v="57"/>
      <x v="35"/>
    </i>
    <i>
      <x v="58"/>
      <x v="119"/>
    </i>
    <i>
      <x v="59"/>
      <x v="38"/>
    </i>
    <i r="1">
      <x v="120"/>
    </i>
    <i>
      <x v="60"/>
      <x v="38"/>
    </i>
    <i r="1">
      <x v="120"/>
    </i>
    <i>
      <x v="61"/>
      <x v="39"/>
    </i>
    <i>
      <x v="62"/>
      <x v="119"/>
    </i>
    <i>
      <x v="63"/>
      <x v="39"/>
    </i>
    <i r="1">
      <x v="119"/>
    </i>
    <i>
      <x v="64"/>
      <x v="119"/>
    </i>
    <i>
      <x v="65"/>
      <x v="119"/>
    </i>
    <i>
      <x v="66"/>
      <x v="40"/>
    </i>
    <i>
      <x v="67"/>
      <x v="50"/>
    </i>
    <i r="1">
      <x v="119"/>
    </i>
    <i>
      <x v="68"/>
      <x/>
    </i>
    <i r="1">
      <x v="112"/>
    </i>
    <i>
      <x v="69"/>
      <x v="112"/>
    </i>
    <i r="1">
      <x v="119"/>
    </i>
    <i>
      <x v="70"/>
      <x v="42"/>
    </i>
    <i>
      <x v="71"/>
      <x v="119"/>
    </i>
    <i>
      <x v="72"/>
      <x v="43"/>
    </i>
    <i>
      <x v="73"/>
      <x v="119"/>
    </i>
    <i>
      <x v="74"/>
      <x v="44"/>
    </i>
    <i>
      <x v="75"/>
      <x v="41"/>
    </i>
    <i>
      <x v="76"/>
      <x/>
    </i>
    <i>
      <x v="77"/>
      <x v="46"/>
    </i>
    <i>
      <x v="78"/>
      <x v="119"/>
    </i>
    <i>
      <x v="79"/>
      <x v="47"/>
    </i>
    <i>
      <x v="80"/>
      <x v="47"/>
    </i>
    <i>
      <x v="81"/>
      <x v="59"/>
    </i>
    <i>
      <x v="82"/>
      <x v="47"/>
    </i>
    <i>
      <x v="83"/>
      <x v="119"/>
    </i>
    <i>
      <x v="84"/>
      <x v="48"/>
    </i>
    <i>
      <x v="85"/>
      <x v="50"/>
    </i>
    <i r="1">
      <x v="119"/>
    </i>
    <i>
      <x v="86"/>
      <x v="119"/>
    </i>
    <i>
      <x v="87"/>
      <x v="49"/>
    </i>
    <i>
      <x v="88"/>
      <x v="51"/>
    </i>
    <i>
      <x v="89"/>
      <x v="52"/>
    </i>
    <i>
      <x v="90"/>
      <x v="51"/>
    </i>
    <i>
      <x v="91"/>
      <x v="53"/>
    </i>
    <i>
      <x v="92"/>
      <x v="54"/>
    </i>
    <i>
      <x v="93"/>
      <x v="55"/>
    </i>
    <i>
      <x v="94"/>
      <x v="56"/>
    </i>
    <i>
      <x v="95"/>
      <x v="9"/>
    </i>
    <i>
      <x v="96"/>
      <x v="128"/>
    </i>
    <i r="1">
      <x v="131"/>
    </i>
    <i>
      <x v="97"/>
      <x v="57"/>
    </i>
    <i>
      <x v="98"/>
      <x v="59"/>
    </i>
    <i>
      <x v="99"/>
      <x v="58"/>
    </i>
    <i>
      <x v="100"/>
      <x v="58"/>
    </i>
    <i>
      <x v="101"/>
      <x v="58"/>
    </i>
    <i>
      <x v="102"/>
      <x v="58"/>
    </i>
    <i>
      <x v="103"/>
      <x v="125"/>
    </i>
    <i>
      <x v="104"/>
      <x v="61"/>
    </i>
    <i>
      <x v="105"/>
      <x v="61"/>
    </i>
    <i>
      <x v="106"/>
      <x v="61"/>
    </i>
    <i>
      <x v="107"/>
      <x v="60"/>
    </i>
    <i>
      <x v="108"/>
      <x v="62"/>
    </i>
    <i>
      <x v="109"/>
      <x v="64"/>
    </i>
    <i>
      <x v="110"/>
      <x v="65"/>
    </i>
    <i>
      <x v="111"/>
      <x v="65"/>
    </i>
    <i>
      <x v="112"/>
      <x v="65"/>
    </i>
    <i>
      <x v="113"/>
      <x v="64"/>
    </i>
    <i>
      <x v="114"/>
      <x v="66"/>
    </i>
    <i>
      <x v="115"/>
      <x v="121"/>
    </i>
    <i>
      <x v="116"/>
      <x v="67"/>
    </i>
    <i>
      <x v="117"/>
      <x v="60"/>
    </i>
    <i>
      <x v="118"/>
      <x v="35"/>
    </i>
    <i>
      <x v="119"/>
      <x v="69"/>
    </i>
    <i>
      <x v="120"/>
      <x v="35"/>
    </i>
    <i>
      <x v="121"/>
      <x v="70"/>
    </i>
    <i>
      <x v="122"/>
      <x v="71"/>
    </i>
    <i>
      <x v="123"/>
      <x v="50"/>
    </i>
    <i>
      <x v="124"/>
      <x v="72"/>
    </i>
    <i>
      <x v="125"/>
      <x v="74"/>
    </i>
    <i>
      <x v="126"/>
      <x v="75"/>
    </i>
    <i>
      <x v="127"/>
      <x v="76"/>
    </i>
    <i>
      <x v="128"/>
      <x v="76"/>
    </i>
    <i>
      <x v="129"/>
      <x v="76"/>
    </i>
    <i>
      <x v="130"/>
      <x v="76"/>
    </i>
    <i>
      <x v="131"/>
      <x v="76"/>
    </i>
    <i>
      <x v="132"/>
      <x v="76"/>
    </i>
    <i>
      <x v="133"/>
      <x v="73"/>
    </i>
    <i>
      <x v="134"/>
      <x v="77"/>
    </i>
    <i>
      <x v="135"/>
      <x v="50"/>
    </i>
    <i>
      <x v="136"/>
      <x v="78"/>
    </i>
    <i>
      <x v="137"/>
      <x v="79"/>
    </i>
    <i>
      <x v="138"/>
      <x v="80"/>
    </i>
    <i>
      <x v="139"/>
      <x v="81"/>
    </i>
    <i>
      <x v="140"/>
      <x v="81"/>
    </i>
    <i>
      <x v="141"/>
      <x v="57"/>
    </i>
    <i>
      <x v="142"/>
      <x v="82"/>
    </i>
    <i>
      <x v="143"/>
      <x v="82"/>
    </i>
    <i>
      <x v="144"/>
      <x v="83"/>
    </i>
    <i>
      <x v="145"/>
      <x v="84"/>
    </i>
    <i>
      <x v="146"/>
      <x v="85"/>
    </i>
    <i>
      <x v="147"/>
      <x v="84"/>
    </i>
    <i>
      <x v="148"/>
      <x v="84"/>
    </i>
    <i>
      <x v="149"/>
      <x v="84"/>
    </i>
    <i>
      <x v="150"/>
      <x v="59"/>
    </i>
    <i>
      <x v="151"/>
      <x v="86"/>
    </i>
    <i>
      <x v="152"/>
      <x v="87"/>
    </i>
    <i>
      <x v="153"/>
      <x v="86"/>
    </i>
    <i>
      <x v="154"/>
      <x v="86"/>
    </i>
    <i>
      <x v="155"/>
      <x v="88"/>
    </i>
    <i>
      <x v="156"/>
      <x v="90"/>
    </i>
    <i>
      <x v="157"/>
      <x v="91"/>
    </i>
    <i>
      <x v="158"/>
      <x v="92"/>
    </i>
    <i>
      <x v="159"/>
      <x v="93"/>
    </i>
    <i>
      <x v="160"/>
      <x v="94"/>
    </i>
    <i>
      <x v="161"/>
      <x v="94"/>
    </i>
    <i>
      <x v="162"/>
      <x v="95"/>
    </i>
    <i>
      <x v="163"/>
      <x v="96"/>
    </i>
    <i>
      <x v="164"/>
      <x v="95"/>
    </i>
    <i>
      <x v="165"/>
      <x v="97"/>
    </i>
    <i>
      <x v="166"/>
      <x v="98"/>
    </i>
    <i>
      <x v="167"/>
      <x v="98"/>
    </i>
    <i>
      <x v="168"/>
      <x v="50"/>
    </i>
    <i>
      <x v="169"/>
      <x v="89"/>
    </i>
    <i>
      <x v="170"/>
      <x v="99"/>
    </i>
    <i>
      <x v="171"/>
      <x v="99"/>
    </i>
    <i>
      <x v="172"/>
      <x v="50"/>
    </i>
    <i>
      <x v="173"/>
      <x v="100"/>
    </i>
    <i>
      <x v="174"/>
      <x v="101"/>
    </i>
    <i>
      <x v="175"/>
      <x v="102"/>
    </i>
    <i>
      <x v="176"/>
      <x v="103"/>
    </i>
    <i>
      <x v="177"/>
      <x v="104"/>
    </i>
    <i>
      <x v="178"/>
      <x v="105"/>
    </i>
    <i>
      <x v="179"/>
      <x v="107"/>
    </i>
    <i>
      <x v="180"/>
      <x v="106"/>
    </i>
    <i>
      <x v="181"/>
      <x v="16"/>
    </i>
    <i r="1">
      <x v="119"/>
    </i>
    <i>
      <x v="182"/>
      <x v="109"/>
    </i>
    <i>
      <x v="183"/>
      <x v="109"/>
    </i>
    <i>
      <x v="184"/>
      <x v="109"/>
    </i>
    <i>
      <x v="185"/>
      <x v="16"/>
    </i>
    <i>
      <x v="186"/>
      <x v="16"/>
    </i>
    <i>
      <x v="187"/>
      <x v="16"/>
    </i>
    <i>
      <x v="188"/>
      <x v="16"/>
    </i>
    <i>
      <x v="189"/>
      <x v="16"/>
    </i>
    <i>
      <x v="190"/>
      <x v="108"/>
    </i>
    <i>
      <x v="191"/>
      <x v="110"/>
    </i>
    <i>
      <x v="192"/>
      <x v="68"/>
    </i>
    <i>
      <x v="193"/>
      <x v="68"/>
    </i>
    <i>
      <x v="194"/>
      <x v="32"/>
    </i>
    <i>
      <x v="195"/>
      <x v="113"/>
    </i>
    <i>
      <x v="196"/>
      <x v="111"/>
    </i>
    <i>
      <x v="197"/>
      <x v="119"/>
    </i>
    <i>
      <x v="198"/>
      <x v="116"/>
    </i>
    <i>
      <x v="199"/>
      <x v="81"/>
    </i>
    <i>
      <x v="200"/>
      <x v="115"/>
    </i>
    <i>
      <x v="201"/>
      <x v="117"/>
    </i>
    <i>
      <x v="202"/>
      <x v="118"/>
    </i>
    <i>
      <x v="203"/>
      <x v="115"/>
    </i>
    <i>
      <x v="204"/>
      <x v="115"/>
    </i>
    <i>
      <x v="205"/>
      <x v="115"/>
    </i>
    <i>
      <x v="206"/>
      <x v="38"/>
    </i>
    <i>
      <x v="207"/>
      <x v="45"/>
    </i>
    <i>
      <x v="208"/>
      <x v="21"/>
    </i>
    <i>
      <x v="209"/>
      <x v="24"/>
    </i>
    <i>
      <x v="210"/>
      <x v="24"/>
    </i>
    <i>
      <x v="211"/>
      <x v="122"/>
    </i>
    <i>
      <x v="212"/>
      <x v="65"/>
    </i>
    <i>
      <x v="213"/>
      <x v="63"/>
    </i>
    <i>
      <x v="214"/>
      <x v="123"/>
    </i>
    <i r="1">
      <x v="128"/>
    </i>
    <i>
      <x v="215"/>
      <x v="128"/>
    </i>
    <i>
      <x v="216"/>
      <x v="81"/>
    </i>
    <i>
      <x v="217"/>
      <x v="81"/>
    </i>
    <i>
      <x v="218"/>
      <x v="81"/>
    </i>
    <i>
      <x v="219"/>
      <x v="81"/>
    </i>
    <i>
      <x v="220"/>
      <x v="124"/>
    </i>
    <i>
      <x v="221"/>
      <x v="81"/>
    </i>
    <i>
      <x v="222"/>
      <x v="10"/>
    </i>
    <i>
      <x v="223"/>
      <x v="19"/>
    </i>
    <i>
      <x v="224"/>
      <x v="81"/>
    </i>
    <i>
      <x v="225"/>
      <x v="81"/>
    </i>
    <i>
      <x v="226"/>
      <x v="81"/>
    </i>
    <i>
      <x v="227"/>
      <x v="126"/>
    </i>
    <i>
      <x v="228"/>
      <x v="81"/>
    </i>
    <i>
      <x v="229"/>
      <x v="81"/>
    </i>
    <i>
      <x v="230"/>
      <x v="127"/>
    </i>
    <i>
      <x v="231"/>
      <x v="16"/>
    </i>
    <i>
      <x v="232"/>
      <x v="129"/>
    </i>
    <i>
      <x v="233"/>
      <x v="130"/>
    </i>
    <i>
      <x v="234"/>
      <x v="131"/>
    </i>
    <i>
      <x v="235"/>
      <x v="131"/>
    </i>
    <i r="1">
      <x v="132"/>
    </i>
    <i>
      <x v="236"/>
      <x v="133"/>
    </i>
    <i>
      <x v="237"/>
      <x v="134"/>
    </i>
    <i>
      <x v="238"/>
      <x v="137"/>
    </i>
    <i>
      <x v="239"/>
      <x v="138"/>
    </i>
    <i>
      <x v="240"/>
      <x v="138"/>
    </i>
    <i>
      <x v="241"/>
      <x v="137"/>
    </i>
    <i>
      <x v="242"/>
      <x v="139"/>
    </i>
    <i>
      <x v="243"/>
      <x v="137"/>
    </i>
    <i>
      <x v="244"/>
      <x v="136"/>
    </i>
    <i>
      <x v="245"/>
      <x v="140"/>
    </i>
    <i>
      <x v="246"/>
      <x v="140"/>
    </i>
    <i>
      <x v="247"/>
      <x v="136"/>
    </i>
    <i r="1">
      <x v="140"/>
    </i>
    <i>
      <x v="248"/>
      <x v="140"/>
    </i>
    <i>
      <x v="249"/>
      <x v="136"/>
    </i>
    <i r="1">
      <x v="140"/>
    </i>
    <i>
      <x v="250"/>
      <x v="140"/>
    </i>
    <i>
      <x v="251"/>
      <x v="140"/>
    </i>
    <i>
      <x v="252"/>
      <x v="136"/>
    </i>
    <i r="1">
      <x v="140"/>
    </i>
    <i>
      <x v="253"/>
      <x v="136"/>
    </i>
    <i r="1">
      <x v="140"/>
    </i>
    <i r="1">
      <x v="141"/>
    </i>
    <i>
      <x v="254"/>
      <x v="136"/>
    </i>
    <i r="1">
      <x v="140"/>
    </i>
    <i r="1">
      <x v="141"/>
    </i>
    <i>
      <x v="255"/>
      <x v="140"/>
    </i>
    <i>
      <x v="256"/>
      <x v="140"/>
    </i>
    <i>
      <x v="257"/>
      <x v="140"/>
    </i>
    <i>
      <x v="258"/>
      <x v="142"/>
    </i>
    <i>
      <x v="259"/>
      <x v="135"/>
    </i>
    <i>
      <x v="260"/>
      <x v="143"/>
    </i>
    <i>
      <x v="261"/>
      <x v="144"/>
    </i>
    <i>
      <x v="262"/>
      <x v="145"/>
    </i>
    <i>
      <x v="263"/>
      <x v="145"/>
    </i>
    <i>
      <x v="264"/>
      <x v="145"/>
    </i>
    <i>
      <x v="265"/>
      <x v="146"/>
    </i>
    <i>
      <x v="266"/>
      <x v="145"/>
    </i>
    <i>
      <x v="267"/>
      <x v="147"/>
    </i>
    <i>
      <x v="268"/>
      <x v="147"/>
    </i>
    <i>
      <x v="269"/>
      <x v="148"/>
    </i>
    <i>
      <x v="270"/>
      <x v="149"/>
    </i>
    <i>
      <x v="271"/>
      <x v="150"/>
    </i>
    <i>
      <x v="272"/>
      <x v="150"/>
    </i>
    <i>
      <x v="273"/>
      <x v="151"/>
    </i>
    <i>
      <x v="274"/>
      <x v="151"/>
    </i>
    <i>
      <x v="275"/>
      <x v="153"/>
    </i>
    <i>
      <x v="276"/>
      <x v="119"/>
    </i>
    <i>
      <x v="277"/>
      <x v="119"/>
    </i>
    <i>
      <x v="278"/>
      <x v="119"/>
    </i>
    <i>
      <x v="279"/>
      <x v="119"/>
    </i>
    <i>
      <x v="280"/>
      <x v="114"/>
    </i>
    <i r="1">
      <x v="119"/>
    </i>
    <i>
      <x v="281"/>
      <x v="114"/>
    </i>
    <i r="1">
      <x v="119"/>
    </i>
    <i>
      <x v="282"/>
      <x v="140"/>
    </i>
    <i>
      <x v="283"/>
      <x v="14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7AB02C-4A09-46E1-BEC4-5559F97E94B5}" name="Tableau1" displayName="Tableau1" ref="B1:C305" totalsRowShown="0">
  <autoFilter ref="B1:C305" xr:uid="{637AB02C-4A09-46E1-BEC4-5559F97E94B5}"/>
  <tableColumns count="2">
    <tableColumn id="1" xr3:uid="{A1027E88-CB50-41C6-BF88-685F382C7BE6}" name="Question fille"/>
    <tableColumn id="2" xr3:uid="{042E43C6-E440-4E7E-BCC8-4C56B07C8E72}" name="Question mèr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66A0C-D8F4-44D3-8E37-CE51F0394BAD}" name="Tableau2" displayName="Tableau2" ref="E1:F305" totalsRowShown="0">
  <autoFilter ref="E1:F305" xr:uid="{89C66A0C-D8F4-44D3-8E37-CE51F0394BAD}"/>
  <tableColumns count="2">
    <tableColumn id="1" xr3:uid="{3FD27B2A-D4F3-447C-A806-6421943B7B71}" name="Question mère"/>
    <tableColumn id="2" xr3:uid="{8C475816-DB9B-4EE0-809D-726142619B11}" name="Question fil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3F1CC0-1510-4E02-979A-25C0C37D7AF4}" name="Tableau3" displayName="Tableau3" ref="H1:I156" totalsRowShown="0" tableBorderDxfId="16">
  <autoFilter ref="H1:I156" xr:uid="{983F1CC0-1510-4E02-979A-25C0C37D7AF4}"/>
  <tableColumns count="2">
    <tableColumn id="1" xr3:uid="{D72EC5B6-A0EF-4557-8803-79C33394ADCD}" name="Question mère" dataDxfId="15"/>
    <tableColumn id="2" xr3:uid="{83405AC8-A861-4B43-910D-512D3F5845A4}" name="nb question filles">
      <calculatedColumnFormula>COUNTIF(Tableau2[Question mère],H2)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B814C6-832E-442F-9993-91B3C3BD0C10}" name="Tableau4" displayName="Tableau4" ref="K1:L285" totalsRowShown="0">
  <autoFilter ref="K1:L285" xr:uid="{47B814C6-832E-442F-9993-91B3C3BD0C10}"/>
  <tableColumns count="2">
    <tableColumn id="1" xr3:uid="{55720D0F-BA31-40B0-B8EE-84ADE432547A}" name="Question fille"/>
    <tableColumn id="2" xr3:uid="{02B77442-56C1-4325-8611-50AB219E232F}" name="nb de Q mère" dataDxfId="14">
      <calculatedColumnFormula>COUNTIF(Tableau1[Question fille],Tableau4[[#This Row],[Question fille]])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4961ED-2226-4C30-A461-C348A6644B24}" name="Tableau5" displayName="Tableau5" ref="N1:O285" totalsRowShown="0" headerRowDxfId="13" dataDxfId="11" headerRowBorderDxfId="12" tableBorderDxfId="10" totalsRowBorderDxfId="9">
  <autoFilter ref="N1:O285" xr:uid="{C24961ED-2226-4C30-A461-C348A6644B24}"/>
  <tableColumns count="2">
    <tableColumn id="1" xr3:uid="{DF9C8CE9-652C-4FF4-8AB1-C7609E05473F}" name="Question fille" dataDxfId="8"/>
    <tableColumn id="2" xr3:uid="{67797CBF-48F0-440F-8E3A-7F6FCF91942B}" name="EST Q mère" dataDxfId="7">
      <calculatedColumnFormula>COUNTIF(Tableau3[Question mère],Tableau5[[#This Row],[Question fille]])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58488A-D586-4182-827A-43DFD5AF43AF}" name="Tableau58" displayName="Tableau58" ref="Q1:R156" totalsRowShown="0" headerRowDxfId="6" dataDxfId="4" headerRowBorderDxfId="5" tableBorderDxfId="3" totalsRowBorderDxfId="2">
  <autoFilter ref="Q1:R156" xr:uid="{BA58488A-D586-4182-827A-43DFD5AF43AF}"/>
  <tableColumns count="2">
    <tableColumn id="1" xr3:uid="{1B3F1A33-F9BD-40CF-97B4-C9C9EBFA1F49}" name="Question mère" dataDxfId="1"/>
    <tableColumn id="2" xr3:uid="{1C7BD3C2-7566-4E18-8E55-32F4A83F94D3}" name="EST Q fille" dataDxfId="0">
      <calculatedColumnFormula>COUNTIF(Tableau4[Question fille],Tableau58[[#This Row],[Question mère]])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103231-6601-4029-88de-b1893d1e1e5b}">
  <we:reference id="WA200009404" version="1.0.0.8" store="en-US" storeType="OMEX"/>
  <we:alternateReferences/>
  <we:properties>
    <we:property name="Microsoft.Office.CampaignId" value="&quot;none&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x:/r/sites/Act-BasedeCo/_layouts/15/Doc.aspx%3fsourcedoc=%7b5C217254-C4FD-4BD3-AE0D-DC062B57B462%7d&amp;file=Cartographie_Offres_Evactiv.xlsx&amp;action=default&amp;mobileredirect=tru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45F79-D6B0-49FB-AFE0-E144D796F2A0}">
  <sheetPr codeName="Feuil10">
    <tabColor rgb="FFFFC000"/>
  </sheetPr>
  <dimension ref="A1:AB1017"/>
  <sheetViews>
    <sheetView showGridLines="0" zoomScale="70" zoomScaleNormal="70" zoomScaleSheetLayoutView="70" zoomScalePageLayoutView="44" workbookViewId="0">
      <selection activeCell="Q14" sqref="Q14"/>
    </sheetView>
  </sheetViews>
  <sheetFormatPr baseColWidth="10" defaultColWidth="12.140625" defaultRowHeight="15" outlineLevelRow="2" x14ac:dyDescent="0.25"/>
  <cols>
    <col min="1" max="1" width="12.140625" style="219"/>
    <col min="2" max="2" width="12.140625" style="9"/>
    <col min="3" max="3" width="12.140625" style="132"/>
    <col min="4" max="4" width="20.140625" style="132" customWidth="1"/>
    <col min="5" max="5" width="0" style="220" hidden="1" customWidth="1"/>
    <col min="6" max="6" width="55.85546875" style="220" customWidth="1"/>
    <col min="7" max="7" width="21.5703125" style="220" customWidth="1"/>
    <col min="8" max="9" width="24.140625" style="220" customWidth="1"/>
    <col min="10" max="10" width="22.140625" style="132" customWidth="1"/>
    <col min="11" max="11" width="17" style="224" customWidth="1"/>
    <col min="12" max="12" width="0" style="220" hidden="1" customWidth="1"/>
    <col min="13" max="13" width="20.5703125" style="224" customWidth="1"/>
    <col min="14" max="14" width="16.28515625" style="224" customWidth="1"/>
    <col min="15" max="15" width="15.85546875" style="224" customWidth="1"/>
    <col min="16" max="16" width="0" style="220" hidden="1" customWidth="1"/>
    <col min="17" max="17" width="15.5703125" style="224" customWidth="1"/>
    <col min="18" max="18" width="19.28515625" style="224" customWidth="1"/>
    <col min="19" max="19" width="20.5703125" style="132" customWidth="1"/>
    <col min="20" max="16384" width="12.140625" style="9"/>
  </cols>
  <sheetData>
    <row r="1" spans="1:28" s="12" customFormat="1" ht="63.75" customHeight="1" x14ac:dyDescent="0.25">
      <c r="A1" s="1" t="s">
        <v>0</v>
      </c>
      <c r="B1" s="2" t="s">
        <v>1</v>
      </c>
      <c r="C1" s="3" t="s">
        <v>2</v>
      </c>
      <c r="D1" s="3" t="s">
        <v>3</v>
      </c>
      <c r="E1" s="4"/>
      <c r="F1" s="5" t="s">
        <v>4</v>
      </c>
      <c r="G1" s="6" t="s">
        <v>5</v>
      </c>
      <c r="H1" s="5" t="s">
        <v>6</v>
      </c>
      <c r="I1" s="7" t="s">
        <v>7</v>
      </c>
      <c r="J1" s="3" t="s">
        <v>8</v>
      </c>
      <c r="K1" s="3" t="s">
        <v>9</v>
      </c>
      <c r="L1" s="4"/>
      <c r="M1" s="3" t="s">
        <v>10</v>
      </c>
      <c r="N1" s="8" t="s">
        <v>11</v>
      </c>
      <c r="O1" s="8" t="s">
        <v>12</v>
      </c>
      <c r="P1" s="4"/>
      <c r="Q1" s="3" t="s">
        <v>13</v>
      </c>
      <c r="R1" s="3" t="s">
        <v>14</v>
      </c>
      <c r="S1" s="3" t="s">
        <v>15</v>
      </c>
      <c r="T1" s="9"/>
      <c r="U1" s="9"/>
      <c r="V1" s="9"/>
      <c r="W1" s="9" t="s">
        <v>16</v>
      </c>
      <c r="X1" s="10">
        <f>LEN(W1)</f>
        <v>185</v>
      </c>
      <c r="Y1" s="10"/>
      <c r="Z1" s="10"/>
      <c r="AA1" s="10"/>
      <c r="AB1" s="11" t="s">
        <v>17</v>
      </c>
    </row>
    <row r="2" spans="1:28" ht="39" customHeight="1" outlineLevel="2" x14ac:dyDescent="0.25">
      <c r="A2" s="13" t="s">
        <v>18</v>
      </c>
      <c r="B2" s="14">
        <v>1</v>
      </c>
      <c r="C2" s="15" t="s">
        <v>19</v>
      </c>
      <c r="D2" s="15" t="s">
        <v>20</v>
      </c>
      <c r="E2" s="16"/>
      <c r="F2" s="17" t="s">
        <v>21</v>
      </c>
      <c r="G2" s="18"/>
      <c r="H2" s="18"/>
      <c r="I2" s="19" t="s">
        <v>20</v>
      </c>
      <c r="J2" s="15" t="s">
        <v>22</v>
      </c>
      <c r="K2" s="20" t="s">
        <v>23</v>
      </c>
      <c r="L2" s="16"/>
      <c r="M2" s="20" t="str">
        <f t="shared" ref="M2:M64" si="0">IF(OR(A2="",LEFT(A2,3)="ElT"),"",IF(AND(OR(C2="Titre",LEFT(I2,11)="Non concern",NOT(ISERROR(SEARCH("annex",G2,1)))),C2&lt;&gt;"Sp"),IF(D2="","Non concerné",IF(LEFT(D2,11)="non concern","Non concerné","Non conforme au standard")),IF(AND(C2="Sp",I2&lt;&gt;""),"Spécifique Offre",IF(AND(OR(C2="",D2=""),C2&lt;&gt;"Sp"),MessageStandardIncomplet,IF(I2="",ReponseNonSaisie,IF(S2="=",IF(I2=D2,"Conforme au standard",IF(I2=StandardNonApplicable,"Non concerné","Non conforme au standard")),IF(NOT(ISERROR(SEARCH(D2,I2,1))),"Conforme au standard",IF(I2=StandardNonApplicable,"Non concerné","Non conforme au standard"))))))))</f>
        <v>Conforme au standard</v>
      </c>
      <c r="N2" s="21" t="s">
        <v>9</v>
      </c>
      <c r="O2" s="22" t="s">
        <v>9</v>
      </c>
      <c r="P2" s="16"/>
      <c r="Q2" s="20"/>
      <c r="R2" s="20"/>
      <c r="S2" s="23" t="s">
        <v>24</v>
      </c>
      <c r="X2" s="10"/>
      <c r="Y2" s="10"/>
    </row>
    <row r="3" spans="1:28" ht="39" customHeight="1" outlineLevel="2" x14ac:dyDescent="0.25">
      <c r="A3" s="13" t="s">
        <v>25</v>
      </c>
      <c r="B3" s="14">
        <v>2</v>
      </c>
      <c r="C3" s="15" t="s">
        <v>26</v>
      </c>
      <c r="D3" s="15" t="s">
        <v>27</v>
      </c>
      <c r="E3" s="16"/>
      <c r="F3" s="17" t="s">
        <v>28</v>
      </c>
      <c r="G3" s="18"/>
      <c r="H3" s="18"/>
      <c r="I3" s="19" t="s">
        <v>27</v>
      </c>
      <c r="J3" s="15" t="s">
        <v>22</v>
      </c>
      <c r="K3" s="20" t="s">
        <v>23</v>
      </c>
      <c r="L3" s="16"/>
      <c r="M3" s="20" t="str">
        <f t="shared" si="0"/>
        <v>Conforme au standard</v>
      </c>
      <c r="N3" s="21" t="s">
        <v>9</v>
      </c>
      <c r="O3" s="22" t="s">
        <v>9</v>
      </c>
      <c r="P3" s="16"/>
      <c r="Q3" s="20"/>
      <c r="R3" s="20"/>
      <c r="S3" s="23" t="s">
        <v>24</v>
      </c>
      <c r="Z3" s="10"/>
      <c r="AA3" s="10"/>
      <c r="AB3" s="10"/>
    </row>
    <row r="4" spans="1:28" ht="39" customHeight="1" x14ac:dyDescent="0.25">
      <c r="A4" s="24" t="s">
        <v>29</v>
      </c>
      <c r="B4" s="14">
        <v>3</v>
      </c>
      <c r="C4" s="25" t="s">
        <v>30</v>
      </c>
      <c r="D4" s="25" t="s">
        <v>24</v>
      </c>
      <c r="E4" s="4"/>
      <c r="F4" s="18" t="s">
        <v>31</v>
      </c>
      <c r="G4" s="18"/>
      <c r="H4" s="18"/>
      <c r="I4" s="26" t="s">
        <v>24</v>
      </c>
      <c r="J4" s="27" t="s">
        <v>24</v>
      </c>
      <c r="K4" s="28"/>
      <c r="L4" s="4"/>
      <c r="M4" s="29" t="str">
        <f t="shared" si="0"/>
        <v/>
      </c>
      <c r="N4" s="29" t="s">
        <v>9</v>
      </c>
      <c r="O4" s="29" t="s">
        <v>9</v>
      </c>
      <c r="P4" s="4"/>
      <c r="Q4" s="28"/>
      <c r="R4" s="28"/>
      <c r="S4" s="27" t="s">
        <v>24</v>
      </c>
      <c r="X4" s="10"/>
      <c r="Y4" s="10"/>
    </row>
    <row r="5" spans="1:28" ht="39" customHeight="1" outlineLevel="1" x14ac:dyDescent="0.25">
      <c r="A5" s="30" t="s">
        <v>32</v>
      </c>
      <c r="B5" s="14">
        <v>4</v>
      </c>
      <c r="C5" s="31" t="s">
        <v>30</v>
      </c>
      <c r="D5" s="32" t="s">
        <v>24</v>
      </c>
      <c r="E5" s="33"/>
      <c r="F5" s="34" t="s">
        <v>33</v>
      </c>
      <c r="G5" s="35"/>
      <c r="H5" s="36"/>
      <c r="I5" s="37" t="s">
        <v>24</v>
      </c>
      <c r="J5" s="38" t="s">
        <v>24</v>
      </c>
      <c r="K5" s="39"/>
      <c r="L5" s="33"/>
      <c r="M5" s="40" t="str">
        <f t="shared" si="0"/>
        <v/>
      </c>
      <c r="N5" s="39" t="s">
        <v>9</v>
      </c>
      <c r="O5" s="39" t="s">
        <v>9</v>
      </c>
      <c r="P5" s="33"/>
      <c r="Q5" s="39"/>
      <c r="R5" s="39"/>
      <c r="S5" s="41" t="s">
        <v>24</v>
      </c>
      <c r="Z5" s="10"/>
      <c r="AA5" s="10"/>
      <c r="AB5" s="10"/>
    </row>
    <row r="6" spans="1:28" s="53" customFormat="1" ht="54.75" customHeight="1" outlineLevel="2" x14ac:dyDescent="0.25">
      <c r="A6" s="42" t="s">
        <v>34</v>
      </c>
      <c r="B6" s="14">
        <v>5</v>
      </c>
      <c r="C6" s="43" t="s">
        <v>35</v>
      </c>
      <c r="D6" s="43" t="b">
        <f>A1&gt;A6</f>
        <v>1</v>
      </c>
      <c r="E6" s="44"/>
      <c r="F6" s="45" t="s">
        <v>36</v>
      </c>
      <c r="G6" s="46" t="s">
        <v>37</v>
      </c>
      <c r="H6" s="46" t="s">
        <v>38</v>
      </c>
      <c r="I6" s="47" t="s">
        <v>24</v>
      </c>
      <c r="J6" s="48" t="s">
        <v>24</v>
      </c>
      <c r="K6" s="49"/>
      <c r="L6" s="44"/>
      <c r="M6" s="49" t="str">
        <f t="shared" si="0"/>
        <v>Renseigner la réponse DCO</v>
      </c>
      <c r="N6" s="50" t="s">
        <v>9</v>
      </c>
      <c r="O6" s="51" t="s">
        <v>9</v>
      </c>
      <c r="P6" s="44"/>
      <c r="Q6" s="49" t="s">
        <v>39</v>
      </c>
      <c r="R6" s="49"/>
      <c r="S6" s="52" t="s">
        <v>24</v>
      </c>
      <c r="Z6" s="9"/>
      <c r="AA6" s="9"/>
      <c r="AB6" s="9"/>
    </row>
    <row r="7" spans="1:28" s="53" customFormat="1" ht="54.75" customHeight="1" outlineLevel="2" x14ac:dyDescent="0.25">
      <c r="A7" s="54" t="s">
        <v>40</v>
      </c>
      <c r="B7" s="14">
        <v>6</v>
      </c>
      <c r="C7" s="43" t="s">
        <v>35</v>
      </c>
      <c r="D7" s="55" t="s">
        <v>24</v>
      </c>
      <c r="E7" s="44"/>
      <c r="F7" s="56" t="s">
        <v>41</v>
      </c>
      <c r="G7" s="57" t="s">
        <v>42</v>
      </c>
      <c r="H7" s="46" t="s">
        <v>43</v>
      </c>
      <c r="I7" s="47" t="s">
        <v>24</v>
      </c>
      <c r="J7" s="48" t="s">
        <v>24</v>
      </c>
      <c r="K7" s="49"/>
      <c r="L7" s="44"/>
      <c r="M7" s="49" t="str">
        <f t="shared" si="0"/>
        <v>Renseigner la réponse DCO</v>
      </c>
      <c r="N7" s="50" t="s">
        <v>9</v>
      </c>
      <c r="O7" s="51" t="s">
        <v>9</v>
      </c>
      <c r="P7" s="44"/>
      <c r="Q7" s="49"/>
      <c r="R7" s="49"/>
      <c r="S7" s="52" t="s">
        <v>44</v>
      </c>
    </row>
    <row r="8" spans="1:28" s="53" customFormat="1" ht="54.75" customHeight="1" outlineLevel="2" x14ac:dyDescent="0.25">
      <c r="A8" s="54" t="s">
        <v>45</v>
      </c>
      <c r="B8" s="14">
        <v>7</v>
      </c>
      <c r="C8" s="43" t="s">
        <v>19</v>
      </c>
      <c r="D8" s="43" t="s">
        <v>46</v>
      </c>
      <c r="E8" s="44"/>
      <c r="F8" s="58" t="s">
        <v>47</v>
      </c>
      <c r="G8" s="59" t="s">
        <v>48</v>
      </c>
      <c r="H8" s="58" t="s">
        <v>49</v>
      </c>
      <c r="I8" s="60" t="s">
        <v>46</v>
      </c>
      <c r="J8" s="48" t="s">
        <v>22</v>
      </c>
      <c r="K8" s="49" t="s">
        <v>23</v>
      </c>
      <c r="L8" s="44"/>
      <c r="M8" s="49" t="str">
        <f t="shared" si="0"/>
        <v>Non concerné</v>
      </c>
      <c r="N8" s="61" t="s">
        <v>9</v>
      </c>
      <c r="O8" s="51" t="s">
        <v>9</v>
      </c>
      <c r="P8" s="44"/>
      <c r="Q8" s="49"/>
      <c r="R8" s="49"/>
      <c r="S8" s="52" t="s">
        <v>44</v>
      </c>
    </row>
    <row r="9" spans="1:28" s="53" customFormat="1" ht="54.75" customHeight="1" outlineLevel="2" x14ac:dyDescent="0.25">
      <c r="A9" s="54" t="s">
        <v>50</v>
      </c>
      <c r="B9" s="14">
        <v>9</v>
      </c>
      <c r="C9" s="43" t="s">
        <v>51</v>
      </c>
      <c r="D9" s="43" t="s">
        <v>52</v>
      </c>
      <c r="E9" s="44"/>
      <c r="F9" s="46" t="s">
        <v>53</v>
      </c>
      <c r="G9" s="46" t="s">
        <v>54</v>
      </c>
      <c r="H9" s="46" t="s">
        <v>55</v>
      </c>
      <c r="I9" s="47" t="s">
        <v>52</v>
      </c>
      <c r="J9" s="48" t="s">
        <v>22</v>
      </c>
      <c r="K9" s="49"/>
      <c r="L9" s="44"/>
      <c r="M9" s="49" t="str">
        <f t="shared" si="0"/>
        <v>Conforme au standard</v>
      </c>
      <c r="N9" s="61" t="s">
        <v>9</v>
      </c>
      <c r="O9" s="51" t="s">
        <v>9</v>
      </c>
      <c r="P9" s="44"/>
      <c r="Q9" s="49"/>
      <c r="R9" s="49"/>
      <c r="S9" s="52" t="s">
        <v>44</v>
      </c>
    </row>
    <row r="10" spans="1:28" s="53" customFormat="1" ht="54.75" customHeight="1" outlineLevel="2" x14ac:dyDescent="0.25">
      <c r="A10" s="54" t="s">
        <v>56</v>
      </c>
      <c r="B10" s="14">
        <v>10</v>
      </c>
      <c r="C10" s="62" t="s">
        <v>35</v>
      </c>
      <c r="D10" s="62" t="s">
        <v>24</v>
      </c>
      <c r="E10" s="44"/>
      <c r="F10" s="63" t="s">
        <v>57</v>
      </c>
      <c r="G10" s="63" t="s">
        <v>37</v>
      </c>
      <c r="H10" s="63" t="s">
        <v>58</v>
      </c>
      <c r="I10" s="64" t="s">
        <v>24</v>
      </c>
      <c r="J10" s="62" t="s">
        <v>24</v>
      </c>
      <c r="K10" s="65"/>
      <c r="L10" s="44"/>
      <c r="M10" s="65" t="str">
        <f t="shared" si="0"/>
        <v>Renseigner la réponse DCO</v>
      </c>
      <c r="N10" s="66" t="s">
        <v>9</v>
      </c>
      <c r="O10" s="66" t="s">
        <v>9</v>
      </c>
      <c r="P10" s="67"/>
      <c r="Q10" s="65"/>
      <c r="R10" s="65"/>
      <c r="S10" s="68" t="s">
        <v>44</v>
      </c>
    </row>
    <row r="11" spans="1:28" ht="39" customHeight="1" outlineLevel="1" x14ac:dyDescent="0.25">
      <c r="A11" s="30" t="s">
        <v>59</v>
      </c>
      <c r="B11" s="14">
        <v>11</v>
      </c>
      <c r="C11" s="31" t="s">
        <v>30</v>
      </c>
      <c r="D11" s="32" t="s">
        <v>24</v>
      </c>
      <c r="E11" s="33"/>
      <c r="F11" s="69" t="s">
        <v>60</v>
      </c>
      <c r="G11" s="35"/>
      <c r="H11" s="36"/>
      <c r="I11" s="37" t="s">
        <v>24</v>
      </c>
      <c r="J11" s="38" t="s">
        <v>24</v>
      </c>
      <c r="K11" s="39"/>
      <c r="L11" s="33"/>
      <c r="M11" s="40" t="str">
        <f t="shared" si="0"/>
        <v/>
      </c>
      <c r="N11" s="39" t="s">
        <v>9</v>
      </c>
      <c r="O11" s="39" t="s">
        <v>9</v>
      </c>
      <c r="P11" s="33"/>
      <c r="Q11" s="39"/>
      <c r="R11" s="39"/>
      <c r="S11" s="41" t="s">
        <v>24</v>
      </c>
      <c r="Z11" s="53"/>
      <c r="AA11" s="53"/>
      <c r="AB11" s="53"/>
    </row>
    <row r="12" spans="1:28" ht="39" customHeight="1" outlineLevel="2" x14ac:dyDescent="0.25">
      <c r="A12" s="70" t="s">
        <v>61</v>
      </c>
      <c r="B12" s="14">
        <v>12</v>
      </c>
      <c r="C12" s="71" t="s">
        <v>26</v>
      </c>
      <c r="D12" s="71" t="s">
        <v>62</v>
      </c>
      <c r="E12" s="16"/>
      <c r="F12" s="72" t="s">
        <v>63</v>
      </c>
      <c r="G12" s="73" t="s">
        <v>64</v>
      </c>
      <c r="H12" s="73" t="s">
        <v>64</v>
      </c>
      <c r="I12" s="19" t="s">
        <v>62</v>
      </c>
      <c r="J12" s="15" t="s">
        <v>22</v>
      </c>
      <c r="K12" s="20"/>
      <c r="L12" s="16"/>
      <c r="M12" s="49" t="str">
        <f t="shared" si="0"/>
        <v>Conforme au standard</v>
      </c>
      <c r="N12" s="61" t="s">
        <v>9</v>
      </c>
      <c r="O12" s="51" t="s">
        <v>9</v>
      </c>
      <c r="P12" s="16"/>
      <c r="Q12" s="20"/>
      <c r="R12" s="20"/>
      <c r="S12" s="23" t="s">
        <v>24</v>
      </c>
    </row>
    <row r="13" spans="1:28" ht="39" customHeight="1" outlineLevel="2" x14ac:dyDescent="0.25">
      <c r="A13" s="70" t="s">
        <v>65</v>
      </c>
      <c r="B13" s="14">
        <v>13</v>
      </c>
      <c r="C13" s="74" t="s">
        <v>26</v>
      </c>
      <c r="D13" s="74" t="s">
        <v>66</v>
      </c>
      <c r="E13" s="16"/>
      <c r="F13" s="75" t="s">
        <v>67</v>
      </c>
      <c r="G13" s="76" t="s">
        <v>64</v>
      </c>
      <c r="H13" s="76" t="s">
        <v>68</v>
      </c>
      <c r="I13" s="77" t="s">
        <v>66</v>
      </c>
      <c r="J13" s="74" t="s">
        <v>22</v>
      </c>
      <c r="K13" s="78"/>
      <c r="L13" s="16"/>
      <c r="M13" s="78" t="str">
        <f t="shared" si="0"/>
        <v>Conforme au standard</v>
      </c>
      <c r="N13" s="79" t="s">
        <v>9</v>
      </c>
      <c r="O13" s="79" t="s">
        <v>9</v>
      </c>
      <c r="P13" s="80"/>
      <c r="Q13" s="78"/>
      <c r="R13" s="78"/>
      <c r="S13" s="81" t="s">
        <v>24</v>
      </c>
    </row>
    <row r="14" spans="1:28" ht="39" customHeight="1" outlineLevel="2" x14ac:dyDescent="0.25">
      <c r="A14" s="70" t="s">
        <v>69</v>
      </c>
      <c r="B14" s="14">
        <v>14</v>
      </c>
      <c r="C14" s="15" t="s">
        <v>51</v>
      </c>
      <c r="D14" s="15" t="s">
        <v>70</v>
      </c>
      <c r="E14" s="82"/>
      <c r="F14" s="83" t="s">
        <v>71</v>
      </c>
      <c r="G14" s="72" t="s">
        <v>54</v>
      </c>
      <c r="H14" s="84" t="s">
        <v>72</v>
      </c>
      <c r="I14" s="19" t="s">
        <v>70</v>
      </c>
      <c r="J14" s="15" t="s">
        <v>22</v>
      </c>
      <c r="K14" s="20"/>
      <c r="L14" s="16"/>
      <c r="M14" s="20" t="str">
        <f t="shared" si="0"/>
        <v>Conforme au standard</v>
      </c>
      <c r="N14" s="22" t="s">
        <v>9</v>
      </c>
      <c r="O14" s="22" t="s">
        <v>9</v>
      </c>
      <c r="P14" s="80"/>
      <c r="Q14" s="20"/>
      <c r="R14" s="20"/>
      <c r="S14" s="23" t="s">
        <v>24</v>
      </c>
    </row>
    <row r="15" spans="1:28" ht="39" customHeight="1" outlineLevel="2" x14ac:dyDescent="0.25">
      <c r="A15" s="13" t="s">
        <v>73</v>
      </c>
      <c r="B15" s="14">
        <v>15</v>
      </c>
      <c r="C15" s="74" t="s">
        <v>35</v>
      </c>
      <c r="D15" s="74" t="s">
        <v>24</v>
      </c>
      <c r="E15" s="85"/>
      <c r="F15" s="86" t="s">
        <v>74</v>
      </c>
      <c r="G15" s="63" t="s">
        <v>37</v>
      </c>
      <c r="H15" s="75" t="s">
        <v>38</v>
      </c>
      <c r="I15" s="87" t="s">
        <v>75</v>
      </c>
      <c r="J15" s="74"/>
      <c r="K15" s="78" t="s">
        <v>23</v>
      </c>
      <c r="L15" s="16"/>
      <c r="M15" s="78" t="str">
        <f t="shared" si="0"/>
        <v>Spécifique Offre</v>
      </c>
      <c r="N15" s="79" t="s">
        <v>9</v>
      </c>
      <c r="O15" s="79" t="s">
        <v>9</v>
      </c>
      <c r="P15" s="80"/>
      <c r="Q15" s="78"/>
      <c r="R15" s="78"/>
      <c r="S15" s="81" t="s">
        <v>24</v>
      </c>
    </row>
    <row r="16" spans="1:28" ht="66" customHeight="1" outlineLevel="2" x14ac:dyDescent="0.25">
      <c r="A16" s="70" t="s">
        <v>76</v>
      </c>
      <c r="B16" s="14">
        <v>16</v>
      </c>
      <c r="C16" s="71" t="s">
        <v>19</v>
      </c>
      <c r="D16" s="71" t="s">
        <v>77</v>
      </c>
      <c r="E16" s="16"/>
      <c r="F16" s="88" t="s">
        <v>78</v>
      </c>
      <c r="G16" s="89" t="s">
        <v>48</v>
      </c>
      <c r="H16" s="90" t="s">
        <v>79</v>
      </c>
      <c r="I16" s="91" t="s">
        <v>77</v>
      </c>
      <c r="J16" s="15" t="s">
        <v>22</v>
      </c>
      <c r="K16" s="20"/>
      <c r="L16" s="16"/>
      <c r="M16" s="20" t="str">
        <f t="shared" si="0"/>
        <v>Conforme au standard</v>
      </c>
      <c r="N16" s="92" t="s">
        <v>9</v>
      </c>
      <c r="O16" s="22" t="s">
        <v>9</v>
      </c>
      <c r="P16" s="16"/>
      <c r="Q16" s="20"/>
      <c r="R16" s="20"/>
      <c r="S16" s="23" t="s">
        <v>44</v>
      </c>
    </row>
    <row r="17" spans="1:19" ht="39" customHeight="1" outlineLevel="2" x14ac:dyDescent="0.25">
      <c r="A17" s="13" t="s">
        <v>80</v>
      </c>
      <c r="B17" s="14">
        <v>17</v>
      </c>
      <c r="C17" s="74" t="s">
        <v>35</v>
      </c>
      <c r="D17" s="74" t="s">
        <v>24</v>
      </c>
      <c r="E17" s="16"/>
      <c r="F17" s="75" t="s">
        <v>81</v>
      </c>
      <c r="G17" s="89" t="s">
        <v>48</v>
      </c>
      <c r="H17" s="93" t="s">
        <v>82</v>
      </c>
      <c r="I17" s="94" t="s">
        <v>75</v>
      </c>
      <c r="J17" s="74" t="s">
        <v>22</v>
      </c>
      <c r="K17" s="78" t="s">
        <v>23</v>
      </c>
      <c r="L17" s="16"/>
      <c r="M17" s="78" t="str">
        <f t="shared" si="0"/>
        <v>Spécifique Offre</v>
      </c>
      <c r="N17" s="79" t="s">
        <v>9</v>
      </c>
      <c r="O17" s="79" t="s">
        <v>9</v>
      </c>
      <c r="P17" s="80"/>
      <c r="Q17" s="78"/>
      <c r="R17" s="78"/>
      <c r="S17" s="81" t="s">
        <v>44</v>
      </c>
    </row>
    <row r="18" spans="1:19" ht="39" customHeight="1" outlineLevel="2" x14ac:dyDescent="0.25">
      <c r="A18" s="13" t="s">
        <v>83</v>
      </c>
      <c r="B18" s="14">
        <v>18</v>
      </c>
      <c r="C18" s="74" t="s">
        <v>35</v>
      </c>
      <c r="D18" s="74" t="s">
        <v>24</v>
      </c>
      <c r="E18" s="16"/>
      <c r="F18" s="75" t="s">
        <v>84</v>
      </c>
      <c r="G18" s="93" t="s">
        <v>37</v>
      </c>
      <c r="H18" s="93" t="s">
        <v>38</v>
      </c>
      <c r="I18" s="87" t="s">
        <v>75</v>
      </c>
      <c r="J18" s="74" t="s">
        <v>24</v>
      </c>
      <c r="K18" s="78" t="s">
        <v>23</v>
      </c>
      <c r="L18" s="16"/>
      <c r="M18" s="78" t="str">
        <f t="shared" si="0"/>
        <v>Spécifique Offre</v>
      </c>
      <c r="N18" s="79" t="s">
        <v>9</v>
      </c>
      <c r="O18" s="79" t="s">
        <v>9</v>
      </c>
      <c r="P18" s="80"/>
      <c r="Q18" s="78"/>
      <c r="R18" s="78"/>
      <c r="S18" s="81" t="s">
        <v>24</v>
      </c>
    </row>
    <row r="19" spans="1:19" ht="39" customHeight="1" outlineLevel="2" x14ac:dyDescent="0.25">
      <c r="A19" s="95" t="s">
        <v>85</v>
      </c>
      <c r="B19" s="14">
        <v>19</v>
      </c>
      <c r="C19" s="15" t="s">
        <v>51</v>
      </c>
      <c r="D19" s="15" t="s">
        <v>86</v>
      </c>
      <c r="E19" s="82"/>
      <c r="F19" s="96" t="s">
        <v>87</v>
      </c>
      <c r="G19" s="97" t="s">
        <v>64</v>
      </c>
      <c r="H19" s="96" t="s">
        <v>88</v>
      </c>
      <c r="I19" s="19" t="s">
        <v>86</v>
      </c>
      <c r="J19" s="15" t="s">
        <v>24</v>
      </c>
      <c r="K19" s="20"/>
      <c r="L19" s="16"/>
      <c r="M19" s="20" t="str">
        <f t="shared" si="0"/>
        <v>Conforme au standard</v>
      </c>
      <c r="N19" s="22" t="s">
        <v>9</v>
      </c>
      <c r="O19" s="22" t="s">
        <v>9</v>
      </c>
      <c r="P19" s="80"/>
      <c r="Q19" s="20" t="s">
        <v>89</v>
      </c>
      <c r="R19" s="20"/>
      <c r="S19" s="23" t="s">
        <v>24</v>
      </c>
    </row>
    <row r="20" spans="1:19" ht="39" customHeight="1" outlineLevel="1" x14ac:dyDescent="0.25">
      <c r="A20" s="30" t="s">
        <v>90</v>
      </c>
      <c r="B20" s="14">
        <v>20</v>
      </c>
      <c r="C20" s="98" t="s">
        <v>30</v>
      </c>
      <c r="D20" s="38" t="s">
        <v>24</v>
      </c>
      <c r="E20" s="16"/>
      <c r="F20" s="34" t="s">
        <v>91</v>
      </c>
      <c r="G20" s="34"/>
      <c r="H20" s="34"/>
      <c r="I20" s="99" t="s">
        <v>24</v>
      </c>
      <c r="J20" s="100" t="s">
        <v>24</v>
      </c>
      <c r="K20" s="39"/>
      <c r="L20" s="16"/>
      <c r="M20" s="40" t="str">
        <f t="shared" si="0"/>
        <v/>
      </c>
      <c r="N20" s="39" t="s">
        <v>9</v>
      </c>
      <c r="O20" s="39" t="s">
        <v>9</v>
      </c>
      <c r="P20" s="16"/>
      <c r="Q20" s="39"/>
      <c r="R20" s="39"/>
      <c r="S20" s="41" t="s">
        <v>24</v>
      </c>
    </row>
    <row r="21" spans="1:19" ht="39" customHeight="1" outlineLevel="2" x14ac:dyDescent="0.25">
      <c r="A21" s="13" t="s">
        <v>92</v>
      </c>
      <c r="B21" s="14">
        <v>21</v>
      </c>
      <c r="C21" s="15" t="s">
        <v>51</v>
      </c>
      <c r="D21" s="15" t="s">
        <v>93</v>
      </c>
      <c r="E21" s="16"/>
      <c r="F21" s="96" t="s">
        <v>94</v>
      </c>
      <c r="G21" s="73" t="s">
        <v>64</v>
      </c>
      <c r="H21" s="96" t="s">
        <v>95</v>
      </c>
      <c r="I21" s="19" t="s">
        <v>93</v>
      </c>
      <c r="J21" s="15" t="s">
        <v>22</v>
      </c>
      <c r="K21" s="20"/>
      <c r="L21" s="16"/>
      <c r="M21" s="20" t="str">
        <f t="shared" si="0"/>
        <v>Conforme au standard</v>
      </c>
      <c r="N21" s="92" t="s">
        <v>9</v>
      </c>
      <c r="O21" s="22" t="s">
        <v>9</v>
      </c>
      <c r="P21" s="16"/>
      <c r="Q21" s="20"/>
      <c r="R21" s="20"/>
      <c r="S21" s="23" t="s">
        <v>24</v>
      </c>
    </row>
    <row r="22" spans="1:19" ht="39" customHeight="1" outlineLevel="2" x14ac:dyDescent="0.25">
      <c r="A22" s="13" t="s">
        <v>96</v>
      </c>
      <c r="B22" s="14">
        <v>22</v>
      </c>
      <c r="C22" s="74" t="s">
        <v>35</v>
      </c>
      <c r="D22" s="74" t="s">
        <v>24</v>
      </c>
      <c r="E22" s="16"/>
      <c r="F22" s="101" t="s">
        <v>97</v>
      </c>
      <c r="G22" s="76" t="s">
        <v>64</v>
      </c>
      <c r="H22" s="76" t="s">
        <v>98</v>
      </c>
      <c r="I22" s="87" t="s">
        <v>75</v>
      </c>
      <c r="J22" s="74" t="s">
        <v>22</v>
      </c>
      <c r="K22" s="78" t="s">
        <v>23</v>
      </c>
      <c r="L22" s="16"/>
      <c r="M22" s="78" t="str">
        <f t="shared" si="0"/>
        <v>Spécifique Offre</v>
      </c>
      <c r="N22" s="79" t="s">
        <v>9</v>
      </c>
      <c r="O22" s="79" t="s">
        <v>9</v>
      </c>
      <c r="P22" s="80"/>
      <c r="Q22" s="78"/>
      <c r="R22" s="78"/>
      <c r="S22" s="81" t="s">
        <v>24</v>
      </c>
    </row>
    <row r="23" spans="1:19" ht="39" customHeight="1" outlineLevel="2" x14ac:dyDescent="0.25">
      <c r="A23" s="13" t="s">
        <v>99</v>
      </c>
      <c r="B23" s="14">
        <v>23</v>
      </c>
      <c r="C23" s="74" t="s">
        <v>35</v>
      </c>
      <c r="D23" s="74" t="s">
        <v>24</v>
      </c>
      <c r="E23" s="16"/>
      <c r="F23" s="101" t="s">
        <v>100</v>
      </c>
      <c r="G23" s="76" t="s">
        <v>37</v>
      </c>
      <c r="H23" s="76" t="s">
        <v>38</v>
      </c>
      <c r="I23" s="87" t="s">
        <v>75</v>
      </c>
      <c r="J23" s="74"/>
      <c r="K23" s="78" t="s">
        <v>23</v>
      </c>
      <c r="L23" s="16"/>
      <c r="M23" s="78" t="str">
        <f t="shared" si="0"/>
        <v>Spécifique Offre</v>
      </c>
      <c r="N23" s="79" t="s">
        <v>9</v>
      </c>
      <c r="O23" s="79" t="s">
        <v>9</v>
      </c>
      <c r="P23" s="80"/>
      <c r="Q23" s="78"/>
      <c r="R23" s="78"/>
      <c r="S23" s="81" t="s">
        <v>24</v>
      </c>
    </row>
    <row r="24" spans="1:19" ht="39" customHeight="1" outlineLevel="2" x14ac:dyDescent="0.25">
      <c r="A24" s="13" t="s">
        <v>2051</v>
      </c>
      <c r="B24" s="14">
        <v>24</v>
      </c>
      <c r="C24" s="74" t="s">
        <v>35</v>
      </c>
      <c r="D24" s="74" t="s">
        <v>24</v>
      </c>
      <c r="E24" s="85"/>
      <c r="F24" s="102" t="s">
        <v>102</v>
      </c>
      <c r="G24" s="76" t="s">
        <v>64</v>
      </c>
      <c r="H24" s="102" t="s">
        <v>95</v>
      </c>
      <c r="I24" s="87" t="s">
        <v>24</v>
      </c>
      <c r="J24" s="74" t="s">
        <v>22</v>
      </c>
      <c r="K24" s="78"/>
      <c r="L24" s="85"/>
      <c r="M24" s="78" t="str">
        <f t="shared" si="0"/>
        <v>Renseigner la réponse DCO</v>
      </c>
      <c r="N24" s="103" t="s">
        <v>9</v>
      </c>
      <c r="O24" s="79" t="s">
        <v>9</v>
      </c>
      <c r="P24" s="85"/>
      <c r="Q24" s="78"/>
      <c r="R24" s="78"/>
      <c r="S24" s="81" t="s">
        <v>24</v>
      </c>
    </row>
    <row r="25" spans="1:19" ht="39" customHeight="1" outlineLevel="1" x14ac:dyDescent="0.25">
      <c r="A25" s="30" t="s">
        <v>103</v>
      </c>
      <c r="B25" s="14">
        <v>25</v>
      </c>
      <c r="C25" s="98" t="s">
        <v>30</v>
      </c>
      <c r="D25" s="38" t="s">
        <v>24</v>
      </c>
      <c r="E25" s="16"/>
      <c r="F25" s="34" t="s">
        <v>104</v>
      </c>
      <c r="G25" s="34"/>
      <c r="H25" s="34"/>
      <c r="I25" s="37" t="s">
        <v>24</v>
      </c>
      <c r="J25" s="34" t="s">
        <v>24</v>
      </c>
      <c r="K25" s="39"/>
      <c r="L25" s="16"/>
      <c r="M25" s="40" t="str">
        <f t="shared" si="0"/>
        <v/>
      </c>
      <c r="N25" s="39" t="s">
        <v>9</v>
      </c>
      <c r="O25" s="39" t="s">
        <v>9</v>
      </c>
      <c r="P25" s="16"/>
      <c r="Q25" s="39"/>
      <c r="R25" s="39"/>
      <c r="S25" s="41" t="s">
        <v>24</v>
      </c>
    </row>
    <row r="26" spans="1:19" ht="39" customHeight="1" outlineLevel="2" x14ac:dyDescent="0.25">
      <c r="A26" s="13" t="s">
        <v>105</v>
      </c>
      <c r="B26" s="14">
        <v>26</v>
      </c>
      <c r="C26" s="71" t="s">
        <v>51</v>
      </c>
      <c r="D26" s="71" t="s">
        <v>106</v>
      </c>
      <c r="E26" s="16"/>
      <c r="F26" s="90" t="s">
        <v>107</v>
      </c>
      <c r="G26" s="73" t="s">
        <v>64</v>
      </c>
      <c r="H26" s="104" t="s">
        <v>108</v>
      </c>
      <c r="I26" s="19" t="s">
        <v>106</v>
      </c>
      <c r="J26" s="15" t="s">
        <v>22</v>
      </c>
      <c r="K26" s="20"/>
      <c r="L26" s="16"/>
      <c r="M26" s="20" t="str">
        <f t="shared" si="0"/>
        <v>Conforme au standard</v>
      </c>
      <c r="N26" s="92" t="s">
        <v>9</v>
      </c>
      <c r="O26" s="22" t="s">
        <v>9</v>
      </c>
      <c r="P26" s="16"/>
      <c r="Q26" s="20"/>
      <c r="R26" s="20"/>
      <c r="S26" s="23" t="s">
        <v>24</v>
      </c>
    </row>
    <row r="27" spans="1:19" ht="39" customHeight="1" outlineLevel="2" x14ac:dyDescent="0.25">
      <c r="A27" s="70" t="s">
        <v>109</v>
      </c>
      <c r="B27" s="14">
        <v>27</v>
      </c>
      <c r="C27" s="74" t="s">
        <v>35</v>
      </c>
      <c r="D27" s="74" t="s">
        <v>24</v>
      </c>
      <c r="E27" s="16"/>
      <c r="F27" s="105" t="s">
        <v>110</v>
      </c>
      <c r="G27" s="76" t="s">
        <v>111</v>
      </c>
      <c r="H27" s="76" t="s">
        <v>38</v>
      </c>
      <c r="I27" s="87" t="s">
        <v>24</v>
      </c>
      <c r="J27" s="74" t="s">
        <v>24</v>
      </c>
      <c r="K27" s="78"/>
      <c r="L27" s="16"/>
      <c r="M27" s="78" t="str">
        <f t="shared" si="0"/>
        <v>Renseigner la réponse DCO</v>
      </c>
      <c r="N27" s="79" t="s">
        <v>9</v>
      </c>
      <c r="O27" s="79" t="s">
        <v>9</v>
      </c>
      <c r="P27" s="80"/>
      <c r="Q27" s="78"/>
      <c r="R27" s="78"/>
      <c r="S27" s="81" t="s">
        <v>24</v>
      </c>
    </row>
    <row r="28" spans="1:19" ht="39" customHeight="1" outlineLevel="2" x14ac:dyDescent="0.25">
      <c r="A28" s="70" t="s">
        <v>112</v>
      </c>
      <c r="B28" s="14">
        <v>28</v>
      </c>
      <c r="C28" s="15" t="s">
        <v>35</v>
      </c>
      <c r="D28" s="15" t="s">
        <v>24</v>
      </c>
      <c r="E28" s="82"/>
      <c r="F28" s="104" t="s">
        <v>113</v>
      </c>
      <c r="G28" s="97" t="s">
        <v>114</v>
      </c>
      <c r="H28" s="106" t="s">
        <v>115</v>
      </c>
      <c r="I28" s="107" t="s">
        <v>116</v>
      </c>
      <c r="J28" s="15" t="s">
        <v>24</v>
      </c>
      <c r="K28" s="20"/>
      <c r="L28" s="16"/>
      <c r="M28" s="20" t="str">
        <f t="shared" si="0"/>
        <v>Spécifique Offre</v>
      </c>
      <c r="N28" s="22" t="s">
        <v>117</v>
      </c>
      <c r="O28" s="22" t="s">
        <v>9</v>
      </c>
      <c r="P28" s="80"/>
      <c r="Q28" s="20"/>
      <c r="R28" s="20"/>
      <c r="S28" s="23" t="s">
        <v>24</v>
      </c>
    </row>
    <row r="29" spans="1:19" ht="39" customHeight="1" outlineLevel="2" x14ac:dyDescent="0.25">
      <c r="A29" s="13" t="s">
        <v>118</v>
      </c>
      <c r="B29" s="14">
        <v>29</v>
      </c>
      <c r="C29" s="71" t="s">
        <v>35</v>
      </c>
      <c r="D29" s="71" t="s">
        <v>24</v>
      </c>
      <c r="E29" s="16"/>
      <c r="F29" s="90" t="s">
        <v>119</v>
      </c>
      <c r="G29" s="73" t="s">
        <v>64</v>
      </c>
      <c r="H29" s="104" t="s">
        <v>120</v>
      </c>
      <c r="I29" s="19" t="s">
        <v>24</v>
      </c>
      <c r="J29" s="15" t="s">
        <v>22</v>
      </c>
      <c r="K29" s="20"/>
      <c r="L29" s="16"/>
      <c r="M29" s="20" t="str">
        <f t="shared" si="0"/>
        <v>Renseigner la réponse DCO</v>
      </c>
      <c r="N29" s="92" t="s">
        <v>9</v>
      </c>
      <c r="O29" s="22" t="s">
        <v>9</v>
      </c>
      <c r="P29" s="16"/>
      <c r="Q29" s="20"/>
      <c r="R29" s="20"/>
      <c r="S29" s="23" t="s">
        <v>24</v>
      </c>
    </row>
    <row r="30" spans="1:19" ht="39" customHeight="1" outlineLevel="2" x14ac:dyDescent="0.25">
      <c r="A30" s="70" t="s">
        <v>121</v>
      </c>
      <c r="B30" s="14">
        <v>30</v>
      </c>
      <c r="C30" s="74" t="s">
        <v>35</v>
      </c>
      <c r="D30" s="74" t="s">
        <v>24</v>
      </c>
      <c r="E30" s="16"/>
      <c r="F30" s="105" t="s">
        <v>122</v>
      </c>
      <c r="G30" s="89" t="s">
        <v>48</v>
      </c>
      <c r="H30" s="93" t="s">
        <v>123</v>
      </c>
      <c r="I30" s="94" t="s">
        <v>75</v>
      </c>
      <c r="J30" s="74" t="s">
        <v>24</v>
      </c>
      <c r="K30" s="78" t="s">
        <v>23</v>
      </c>
      <c r="L30" s="16"/>
      <c r="M30" s="78" t="str">
        <f t="shared" si="0"/>
        <v>Spécifique Offre</v>
      </c>
      <c r="N30" s="79" t="s">
        <v>9</v>
      </c>
      <c r="O30" s="79" t="s">
        <v>9</v>
      </c>
      <c r="P30" s="80"/>
      <c r="Q30" s="78"/>
      <c r="R30" s="78"/>
      <c r="S30" s="81" t="s">
        <v>44</v>
      </c>
    </row>
    <row r="31" spans="1:19" ht="39" customHeight="1" outlineLevel="2" x14ac:dyDescent="0.25">
      <c r="A31" s="13" t="s">
        <v>124</v>
      </c>
      <c r="B31" s="14">
        <v>31</v>
      </c>
      <c r="C31" s="74" t="s">
        <v>35</v>
      </c>
      <c r="D31" s="74" t="s">
        <v>24</v>
      </c>
      <c r="E31" s="16"/>
      <c r="F31" s="105" t="s">
        <v>125</v>
      </c>
      <c r="G31" s="76" t="s">
        <v>37</v>
      </c>
      <c r="H31" s="76" t="s">
        <v>38</v>
      </c>
      <c r="I31" s="87" t="s">
        <v>75</v>
      </c>
      <c r="J31" s="74" t="s">
        <v>24</v>
      </c>
      <c r="K31" s="78" t="s">
        <v>23</v>
      </c>
      <c r="L31" s="16"/>
      <c r="M31" s="78" t="str">
        <f t="shared" si="0"/>
        <v>Spécifique Offre</v>
      </c>
      <c r="N31" s="79" t="s">
        <v>9</v>
      </c>
      <c r="O31" s="79" t="s">
        <v>9</v>
      </c>
      <c r="P31" s="80"/>
      <c r="Q31" s="78"/>
      <c r="R31" s="78"/>
      <c r="S31" s="81" t="s">
        <v>24</v>
      </c>
    </row>
    <row r="32" spans="1:19" ht="39" customHeight="1" outlineLevel="2" x14ac:dyDescent="0.25">
      <c r="A32" s="70" t="s">
        <v>126</v>
      </c>
      <c r="B32" s="14">
        <v>32</v>
      </c>
      <c r="C32" s="71" t="s">
        <v>51</v>
      </c>
      <c r="D32" s="71" t="s">
        <v>127</v>
      </c>
      <c r="E32" s="16"/>
      <c r="F32" s="90" t="s">
        <v>128</v>
      </c>
      <c r="G32" s="73" t="s">
        <v>64</v>
      </c>
      <c r="H32" s="104" t="s">
        <v>129</v>
      </c>
      <c r="I32" s="19" t="s">
        <v>127</v>
      </c>
      <c r="J32" s="15" t="s">
        <v>22</v>
      </c>
      <c r="K32" s="20"/>
      <c r="L32" s="16"/>
      <c r="M32" s="20" t="str">
        <f t="shared" si="0"/>
        <v>Conforme au standard</v>
      </c>
      <c r="N32" s="92" t="s">
        <v>9</v>
      </c>
      <c r="O32" s="22" t="s">
        <v>9</v>
      </c>
      <c r="P32" s="16"/>
      <c r="Q32" s="20"/>
      <c r="R32" s="20"/>
      <c r="S32" s="23" t="s">
        <v>24</v>
      </c>
    </row>
    <row r="33" spans="1:19" ht="39" customHeight="1" outlineLevel="2" x14ac:dyDescent="0.25">
      <c r="A33" s="13" t="s">
        <v>130</v>
      </c>
      <c r="B33" s="14">
        <v>33</v>
      </c>
      <c r="C33" s="74" t="s">
        <v>35</v>
      </c>
      <c r="D33" s="74" t="s">
        <v>24</v>
      </c>
      <c r="E33" s="16"/>
      <c r="F33" s="93" t="s">
        <v>131</v>
      </c>
      <c r="G33" s="76" t="s">
        <v>64</v>
      </c>
      <c r="H33" s="76" t="s">
        <v>132</v>
      </c>
      <c r="I33" s="87" t="s">
        <v>75</v>
      </c>
      <c r="J33" s="74" t="s">
        <v>24</v>
      </c>
      <c r="K33" s="78" t="s">
        <v>23</v>
      </c>
      <c r="L33" s="16"/>
      <c r="M33" s="78" t="str">
        <f t="shared" si="0"/>
        <v>Spécifique Offre</v>
      </c>
      <c r="N33" s="79" t="s">
        <v>9</v>
      </c>
      <c r="O33" s="79" t="s">
        <v>9</v>
      </c>
      <c r="P33" s="80"/>
      <c r="Q33" s="78"/>
      <c r="R33" s="78"/>
      <c r="S33" s="81" t="s">
        <v>24</v>
      </c>
    </row>
    <row r="34" spans="1:19" ht="39" customHeight="1" outlineLevel="2" x14ac:dyDescent="0.25">
      <c r="A34" s="13" t="s">
        <v>133</v>
      </c>
      <c r="B34" s="14">
        <v>34</v>
      </c>
      <c r="C34" s="74" t="s">
        <v>35</v>
      </c>
      <c r="D34" s="74" t="s">
        <v>24</v>
      </c>
      <c r="E34" s="16"/>
      <c r="F34" s="93" t="s">
        <v>134</v>
      </c>
      <c r="G34" s="89" t="s">
        <v>48</v>
      </c>
      <c r="H34" s="93" t="s">
        <v>135</v>
      </c>
      <c r="I34" s="94" t="s">
        <v>75</v>
      </c>
      <c r="J34" s="74" t="s">
        <v>22</v>
      </c>
      <c r="K34" s="78" t="s">
        <v>23</v>
      </c>
      <c r="L34" s="16"/>
      <c r="M34" s="78" t="str">
        <f t="shared" si="0"/>
        <v>Spécifique Offre</v>
      </c>
      <c r="N34" s="79" t="s">
        <v>9</v>
      </c>
      <c r="O34" s="79" t="s">
        <v>9</v>
      </c>
      <c r="P34" s="80"/>
      <c r="Q34" s="78"/>
      <c r="R34" s="78"/>
      <c r="S34" s="81" t="s">
        <v>44</v>
      </c>
    </row>
    <row r="35" spans="1:19" ht="39" customHeight="1" outlineLevel="2" x14ac:dyDescent="0.25">
      <c r="A35" s="13" t="s">
        <v>136</v>
      </c>
      <c r="B35" s="14">
        <v>35</v>
      </c>
      <c r="C35" s="74" t="s">
        <v>35</v>
      </c>
      <c r="D35" s="74" t="s">
        <v>24</v>
      </c>
      <c r="E35" s="16"/>
      <c r="F35" s="75" t="s">
        <v>137</v>
      </c>
      <c r="G35" s="93" t="s">
        <v>37</v>
      </c>
      <c r="H35" s="93" t="s">
        <v>38</v>
      </c>
      <c r="I35" s="87" t="s">
        <v>75</v>
      </c>
      <c r="J35" s="74" t="s">
        <v>22</v>
      </c>
      <c r="K35" s="78" t="s">
        <v>23</v>
      </c>
      <c r="L35" s="16"/>
      <c r="M35" s="78" t="str">
        <f t="shared" si="0"/>
        <v>Spécifique Offre</v>
      </c>
      <c r="N35" s="103" t="s">
        <v>9</v>
      </c>
      <c r="O35" s="79" t="s">
        <v>9</v>
      </c>
      <c r="P35" s="16"/>
      <c r="Q35" s="78"/>
      <c r="R35" s="78"/>
      <c r="S35" s="81" t="s">
        <v>24</v>
      </c>
    </row>
    <row r="36" spans="1:19" ht="39" customHeight="1" outlineLevel="1" x14ac:dyDescent="0.25">
      <c r="A36" s="108" t="s">
        <v>138</v>
      </c>
      <c r="B36" s="14">
        <v>36</v>
      </c>
      <c r="C36" s="98" t="s">
        <v>30</v>
      </c>
      <c r="D36" s="38" t="s">
        <v>24</v>
      </c>
      <c r="E36" s="16"/>
      <c r="F36" s="34" t="s">
        <v>139</v>
      </c>
      <c r="G36" s="34"/>
      <c r="H36" s="34"/>
      <c r="I36" s="37" t="s">
        <v>24</v>
      </c>
      <c r="J36" s="34" t="s">
        <v>24</v>
      </c>
      <c r="K36" s="39"/>
      <c r="L36" s="16"/>
      <c r="M36" s="40" t="str">
        <f t="shared" si="0"/>
        <v/>
      </c>
      <c r="N36" s="39" t="s">
        <v>9</v>
      </c>
      <c r="O36" s="39" t="s">
        <v>9</v>
      </c>
      <c r="P36" s="16"/>
      <c r="Q36" s="39"/>
      <c r="R36" s="39"/>
      <c r="S36" s="41" t="s">
        <v>24</v>
      </c>
    </row>
    <row r="37" spans="1:19" ht="39" customHeight="1" outlineLevel="2" x14ac:dyDescent="0.25">
      <c r="A37" s="13" t="s">
        <v>140</v>
      </c>
      <c r="B37" s="14">
        <v>37</v>
      </c>
      <c r="C37" s="71" t="s">
        <v>19</v>
      </c>
      <c r="D37" s="71" t="s">
        <v>141</v>
      </c>
      <c r="E37" s="16"/>
      <c r="F37" s="90" t="s">
        <v>142</v>
      </c>
      <c r="G37" s="89" t="s">
        <v>48</v>
      </c>
      <c r="H37" s="90" t="s">
        <v>143</v>
      </c>
      <c r="I37" s="91" t="s">
        <v>141</v>
      </c>
      <c r="J37" s="15" t="s">
        <v>22</v>
      </c>
      <c r="K37" s="20"/>
      <c r="L37" s="16"/>
      <c r="M37" s="20" t="str">
        <f t="shared" si="0"/>
        <v>Conforme au standard</v>
      </c>
      <c r="N37" s="92" t="s">
        <v>9</v>
      </c>
      <c r="O37" s="22" t="s">
        <v>9</v>
      </c>
      <c r="P37" s="16"/>
      <c r="Q37" s="20"/>
      <c r="R37" s="20"/>
      <c r="S37" s="23" t="s">
        <v>44</v>
      </c>
    </row>
    <row r="38" spans="1:19" ht="39" customHeight="1" outlineLevel="2" x14ac:dyDescent="0.25">
      <c r="A38" s="13" t="s">
        <v>144</v>
      </c>
      <c r="B38" s="14">
        <v>38</v>
      </c>
      <c r="C38" s="74" t="s">
        <v>35</v>
      </c>
      <c r="D38" s="74" t="s">
        <v>24</v>
      </c>
      <c r="E38" s="85"/>
      <c r="F38" s="93" t="s">
        <v>145</v>
      </c>
      <c r="G38" s="89" t="s">
        <v>48</v>
      </c>
      <c r="H38" s="93" t="s">
        <v>146</v>
      </c>
      <c r="I38" s="94" t="s">
        <v>75</v>
      </c>
      <c r="J38" s="74" t="s">
        <v>22</v>
      </c>
      <c r="K38" s="78" t="s">
        <v>23</v>
      </c>
      <c r="L38" s="16"/>
      <c r="M38" s="78" t="str">
        <f t="shared" si="0"/>
        <v>Spécifique Offre</v>
      </c>
      <c r="N38" s="79" t="s">
        <v>9</v>
      </c>
      <c r="O38" s="79" t="s">
        <v>9</v>
      </c>
      <c r="P38" s="16"/>
      <c r="Q38" s="78"/>
      <c r="R38" s="78"/>
      <c r="S38" s="23" t="s">
        <v>24</v>
      </c>
    </row>
    <row r="39" spans="1:19" ht="39" customHeight="1" outlineLevel="2" x14ac:dyDescent="0.25">
      <c r="A39" s="13" t="s">
        <v>147</v>
      </c>
      <c r="B39" s="14">
        <v>39</v>
      </c>
      <c r="C39" s="74" t="s">
        <v>35</v>
      </c>
      <c r="D39" s="74" t="s">
        <v>24</v>
      </c>
      <c r="E39" s="16"/>
      <c r="F39" s="75" t="s">
        <v>148</v>
      </c>
      <c r="G39" s="93" t="s">
        <v>37</v>
      </c>
      <c r="H39" s="93" t="s">
        <v>38</v>
      </c>
      <c r="I39" s="87" t="s">
        <v>75</v>
      </c>
      <c r="J39" s="74" t="s">
        <v>22</v>
      </c>
      <c r="K39" s="78" t="s">
        <v>23</v>
      </c>
      <c r="L39" s="16"/>
      <c r="M39" s="78" t="str">
        <f t="shared" si="0"/>
        <v>Spécifique Offre</v>
      </c>
      <c r="N39" s="103" t="s">
        <v>9</v>
      </c>
      <c r="O39" s="79" t="s">
        <v>9</v>
      </c>
      <c r="P39" s="16"/>
      <c r="Q39" s="78"/>
      <c r="R39" s="78"/>
      <c r="S39" s="81" t="s">
        <v>24</v>
      </c>
    </row>
    <row r="40" spans="1:19" ht="39" customHeight="1" outlineLevel="2" x14ac:dyDescent="0.25">
      <c r="A40" s="13" t="s">
        <v>149</v>
      </c>
      <c r="B40" s="14">
        <v>40</v>
      </c>
      <c r="C40" s="71" t="s">
        <v>19</v>
      </c>
      <c r="D40" s="71" t="s">
        <v>150</v>
      </c>
      <c r="E40" s="16"/>
      <c r="F40" s="90" t="s">
        <v>151</v>
      </c>
      <c r="G40" s="90" t="s">
        <v>54</v>
      </c>
      <c r="H40" s="104" t="s">
        <v>152</v>
      </c>
      <c r="I40" s="19" t="s">
        <v>150</v>
      </c>
      <c r="J40" s="15" t="s">
        <v>22</v>
      </c>
      <c r="K40" s="20"/>
      <c r="L40" s="16"/>
      <c r="M40" s="20" t="str">
        <f t="shared" si="0"/>
        <v>Conforme au standard</v>
      </c>
      <c r="N40" s="92" t="s">
        <v>9</v>
      </c>
      <c r="O40" s="22" t="s">
        <v>9</v>
      </c>
      <c r="P40" s="16"/>
      <c r="Q40" s="20"/>
      <c r="R40" s="20"/>
      <c r="S40" s="23" t="s">
        <v>24</v>
      </c>
    </row>
    <row r="41" spans="1:19" ht="39" customHeight="1" outlineLevel="2" x14ac:dyDescent="0.25">
      <c r="A41" s="13" t="s">
        <v>153</v>
      </c>
      <c r="B41" s="14">
        <v>41</v>
      </c>
      <c r="C41" s="74" t="s">
        <v>19</v>
      </c>
      <c r="D41" s="74" t="s">
        <v>46</v>
      </c>
      <c r="E41" s="16"/>
      <c r="F41" s="93" t="s">
        <v>154</v>
      </c>
      <c r="G41" s="89" t="s">
        <v>48</v>
      </c>
      <c r="H41" s="93" t="s">
        <v>143</v>
      </c>
      <c r="I41" s="94" t="s">
        <v>46</v>
      </c>
      <c r="J41" s="74" t="s">
        <v>22</v>
      </c>
      <c r="K41" s="78" t="s">
        <v>23</v>
      </c>
      <c r="L41" s="16"/>
      <c r="M41" s="78" t="str">
        <f t="shared" si="0"/>
        <v>Non concerné</v>
      </c>
      <c r="N41" s="79" t="s">
        <v>9</v>
      </c>
      <c r="O41" s="79" t="s">
        <v>9</v>
      </c>
      <c r="P41" s="80"/>
      <c r="Q41" s="78"/>
      <c r="R41" s="78"/>
      <c r="S41" s="81" t="s">
        <v>44</v>
      </c>
    </row>
    <row r="42" spans="1:19" ht="39" customHeight="1" outlineLevel="2" x14ac:dyDescent="0.25">
      <c r="A42" s="13" t="s">
        <v>155</v>
      </c>
      <c r="B42" s="14">
        <v>42</v>
      </c>
      <c r="C42" s="74" t="s">
        <v>35</v>
      </c>
      <c r="D42" s="74" t="s">
        <v>24</v>
      </c>
      <c r="E42" s="85"/>
      <c r="F42" s="93" t="s">
        <v>156</v>
      </c>
      <c r="G42" s="89" t="s">
        <v>48</v>
      </c>
      <c r="H42" s="93" t="s">
        <v>146</v>
      </c>
      <c r="I42" s="94" t="s">
        <v>75</v>
      </c>
      <c r="J42" s="74"/>
      <c r="K42" s="78" t="s">
        <v>23</v>
      </c>
      <c r="L42" s="16"/>
      <c r="M42" s="78" t="str">
        <f t="shared" si="0"/>
        <v>Spécifique Offre</v>
      </c>
      <c r="N42" s="79" t="s">
        <v>9</v>
      </c>
      <c r="O42" s="79" t="s">
        <v>9</v>
      </c>
      <c r="P42" s="80"/>
      <c r="Q42" s="78"/>
      <c r="R42" s="78"/>
      <c r="S42" s="81" t="s">
        <v>24</v>
      </c>
    </row>
    <row r="43" spans="1:19" ht="39" customHeight="1" outlineLevel="2" x14ac:dyDescent="0.25">
      <c r="A43" s="13" t="s">
        <v>157</v>
      </c>
      <c r="B43" s="14">
        <v>43</v>
      </c>
      <c r="C43" s="74" t="s">
        <v>35</v>
      </c>
      <c r="D43" s="74" t="s">
        <v>24</v>
      </c>
      <c r="E43" s="16"/>
      <c r="F43" s="93" t="s">
        <v>148</v>
      </c>
      <c r="G43" s="93" t="s">
        <v>37</v>
      </c>
      <c r="H43" s="93" t="s">
        <v>38</v>
      </c>
      <c r="I43" s="87" t="s">
        <v>75</v>
      </c>
      <c r="J43" s="74"/>
      <c r="K43" s="78" t="s">
        <v>23</v>
      </c>
      <c r="L43" s="16"/>
      <c r="M43" s="78" t="str">
        <f t="shared" si="0"/>
        <v>Spécifique Offre</v>
      </c>
      <c r="N43" s="79" t="s">
        <v>9</v>
      </c>
      <c r="O43" s="79" t="s">
        <v>9</v>
      </c>
      <c r="P43" s="80"/>
      <c r="Q43" s="78"/>
      <c r="R43" s="78"/>
      <c r="S43" s="81" t="s">
        <v>24</v>
      </c>
    </row>
    <row r="44" spans="1:19" ht="39" customHeight="1" outlineLevel="2" x14ac:dyDescent="0.25">
      <c r="A44" s="13" t="s">
        <v>158</v>
      </c>
      <c r="B44" s="14">
        <v>44</v>
      </c>
      <c r="C44" s="15" t="s">
        <v>35</v>
      </c>
      <c r="D44" s="15" t="s">
        <v>24</v>
      </c>
      <c r="E44" s="82"/>
      <c r="F44" s="104" t="s">
        <v>159</v>
      </c>
      <c r="G44" s="109" t="s">
        <v>160</v>
      </c>
      <c r="H44" s="106" t="s">
        <v>161</v>
      </c>
      <c r="I44" s="107" t="s">
        <v>162</v>
      </c>
      <c r="J44" s="15" t="s">
        <v>24</v>
      </c>
      <c r="K44" s="20"/>
      <c r="L44" s="16"/>
      <c r="M44" s="20" t="str">
        <f t="shared" si="0"/>
        <v>Spécifique Offre</v>
      </c>
      <c r="N44" s="22" t="s">
        <v>117</v>
      </c>
      <c r="O44" s="22" t="s">
        <v>9</v>
      </c>
      <c r="P44" s="80"/>
      <c r="Q44" s="20"/>
      <c r="R44" s="20"/>
      <c r="S44" s="23" t="s">
        <v>24</v>
      </c>
    </row>
    <row r="45" spans="1:19" ht="39" customHeight="1" x14ac:dyDescent="0.25">
      <c r="A45" s="24" t="s">
        <v>163</v>
      </c>
      <c r="B45" s="14">
        <v>45</v>
      </c>
      <c r="C45" s="110" t="s">
        <v>30</v>
      </c>
      <c r="D45" s="27" t="s">
        <v>24</v>
      </c>
      <c r="E45" s="16"/>
      <c r="F45" s="18" t="s">
        <v>164</v>
      </c>
      <c r="G45" s="111"/>
      <c r="H45" s="111"/>
      <c r="I45" s="112" t="s">
        <v>24</v>
      </c>
      <c r="J45" s="111" t="s">
        <v>24</v>
      </c>
      <c r="K45" s="113"/>
      <c r="L45" s="16"/>
      <c r="M45" s="113" t="str">
        <f t="shared" si="0"/>
        <v/>
      </c>
      <c r="N45" s="113" t="s">
        <v>9</v>
      </c>
      <c r="O45" s="113" t="s">
        <v>9</v>
      </c>
      <c r="P45" s="16"/>
      <c r="Q45" s="113"/>
      <c r="R45" s="113"/>
      <c r="S45" s="114" t="s">
        <v>24</v>
      </c>
    </row>
    <row r="46" spans="1:19" ht="39" customHeight="1" outlineLevel="1" x14ac:dyDescent="0.25">
      <c r="A46" s="108" t="s">
        <v>165</v>
      </c>
      <c r="B46" s="14">
        <v>46</v>
      </c>
      <c r="C46" s="98" t="s">
        <v>30</v>
      </c>
      <c r="D46" s="38" t="s">
        <v>24</v>
      </c>
      <c r="E46" s="16"/>
      <c r="F46" s="34" t="s">
        <v>166</v>
      </c>
      <c r="G46" s="115"/>
      <c r="H46" s="115"/>
      <c r="I46" s="37" t="s">
        <v>24</v>
      </c>
      <c r="J46" s="115" t="s">
        <v>24</v>
      </c>
      <c r="K46" s="39"/>
      <c r="L46" s="16"/>
      <c r="M46" s="40" t="str">
        <f t="shared" si="0"/>
        <v/>
      </c>
      <c r="N46" s="39" t="s">
        <v>9</v>
      </c>
      <c r="O46" s="39" t="s">
        <v>9</v>
      </c>
      <c r="P46" s="16"/>
      <c r="Q46" s="39"/>
      <c r="R46" s="39"/>
      <c r="S46" s="41" t="s">
        <v>24</v>
      </c>
    </row>
    <row r="47" spans="1:19" ht="39" customHeight="1" outlineLevel="2" x14ac:dyDescent="0.25">
      <c r="A47" s="13" t="s">
        <v>167</v>
      </c>
      <c r="B47" s="14">
        <v>47</v>
      </c>
      <c r="C47" s="71" t="s">
        <v>26</v>
      </c>
      <c r="D47" s="71" t="s">
        <v>168</v>
      </c>
      <c r="E47" s="16"/>
      <c r="F47" s="90" t="s">
        <v>169</v>
      </c>
      <c r="G47" s="73" t="s">
        <v>64</v>
      </c>
      <c r="H47" s="104" t="s">
        <v>170</v>
      </c>
      <c r="I47" s="19" t="s">
        <v>168</v>
      </c>
      <c r="J47" s="15" t="s">
        <v>24</v>
      </c>
      <c r="K47" s="20"/>
      <c r="L47" s="16"/>
      <c r="M47" s="20" t="str">
        <f t="shared" si="0"/>
        <v>Conforme au standard</v>
      </c>
      <c r="N47" s="92" t="s">
        <v>9</v>
      </c>
      <c r="O47" s="22" t="s">
        <v>9</v>
      </c>
      <c r="P47" s="16"/>
      <c r="Q47" s="20"/>
      <c r="R47" s="20"/>
      <c r="S47" s="23" t="s">
        <v>24</v>
      </c>
    </row>
    <row r="48" spans="1:19" ht="39" customHeight="1" outlineLevel="2" x14ac:dyDescent="0.25">
      <c r="A48" s="13" t="s">
        <v>171</v>
      </c>
      <c r="B48" s="14">
        <v>48</v>
      </c>
      <c r="C48" s="71" t="s">
        <v>26</v>
      </c>
      <c r="D48" s="71" t="s">
        <v>172</v>
      </c>
      <c r="E48" s="16"/>
      <c r="F48" s="90" t="s">
        <v>173</v>
      </c>
      <c r="G48" s="73" t="s">
        <v>64</v>
      </c>
      <c r="H48" s="104" t="s">
        <v>174</v>
      </c>
      <c r="I48" s="19" t="s">
        <v>172</v>
      </c>
      <c r="J48" s="15" t="s">
        <v>22</v>
      </c>
      <c r="K48" s="20"/>
      <c r="L48" s="16"/>
      <c r="M48" s="20" t="str">
        <f t="shared" si="0"/>
        <v>Conforme au standard</v>
      </c>
      <c r="N48" s="92" t="s">
        <v>9</v>
      </c>
      <c r="O48" s="22" t="s">
        <v>9</v>
      </c>
      <c r="P48" s="16"/>
      <c r="Q48" s="20"/>
      <c r="R48" s="20"/>
      <c r="S48" s="23" t="s">
        <v>24</v>
      </c>
    </row>
    <row r="49" spans="1:19" ht="39" customHeight="1" outlineLevel="2" x14ac:dyDescent="0.25">
      <c r="A49" s="13" t="s">
        <v>175</v>
      </c>
      <c r="B49" s="14">
        <v>49</v>
      </c>
      <c r="C49" s="74" t="s">
        <v>26</v>
      </c>
      <c r="D49" s="74" t="s">
        <v>176</v>
      </c>
      <c r="E49" s="16"/>
      <c r="F49" s="93" t="s">
        <v>177</v>
      </c>
      <c r="G49" s="76" t="s">
        <v>64</v>
      </c>
      <c r="H49" s="93" t="s">
        <v>178</v>
      </c>
      <c r="I49" s="87" t="s">
        <v>179</v>
      </c>
      <c r="J49" s="74" t="s">
        <v>24</v>
      </c>
      <c r="K49" s="78" t="s">
        <v>23</v>
      </c>
      <c r="L49" s="16"/>
      <c r="M49" s="78" t="str">
        <f t="shared" si="0"/>
        <v>Non concerné</v>
      </c>
      <c r="N49" s="79" t="s">
        <v>9</v>
      </c>
      <c r="O49" s="79" t="s">
        <v>9</v>
      </c>
      <c r="P49" s="80"/>
      <c r="Q49" s="78"/>
      <c r="R49" s="78"/>
      <c r="S49" s="81" t="s">
        <v>24</v>
      </c>
    </row>
    <row r="50" spans="1:19" ht="39" customHeight="1" outlineLevel="2" x14ac:dyDescent="0.25">
      <c r="A50" s="13" t="s">
        <v>180</v>
      </c>
      <c r="B50" s="14">
        <v>50</v>
      </c>
      <c r="C50" s="74" t="s">
        <v>35</v>
      </c>
      <c r="D50" s="74" t="s">
        <v>24</v>
      </c>
      <c r="E50" s="16"/>
      <c r="F50" s="93" t="s">
        <v>181</v>
      </c>
      <c r="G50" s="76" t="s">
        <v>37</v>
      </c>
      <c r="H50" s="76" t="s">
        <v>38</v>
      </c>
      <c r="I50" s="87" t="s">
        <v>24</v>
      </c>
      <c r="J50" s="74" t="s">
        <v>24</v>
      </c>
      <c r="K50" s="78"/>
      <c r="L50" s="16"/>
      <c r="M50" s="78" t="str">
        <f t="shared" si="0"/>
        <v>Renseigner la réponse DCO</v>
      </c>
      <c r="N50" s="79" t="s">
        <v>9</v>
      </c>
      <c r="O50" s="79" t="s">
        <v>9</v>
      </c>
      <c r="P50" s="80"/>
      <c r="Q50" s="78"/>
      <c r="R50" s="78"/>
      <c r="S50" s="81" t="s">
        <v>24</v>
      </c>
    </row>
    <row r="51" spans="1:19" ht="39" customHeight="1" outlineLevel="2" x14ac:dyDescent="0.25">
      <c r="A51" s="13" t="s">
        <v>182</v>
      </c>
      <c r="B51" s="14">
        <v>51</v>
      </c>
      <c r="C51" s="71" t="s">
        <v>35</v>
      </c>
      <c r="D51" s="71" t="s">
        <v>24</v>
      </c>
      <c r="E51" s="16"/>
      <c r="F51" s="88" t="s">
        <v>183</v>
      </c>
      <c r="G51" s="73" t="s">
        <v>37</v>
      </c>
      <c r="H51" s="73" t="s">
        <v>38</v>
      </c>
      <c r="I51" s="19" t="s">
        <v>24</v>
      </c>
      <c r="J51" s="15" t="s">
        <v>24</v>
      </c>
      <c r="K51" s="20"/>
      <c r="L51" s="16"/>
      <c r="M51" s="20" t="str">
        <f t="shared" si="0"/>
        <v>Renseigner la réponse DCO</v>
      </c>
      <c r="N51" s="92" t="s">
        <v>9</v>
      </c>
      <c r="O51" s="22" t="s">
        <v>9</v>
      </c>
      <c r="P51" s="16"/>
      <c r="Q51" s="20"/>
      <c r="R51" s="20"/>
      <c r="S51" s="23" t="s">
        <v>24</v>
      </c>
    </row>
    <row r="52" spans="1:19" ht="39" customHeight="1" outlineLevel="1" x14ac:dyDescent="0.25">
      <c r="A52" s="108" t="s">
        <v>184</v>
      </c>
      <c r="B52" s="14">
        <v>52</v>
      </c>
      <c r="C52" s="98" t="s">
        <v>30</v>
      </c>
      <c r="D52" s="38" t="s">
        <v>24</v>
      </c>
      <c r="E52" s="16"/>
      <c r="F52" s="34" t="s">
        <v>185</v>
      </c>
      <c r="G52" s="34"/>
      <c r="H52" s="34"/>
      <c r="I52" s="37" t="s">
        <v>24</v>
      </c>
      <c r="J52" s="115" t="s">
        <v>24</v>
      </c>
      <c r="K52" s="39"/>
      <c r="L52" s="16"/>
      <c r="M52" s="40" t="str">
        <f t="shared" si="0"/>
        <v/>
      </c>
      <c r="N52" s="39" t="s">
        <v>9</v>
      </c>
      <c r="O52" s="39" t="s">
        <v>9</v>
      </c>
      <c r="P52" s="16"/>
      <c r="Q52" s="39"/>
      <c r="R52" s="39"/>
      <c r="S52" s="41" t="s">
        <v>24</v>
      </c>
    </row>
    <row r="53" spans="1:19" ht="39" customHeight="1" outlineLevel="2" x14ac:dyDescent="0.25">
      <c r="A53" s="13" t="s">
        <v>186</v>
      </c>
      <c r="B53" s="14">
        <v>53</v>
      </c>
      <c r="C53" s="71" t="s">
        <v>35</v>
      </c>
      <c r="D53" s="71" t="s">
        <v>24</v>
      </c>
      <c r="E53" s="16"/>
      <c r="F53" s="88" t="s">
        <v>187</v>
      </c>
      <c r="G53" s="116" t="s">
        <v>188</v>
      </c>
      <c r="H53" s="106" t="s">
        <v>188</v>
      </c>
      <c r="I53" s="107" t="s">
        <v>189</v>
      </c>
      <c r="J53" s="15" t="s">
        <v>24</v>
      </c>
      <c r="K53" s="20"/>
      <c r="L53" s="16"/>
      <c r="M53" s="20" t="str">
        <f t="shared" si="0"/>
        <v>Spécifique Offre</v>
      </c>
      <c r="N53" s="92" t="s">
        <v>117</v>
      </c>
      <c r="O53" s="22" t="s">
        <v>9</v>
      </c>
      <c r="P53" s="16"/>
      <c r="Q53" s="20"/>
      <c r="R53" s="20"/>
      <c r="S53" s="23" t="s">
        <v>24</v>
      </c>
    </row>
    <row r="54" spans="1:19" ht="39" customHeight="1" outlineLevel="2" x14ac:dyDescent="0.25">
      <c r="A54" s="13" t="s">
        <v>190</v>
      </c>
      <c r="B54" s="14">
        <v>54</v>
      </c>
      <c r="C54" s="71" t="s">
        <v>35</v>
      </c>
      <c r="D54" s="71" t="s">
        <v>24</v>
      </c>
      <c r="E54" s="16"/>
      <c r="F54" s="88" t="s">
        <v>191</v>
      </c>
      <c r="G54" s="73" t="s">
        <v>37</v>
      </c>
      <c r="H54" s="73" t="s">
        <v>38</v>
      </c>
      <c r="I54" s="19" t="s">
        <v>24</v>
      </c>
      <c r="J54" s="15"/>
      <c r="K54" s="20"/>
      <c r="L54" s="16"/>
      <c r="M54" s="20" t="str">
        <f t="shared" si="0"/>
        <v>Renseigner la réponse DCO</v>
      </c>
      <c r="N54" s="92" t="s">
        <v>9</v>
      </c>
      <c r="O54" s="22" t="s">
        <v>9</v>
      </c>
      <c r="P54" s="16"/>
      <c r="Q54" s="20"/>
      <c r="R54" s="20"/>
      <c r="S54" s="23" t="s">
        <v>24</v>
      </c>
    </row>
    <row r="55" spans="1:19" ht="39" customHeight="1" outlineLevel="2" x14ac:dyDescent="0.25">
      <c r="A55" s="13" t="s">
        <v>192</v>
      </c>
      <c r="B55" s="14">
        <v>55</v>
      </c>
      <c r="C55" s="71" t="s">
        <v>35</v>
      </c>
      <c r="D55" s="71" t="s">
        <v>24</v>
      </c>
      <c r="E55" s="16"/>
      <c r="F55" s="88" t="s">
        <v>193</v>
      </c>
      <c r="G55" s="73" t="s">
        <v>37</v>
      </c>
      <c r="H55" s="73" t="s">
        <v>38</v>
      </c>
      <c r="I55" s="19" t="s">
        <v>24</v>
      </c>
      <c r="J55" s="15"/>
      <c r="K55" s="20"/>
      <c r="L55" s="16"/>
      <c r="M55" s="20" t="str">
        <f t="shared" si="0"/>
        <v>Renseigner la réponse DCO</v>
      </c>
      <c r="N55" s="92" t="s">
        <v>9</v>
      </c>
      <c r="O55" s="22" t="s">
        <v>9</v>
      </c>
      <c r="P55" s="16"/>
      <c r="Q55" s="20"/>
      <c r="R55" s="20"/>
      <c r="S55" s="23" t="s">
        <v>24</v>
      </c>
    </row>
    <row r="56" spans="1:19" ht="39" customHeight="1" x14ac:dyDescent="0.25">
      <c r="A56" s="24" t="s">
        <v>194</v>
      </c>
      <c r="B56" s="14">
        <v>56</v>
      </c>
      <c r="C56" s="110" t="s">
        <v>30</v>
      </c>
      <c r="D56" s="27" t="s">
        <v>24</v>
      </c>
      <c r="E56" s="16"/>
      <c r="F56" s="18" t="s">
        <v>195</v>
      </c>
      <c r="G56" s="111"/>
      <c r="H56" s="111"/>
      <c r="I56" s="26" t="s">
        <v>24</v>
      </c>
      <c r="J56" s="3" t="s">
        <v>24</v>
      </c>
      <c r="K56" s="113"/>
      <c r="L56" s="16"/>
      <c r="M56" s="113" t="str">
        <f t="shared" si="0"/>
        <v/>
      </c>
      <c r="N56" s="113" t="s">
        <v>9</v>
      </c>
      <c r="O56" s="113" t="s">
        <v>9</v>
      </c>
      <c r="P56" s="16"/>
      <c r="Q56" s="113"/>
      <c r="R56" s="113"/>
      <c r="S56" s="114" t="s">
        <v>24</v>
      </c>
    </row>
    <row r="57" spans="1:19" ht="39" customHeight="1" outlineLevel="1" x14ac:dyDescent="0.25">
      <c r="A57" s="108" t="s">
        <v>196</v>
      </c>
      <c r="B57" s="14">
        <v>57</v>
      </c>
      <c r="C57" s="98" t="s">
        <v>30</v>
      </c>
      <c r="D57" s="38" t="s">
        <v>24</v>
      </c>
      <c r="E57" s="16"/>
      <c r="F57" s="34" t="s">
        <v>197</v>
      </c>
      <c r="G57" s="34"/>
      <c r="H57" s="34"/>
      <c r="I57" s="37" t="s">
        <v>24</v>
      </c>
      <c r="J57" s="117" t="s">
        <v>24</v>
      </c>
      <c r="K57" s="39"/>
      <c r="L57" s="16"/>
      <c r="M57" s="40" t="str">
        <f t="shared" si="0"/>
        <v/>
      </c>
      <c r="N57" s="39" t="s">
        <v>9</v>
      </c>
      <c r="O57" s="39" t="s">
        <v>9</v>
      </c>
      <c r="P57" s="16"/>
      <c r="Q57" s="39"/>
      <c r="R57" s="39"/>
      <c r="S57" s="41" t="s">
        <v>24</v>
      </c>
    </row>
    <row r="58" spans="1:19" ht="39" customHeight="1" outlineLevel="2" x14ac:dyDescent="0.25">
      <c r="A58" s="13" t="s">
        <v>198</v>
      </c>
      <c r="B58" s="14">
        <v>58</v>
      </c>
      <c r="C58" s="71" t="s">
        <v>51</v>
      </c>
      <c r="D58" s="71" t="s">
        <v>199</v>
      </c>
      <c r="E58" s="16"/>
      <c r="F58" s="73" t="s">
        <v>200</v>
      </c>
      <c r="G58" s="73" t="s">
        <v>64</v>
      </c>
      <c r="H58" s="104" t="s">
        <v>201</v>
      </c>
      <c r="I58" s="19" t="s">
        <v>199</v>
      </c>
      <c r="J58" s="15" t="s">
        <v>22</v>
      </c>
      <c r="K58" s="20"/>
      <c r="L58" s="16"/>
      <c r="M58" s="20" t="str">
        <f t="shared" si="0"/>
        <v>Conforme au standard</v>
      </c>
      <c r="N58" s="92" t="s">
        <v>9</v>
      </c>
      <c r="O58" s="22" t="s">
        <v>9</v>
      </c>
      <c r="P58" s="16"/>
      <c r="Q58" s="20"/>
      <c r="R58" s="20"/>
      <c r="S58" s="23" t="s">
        <v>24</v>
      </c>
    </row>
    <row r="59" spans="1:19" ht="39" customHeight="1" outlineLevel="2" x14ac:dyDescent="0.25">
      <c r="A59" s="13" t="s">
        <v>202</v>
      </c>
      <c r="B59" s="14">
        <v>59</v>
      </c>
      <c r="C59" s="74" t="s">
        <v>35</v>
      </c>
      <c r="D59" s="74" t="s">
        <v>24</v>
      </c>
      <c r="E59" s="16"/>
      <c r="F59" s="76" t="s">
        <v>203</v>
      </c>
      <c r="G59" s="76" t="s">
        <v>64</v>
      </c>
      <c r="H59" s="93" t="s">
        <v>204</v>
      </c>
      <c r="I59" s="87" t="s">
        <v>75</v>
      </c>
      <c r="J59" s="74" t="s">
        <v>24</v>
      </c>
      <c r="K59" s="78" t="s">
        <v>23</v>
      </c>
      <c r="L59" s="16"/>
      <c r="M59" s="78" t="str">
        <f t="shared" si="0"/>
        <v>Spécifique Offre</v>
      </c>
      <c r="N59" s="79" t="s">
        <v>9</v>
      </c>
      <c r="O59" s="79" t="s">
        <v>9</v>
      </c>
      <c r="P59" s="80"/>
      <c r="Q59" s="78"/>
      <c r="R59" s="78"/>
      <c r="S59" s="81" t="s">
        <v>24</v>
      </c>
    </row>
    <row r="60" spans="1:19" ht="39" customHeight="1" outlineLevel="2" x14ac:dyDescent="0.25">
      <c r="A60" s="13" t="s">
        <v>205</v>
      </c>
      <c r="B60" s="14">
        <v>60</v>
      </c>
      <c r="C60" s="71" t="s">
        <v>51</v>
      </c>
      <c r="D60" s="71" t="s">
        <v>206</v>
      </c>
      <c r="E60" s="16"/>
      <c r="F60" s="73" t="s">
        <v>207</v>
      </c>
      <c r="G60" s="73" t="s">
        <v>64</v>
      </c>
      <c r="H60" s="97" t="s">
        <v>208</v>
      </c>
      <c r="I60" s="19" t="s">
        <v>206</v>
      </c>
      <c r="J60" s="15" t="s">
        <v>22</v>
      </c>
      <c r="K60" s="20"/>
      <c r="L60" s="16"/>
      <c r="M60" s="20" t="str">
        <f t="shared" si="0"/>
        <v>Conforme au standard</v>
      </c>
      <c r="N60" s="92" t="s">
        <v>9</v>
      </c>
      <c r="O60" s="22" t="s">
        <v>9</v>
      </c>
      <c r="P60" s="16"/>
      <c r="Q60" s="20"/>
      <c r="R60" s="20"/>
      <c r="S60" s="23" t="s">
        <v>24</v>
      </c>
    </row>
    <row r="61" spans="1:19" ht="39" customHeight="1" outlineLevel="2" x14ac:dyDescent="0.25">
      <c r="A61" s="13" t="s">
        <v>209</v>
      </c>
      <c r="B61" s="14">
        <v>61</v>
      </c>
      <c r="C61" s="15" t="s">
        <v>26</v>
      </c>
      <c r="D61" s="15" t="s">
        <v>210</v>
      </c>
      <c r="E61" s="16"/>
      <c r="F61" s="97" t="s">
        <v>211</v>
      </c>
      <c r="G61" s="97" t="s">
        <v>64</v>
      </c>
      <c r="H61" s="97" t="s">
        <v>212</v>
      </c>
      <c r="I61" s="19" t="s">
        <v>210</v>
      </c>
      <c r="J61" s="74" t="s">
        <v>22</v>
      </c>
      <c r="K61" s="78"/>
      <c r="L61" s="16"/>
      <c r="M61" s="20" t="str">
        <f t="shared" si="0"/>
        <v>Conforme au standard</v>
      </c>
      <c r="N61" s="21" t="s">
        <v>9</v>
      </c>
      <c r="O61" s="22" t="s">
        <v>9</v>
      </c>
      <c r="P61" s="80"/>
      <c r="Q61" s="20"/>
      <c r="R61" s="20"/>
      <c r="S61" s="81" t="s">
        <v>44</v>
      </c>
    </row>
    <row r="62" spans="1:19" ht="39" customHeight="1" outlineLevel="2" x14ac:dyDescent="0.25">
      <c r="A62" s="13" t="s">
        <v>213</v>
      </c>
      <c r="B62" s="14">
        <v>62</v>
      </c>
      <c r="C62" s="74" t="s">
        <v>35</v>
      </c>
      <c r="D62" s="74" t="s">
        <v>24</v>
      </c>
      <c r="E62" s="16"/>
      <c r="F62" s="76" t="s">
        <v>214</v>
      </c>
      <c r="G62" s="76" t="s">
        <v>64</v>
      </c>
      <c r="H62" s="76" t="s">
        <v>215</v>
      </c>
      <c r="I62" s="87" t="s">
        <v>75</v>
      </c>
      <c r="J62" s="74" t="s">
        <v>22</v>
      </c>
      <c r="K62" s="78" t="s">
        <v>23</v>
      </c>
      <c r="L62" s="16"/>
      <c r="M62" s="78" t="str">
        <f t="shared" si="0"/>
        <v>Spécifique Offre</v>
      </c>
      <c r="N62" s="79" t="s">
        <v>9</v>
      </c>
      <c r="O62" s="79" t="s">
        <v>9</v>
      </c>
      <c r="P62" s="80"/>
      <c r="Q62" s="78"/>
      <c r="R62" s="78"/>
      <c r="S62" s="81" t="s">
        <v>24</v>
      </c>
    </row>
    <row r="63" spans="1:19" ht="39" customHeight="1" outlineLevel="2" x14ac:dyDescent="0.25">
      <c r="A63" s="13" t="s">
        <v>216</v>
      </c>
      <c r="B63" s="14">
        <v>63</v>
      </c>
      <c r="C63" s="74" t="s">
        <v>35</v>
      </c>
      <c r="D63" s="74" t="s">
        <v>24</v>
      </c>
      <c r="E63" s="16"/>
      <c r="F63" s="76" t="s">
        <v>217</v>
      </c>
      <c r="G63" s="76" t="s">
        <v>37</v>
      </c>
      <c r="H63" s="76" t="s">
        <v>38</v>
      </c>
      <c r="I63" s="87" t="s">
        <v>75</v>
      </c>
      <c r="J63" s="74"/>
      <c r="K63" s="78" t="s">
        <v>23</v>
      </c>
      <c r="L63" s="16"/>
      <c r="M63" s="78" t="str">
        <f t="shared" si="0"/>
        <v>Spécifique Offre</v>
      </c>
      <c r="N63" s="79" t="s">
        <v>9</v>
      </c>
      <c r="O63" s="79" t="s">
        <v>9</v>
      </c>
      <c r="P63" s="80"/>
      <c r="Q63" s="78"/>
      <c r="R63" s="78"/>
      <c r="S63" s="81" t="s">
        <v>24</v>
      </c>
    </row>
    <row r="64" spans="1:19" ht="39" customHeight="1" outlineLevel="2" x14ac:dyDescent="0.25">
      <c r="A64" s="13" t="s">
        <v>218</v>
      </c>
      <c r="B64" s="14">
        <v>64</v>
      </c>
      <c r="C64" s="74" t="s">
        <v>35</v>
      </c>
      <c r="D64" s="74" t="s">
        <v>24</v>
      </c>
      <c r="E64" s="16"/>
      <c r="F64" s="76" t="s">
        <v>219</v>
      </c>
      <c r="G64" s="76" t="s">
        <v>37</v>
      </c>
      <c r="H64" s="76" t="s">
        <v>38</v>
      </c>
      <c r="I64" s="87" t="s">
        <v>75</v>
      </c>
      <c r="J64" s="74"/>
      <c r="K64" s="78" t="s">
        <v>23</v>
      </c>
      <c r="L64" s="16"/>
      <c r="M64" s="78" t="str">
        <f t="shared" si="0"/>
        <v>Spécifique Offre</v>
      </c>
      <c r="N64" s="79" t="s">
        <v>9</v>
      </c>
      <c r="O64" s="79" t="s">
        <v>9</v>
      </c>
      <c r="P64" s="80"/>
      <c r="Q64" s="78"/>
      <c r="R64" s="78"/>
      <c r="S64" s="81" t="s">
        <v>24</v>
      </c>
    </row>
    <row r="65" spans="1:19" ht="39" customHeight="1" outlineLevel="2" x14ac:dyDescent="0.25">
      <c r="A65" s="13" t="s">
        <v>220</v>
      </c>
      <c r="B65" s="14">
        <v>65</v>
      </c>
      <c r="C65" s="74" t="s">
        <v>35</v>
      </c>
      <c r="D65" s="74" t="s">
        <v>24</v>
      </c>
      <c r="E65" s="16"/>
      <c r="F65" s="76" t="s">
        <v>221</v>
      </c>
      <c r="G65" s="118" t="s">
        <v>114</v>
      </c>
      <c r="H65" s="93" t="s">
        <v>115</v>
      </c>
      <c r="I65" s="119" t="s">
        <v>116</v>
      </c>
      <c r="J65" s="74"/>
      <c r="K65" s="78" t="s">
        <v>23</v>
      </c>
      <c r="L65" s="16"/>
      <c r="M65" s="78" t="str">
        <f t="shared" ref="M65:M128" si="1">IF(OR(A65="",LEFT(A65,3)="ElT"),"",IF(AND(OR(C65="Titre",LEFT(I65,11)="Non concern",NOT(ISERROR(SEARCH("annex",G65,1)))),C65&lt;&gt;"Sp"),IF(D65="","Non concerné",IF(LEFT(D65,11)="non concern","Non concerné","Non conforme au standard")),IF(AND(C65="Sp",I65&lt;&gt;""),"Spécifique Offre",IF(AND(OR(C65="",D65=""),C65&lt;&gt;"Sp"),MessageStandardIncomplet,IF(I65="",ReponseNonSaisie,IF(S65="=",IF(I65=D65,"Conforme au standard",IF(I65=StandardNonApplicable,"Non concerné","Non conforme au standard")),IF(NOT(ISERROR(SEARCH(D65,I65,1))),"Conforme au standard",IF(I65=StandardNonApplicable,"Non concerné","Non conforme au standard"))))))))</f>
        <v>Spécifique Offre</v>
      </c>
      <c r="N65" s="79" t="s">
        <v>117</v>
      </c>
      <c r="O65" s="79" t="s">
        <v>9</v>
      </c>
      <c r="P65" s="80"/>
      <c r="Q65" s="78"/>
      <c r="R65" s="78"/>
      <c r="S65" s="81" t="s">
        <v>24</v>
      </c>
    </row>
    <row r="66" spans="1:19" ht="39" customHeight="1" outlineLevel="2" x14ac:dyDescent="0.25">
      <c r="A66" s="13" t="s">
        <v>222</v>
      </c>
      <c r="B66" s="14">
        <v>66</v>
      </c>
      <c r="C66" s="74" t="s">
        <v>35</v>
      </c>
      <c r="D66" s="74" t="s">
        <v>24</v>
      </c>
      <c r="E66" s="16"/>
      <c r="F66" s="76" t="s">
        <v>223</v>
      </c>
      <c r="G66" s="118" t="s">
        <v>114</v>
      </c>
      <c r="H66" s="93" t="s">
        <v>115</v>
      </c>
      <c r="I66" s="119" t="s">
        <v>116</v>
      </c>
      <c r="J66" s="74" t="s">
        <v>24</v>
      </c>
      <c r="K66" s="78" t="s">
        <v>23</v>
      </c>
      <c r="L66" s="16"/>
      <c r="M66" s="78" t="str">
        <f t="shared" si="1"/>
        <v>Spécifique Offre</v>
      </c>
      <c r="N66" s="79" t="s">
        <v>117</v>
      </c>
      <c r="O66" s="79" t="s">
        <v>9</v>
      </c>
      <c r="P66" s="80"/>
      <c r="Q66" s="78"/>
      <c r="R66" s="78"/>
      <c r="S66" s="81" t="s">
        <v>24</v>
      </c>
    </row>
    <row r="67" spans="1:19" ht="39" customHeight="1" outlineLevel="2" x14ac:dyDescent="0.25">
      <c r="A67" s="13" t="s">
        <v>224</v>
      </c>
      <c r="B67" s="14">
        <v>67</v>
      </c>
      <c r="C67" s="74" t="s">
        <v>35</v>
      </c>
      <c r="D67" s="74" t="s">
        <v>24</v>
      </c>
      <c r="E67" s="16"/>
      <c r="F67" s="76" t="s">
        <v>225</v>
      </c>
      <c r="G67" s="76" t="s">
        <v>64</v>
      </c>
      <c r="H67" s="76" t="s">
        <v>226</v>
      </c>
      <c r="I67" s="87" t="s">
        <v>75</v>
      </c>
      <c r="J67" s="74" t="s">
        <v>22</v>
      </c>
      <c r="K67" s="78" t="s">
        <v>23</v>
      </c>
      <c r="L67" s="16"/>
      <c r="M67" s="78" t="str">
        <f t="shared" si="1"/>
        <v>Spécifique Offre</v>
      </c>
      <c r="N67" s="79" t="s">
        <v>9</v>
      </c>
      <c r="O67" s="79" t="s">
        <v>9</v>
      </c>
      <c r="P67" s="80"/>
      <c r="Q67" s="78"/>
      <c r="R67" s="78"/>
      <c r="S67" s="81" t="s">
        <v>24</v>
      </c>
    </row>
    <row r="68" spans="1:19" ht="39" customHeight="1" outlineLevel="2" x14ac:dyDescent="0.25">
      <c r="A68" s="13" t="s">
        <v>227</v>
      </c>
      <c r="B68" s="14">
        <v>68</v>
      </c>
      <c r="C68" s="74" t="s">
        <v>35</v>
      </c>
      <c r="D68" s="74" t="s">
        <v>24</v>
      </c>
      <c r="E68" s="16"/>
      <c r="F68" s="76" t="s">
        <v>228</v>
      </c>
      <c r="G68" s="118" t="s">
        <v>114</v>
      </c>
      <c r="H68" s="93" t="s">
        <v>115</v>
      </c>
      <c r="I68" s="119" t="s">
        <v>116</v>
      </c>
      <c r="J68" s="74"/>
      <c r="K68" s="78" t="s">
        <v>23</v>
      </c>
      <c r="L68" s="16"/>
      <c r="M68" s="78" t="str">
        <f t="shared" si="1"/>
        <v>Spécifique Offre</v>
      </c>
      <c r="N68" s="79" t="s">
        <v>117</v>
      </c>
      <c r="O68" s="79" t="s">
        <v>9</v>
      </c>
      <c r="P68" s="80"/>
      <c r="Q68" s="78"/>
      <c r="R68" s="78"/>
      <c r="S68" s="81" t="s">
        <v>24</v>
      </c>
    </row>
    <row r="69" spans="1:19" ht="39" customHeight="1" outlineLevel="1" x14ac:dyDescent="0.25">
      <c r="A69" s="108" t="s">
        <v>229</v>
      </c>
      <c r="B69" s="14">
        <v>69</v>
      </c>
      <c r="C69" s="98" t="s">
        <v>30</v>
      </c>
      <c r="D69" s="38" t="s">
        <v>24</v>
      </c>
      <c r="E69" s="16"/>
      <c r="F69" s="35" t="s">
        <v>230</v>
      </c>
      <c r="G69" s="120"/>
      <c r="H69" s="120"/>
      <c r="I69" s="99" t="s">
        <v>24</v>
      </c>
      <c r="J69" s="120" t="s">
        <v>24</v>
      </c>
      <c r="K69" s="39"/>
      <c r="L69" s="16"/>
      <c r="M69" s="40" t="str">
        <f t="shared" si="1"/>
        <v/>
      </c>
      <c r="N69" s="39" t="s">
        <v>9</v>
      </c>
      <c r="O69" s="39" t="s">
        <v>9</v>
      </c>
      <c r="P69" s="16"/>
      <c r="Q69" s="39"/>
      <c r="R69" s="39"/>
      <c r="S69" s="41" t="s">
        <v>24</v>
      </c>
    </row>
    <row r="70" spans="1:19" ht="39" customHeight="1" outlineLevel="2" x14ac:dyDescent="0.25">
      <c r="A70" s="13" t="s">
        <v>231</v>
      </c>
      <c r="B70" s="14">
        <v>70</v>
      </c>
      <c r="C70" s="71" t="s">
        <v>51</v>
      </c>
      <c r="D70" s="71" t="s">
        <v>232</v>
      </c>
      <c r="E70" s="16"/>
      <c r="F70" s="121" t="s">
        <v>233</v>
      </c>
      <c r="G70" s="73" t="s">
        <v>64</v>
      </c>
      <c r="H70" s="73" t="s">
        <v>234</v>
      </c>
      <c r="I70" s="122" t="s">
        <v>232</v>
      </c>
      <c r="J70" s="15" t="s">
        <v>22</v>
      </c>
      <c r="K70" s="20"/>
      <c r="L70" s="16"/>
      <c r="M70" s="20" t="str">
        <f t="shared" si="1"/>
        <v>Conforme au standard</v>
      </c>
      <c r="N70" s="92" t="s">
        <v>9</v>
      </c>
      <c r="O70" s="22" t="s">
        <v>9</v>
      </c>
      <c r="P70" s="16"/>
      <c r="Q70" s="20"/>
      <c r="R70" s="20"/>
      <c r="S70" s="23" t="s">
        <v>44</v>
      </c>
    </row>
    <row r="71" spans="1:19" ht="39" customHeight="1" outlineLevel="2" x14ac:dyDescent="0.25">
      <c r="A71" s="123" t="s">
        <v>235</v>
      </c>
      <c r="B71" s="14">
        <v>71</v>
      </c>
      <c r="C71" s="124" t="s">
        <v>30</v>
      </c>
      <c r="D71" s="125" t="s">
        <v>24</v>
      </c>
      <c r="E71" s="16"/>
      <c r="F71" s="126" t="s">
        <v>236</v>
      </c>
      <c r="G71" s="127"/>
      <c r="H71" s="127"/>
      <c r="I71" s="128" t="s">
        <v>75</v>
      </c>
      <c r="J71" s="129"/>
      <c r="K71" s="130" t="s">
        <v>23</v>
      </c>
      <c r="L71" s="16"/>
      <c r="M71" s="130" t="str">
        <f t="shared" si="1"/>
        <v/>
      </c>
      <c r="N71" s="130" t="s">
        <v>9</v>
      </c>
      <c r="O71" s="130" t="s">
        <v>9</v>
      </c>
      <c r="P71" s="16"/>
      <c r="Q71" s="130"/>
      <c r="R71" s="130"/>
      <c r="S71" s="131" t="s">
        <v>24</v>
      </c>
    </row>
    <row r="72" spans="1:19" ht="39" customHeight="1" outlineLevel="2" x14ac:dyDescent="0.25">
      <c r="A72" s="13" t="s">
        <v>237</v>
      </c>
      <c r="B72" s="14">
        <v>72</v>
      </c>
      <c r="C72" s="15" t="s">
        <v>35</v>
      </c>
      <c r="D72" s="15" t="s">
        <v>24</v>
      </c>
      <c r="E72" s="16"/>
      <c r="F72" s="97" t="s">
        <v>238</v>
      </c>
      <c r="G72" s="97" t="s">
        <v>114</v>
      </c>
      <c r="H72" s="90" t="s">
        <v>115</v>
      </c>
      <c r="I72" s="107" t="s">
        <v>116</v>
      </c>
      <c r="J72" s="15"/>
      <c r="K72" s="20" t="s">
        <v>23</v>
      </c>
      <c r="L72" s="16"/>
      <c r="M72" s="20" t="str">
        <f t="shared" si="1"/>
        <v>Spécifique Offre</v>
      </c>
      <c r="N72" s="21" t="s">
        <v>117</v>
      </c>
      <c r="O72" s="22" t="s">
        <v>9</v>
      </c>
      <c r="P72" s="16"/>
      <c r="Q72" s="20"/>
      <c r="R72" s="20"/>
      <c r="S72" s="23" t="s">
        <v>24</v>
      </c>
    </row>
    <row r="73" spans="1:19" ht="39" customHeight="1" outlineLevel="2" x14ac:dyDescent="0.25">
      <c r="A73" s="13" t="s">
        <v>239</v>
      </c>
      <c r="B73" s="14">
        <v>73</v>
      </c>
      <c r="C73" s="71" t="s">
        <v>51</v>
      </c>
      <c r="D73" s="71" t="s">
        <v>240</v>
      </c>
      <c r="E73" s="16"/>
      <c r="F73" s="121" t="s">
        <v>241</v>
      </c>
      <c r="G73" s="73" t="s">
        <v>64</v>
      </c>
      <c r="H73" s="104" t="s">
        <v>242</v>
      </c>
      <c r="I73" s="19" t="s">
        <v>179</v>
      </c>
      <c r="K73" s="20" t="s">
        <v>23</v>
      </c>
      <c r="L73" s="16"/>
      <c r="M73" s="20" t="str">
        <f t="shared" si="1"/>
        <v>Non concerné</v>
      </c>
      <c r="N73" s="92" t="s">
        <v>9</v>
      </c>
      <c r="O73" s="22" t="s">
        <v>9</v>
      </c>
      <c r="P73" s="16"/>
      <c r="Q73" s="20"/>
      <c r="R73" s="20"/>
      <c r="S73" s="23" t="s">
        <v>24</v>
      </c>
    </row>
    <row r="74" spans="1:19" ht="39" customHeight="1" outlineLevel="2" x14ac:dyDescent="0.25">
      <c r="A74" s="13" t="s">
        <v>243</v>
      </c>
      <c r="B74" s="14">
        <v>74</v>
      </c>
      <c r="C74" s="71" t="s">
        <v>51</v>
      </c>
      <c r="D74" s="71" t="s">
        <v>244</v>
      </c>
      <c r="E74" s="16"/>
      <c r="F74" s="121" t="s">
        <v>245</v>
      </c>
      <c r="G74" s="73" t="s">
        <v>64</v>
      </c>
      <c r="H74" s="104" t="s">
        <v>246</v>
      </c>
      <c r="I74" s="19" t="s">
        <v>179</v>
      </c>
      <c r="J74" s="15"/>
      <c r="K74" s="20" t="s">
        <v>23</v>
      </c>
      <c r="L74" s="16"/>
      <c r="M74" s="20" t="str">
        <f t="shared" si="1"/>
        <v>Non concerné</v>
      </c>
      <c r="N74" s="92" t="s">
        <v>9</v>
      </c>
      <c r="O74" s="22" t="s">
        <v>9</v>
      </c>
      <c r="P74" s="16"/>
      <c r="Q74" s="20"/>
      <c r="R74" s="20"/>
      <c r="S74" s="23" t="s">
        <v>24</v>
      </c>
    </row>
    <row r="75" spans="1:19" ht="39" customHeight="1" outlineLevel="2" x14ac:dyDescent="0.25">
      <c r="A75" s="13" t="s">
        <v>247</v>
      </c>
      <c r="B75" s="14">
        <v>75</v>
      </c>
      <c r="C75" s="71" t="s">
        <v>51</v>
      </c>
      <c r="D75" s="71" t="s">
        <v>248</v>
      </c>
      <c r="E75" s="16"/>
      <c r="F75" s="121" t="s">
        <v>249</v>
      </c>
      <c r="G75" s="73" t="s">
        <v>64</v>
      </c>
      <c r="H75" s="90" t="s">
        <v>250</v>
      </c>
      <c r="I75" s="19" t="s">
        <v>179</v>
      </c>
      <c r="J75" s="15" t="s">
        <v>24</v>
      </c>
      <c r="K75" s="20" t="s">
        <v>23</v>
      </c>
      <c r="L75" s="16"/>
      <c r="M75" s="20" t="str">
        <f t="shared" si="1"/>
        <v>Non concerné</v>
      </c>
      <c r="N75" s="92" t="s">
        <v>9</v>
      </c>
      <c r="O75" s="22" t="s">
        <v>9</v>
      </c>
      <c r="P75" s="16"/>
      <c r="Q75" s="20"/>
      <c r="R75" s="20"/>
      <c r="S75" s="23" t="s">
        <v>24</v>
      </c>
    </row>
    <row r="76" spans="1:19" ht="39" customHeight="1" outlineLevel="2" x14ac:dyDescent="0.25">
      <c r="A76" s="13" t="s">
        <v>251</v>
      </c>
      <c r="B76" s="14">
        <v>76</v>
      </c>
      <c r="C76" s="71" t="s">
        <v>35</v>
      </c>
      <c r="D76" s="71" t="s">
        <v>24</v>
      </c>
      <c r="E76" s="16"/>
      <c r="F76" s="121" t="s">
        <v>252</v>
      </c>
      <c r="G76" s="73" t="s">
        <v>37</v>
      </c>
      <c r="H76" s="90" t="s">
        <v>38</v>
      </c>
      <c r="I76" s="19" t="s">
        <v>75</v>
      </c>
      <c r="J76" s="15" t="s">
        <v>24</v>
      </c>
      <c r="K76" s="20" t="s">
        <v>23</v>
      </c>
      <c r="L76" s="16"/>
      <c r="M76" s="20" t="str">
        <f t="shared" si="1"/>
        <v>Spécifique Offre</v>
      </c>
      <c r="N76" s="92" t="s">
        <v>9</v>
      </c>
      <c r="O76" s="22" t="s">
        <v>9</v>
      </c>
      <c r="P76" s="16"/>
      <c r="Q76" s="20"/>
      <c r="R76" s="20"/>
      <c r="S76" s="23" t="s">
        <v>24</v>
      </c>
    </row>
    <row r="77" spans="1:19" ht="39" customHeight="1" outlineLevel="2" x14ac:dyDescent="0.25">
      <c r="A77" s="13" t="s">
        <v>253</v>
      </c>
      <c r="B77" s="14">
        <v>77</v>
      </c>
      <c r="C77" s="71" t="s">
        <v>51</v>
      </c>
      <c r="D77" s="71" t="s">
        <v>254</v>
      </c>
      <c r="E77" s="16"/>
      <c r="F77" s="121" t="s">
        <v>255</v>
      </c>
      <c r="G77" s="73" t="s">
        <v>64</v>
      </c>
      <c r="H77" s="90" t="s">
        <v>256</v>
      </c>
      <c r="I77" s="19" t="s">
        <v>179</v>
      </c>
      <c r="J77" s="15" t="s">
        <v>24</v>
      </c>
      <c r="K77" s="20" t="s">
        <v>23</v>
      </c>
      <c r="L77" s="16"/>
      <c r="M77" s="20" t="str">
        <f t="shared" si="1"/>
        <v>Non concerné</v>
      </c>
      <c r="N77" s="92" t="s">
        <v>9</v>
      </c>
      <c r="O77" s="22" t="s">
        <v>9</v>
      </c>
      <c r="P77" s="16"/>
      <c r="Q77" s="20"/>
      <c r="R77" s="20"/>
      <c r="S77" s="23" t="s">
        <v>24</v>
      </c>
    </row>
    <row r="78" spans="1:19" ht="39" customHeight="1" outlineLevel="2" x14ac:dyDescent="0.25">
      <c r="A78" s="123" t="s">
        <v>257</v>
      </c>
      <c r="B78" s="14">
        <v>78</v>
      </c>
      <c r="C78" s="124" t="s">
        <v>30</v>
      </c>
      <c r="D78" s="125" t="s">
        <v>24</v>
      </c>
      <c r="E78" s="16"/>
      <c r="F78" s="126" t="s">
        <v>258</v>
      </c>
      <c r="G78" s="127"/>
      <c r="H78" s="127"/>
      <c r="I78" s="128" t="s">
        <v>24</v>
      </c>
      <c r="J78" s="127" t="s">
        <v>24</v>
      </c>
      <c r="K78" s="130"/>
      <c r="L78" s="16"/>
      <c r="M78" s="130" t="str">
        <f t="shared" si="1"/>
        <v/>
      </c>
      <c r="N78" s="130" t="s">
        <v>9</v>
      </c>
      <c r="O78" s="130" t="s">
        <v>9</v>
      </c>
      <c r="P78" s="16"/>
      <c r="Q78" s="130"/>
      <c r="R78" s="130"/>
      <c r="S78" s="131" t="s">
        <v>24</v>
      </c>
    </row>
    <row r="79" spans="1:19" ht="39" customHeight="1" outlineLevel="2" x14ac:dyDescent="0.25">
      <c r="A79" s="13" t="s">
        <v>259</v>
      </c>
      <c r="B79" s="14">
        <v>79</v>
      </c>
      <c r="C79" s="15" t="s">
        <v>35</v>
      </c>
      <c r="D79" s="15" t="s">
        <v>24</v>
      </c>
      <c r="E79" s="16"/>
      <c r="F79" s="121" t="s">
        <v>260</v>
      </c>
      <c r="G79" s="97" t="s">
        <v>114</v>
      </c>
      <c r="H79" s="133" t="s">
        <v>261</v>
      </c>
      <c r="I79" s="107" t="s">
        <v>116</v>
      </c>
      <c r="J79" s="15" t="s">
        <v>24</v>
      </c>
      <c r="K79" s="20"/>
      <c r="L79" s="16"/>
      <c r="M79" s="20" t="str">
        <f t="shared" si="1"/>
        <v>Spécifique Offre</v>
      </c>
      <c r="N79" s="21" t="s">
        <v>117</v>
      </c>
      <c r="O79" s="22" t="s">
        <v>9</v>
      </c>
      <c r="P79" s="16"/>
      <c r="Q79" s="20"/>
      <c r="R79" s="20"/>
      <c r="S79" s="23" t="s">
        <v>24</v>
      </c>
    </row>
    <row r="80" spans="1:19" ht="39" customHeight="1" outlineLevel="2" x14ac:dyDescent="0.25">
      <c r="A80" s="13" t="s">
        <v>262</v>
      </c>
      <c r="B80" s="14">
        <v>80</v>
      </c>
      <c r="C80" s="71" t="s">
        <v>51</v>
      </c>
      <c r="D80" s="71" t="s">
        <v>263</v>
      </c>
      <c r="E80" s="16"/>
      <c r="F80" s="121" t="s">
        <v>264</v>
      </c>
      <c r="G80" s="73" t="s">
        <v>64</v>
      </c>
      <c r="H80" s="90" t="s">
        <v>265</v>
      </c>
      <c r="I80" s="19" t="s">
        <v>179</v>
      </c>
      <c r="J80" s="15" t="s">
        <v>22</v>
      </c>
      <c r="K80" s="20" t="s">
        <v>23</v>
      </c>
      <c r="L80" s="16"/>
      <c r="M80" s="20" t="str">
        <f t="shared" si="1"/>
        <v>Non concerné</v>
      </c>
      <c r="N80" s="92" t="s">
        <v>9</v>
      </c>
      <c r="O80" s="22" t="s">
        <v>9</v>
      </c>
      <c r="P80" s="16"/>
      <c r="Q80" s="20"/>
      <c r="R80" s="20"/>
      <c r="S80" s="23" t="s">
        <v>24</v>
      </c>
    </row>
    <row r="81" spans="1:19" ht="39" customHeight="1" outlineLevel="2" x14ac:dyDescent="0.25">
      <c r="A81" s="13" t="s">
        <v>266</v>
      </c>
      <c r="B81" s="14">
        <v>81</v>
      </c>
      <c r="C81" s="71" t="s">
        <v>35</v>
      </c>
      <c r="D81" s="71" t="s">
        <v>24</v>
      </c>
      <c r="E81" s="16"/>
      <c r="F81" s="121" t="s">
        <v>252</v>
      </c>
      <c r="G81" s="73" t="s">
        <v>37</v>
      </c>
      <c r="H81" s="90" t="s">
        <v>38</v>
      </c>
      <c r="I81" s="19" t="s">
        <v>75</v>
      </c>
      <c r="J81" s="15" t="s">
        <v>24</v>
      </c>
      <c r="K81" s="20" t="s">
        <v>23</v>
      </c>
      <c r="L81" s="16"/>
      <c r="M81" s="20" t="str">
        <f t="shared" si="1"/>
        <v>Spécifique Offre</v>
      </c>
      <c r="N81" s="92" t="s">
        <v>9</v>
      </c>
      <c r="O81" s="22" t="s">
        <v>9</v>
      </c>
      <c r="P81" s="16"/>
      <c r="Q81" s="20"/>
      <c r="R81" s="20"/>
      <c r="S81" s="23" t="s">
        <v>24</v>
      </c>
    </row>
    <row r="82" spans="1:19" ht="39" customHeight="1" outlineLevel="2" x14ac:dyDescent="0.25">
      <c r="A82" s="13" t="s">
        <v>267</v>
      </c>
      <c r="B82" s="14">
        <v>82</v>
      </c>
      <c r="C82" s="71" t="s">
        <v>35</v>
      </c>
      <c r="D82" s="71" t="s">
        <v>24</v>
      </c>
      <c r="E82" s="16"/>
      <c r="F82" s="121" t="s">
        <v>268</v>
      </c>
      <c r="G82" s="134" t="s">
        <v>48</v>
      </c>
      <c r="H82" s="90" t="s">
        <v>269</v>
      </c>
      <c r="I82" s="91" t="s">
        <v>75</v>
      </c>
      <c r="J82" s="15" t="s">
        <v>24</v>
      </c>
      <c r="K82" s="20" t="s">
        <v>23</v>
      </c>
      <c r="L82" s="16"/>
      <c r="M82" s="20" t="str">
        <f t="shared" si="1"/>
        <v>Spécifique Offre</v>
      </c>
      <c r="N82" s="92" t="s">
        <v>9</v>
      </c>
      <c r="O82" s="22" t="s">
        <v>9</v>
      </c>
      <c r="P82" s="16"/>
      <c r="Q82" s="20"/>
      <c r="R82" s="20"/>
      <c r="S82" s="23" t="s">
        <v>44</v>
      </c>
    </row>
    <row r="83" spans="1:19" ht="39" customHeight="1" outlineLevel="2" x14ac:dyDescent="0.25">
      <c r="A83" s="13" t="s">
        <v>270</v>
      </c>
      <c r="B83" s="14">
        <v>83</v>
      </c>
      <c r="C83" s="15" t="s">
        <v>35</v>
      </c>
      <c r="D83" s="15" t="s">
        <v>24</v>
      </c>
      <c r="E83" s="16"/>
      <c r="F83" s="121" t="s">
        <v>271</v>
      </c>
      <c r="G83" s="97" t="s">
        <v>114</v>
      </c>
      <c r="H83" s="90" t="s">
        <v>115</v>
      </c>
      <c r="I83" s="107" t="s">
        <v>116</v>
      </c>
      <c r="J83" s="15" t="s">
        <v>24</v>
      </c>
      <c r="K83" s="20"/>
      <c r="L83" s="16"/>
      <c r="M83" s="20" t="str">
        <f t="shared" si="1"/>
        <v>Spécifique Offre</v>
      </c>
      <c r="N83" s="21" t="s">
        <v>117</v>
      </c>
      <c r="O83" s="22" t="s">
        <v>9</v>
      </c>
      <c r="P83" s="16"/>
      <c r="Q83" s="20"/>
      <c r="R83" s="20"/>
      <c r="S83" s="23" t="s">
        <v>24</v>
      </c>
    </row>
    <row r="84" spans="1:19" ht="39" customHeight="1" outlineLevel="2" x14ac:dyDescent="0.25">
      <c r="A84" s="13" t="s">
        <v>272</v>
      </c>
      <c r="B84" s="14">
        <v>84</v>
      </c>
      <c r="C84" s="71" t="s">
        <v>51</v>
      </c>
      <c r="D84" s="71" t="s">
        <v>273</v>
      </c>
      <c r="E84" s="16"/>
      <c r="F84" s="121" t="s">
        <v>274</v>
      </c>
      <c r="G84" s="73" t="s">
        <v>64</v>
      </c>
      <c r="H84" s="90" t="s">
        <v>275</v>
      </c>
      <c r="I84" s="19" t="s">
        <v>273</v>
      </c>
      <c r="J84" s="15" t="s">
        <v>24</v>
      </c>
      <c r="K84" s="20"/>
      <c r="L84" s="16"/>
      <c r="M84" s="20" t="str">
        <f t="shared" si="1"/>
        <v>Conforme au standard</v>
      </c>
      <c r="N84" s="92" t="s">
        <v>9</v>
      </c>
      <c r="O84" s="22" t="s">
        <v>9</v>
      </c>
      <c r="P84" s="16"/>
      <c r="Q84" s="20"/>
      <c r="R84" s="20"/>
      <c r="S84" s="23" t="s">
        <v>24</v>
      </c>
    </row>
    <row r="85" spans="1:19" ht="39" customHeight="1" outlineLevel="2" x14ac:dyDescent="0.25">
      <c r="A85" s="13" t="s">
        <v>276</v>
      </c>
      <c r="B85" s="14">
        <v>85</v>
      </c>
      <c r="C85" s="71" t="s">
        <v>51</v>
      </c>
      <c r="D85" s="71" t="s">
        <v>277</v>
      </c>
      <c r="E85" s="16"/>
      <c r="F85" s="121" t="s">
        <v>278</v>
      </c>
      <c r="G85" s="73" t="s">
        <v>64</v>
      </c>
      <c r="H85" s="104" t="s">
        <v>279</v>
      </c>
      <c r="I85" s="19" t="s">
        <v>277</v>
      </c>
      <c r="J85" s="15" t="s">
        <v>22</v>
      </c>
      <c r="K85" s="20"/>
      <c r="L85" s="16"/>
      <c r="M85" s="20" t="str">
        <f t="shared" si="1"/>
        <v>Conforme au standard</v>
      </c>
      <c r="N85" s="92" t="s">
        <v>9</v>
      </c>
      <c r="O85" s="22" t="s">
        <v>9</v>
      </c>
      <c r="P85" s="16"/>
      <c r="Q85" s="20"/>
      <c r="R85" s="20"/>
      <c r="S85" s="23" t="s">
        <v>24</v>
      </c>
    </row>
    <row r="86" spans="1:19" ht="39" customHeight="1" outlineLevel="2" x14ac:dyDescent="0.25">
      <c r="A86" s="70" t="s">
        <v>280</v>
      </c>
      <c r="B86" s="14">
        <v>86</v>
      </c>
      <c r="C86" s="74" t="s">
        <v>35</v>
      </c>
      <c r="D86" s="74" t="s">
        <v>24</v>
      </c>
      <c r="E86" s="16"/>
      <c r="F86" s="118" t="s">
        <v>281</v>
      </c>
      <c r="G86" s="135" t="s">
        <v>114</v>
      </c>
      <c r="H86" s="136" t="s">
        <v>115</v>
      </c>
      <c r="I86" s="119" t="s">
        <v>116</v>
      </c>
      <c r="J86" s="74" t="s">
        <v>24</v>
      </c>
      <c r="K86" s="78" t="s">
        <v>23</v>
      </c>
      <c r="L86" s="16"/>
      <c r="M86" s="78" t="str">
        <f t="shared" si="1"/>
        <v>Spécifique Offre</v>
      </c>
      <c r="N86" s="79" t="s">
        <v>117</v>
      </c>
      <c r="O86" s="79" t="s">
        <v>9</v>
      </c>
      <c r="P86" s="80"/>
      <c r="Q86" s="78"/>
      <c r="R86" s="78"/>
      <c r="S86" s="81" t="s">
        <v>24</v>
      </c>
    </row>
    <row r="87" spans="1:19" ht="39" customHeight="1" outlineLevel="1" x14ac:dyDescent="0.25">
      <c r="A87" s="108" t="s">
        <v>282</v>
      </c>
      <c r="B87" s="14">
        <v>87</v>
      </c>
      <c r="C87" s="98" t="s">
        <v>30</v>
      </c>
      <c r="D87" s="38" t="s">
        <v>24</v>
      </c>
      <c r="E87" s="16"/>
      <c r="F87" s="69" t="s">
        <v>283</v>
      </c>
      <c r="G87" s="120"/>
      <c r="H87" s="120"/>
      <c r="I87" s="99" t="s">
        <v>24</v>
      </c>
      <c r="J87" s="120" t="s">
        <v>24</v>
      </c>
      <c r="K87" s="39"/>
      <c r="L87" s="16"/>
      <c r="M87" s="40" t="str">
        <f t="shared" si="1"/>
        <v/>
      </c>
      <c r="N87" s="39" t="s">
        <v>9</v>
      </c>
      <c r="O87" s="39" t="s">
        <v>9</v>
      </c>
      <c r="P87" s="16"/>
      <c r="Q87" s="39"/>
      <c r="R87" s="39"/>
      <c r="S87" s="41" t="s">
        <v>24</v>
      </c>
    </row>
    <row r="88" spans="1:19" ht="39" customHeight="1" outlineLevel="2" x14ac:dyDescent="0.25">
      <c r="A88" s="13" t="s">
        <v>284</v>
      </c>
      <c r="B88" s="14">
        <v>88</v>
      </c>
      <c r="C88" s="71" t="s">
        <v>51</v>
      </c>
      <c r="D88" s="71" t="s">
        <v>285</v>
      </c>
      <c r="E88" s="16"/>
      <c r="F88" s="73" t="s">
        <v>286</v>
      </c>
      <c r="G88" s="88" t="s">
        <v>64</v>
      </c>
      <c r="H88" s="104" t="s">
        <v>287</v>
      </c>
      <c r="I88" s="19" t="s">
        <v>285</v>
      </c>
      <c r="J88" s="15" t="s">
        <v>22</v>
      </c>
      <c r="K88" s="20"/>
      <c r="L88" s="16"/>
      <c r="M88" s="20" t="str">
        <f t="shared" si="1"/>
        <v>Conforme au standard</v>
      </c>
      <c r="N88" s="92" t="s">
        <v>9</v>
      </c>
      <c r="O88" s="22" t="s">
        <v>9</v>
      </c>
      <c r="P88" s="16"/>
      <c r="Q88" s="20"/>
      <c r="R88" s="20"/>
      <c r="S88" s="23" t="s">
        <v>24</v>
      </c>
    </row>
    <row r="89" spans="1:19" ht="39" customHeight="1" outlineLevel="2" x14ac:dyDescent="0.25">
      <c r="A89" s="13" t="s">
        <v>288</v>
      </c>
      <c r="B89" s="14">
        <v>89</v>
      </c>
      <c r="C89" s="74" t="s">
        <v>35</v>
      </c>
      <c r="D89" s="74" t="s">
        <v>24</v>
      </c>
      <c r="E89" s="16"/>
      <c r="F89" s="105" t="s">
        <v>289</v>
      </c>
      <c r="G89" s="76" t="s">
        <v>290</v>
      </c>
      <c r="H89" s="76" t="s">
        <v>291</v>
      </c>
      <c r="I89" s="87" t="s">
        <v>75</v>
      </c>
      <c r="J89" s="74" t="s">
        <v>24</v>
      </c>
      <c r="K89" s="78" t="s">
        <v>23</v>
      </c>
      <c r="L89" s="16"/>
      <c r="M89" s="78" t="str">
        <f t="shared" si="1"/>
        <v>Spécifique Offre</v>
      </c>
      <c r="N89" s="79" t="s">
        <v>9</v>
      </c>
      <c r="O89" s="79" t="s">
        <v>9</v>
      </c>
      <c r="P89" s="80"/>
      <c r="Q89" s="78"/>
      <c r="R89" s="78"/>
      <c r="S89" s="81" t="s">
        <v>24</v>
      </c>
    </row>
    <row r="90" spans="1:19" ht="39" customHeight="1" outlineLevel="2" x14ac:dyDescent="0.25">
      <c r="A90" s="13" t="s">
        <v>292</v>
      </c>
      <c r="B90" s="14">
        <v>90</v>
      </c>
      <c r="C90" s="71" t="s">
        <v>51</v>
      </c>
      <c r="D90" s="71" t="s">
        <v>293</v>
      </c>
      <c r="E90" s="16"/>
      <c r="F90" s="73" t="s">
        <v>294</v>
      </c>
      <c r="G90" s="137" t="s">
        <v>64</v>
      </c>
      <c r="H90" s="90" t="s">
        <v>295</v>
      </c>
      <c r="I90" s="19" t="s">
        <v>293</v>
      </c>
      <c r="J90" s="15" t="s">
        <v>22</v>
      </c>
      <c r="K90" s="20"/>
      <c r="L90" s="16"/>
      <c r="M90" s="20" t="str">
        <f t="shared" si="1"/>
        <v>Conforme au standard</v>
      </c>
      <c r="N90" s="92" t="s">
        <v>9</v>
      </c>
      <c r="O90" s="22" t="s">
        <v>9</v>
      </c>
      <c r="P90" s="16"/>
      <c r="Q90" s="20"/>
      <c r="R90" s="20"/>
      <c r="S90" s="23" t="s">
        <v>24</v>
      </c>
    </row>
    <row r="91" spans="1:19" ht="39" customHeight="1" outlineLevel="2" x14ac:dyDescent="0.25">
      <c r="A91" s="13" t="s">
        <v>296</v>
      </c>
      <c r="B91" s="14">
        <v>91</v>
      </c>
      <c r="C91" s="74" t="s">
        <v>35</v>
      </c>
      <c r="D91" s="74" t="s">
        <v>24</v>
      </c>
      <c r="E91" s="16"/>
      <c r="F91" s="105" t="s">
        <v>297</v>
      </c>
      <c r="G91" s="76" t="s">
        <v>37</v>
      </c>
      <c r="H91" s="76" t="s">
        <v>38</v>
      </c>
      <c r="I91" s="87" t="s">
        <v>75</v>
      </c>
      <c r="J91" s="74" t="s">
        <v>24</v>
      </c>
      <c r="K91" s="78" t="s">
        <v>23</v>
      </c>
      <c r="L91" s="16"/>
      <c r="M91" s="78" t="str">
        <f t="shared" si="1"/>
        <v>Spécifique Offre</v>
      </c>
      <c r="N91" s="79" t="s">
        <v>9</v>
      </c>
      <c r="O91" s="79" t="s">
        <v>9</v>
      </c>
      <c r="P91" s="80"/>
      <c r="Q91" s="78"/>
      <c r="R91" s="78"/>
      <c r="S91" s="81" t="s">
        <v>24</v>
      </c>
    </row>
    <row r="92" spans="1:19" ht="39" customHeight="1" outlineLevel="2" x14ac:dyDescent="0.25">
      <c r="A92" s="13" t="s">
        <v>298</v>
      </c>
      <c r="B92" s="14">
        <v>92</v>
      </c>
      <c r="C92" s="71" t="s">
        <v>51</v>
      </c>
      <c r="D92" s="71" t="s">
        <v>299</v>
      </c>
      <c r="E92" s="16"/>
      <c r="F92" s="73" t="s">
        <v>300</v>
      </c>
      <c r="G92" s="88" t="s">
        <v>64</v>
      </c>
      <c r="H92" s="104" t="s">
        <v>301</v>
      </c>
      <c r="I92" s="19" t="s">
        <v>299</v>
      </c>
      <c r="J92" s="15" t="s">
        <v>22</v>
      </c>
      <c r="K92" s="20"/>
      <c r="L92" s="16"/>
      <c r="M92" s="20" t="str">
        <f t="shared" si="1"/>
        <v>Conforme au standard</v>
      </c>
      <c r="N92" s="92" t="s">
        <v>9</v>
      </c>
      <c r="O92" s="22" t="s">
        <v>9</v>
      </c>
      <c r="P92" s="16"/>
      <c r="Q92" s="20"/>
      <c r="R92" s="20"/>
      <c r="S92" s="23" t="s">
        <v>24</v>
      </c>
    </row>
    <row r="93" spans="1:19" ht="39" customHeight="1" outlineLevel="2" x14ac:dyDescent="0.25">
      <c r="A93" s="13" t="s">
        <v>302</v>
      </c>
      <c r="B93" s="14">
        <v>93</v>
      </c>
      <c r="C93" s="74" t="s">
        <v>51</v>
      </c>
      <c r="D93" s="74" t="s">
        <v>303</v>
      </c>
      <c r="E93" s="16"/>
      <c r="F93" s="105" t="s">
        <v>304</v>
      </c>
      <c r="G93" s="135" t="s">
        <v>64</v>
      </c>
      <c r="H93" s="76" t="s">
        <v>305</v>
      </c>
      <c r="I93" s="87" t="s">
        <v>303</v>
      </c>
      <c r="J93" s="74" t="s">
        <v>22</v>
      </c>
      <c r="K93" s="78"/>
      <c r="L93" s="16"/>
      <c r="M93" s="78" t="str">
        <f t="shared" si="1"/>
        <v>Conforme au standard</v>
      </c>
      <c r="N93" s="79" t="s">
        <v>9</v>
      </c>
      <c r="O93" s="79" t="s">
        <v>9</v>
      </c>
      <c r="P93" s="80"/>
      <c r="Q93" s="78"/>
      <c r="R93" s="78"/>
      <c r="S93" s="81" t="s">
        <v>24</v>
      </c>
    </row>
    <row r="94" spans="1:19" ht="39" customHeight="1" outlineLevel="2" x14ac:dyDescent="0.25">
      <c r="A94" s="13" t="s">
        <v>306</v>
      </c>
      <c r="B94" s="14">
        <v>94</v>
      </c>
      <c r="C94" s="74" t="s">
        <v>51</v>
      </c>
      <c r="D94" s="74" t="s">
        <v>307</v>
      </c>
      <c r="E94" s="16"/>
      <c r="F94" s="105" t="s">
        <v>308</v>
      </c>
      <c r="G94" s="76" t="s">
        <v>54</v>
      </c>
      <c r="H94" s="76" t="s">
        <v>309</v>
      </c>
      <c r="I94" s="87" t="s">
        <v>307</v>
      </c>
      <c r="J94" s="74" t="s">
        <v>24</v>
      </c>
      <c r="K94" s="78"/>
      <c r="L94" s="16"/>
      <c r="M94" s="78" t="str">
        <f t="shared" si="1"/>
        <v>Conforme au standard</v>
      </c>
      <c r="N94" s="79" t="s">
        <v>9</v>
      </c>
      <c r="O94" s="79" t="s">
        <v>9</v>
      </c>
      <c r="P94" s="80"/>
      <c r="Q94" s="78"/>
      <c r="R94" s="78"/>
      <c r="S94" s="81" t="s">
        <v>24</v>
      </c>
    </row>
    <row r="95" spans="1:19" ht="39" customHeight="1" outlineLevel="2" x14ac:dyDescent="0.25">
      <c r="A95" s="13" t="s">
        <v>310</v>
      </c>
      <c r="B95" s="14">
        <v>95</v>
      </c>
      <c r="C95" s="74" t="s">
        <v>51</v>
      </c>
      <c r="D95" s="74" t="s">
        <v>311</v>
      </c>
      <c r="E95" s="16"/>
      <c r="F95" s="105" t="s">
        <v>312</v>
      </c>
      <c r="G95" s="76" t="s">
        <v>54</v>
      </c>
      <c r="H95" s="76" t="s">
        <v>313</v>
      </c>
      <c r="I95" s="87" t="s">
        <v>311</v>
      </c>
      <c r="J95" s="74" t="s">
        <v>24</v>
      </c>
      <c r="K95" s="78"/>
      <c r="L95" s="16"/>
      <c r="M95" s="78" t="str">
        <f t="shared" si="1"/>
        <v>Conforme au standard</v>
      </c>
      <c r="N95" s="79" t="s">
        <v>9</v>
      </c>
      <c r="O95" s="79" t="s">
        <v>9</v>
      </c>
      <c r="P95" s="80"/>
      <c r="Q95" s="78"/>
      <c r="R95" s="78"/>
      <c r="S95" s="81" t="s">
        <v>24</v>
      </c>
    </row>
    <row r="96" spans="1:19" ht="39" customHeight="1" outlineLevel="2" x14ac:dyDescent="0.25">
      <c r="A96" s="13" t="s">
        <v>314</v>
      </c>
      <c r="B96" s="14">
        <v>96</v>
      </c>
      <c r="C96" s="74" t="s">
        <v>35</v>
      </c>
      <c r="D96" s="74" t="s">
        <v>24</v>
      </c>
      <c r="E96" s="16"/>
      <c r="F96" s="105" t="s">
        <v>315</v>
      </c>
      <c r="G96" s="76" t="s">
        <v>54</v>
      </c>
      <c r="H96" s="76" t="s">
        <v>316</v>
      </c>
      <c r="I96" s="87" t="s">
        <v>24</v>
      </c>
      <c r="J96" s="74" t="s">
        <v>22</v>
      </c>
      <c r="K96" s="78"/>
      <c r="L96" s="16"/>
      <c r="M96" s="78" t="str">
        <f t="shared" si="1"/>
        <v>Renseigner la réponse DCO</v>
      </c>
      <c r="N96" s="79" t="s">
        <v>9</v>
      </c>
      <c r="O96" s="79" t="s">
        <v>9</v>
      </c>
      <c r="P96" s="80"/>
      <c r="Q96" s="78"/>
      <c r="R96" s="78"/>
      <c r="S96" s="81" t="s">
        <v>24</v>
      </c>
    </row>
    <row r="97" spans="1:19" ht="39" customHeight="1" outlineLevel="2" x14ac:dyDescent="0.25">
      <c r="A97" s="13" t="s">
        <v>317</v>
      </c>
      <c r="B97" s="14">
        <v>97</v>
      </c>
      <c r="C97" s="74" t="s">
        <v>35</v>
      </c>
      <c r="D97" s="74" t="s">
        <v>24</v>
      </c>
      <c r="E97" s="16"/>
      <c r="F97" s="105" t="s">
        <v>318</v>
      </c>
      <c r="G97" s="135" t="s">
        <v>114</v>
      </c>
      <c r="H97" s="136" t="s">
        <v>115</v>
      </c>
      <c r="I97" s="119" t="s">
        <v>116</v>
      </c>
      <c r="J97" s="74"/>
      <c r="K97" s="78" t="s">
        <v>23</v>
      </c>
      <c r="L97" s="16"/>
      <c r="M97" s="78" t="str">
        <f t="shared" si="1"/>
        <v>Spécifique Offre</v>
      </c>
      <c r="N97" s="79" t="s">
        <v>117</v>
      </c>
      <c r="O97" s="79" t="s">
        <v>9</v>
      </c>
      <c r="P97" s="80"/>
      <c r="Q97" s="78"/>
      <c r="R97" s="78"/>
      <c r="S97" s="81" t="s">
        <v>24</v>
      </c>
    </row>
    <row r="98" spans="1:19" ht="39" customHeight="1" outlineLevel="2" x14ac:dyDescent="0.25">
      <c r="A98" s="13" t="s">
        <v>319</v>
      </c>
      <c r="B98" s="14">
        <v>98</v>
      </c>
      <c r="C98" s="71" t="s">
        <v>51</v>
      </c>
      <c r="D98" s="71" t="s">
        <v>320</v>
      </c>
      <c r="E98" s="16"/>
      <c r="F98" s="84" t="s">
        <v>321</v>
      </c>
      <c r="G98" s="88" t="s">
        <v>64</v>
      </c>
      <c r="H98" s="104" t="s">
        <v>322</v>
      </c>
      <c r="I98" s="19" t="s">
        <v>320</v>
      </c>
      <c r="J98" s="15" t="s">
        <v>22</v>
      </c>
      <c r="K98" s="20"/>
      <c r="L98" s="16"/>
      <c r="M98" s="20" t="str">
        <f t="shared" si="1"/>
        <v>Conforme au standard</v>
      </c>
      <c r="N98" s="92" t="s">
        <v>9</v>
      </c>
      <c r="O98" s="22" t="s">
        <v>9</v>
      </c>
      <c r="P98" s="16"/>
      <c r="Q98" s="20"/>
      <c r="R98" s="20"/>
      <c r="S98" s="23" t="s">
        <v>24</v>
      </c>
    </row>
    <row r="99" spans="1:19" ht="39" customHeight="1" outlineLevel="2" x14ac:dyDescent="0.25">
      <c r="A99" s="13" t="s">
        <v>323</v>
      </c>
      <c r="B99" s="14">
        <v>99</v>
      </c>
      <c r="C99" s="74" t="s">
        <v>35</v>
      </c>
      <c r="D99" s="74" t="s">
        <v>24</v>
      </c>
      <c r="E99" s="16"/>
      <c r="F99" s="105" t="s">
        <v>324</v>
      </c>
      <c r="G99" s="135" t="s">
        <v>37</v>
      </c>
      <c r="H99" s="76" t="s">
        <v>38</v>
      </c>
      <c r="I99" s="87" t="s">
        <v>24</v>
      </c>
      <c r="J99" s="74" t="s">
        <v>24</v>
      </c>
      <c r="K99" s="78"/>
      <c r="L99" s="16"/>
      <c r="M99" s="78" t="str">
        <f t="shared" si="1"/>
        <v>Renseigner la réponse DCO</v>
      </c>
      <c r="N99" s="79" t="s">
        <v>9</v>
      </c>
      <c r="O99" s="79" t="s">
        <v>9</v>
      </c>
      <c r="P99" s="80"/>
      <c r="Q99" s="78"/>
      <c r="R99" s="78"/>
      <c r="S99" s="81" t="s">
        <v>24</v>
      </c>
    </row>
    <row r="100" spans="1:19" ht="39" customHeight="1" outlineLevel="2" x14ac:dyDescent="0.25">
      <c r="A100" s="13" t="s">
        <v>325</v>
      </c>
      <c r="B100" s="14">
        <v>100</v>
      </c>
      <c r="C100" s="74" t="s">
        <v>35</v>
      </c>
      <c r="D100" s="74" t="s">
        <v>24</v>
      </c>
      <c r="E100" s="16"/>
      <c r="F100" s="105" t="s">
        <v>326</v>
      </c>
      <c r="G100" s="76" t="s">
        <v>54</v>
      </c>
      <c r="H100" s="76" t="s">
        <v>316</v>
      </c>
      <c r="I100" s="87" t="s">
        <v>24</v>
      </c>
      <c r="J100" s="74" t="s">
        <v>22</v>
      </c>
      <c r="K100" s="78"/>
      <c r="L100" s="16"/>
      <c r="M100" s="78" t="str">
        <f t="shared" si="1"/>
        <v>Renseigner la réponse DCO</v>
      </c>
      <c r="N100" s="79" t="s">
        <v>9</v>
      </c>
      <c r="O100" s="79" t="s">
        <v>9</v>
      </c>
      <c r="P100" s="80"/>
      <c r="Q100" s="78"/>
      <c r="R100" s="78"/>
      <c r="S100" s="81" t="s">
        <v>24</v>
      </c>
    </row>
    <row r="101" spans="1:19" ht="39" customHeight="1" outlineLevel="2" x14ac:dyDescent="0.25">
      <c r="A101" s="13" t="s">
        <v>327</v>
      </c>
      <c r="B101" s="14">
        <v>101</v>
      </c>
      <c r="C101" s="74" t="s">
        <v>35</v>
      </c>
      <c r="D101" s="74" t="s">
        <v>24</v>
      </c>
      <c r="E101" s="16"/>
      <c r="F101" s="105" t="s">
        <v>318</v>
      </c>
      <c r="G101" s="135" t="s">
        <v>114</v>
      </c>
      <c r="H101" s="136" t="s">
        <v>115</v>
      </c>
      <c r="I101" s="119" t="s">
        <v>116</v>
      </c>
      <c r="J101" s="74"/>
      <c r="K101" s="78" t="s">
        <v>23</v>
      </c>
      <c r="L101" s="16"/>
      <c r="M101" s="78" t="str">
        <f t="shared" si="1"/>
        <v>Spécifique Offre</v>
      </c>
      <c r="N101" s="79" t="s">
        <v>117</v>
      </c>
      <c r="O101" s="79" t="s">
        <v>9</v>
      </c>
      <c r="P101" s="80"/>
      <c r="Q101" s="78"/>
      <c r="R101" s="78"/>
      <c r="S101" s="81" t="s">
        <v>24</v>
      </c>
    </row>
    <row r="102" spans="1:19" ht="39" customHeight="1" outlineLevel="2" x14ac:dyDescent="0.25">
      <c r="A102" s="13" t="s">
        <v>328</v>
      </c>
      <c r="B102" s="14">
        <v>102</v>
      </c>
      <c r="C102" s="71" t="s">
        <v>26</v>
      </c>
      <c r="D102" s="138" t="s">
        <v>329</v>
      </c>
      <c r="E102" s="16"/>
      <c r="F102" s="84" t="s">
        <v>330</v>
      </c>
      <c r="G102" s="73" t="s">
        <v>64</v>
      </c>
      <c r="H102" s="104" t="s">
        <v>331</v>
      </c>
      <c r="I102" s="139" t="s">
        <v>329</v>
      </c>
      <c r="J102" s="15" t="s">
        <v>22</v>
      </c>
      <c r="K102" s="20"/>
      <c r="L102" s="16"/>
      <c r="M102" s="20" t="str">
        <f t="shared" si="1"/>
        <v>Conforme au standard</v>
      </c>
      <c r="N102" s="92" t="s">
        <v>9</v>
      </c>
      <c r="O102" s="140" t="s">
        <v>9</v>
      </c>
      <c r="P102" s="16"/>
      <c r="Q102" s="20"/>
      <c r="R102" s="20"/>
      <c r="S102" s="23" t="s">
        <v>24</v>
      </c>
    </row>
    <row r="103" spans="1:19" ht="39" customHeight="1" outlineLevel="1" x14ac:dyDescent="0.25">
      <c r="A103" s="108" t="s">
        <v>332</v>
      </c>
      <c r="B103" s="14">
        <v>103</v>
      </c>
      <c r="C103" s="98" t="s">
        <v>30</v>
      </c>
      <c r="D103" s="38" t="s">
        <v>24</v>
      </c>
      <c r="E103" s="16"/>
      <c r="F103" s="35" t="s">
        <v>333</v>
      </c>
      <c r="G103" s="115"/>
      <c r="H103" s="35"/>
      <c r="I103" s="99" t="s">
        <v>24</v>
      </c>
      <c r="J103" s="35" t="s">
        <v>24</v>
      </c>
      <c r="K103" s="39"/>
      <c r="L103" s="16"/>
      <c r="M103" s="40" t="str">
        <f t="shared" si="1"/>
        <v/>
      </c>
      <c r="N103" s="39" t="s">
        <v>9</v>
      </c>
      <c r="O103" s="39" t="s">
        <v>9</v>
      </c>
      <c r="P103" s="16"/>
      <c r="Q103" s="39"/>
      <c r="R103" s="39"/>
      <c r="S103" s="41" t="s">
        <v>24</v>
      </c>
    </row>
    <row r="104" spans="1:19" ht="39" customHeight="1" outlineLevel="2" x14ac:dyDescent="0.25">
      <c r="A104" s="13" t="s">
        <v>334</v>
      </c>
      <c r="B104" s="14">
        <v>104</v>
      </c>
      <c r="C104" s="71" t="s">
        <v>51</v>
      </c>
      <c r="D104" s="71" t="s">
        <v>335</v>
      </c>
      <c r="E104" s="16"/>
      <c r="F104" s="90" t="s">
        <v>336</v>
      </c>
      <c r="G104" s="141" t="s">
        <v>48</v>
      </c>
      <c r="H104" s="90" t="s">
        <v>337</v>
      </c>
      <c r="I104" s="91" t="s">
        <v>335</v>
      </c>
      <c r="J104" s="15" t="s">
        <v>22</v>
      </c>
      <c r="K104" s="20"/>
      <c r="L104" s="16"/>
      <c r="M104" s="20" t="str">
        <f t="shared" si="1"/>
        <v>Conforme au standard</v>
      </c>
      <c r="N104" s="92" t="s">
        <v>9</v>
      </c>
      <c r="O104" s="22" t="s">
        <v>9</v>
      </c>
      <c r="P104" s="16"/>
      <c r="Q104" s="20"/>
      <c r="R104" s="20"/>
      <c r="S104" s="23" t="s">
        <v>44</v>
      </c>
    </row>
    <row r="105" spans="1:19" ht="39" customHeight="1" outlineLevel="2" x14ac:dyDescent="0.25">
      <c r="A105" s="142" t="s">
        <v>338</v>
      </c>
      <c r="B105" s="14">
        <v>105</v>
      </c>
      <c r="C105" s="143" t="s">
        <v>30</v>
      </c>
      <c r="D105" s="144" t="s">
        <v>24</v>
      </c>
      <c r="E105" s="16"/>
      <c r="F105" s="145" t="s">
        <v>339</v>
      </c>
      <c r="G105" s="146"/>
      <c r="H105" s="147"/>
      <c r="I105" s="148" t="s">
        <v>24</v>
      </c>
      <c r="J105" s="147" t="s">
        <v>24</v>
      </c>
      <c r="K105" s="149"/>
      <c r="L105" s="16"/>
      <c r="M105" s="149" t="str">
        <f t="shared" si="1"/>
        <v/>
      </c>
      <c r="N105" s="149" t="s">
        <v>9</v>
      </c>
      <c r="O105" s="149" t="s">
        <v>9</v>
      </c>
      <c r="P105" s="16"/>
      <c r="Q105" s="149"/>
      <c r="R105" s="149"/>
      <c r="S105" s="150" t="s">
        <v>24</v>
      </c>
    </row>
    <row r="106" spans="1:19" ht="39" customHeight="1" outlineLevel="2" x14ac:dyDescent="0.25">
      <c r="A106" s="13" t="s">
        <v>340</v>
      </c>
      <c r="B106" s="14">
        <v>106</v>
      </c>
      <c r="C106" s="74" t="s">
        <v>51</v>
      </c>
      <c r="D106" s="74" t="s">
        <v>341</v>
      </c>
      <c r="E106" s="16"/>
      <c r="F106" s="93" t="s">
        <v>342</v>
      </c>
      <c r="G106" s="134" t="s">
        <v>48</v>
      </c>
      <c r="H106" s="93" t="s">
        <v>343</v>
      </c>
      <c r="I106" s="94" t="s">
        <v>341</v>
      </c>
      <c r="J106" s="74" t="s">
        <v>22</v>
      </c>
      <c r="K106" s="78"/>
      <c r="L106" s="16"/>
      <c r="M106" s="78" t="str">
        <f t="shared" si="1"/>
        <v>Conforme au standard</v>
      </c>
      <c r="N106" s="79" t="s">
        <v>9</v>
      </c>
      <c r="O106" s="79" t="s">
        <v>9</v>
      </c>
      <c r="P106" s="80"/>
      <c r="Q106" s="78"/>
      <c r="R106" s="78"/>
      <c r="S106" s="81" t="s">
        <v>44</v>
      </c>
    </row>
    <row r="107" spans="1:19" ht="39" customHeight="1" outlineLevel="2" x14ac:dyDescent="0.25">
      <c r="A107" s="13" t="s">
        <v>344</v>
      </c>
      <c r="B107" s="14">
        <v>107</v>
      </c>
      <c r="C107" s="74" t="s">
        <v>35</v>
      </c>
      <c r="D107" s="74" t="s">
        <v>24</v>
      </c>
      <c r="E107" s="16"/>
      <c r="F107" s="93" t="s">
        <v>345</v>
      </c>
      <c r="G107" s="102" t="s">
        <v>37</v>
      </c>
      <c r="H107" s="93" t="s">
        <v>38</v>
      </c>
      <c r="I107" s="87" t="s">
        <v>75</v>
      </c>
      <c r="J107" s="74" t="s">
        <v>24</v>
      </c>
      <c r="K107" s="78" t="s">
        <v>23</v>
      </c>
      <c r="L107" s="16"/>
      <c r="M107" s="78" t="str">
        <f t="shared" si="1"/>
        <v>Spécifique Offre</v>
      </c>
      <c r="N107" s="79" t="s">
        <v>9</v>
      </c>
      <c r="O107" s="79" t="s">
        <v>9</v>
      </c>
      <c r="P107" s="80"/>
      <c r="Q107" s="78"/>
      <c r="R107" s="78"/>
      <c r="S107" s="81" t="s">
        <v>24</v>
      </c>
    </row>
    <row r="108" spans="1:19" ht="39" customHeight="1" outlineLevel="2" x14ac:dyDescent="0.25">
      <c r="A108" s="142" t="s">
        <v>346</v>
      </c>
      <c r="B108" s="14">
        <v>108</v>
      </c>
      <c r="C108" s="143" t="s">
        <v>30</v>
      </c>
      <c r="D108" s="144" t="s">
        <v>24</v>
      </c>
      <c r="E108" s="16"/>
      <c r="F108" s="145" t="s">
        <v>347</v>
      </c>
      <c r="G108" s="151"/>
      <c r="H108" s="147"/>
      <c r="I108" s="148" t="s">
        <v>24</v>
      </c>
      <c r="J108" s="147" t="s">
        <v>24</v>
      </c>
      <c r="K108" s="149"/>
      <c r="L108" s="16"/>
      <c r="M108" s="149" t="str">
        <f t="shared" si="1"/>
        <v/>
      </c>
      <c r="N108" s="149" t="s">
        <v>9</v>
      </c>
      <c r="O108" s="149" t="s">
        <v>9</v>
      </c>
      <c r="P108" s="16"/>
      <c r="Q108" s="149"/>
      <c r="R108" s="149"/>
      <c r="S108" s="150" t="s">
        <v>24</v>
      </c>
    </row>
    <row r="109" spans="1:19" ht="39" customHeight="1" outlineLevel="2" x14ac:dyDescent="0.25">
      <c r="A109" s="13" t="s">
        <v>348</v>
      </c>
      <c r="B109" s="14">
        <v>109</v>
      </c>
      <c r="C109" s="74" t="s">
        <v>51</v>
      </c>
      <c r="D109" s="74" t="s">
        <v>349</v>
      </c>
      <c r="E109" s="16"/>
      <c r="F109" s="93" t="s">
        <v>350</v>
      </c>
      <c r="G109" s="141" t="s">
        <v>48</v>
      </c>
      <c r="H109" s="93" t="s">
        <v>351</v>
      </c>
      <c r="I109" s="94" t="s">
        <v>349</v>
      </c>
      <c r="J109" s="74" t="s">
        <v>24</v>
      </c>
      <c r="K109" s="78"/>
      <c r="L109" s="16"/>
      <c r="M109" s="78" t="str">
        <f t="shared" si="1"/>
        <v>Conforme au standard</v>
      </c>
      <c r="N109" s="79" t="s">
        <v>9</v>
      </c>
      <c r="O109" s="79" t="s">
        <v>9</v>
      </c>
      <c r="P109" s="80"/>
      <c r="Q109" s="78"/>
      <c r="R109" s="78"/>
      <c r="S109" s="81" t="s">
        <v>44</v>
      </c>
    </row>
    <row r="110" spans="1:19" ht="39" customHeight="1" outlineLevel="1" x14ac:dyDescent="0.25">
      <c r="A110" s="108" t="s">
        <v>352</v>
      </c>
      <c r="B110" s="14">
        <v>110</v>
      </c>
      <c r="C110" s="98" t="s">
        <v>30</v>
      </c>
      <c r="D110" s="38" t="s">
        <v>24</v>
      </c>
      <c r="E110" s="16"/>
      <c r="F110" s="152" t="s">
        <v>353</v>
      </c>
      <c r="G110" s="120"/>
      <c r="H110" s="34"/>
      <c r="I110" s="37" t="s">
        <v>24</v>
      </c>
      <c r="J110" s="34" t="s">
        <v>24</v>
      </c>
      <c r="K110" s="39"/>
      <c r="L110" s="16"/>
      <c r="M110" s="40" t="str">
        <f t="shared" si="1"/>
        <v/>
      </c>
      <c r="N110" s="39" t="s">
        <v>9</v>
      </c>
      <c r="O110" s="39" t="s">
        <v>9</v>
      </c>
      <c r="P110" s="16"/>
      <c r="Q110" s="39"/>
      <c r="R110" s="39"/>
      <c r="S110" s="41" t="s">
        <v>24</v>
      </c>
    </row>
    <row r="111" spans="1:19" ht="39" customHeight="1" outlineLevel="2" x14ac:dyDescent="0.25">
      <c r="A111" s="13" t="s">
        <v>354</v>
      </c>
      <c r="B111" s="14">
        <v>111</v>
      </c>
      <c r="C111" s="71" t="s">
        <v>26</v>
      </c>
      <c r="D111" s="71" t="s">
        <v>355</v>
      </c>
      <c r="E111" s="16"/>
      <c r="F111" s="88" t="s">
        <v>356</v>
      </c>
      <c r="G111" s="88" t="s">
        <v>64</v>
      </c>
      <c r="H111" s="96" t="s">
        <v>357</v>
      </c>
      <c r="I111" s="19" t="s">
        <v>355</v>
      </c>
      <c r="J111" s="15" t="s">
        <v>22</v>
      </c>
      <c r="K111" s="20"/>
      <c r="L111" s="16"/>
      <c r="M111" s="20" t="str">
        <f t="shared" si="1"/>
        <v>Conforme au standard</v>
      </c>
      <c r="N111" s="92" t="s">
        <v>9</v>
      </c>
      <c r="O111" s="22" t="s">
        <v>9</v>
      </c>
      <c r="P111" s="16"/>
      <c r="Q111" s="20"/>
      <c r="R111" s="20"/>
      <c r="S111" s="23" t="s">
        <v>24</v>
      </c>
    </row>
    <row r="112" spans="1:19" ht="39" customHeight="1" outlineLevel="2" x14ac:dyDescent="0.25">
      <c r="A112" s="13" t="s">
        <v>358</v>
      </c>
      <c r="B112" s="14">
        <v>112</v>
      </c>
      <c r="C112" s="74" t="s">
        <v>35</v>
      </c>
      <c r="D112" s="74" t="s">
        <v>24</v>
      </c>
      <c r="E112" s="16"/>
      <c r="F112" s="93" t="s">
        <v>359</v>
      </c>
      <c r="G112" s="102" t="s">
        <v>37</v>
      </c>
      <c r="H112" s="76" t="s">
        <v>38</v>
      </c>
      <c r="I112" s="87" t="s">
        <v>24</v>
      </c>
      <c r="J112" s="74" t="s">
        <v>24</v>
      </c>
      <c r="K112" s="78"/>
      <c r="L112" s="16"/>
      <c r="M112" s="78" t="str">
        <f t="shared" si="1"/>
        <v>Renseigner la réponse DCO</v>
      </c>
      <c r="N112" s="79" t="s">
        <v>9</v>
      </c>
      <c r="O112" s="79" t="s">
        <v>9</v>
      </c>
      <c r="P112" s="80"/>
      <c r="Q112" s="78"/>
      <c r="R112" s="78"/>
      <c r="S112" s="81" t="s">
        <v>24</v>
      </c>
    </row>
    <row r="113" spans="1:19" ht="39" customHeight="1" outlineLevel="2" x14ac:dyDescent="0.25">
      <c r="A113" s="13" t="s">
        <v>360</v>
      </c>
      <c r="B113" s="14">
        <v>113</v>
      </c>
      <c r="C113" s="74" t="s">
        <v>26</v>
      </c>
      <c r="D113" s="74" t="s">
        <v>361</v>
      </c>
      <c r="E113" s="16"/>
      <c r="F113" s="102" t="s">
        <v>362</v>
      </c>
      <c r="G113" s="135" t="s">
        <v>64</v>
      </c>
      <c r="H113" s="102" t="s">
        <v>363</v>
      </c>
      <c r="I113" s="87" t="s">
        <v>361</v>
      </c>
      <c r="J113" s="74" t="s">
        <v>24</v>
      </c>
      <c r="K113" s="78"/>
      <c r="L113" s="16"/>
      <c r="M113" s="78" t="str">
        <f t="shared" si="1"/>
        <v>Conforme au standard</v>
      </c>
      <c r="N113" s="103" t="s">
        <v>9</v>
      </c>
      <c r="O113" s="79" t="s">
        <v>9</v>
      </c>
      <c r="P113" s="80"/>
      <c r="Q113" s="78"/>
      <c r="R113" s="78"/>
      <c r="S113" s="81" t="s">
        <v>24</v>
      </c>
    </row>
    <row r="114" spans="1:19" ht="39" customHeight="1" x14ac:dyDescent="0.25">
      <c r="A114" s="24" t="s">
        <v>364</v>
      </c>
      <c r="B114" s="14">
        <v>114</v>
      </c>
      <c r="C114" s="110" t="s">
        <v>30</v>
      </c>
      <c r="D114" s="27" t="s">
        <v>24</v>
      </c>
      <c r="E114" s="16"/>
      <c r="F114" s="18" t="s">
        <v>365</v>
      </c>
      <c r="G114" s="153"/>
      <c r="H114" s="18"/>
      <c r="I114" s="26" t="s">
        <v>24</v>
      </c>
      <c r="J114" s="18" t="s">
        <v>24</v>
      </c>
      <c r="K114" s="113"/>
      <c r="L114" s="16"/>
      <c r="M114" s="113" t="str">
        <f t="shared" si="1"/>
        <v/>
      </c>
      <c r="N114" s="113" t="s">
        <v>9</v>
      </c>
      <c r="O114" s="113" t="s">
        <v>9</v>
      </c>
      <c r="P114" s="16"/>
      <c r="Q114" s="113"/>
      <c r="R114" s="113"/>
      <c r="S114" s="114" t="s">
        <v>24</v>
      </c>
    </row>
    <row r="115" spans="1:19" ht="39" customHeight="1" outlineLevel="1" x14ac:dyDescent="0.25">
      <c r="A115" s="108" t="s">
        <v>366</v>
      </c>
      <c r="B115" s="14">
        <v>115</v>
      </c>
      <c r="C115" s="98" t="s">
        <v>30</v>
      </c>
      <c r="D115" s="38" t="s">
        <v>24</v>
      </c>
      <c r="E115" s="16"/>
      <c r="F115" s="152" t="s">
        <v>367</v>
      </c>
      <c r="G115" s="115"/>
      <c r="H115" s="34"/>
      <c r="I115" s="37" t="s">
        <v>24</v>
      </c>
      <c r="J115" s="34" t="s">
        <v>24</v>
      </c>
      <c r="K115" s="39"/>
      <c r="L115" s="16"/>
      <c r="M115" s="40" t="str">
        <f t="shared" si="1"/>
        <v/>
      </c>
      <c r="N115" s="39" t="s">
        <v>9</v>
      </c>
      <c r="O115" s="39" t="s">
        <v>9</v>
      </c>
      <c r="P115" s="16"/>
      <c r="Q115" s="39"/>
      <c r="R115" s="39"/>
      <c r="S115" s="41" t="s">
        <v>24</v>
      </c>
    </row>
    <row r="116" spans="1:19" ht="39" customHeight="1" outlineLevel="2" x14ac:dyDescent="0.25">
      <c r="A116" s="13" t="s">
        <v>368</v>
      </c>
      <c r="B116" s="14">
        <v>116</v>
      </c>
      <c r="C116" s="15" t="s">
        <v>51</v>
      </c>
      <c r="D116" s="15" t="s">
        <v>369</v>
      </c>
      <c r="E116" s="82"/>
      <c r="F116" s="72" t="s">
        <v>370</v>
      </c>
      <c r="G116" s="96" t="s">
        <v>54</v>
      </c>
      <c r="H116" s="96" t="s">
        <v>371</v>
      </c>
      <c r="I116" s="19" t="s">
        <v>369</v>
      </c>
      <c r="J116" s="154"/>
      <c r="K116" s="20"/>
      <c r="L116" s="16"/>
      <c r="M116" s="20" t="str">
        <f t="shared" si="1"/>
        <v>Conforme au standard</v>
      </c>
      <c r="N116" s="21" t="s">
        <v>9</v>
      </c>
      <c r="O116" s="22" t="s">
        <v>9</v>
      </c>
      <c r="P116" s="16"/>
      <c r="Q116" s="20"/>
      <c r="R116" s="20"/>
      <c r="S116" s="23" t="s">
        <v>24</v>
      </c>
    </row>
    <row r="117" spans="1:19" ht="39" customHeight="1" outlineLevel="2" x14ac:dyDescent="0.25">
      <c r="A117" s="13" t="s">
        <v>372</v>
      </c>
      <c r="B117" s="14">
        <v>117</v>
      </c>
      <c r="C117" s="71" t="s">
        <v>26</v>
      </c>
      <c r="D117" s="71" t="s">
        <v>373</v>
      </c>
      <c r="E117" s="16"/>
      <c r="F117" s="90" t="s">
        <v>374</v>
      </c>
      <c r="G117" s="137" t="s">
        <v>64</v>
      </c>
      <c r="H117" s="104" t="s">
        <v>375</v>
      </c>
      <c r="I117" s="19" t="s">
        <v>373</v>
      </c>
      <c r="J117" s="15" t="s">
        <v>22</v>
      </c>
      <c r="K117" s="20"/>
      <c r="L117" s="16"/>
      <c r="M117" s="20" t="str">
        <f t="shared" si="1"/>
        <v>Conforme au standard</v>
      </c>
      <c r="N117" s="92" t="s">
        <v>9</v>
      </c>
      <c r="O117" s="22" t="s">
        <v>9</v>
      </c>
      <c r="P117" s="16"/>
      <c r="Q117" s="20"/>
      <c r="R117" s="20"/>
      <c r="S117" s="23" t="s">
        <v>24</v>
      </c>
    </row>
    <row r="118" spans="1:19" ht="39" customHeight="1" outlineLevel="2" x14ac:dyDescent="0.25">
      <c r="A118" s="13" t="s">
        <v>376</v>
      </c>
      <c r="B118" s="14">
        <v>118</v>
      </c>
      <c r="C118" s="74" t="s">
        <v>26</v>
      </c>
      <c r="D118" s="74" t="s">
        <v>377</v>
      </c>
      <c r="E118" s="16"/>
      <c r="F118" s="93" t="s">
        <v>378</v>
      </c>
      <c r="G118" s="134" t="s">
        <v>48</v>
      </c>
      <c r="H118" s="93" t="s">
        <v>379</v>
      </c>
      <c r="I118" s="94" t="s">
        <v>377</v>
      </c>
      <c r="J118" s="74" t="s">
        <v>22</v>
      </c>
      <c r="K118" s="78"/>
      <c r="L118" s="16"/>
      <c r="M118" s="78" t="str">
        <f t="shared" si="1"/>
        <v>Conforme au standard</v>
      </c>
      <c r="N118" s="79" t="s">
        <v>9</v>
      </c>
      <c r="O118" s="79" t="s">
        <v>9</v>
      </c>
      <c r="P118" s="80"/>
      <c r="Q118" s="78"/>
      <c r="R118" s="78"/>
      <c r="S118" s="81" t="s">
        <v>44</v>
      </c>
    </row>
    <row r="119" spans="1:19" ht="39" customHeight="1" outlineLevel="2" x14ac:dyDescent="0.25">
      <c r="A119" s="70" t="s">
        <v>380</v>
      </c>
      <c r="B119" s="14">
        <v>119</v>
      </c>
      <c r="C119" s="74" t="s">
        <v>35</v>
      </c>
      <c r="D119" s="74" t="s">
        <v>24</v>
      </c>
      <c r="E119" s="16"/>
      <c r="F119" s="93" t="s">
        <v>381</v>
      </c>
      <c r="G119" s="102" t="s">
        <v>37</v>
      </c>
      <c r="H119" s="93" t="s">
        <v>382</v>
      </c>
      <c r="I119" s="87" t="s">
        <v>24</v>
      </c>
      <c r="J119" s="74" t="s">
        <v>24</v>
      </c>
      <c r="K119" s="78"/>
      <c r="L119" s="16"/>
      <c r="M119" s="78" t="str">
        <f t="shared" si="1"/>
        <v>Renseigner la réponse DCO</v>
      </c>
      <c r="N119" s="79" t="s">
        <v>9</v>
      </c>
      <c r="O119" s="79" t="s">
        <v>9</v>
      </c>
      <c r="P119" s="80"/>
      <c r="Q119" s="78"/>
      <c r="R119" s="78"/>
      <c r="S119" s="81" t="s">
        <v>24</v>
      </c>
    </row>
    <row r="120" spans="1:19" ht="39" customHeight="1" outlineLevel="2" x14ac:dyDescent="0.25">
      <c r="A120" s="13" t="s">
        <v>383</v>
      </c>
      <c r="B120" s="14">
        <v>120</v>
      </c>
      <c r="C120" s="74" t="s">
        <v>35</v>
      </c>
      <c r="D120" s="74" t="s">
        <v>24</v>
      </c>
      <c r="E120" s="16"/>
      <c r="F120" s="93" t="s">
        <v>384</v>
      </c>
      <c r="G120" s="102" t="s">
        <v>37</v>
      </c>
      <c r="H120" s="76" t="s">
        <v>38</v>
      </c>
      <c r="I120" s="87" t="s">
        <v>75</v>
      </c>
      <c r="J120" s="74" t="s">
        <v>24</v>
      </c>
      <c r="K120" s="78" t="s">
        <v>23</v>
      </c>
      <c r="L120" s="16"/>
      <c r="M120" s="78" t="str">
        <f t="shared" si="1"/>
        <v>Spécifique Offre</v>
      </c>
      <c r="N120" s="79" t="s">
        <v>9</v>
      </c>
      <c r="O120" s="79" t="s">
        <v>9</v>
      </c>
      <c r="P120" s="80"/>
      <c r="Q120" s="78"/>
      <c r="R120" s="78"/>
      <c r="S120" s="81" t="s">
        <v>24</v>
      </c>
    </row>
    <row r="121" spans="1:19" ht="39" customHeight="1" outlineLevel="1" x14ac:dyDescent="0.25">
      <c r="A121" s="108" t="s">
        <v>385</v>
      </c>
      <c r="B121" s="14">
        <v>121</v>
      </c>
      <c r="C121" s="98" t="s">
        <v>30</v>
      </c>
      <c r="D121" s="38" t="s">
        <v>24</v>
      </c>
      <c r="E121" s="16"/>
      <c r="F121" s="35" t="s">
        <v>386</v>
      </c>
      <c r="G121" s="155"/>
      <c r="H121" s="34"/>
      <c r="I121" s="37" t="s">
        <v>24</v>
      </c>
      <c r="J121" s="34" t="s">
        <v>24</v>
      </c>
      <c r="K121" s="39"/>
      <c r="L121" s="16"/>
      <c r="M121" s="40" t="str">
        <f t="shared" si="1"/>
        <v/>
      </c>
      <c r="N121" s="39" t="s">
        <v>9</v>
      </c>
      <c r="O121" s="39" t="s">
        <v>9</v>
      </c>
      <c r="P121" s="16"/>
      <c r="Q121" s="39"/>
      <c r="R121" s="39"/>
      <c r="S121" s="41" t="s">
        <v>24</v>
      </c>
    </row>
    <row r="122" spans="1:19" ht="39" customHeight="1" outlineLevel="2" x14ac:dyDescent="0.25">
      <c r="A122" s="70" t="s">
        <v>387</v>
      </c>
      <c r="B122" s="14">
        <v>122</v>
      </c>
      <c r="C122" s="71" t="s">
        <v>26</v>
      </c>
      <c r="D122" s="71" t="s">
        <v>388</v>
      </c>
      <c r="E122" s="16"/>
      <c r="F122" s="90" t="s">
        <v>389</v>
      </c>
      <c r="G122" s="73" t="s">
        <v>64</v>
      </c>
      <c r="H122" s="104" t="s">
        <v>390</v>
      </c>
      <c r="I122" s="19" t="s">
        <v>388</v>
      </c>
      <c r="J122" s="15" t="s">
        <v>22</v>
      </c>
      <c r="K122" s="20"/>
      <c r="L122" s="16"/>
      <c r="M122" s="20" t="str">
        <f t="shared" si="1"/>
        <v>Conforme au standard</v>
      </c>
      <c r="N122" s="92" t="s">
        <v>9</v>
      </c>
      <c r="O122" s="22" t="s">
        <v>9</v>
      </c>
      <c r="P122" s="16"/>
      <c r="Q122" s="20"/>
      <c r="R122" s="20"/>
      <c r="S122" s="23" t="s">
        <v>24</v>
      </c>
    </row>
    <row r="123" spans="1:19" ht="39" customHeight="1" outlineLevel="2" x14ac:dyDescent="0.25">
      <c r="A123" s="13" t="s">
        <v>391</v>
      </c>
      <c r="B123" s="14">
        <v>123</v>
      </c>
      <c r="C123" s="74" t="s">
        <v>35</v>
      </c>
      <c r="D123" s="74" t="s">
        <v>24</v>
      </c>
      <c r="E123" s="16"/>
      <c r="F123" s="93" t="s">
        <v>392</v>
      </c>
      <c r="G123" s="141" t="s">
        <v>48</v>
      </c>
      <c r="H123" s="93" t="s">
        <v>393</v>
      </c>
      <c r="I123" s="94" t="s">
        <v>75</v>
      </c>
      <c r="J123" s="74" t="s">
        <v>22</v>
      </c>
      <c r="K123" s="78" t="s">
        <v>23</v>
      </c>
      <c r="L123" s="16"/>
      <c r="M123" s="78" t="str">
        <f t="shared" si="1"/>
        <v>Spécifique Offre</v>
      </c>
      <c r="N123" s="79" t="s">
        <v>9</v>
      </c>
      <c r="O123" s="79" t="s">
        <v>9</v>
      </c>
      <c r="P123" s="80"/>
      <c r="Q123" s="78"/>
      <c r="R123" s="78"/>
      <c r="S123" s="81" t="s">
        <v>44</v>
      </c>
    </row>
    <row r="124" spans="1:19" ht="39" customHeight="1" outlineLevel="2" x14ac:dyDescent="0.25">
      <c r="A124" s="13" t="s">
        <v>394</v>
      </c>
      <c r="B124" s="14">
        <v>124</v>
      </c>
      <c r="C124" s="74" t="s">
        <v>35</v>
      </c>
      <c r="D124" s="74" t="s">
        <v>24</v>
      </c>
      <c r="E124" s="16"/>
      <c r="F124" s="93" t="s">
        <v>395</v>
      </c>
      <c r="G124" s="102" t="s">
        <v>37</v>
      </c>
      <c r="H124" s="93"/>
      <c r="I124" s="87" t="s">
        <v>75</v>
      </c>
      <c r="J124" s="74"/>
      <c r="K124" s="78" t="s">
        <v>23</v>
      </c>
      <c r="L124" s="16"/>
      <c r="M124" s="78" t="str">
        <f t="shared" si="1"/>
        <v>Spécifique Offre</v>
      </c>
      <c r="N124" s="79" t="s">
        <v>9</v>
      </c>
      <c r="O124" s="79" t="s">
        <v>9</v>
      </c>
      <c r="P124" s="80"/>
      <c r="Q124" s="78"/>
      <c r="R124" s="78"/>
      <c r="S124" s="81" t="s">
        <v>24</v>
      </c>
    </row>
    <row r="125" spans="1:19" ht="39" customHeight="1" outlineLevel="2" x14ac:dyDescent="0.25">
      <c r="A125" s="13" t="s">
        <v>396</v>
      </c>
      <c r="B125" s="14">
        <v>125</v>
      </c>
      <c r="C125" s="15" t="s">
        <v>26</v>
      </c>
      <c r="D125" s="15" t="s">
        <v>397</v>
      </c>
      <c r="E125" s="82"/>
      <c r="F125" s="104" t="s">
        <v>398</v>
      </c>
      <c r="G125" s="96" t="s">
        <v>64</v>
      </c>
      <c r="H125" s="97" t="s">
        <v>399</v>
      </c>
      <c r="I125" s="19" t="s">
        <v>397</v>
      </c>
      <c r="J125" s="15" t="s">
        <v>22</v>
      </c>
      <c r="K125" s="20"/>
      <c r="L125" s="16"/>
      <c r="M125" s="20" t="str">
        <f t="shared" si="1"/>
        <v>Conforme au standard</v>
      </c>
      <c r="N125" s="22" t="s">
        <v>9</v>
      </c>
      <c r="O125" s="22" t="s">
        <v>9</v>
      </c>
      <c r="P125" s="80"/>
      <c r="Q125" s="20"/>
      <c r="R125" s="20"/>
      <c r="S125" s="23" t="s">
        <v>24</v>
      </c>
    </row>
    <row r="126" spans="1:19" ht="39" customHeight="1" outlineLevel="1" x14ac:dyDescent="0.25">
      <c r="A126" s="108" t="s">
        <v>400</v>
      </c>
      <c r="B126" s="14">
        <v>126</v>
      </c>
      <c r="C126" s="98" t="s">
        <v>30</v>
      </c>
      <c r="D126" s="38" t="s">
        <v>24</v>
      </c>
      <c r="E126" s="16"/>
      <c r="F126" s="35" t="s">
        <v>401</v>
      </c>
      <c r="G126" s="155"/>
      <c r="H126" s="34"/>
      <c r="I126" s="37" t="s">
        <v>24</v>
      </c>
      <c r="J126" s="34" t="s">
        <v>24</v>
      </c>
      <c r="K126" s="39"/>
      <c r="L126" s="16"/>
      <c r="M126" s="40" t="str">
        <f t="shared" si="1"/>
        <v/>
      </c>
      <c r="N126" s="39" t="s">
        <v>9</v>
      </c>
      <c r="O126" s="39" t="s">
        <v>9</v>
      </c>
      <c r="P126" s="16"/>
      <c r="Q126" s="39"/>
      <c r="R126" s="39"/>
      <c r="S126" s="41" t="s">
        <v>24</v>
      </c>
    </row>
    <row r="127" spans="1:19" ht="39" customHeight="1" outlineLevel="2" x14ac:dyDescent="0.25">
      <c r="A127" s="142" t="s">
        <v>402</v>
      </c>
      <c r="B127" s="14">
        <v>127</v>
      </c>
      <c r="C127" s="143" t="s">
        <v>30</v>
      </c>
      <c r="D127" s="144" t="s">
        <v>24</v>
      </c>
      <c r="E127" s="16"/>
      <c r="F127" s="145" t="s">
        <v>403</v>
      </c>
      <c r="G127" s="156"/>
      <c r="H127" s="147"/>
      <c r="I127" s="148" t="s">
        <v>24</v>
      </c>
      <c r="J127" s="147" t="s">
        <v>24</v>
      </c>
      <c r="K127" s="149"/>
      <c r="L127" s="16"/>
      <c r="M127" s="149" t="str">
        <f t="shared" si="1"/>
        <v/>
      </c>
      <c r="N127" s="149" t="s">
        <v>9</v>
      </c>
      <c r="O127" s="149" t="s">
        <v>9</v>
      </c>
      <c r="P127" s="16"/>
      <c r="Q127" s="149"/>
      <c r="R127" s="149"/>
      <c r="S127" s="150" t="s">
        <v>24</v>
      </c>
    </row>
    <row r="128" spans="1:19" ht="39" customHeight="1" outlineLevel="2" x14ac:dyDescent="0.25">
      <c r="A128" s="70" t="s">
        <v>404</v>
      </c>
      <c r="B128" s="14">
        <v>128</v>
      </c>
      <c r="C128" s="71" t="s">
        <v>19</v>
      </c>
      <c r="D128" s="71" t="s">
        <v>405</v>
      </c>
      <c r="E128" s="16"/>
      <c r="F128" s="90" t="s">
        <v>406</v>
      </c>
      <c r="G128" s="88" t="s">
        <v>64</v>
      </c>
      <c r="H128" s="97" t="s">
        <v>407</v>
      </c>
      <c r="I128" s="19" t="s">
        <v>405</v>
      </c>
      <c r="J128" s="15" t="s">
        <v>22</v>
      </c>
      <c r="K128" s="20"/>
      <c r="L128" s="16"/>
      <c r="M128" s="20" t="str">
        <f t="shared" si="1"/>
        <v>Conforme au standard</v>
      </c>
      <c r="N128" s="92" t="s">
        <v>9</v>
      </c>
      <c r="O128" s="22" t="s">
        <v>9</v>
      </c>
      <c r="P128" s="16"/>
      <c r="Q128" s="20"/>
      <c r="R128" s="20"/>
      <c r="S128" s="23" t="s">
        <v>24</v>
      </c>
    </row>
    <row r="129" spans="1:19" ht="39" customHeight="1" outlineLevel="2" x14ac:dyDescent="0.25">
      <c r="A129" s="13" t="s">
        <v>408</v>
      </c>
      <c r="B129" s="14">
        <v>129</v>
      </c>
      <c r="C129" s="74" t="s">
        <v>19</v>
      </c>
      <c r="D129" s="74" t="s">
        <v>46</v>
      </c>
      <c r="E129" s="85"/>
      <c r="F129" s="93" t="s">
        <v>409</v>
      </c>
      <c r="G129" s="102" t="s">
        <v>64</v>
      </c>
      <c r="H129" s="93" t="s">
        <v>410</v>
      </c>
      <c r="I129" s="87" t="s">
        <v>46</v>
      </c>
      <c r="J129" s="74" t="s">
        <v>24</v>
      </c>
      <c r="K129" s="78" t="s">
        <v>23</v>
      </c>
      <c r="L129" s="16"/>
      <c r="M129" s="78" t="str">
        <f t="shared" ref="M129:M192" si="2">IF(OR(A129="",LEFT(A129,3)="ElT"),"",IF(AND(OR(C129="Titre",LEFT(I129,11)="Non concern",NOT(ISERROR(SEARCH("annex",G129,1)))),C129&lt;&gt;"Sp"),IF(D129="","Non concerné",IF(LEFT(D129,11)="non concern","Non concerné","Non conforme au standard")),IF(AND(C129="Sp",I129&lt;&gt;""),"Spécifique Offre",IF(AND(OR(C129="",D129=""),C129&lt;&gt;"Sp"),MessageStandardIncomplet,IF(I129="",ReponseNonSaisie,IF(S129="=",IF(I129=D129,"Conforme au standard",IF(I129=StandardNonApplicable,"Non concerné","Non conforme au standard")),IF(NOT(ISERROR(SEARCH(D129,I129,1))),"Conforme au standard",IF(I129=StandardNonApplicable,"Non concerné","Non conforme au standard"))))))))</f>
        <v>Non concerné</v>
      </c>
      <c r="N129" s="103" t="s">
        <v>9</v>
      </c>
      <c r="O129" s="79" t="s">
        <v>9</v>
      </c>
      <c r="P129" s="16"/>
      <c r="Q129" s="78"/>
      <c r="R129" s="78"/>
      <c r="S129" s="81" t="s">
        <v>24</v>
      </c>
    </row>
    <row r="130" spans="1:19" ht="39" customHeight="1" outlineLevel="2" x14ac:dyDescent="0.25">
      <c r="A130" s="13" t="s">
        <v>411</v>
      </c>
      <c r="B130" s="14">
        <v>130</v>
      </c>
      <c r="C130" s="74" t="s">
        <v>35</v>
      </c>
      <c r="D130" s="74" t="s">
        <v>24</v>
      </c>
      <c r="E130" s="85"/>
      <c r="F130" s="93" t="s">
        <v>412</v>
      </c>
      <c r="G130" s="102" t="s">
        <v>64</v>
      </c>
      <c r="H130" s="93" t="s">
        <v>413</v>
      </c>
      <c r="I130" s="87" t="s">
        <v>75</v>
      </c>
      <c r="J130" s="74"/>
      <c r="K130" s="78" t="s">
        <v>23</v>
      </c>
      <c r="L130" s="16"/>
      <c r="M130" s="78" t="str">
        <f t="shared" si="2"/>
        <v>Spécifique Offre</v>
      </c>
      <c r="N130" s="103" t="s">
        <v>9</v>
      </c>
      <c r="O130" s="79" t="s">
        <v>9</v>
      </c>
      <c r="P130" s="16"/>
      <c r="Q130" s="78"/>
      <c r="R130" s="78"/>
      <c r="S130" s="81" t="s">
        <v>24</v>
      </c>
    </row>
    <row r="131" spans="1:19" ht="39" customHeight="1" outlineLevel="2" x14ac:dyDescent="0.25">
      <c r="A131" s="13" t="s">
        <v>414</v>
      </c>
      <c r="B131" s="14">
        <v>131</v>
      </c>
      <c r="C131" s="71" t="s">
        <v>26</v>
      </c>
      <c r="D131" s="71" t="s">
        <v>415</v>
      </c>
      <c r="E131" s="16"/>
      <c r="F131" s="157" t="s">
        <v>416</v>
      </c>
      <c r="G131" s="73" t="s">
        <v>64</v>
      </c>
      <c r="H131" s="97" t="s">
        <v>417</v>
      </c>
      <c r="I131" s="19" t="s">
        <v>415</v>
      </c>
      <c r="J131" s="15" t="s">
        <v>22</v>
      </c>
      <c r="K131" s="20"/>
      <c r="L131" s="16"/>
      <c r="M131" s="20" t="str">
        <f t="shared" si="2"/>
        <v>Conforme au standard</v>
      </c>
      <c r="N131" s="92" t="s">
        <v>9</v>
      </c>
      <c r="O131" s="22" t="s">
        <v>9</v>
      </c>
      <c r="P131" s="16"/>
      <c r="Q131" s="20"/>
      <c r="R131" s="20"/>
      <c r="S131" s="23" t="s">
        <v>24</v>
      </c>
    </row>
    <row r="132" spans="1:19" ht="39" customHeight="1" outlineLevel="2" x14ac:dyDescent="0.25">
      <c r="A132" s="13" t="s">
        <v>418</v>
      </c>
      <c r="B132" s="14">
        <v>132</v>
      </c>
      <c r="C132" s="74" t="s">
        <v>35</v>
      </c>
      <c r="D132" s="74" t="s">
        <v>24</v>
      </c>
      <c r="E132" s="16"/>
      <c r="F132" s="158" t="s">
        <v>419</v>
      </c>
      <c r="G132" s="141" t="s">
        <v>48</v>
      </c>
      <c r="H132" s="93" t="s">
        <v>420</v>
      </c>
      <c r="I132" s="94" t="s">
        <v>75</v>
      </c>
      <c r="J132" s="74" t="s">
        <v>22</v>
      </c>
      <c r="K132" s="78" t="s">
        <v>23</v>
      </c>
      <c r="L132" s="16"/>
      <c r="M132" s="78" t="str">
        <f t="shared" si="2"/>
        <v>Spécifique Offre</v>
      </c>
      <c r="N132" s="79" t="s">
        <v>9</v>
      </c>
      <c r="O132" s="79" t="s">
        <v>9</v>
      </c>
      <c r="P132" s="80"/>
      <c r="Q132" s="78"/>
      <c r="R132" s="78"/>
      <c r="S132" s="81" t="s">
        <v>44</v>
      </c>
    </row>
    <row r="133" spans="1:19" ht="39" customHeight="1" outlineLevel="2" x14ac:dyDescent="0.25">
      <c r="A133" s="13" t="s">
        <v>421</v>
      </c>
      <c r="B133" s="14">
        <v>133</v>
      </c>
      <c r="C133" s="74" t="s">
        <v>35</v>
      </c>
      <c r="D133" s="74" t="s">
        <v>24</v>
      </c>
      <c r="E133" s="16"/>
      <c r="F133" s="102" t="s">
        <v>422</v>
      </c>
      <c r="G133" s="102" t="s">
        <v>37</v>
      </c>
      <c r="H133" s="76" t="s">
        <v>38</v>
      </c>
      <c r="I133" s="87" t="s">
        <v>75</v>
      </c>
      <c r="J133" s="74" t="s">
        <v>24</v>
      </c>
      <c r="K133" s="78" t="s">
        <v>23</v>
      </c>
      <c r="L133" s="16"/>
      <c r="M133" s="78" t="str">
        <f t="shared" si="2"/>
        <v>Spécifique Offre</v>
      </c>
      <c r="N133" s="79" t="s">
        <v>9</v>
      </c>
      <c r="O133" s="79" t="s">
        <v>9</v>
      </c>
      <c r="P133" s="80"/>
      <c r="Q133" s="78"/>
      <c r="R133" s="78"/>
      <c r="S133" s="81" t="s">
        <v>24</v>
      </c>
    </row>
    <row r="134" spans="1:19" ht="39" customHeight="1" outlineLevel="2" x14ac:dyDescent="0.25">
      <c r="A134" s="142" t="s">
        <v>423</v>
      </c>
      <c r="B134" s="14">
        <v>134</v>
      </c>
      <c r="C134" s="143" t="s">
        <v>30</v>
      </c>
      <c r="D134" s="144" t="s">
        <v>24</v>
      </c>
      <c r="E134" s="16"/>
      <c r="F134" s="145" t="s">
        <v>424</v>
      </c>
      <c r="G134" s="146"/>
      <c r="H134" s="147"/>
      <c r="I134" s="148" t="s">
        <v>24</v>
      </c>
      <c r="J134" s="147" t="s">
        <v>24</v>
      </c>
      <c r="K134" s="149"/>
      <c r="L134" s="16"/>
      <c r="M134" s="149" t="str">
        <f t="shared" si="2"/>
        <v/>
      </c>
      <c r="N134" s="149" t="s">
        <v>9</v>
      </c>
      <c r="O134" s="149" t="s">
        <v>9</v>
      </c>
      <c r="P134" s="16"/>
      <c r="Q134" s="149"/>
      <c r="R134" s="149"/>
      <c r="S134" s="150" t="s">
        <v>24</v>
      </c>
    </row>
    <row r="135" spans="1:19" ht="39" customHeight="1" outlineLevel="2" x14ac:dyDescent="0.25">
      <c r="A135" s="13" t="s">
        <v>425</v>
      </c>
      <c r="B135" s="14">
        <v>135</v>
      </c>
      <c r="C135" s="71" t="s">
        <v>19</v>
      </c>
      <c r="D135" s="71" t="s">
        <v>426</v>
      </c>
      <c r="E135" s="16"/>
      <c r="F135" s="90" t="s">
        <v>427</v>
      </c>
      <c r="G135" s="73" t="s">
        <v>64</v>
      </c>
      <c r="H135" s="97" t="s">
        <v>428</v>
      </c>
      <c r="I135" s="19" t="s">
        <v>426</v>
      </c>
      <c r="J135" s="15" t="s">
        <v>22</v>
      </c>
      <c r="K135" s="20"/>
      <c r="L135" s="16"/>
      <c r="M135" s="20" t="str">
        <f t="shared" si="2"/>
        <v>Conforme au standard</v>
      </c>
      <c r="N135" s="92" t="s">
        <v>9</v>
      </c>
      <c r="O135" s="22" t="s">
        <v>9</v>
      </c>
      <c r="P135" s="16"/>
      <c r="Q135" s="20"/>
      <c r="R135" s="20"/>
      <c r="S135" s="23" t="s">
        <v>24</v>
      </c>
    </row>
    <row r="136" spans="1:19" ht="39" customHeight="1" outlineLevel="2" x14ac:dyDescent="0.25">
      <c r="A136" s="13" t="s">
        <v>429</v>
      </c>
      <c r="B136" s="14">
        <v>136</v>
      </c>
      <c r="C136" s="74" t="s">
        <v>19</v>
      </c>
      <c r="D136" s="159" t="s">
        <v>46</v>
      </c>
      <c r="E136" s="16"/>
      <c r="F136" s="93" t="s">
        <v>409</v>
      </c>
      <c r="G136" s="102" t="s">
        <v>64</v>
      </c>
      <c r="H136" s="93" t="s">
        <v>410</v>
      </c>
      <c r="I136" s="87" t="s">
        <v>46</v>
      </c>
      <c r="J136" s="74" t="s">
        <v>24</v>
      </c>
      <c r="K136" s="78" t="s">
        <v>23</v>
      </c>
      <c r="L136" s="16"/>
      <c r="M136" s="78" t="str">
        <f t="shared" si="2"/>
        <v>Non concerné</v>
      </c>
      <c r="N136" s="103" t="s">
        <v>9</v>
      </c>
      <c r="O136" s="79" t="s">
        <v>9</v>
      </c>
      <c r="P136" s="16"/>
      <c r="Q136" s="78"/>
      <c r="R136" s="78"/>
      <c r="S136" s="81" t="s">
        <v>24</v>
      </c>
    </row>
    <row r="137" spans="1:19" ht="39" customHeight="1" outlineLevel="2" x14ac:dyDescent="0.25">
      <c r="A137" s="13" t="s">
        <v>430</v>
      </c>
      <c r="B137" s="14">
        <v>137</v>
      </c>
      <c r="C137" s="74" t="s">
        <v>35</v>
      </c>
      <c r="D137" s="159" t="s">
        <v>24</v>
      </c>
      <c r="E137" s="16"/>
      <c r="F137" s="93" t="s">
        <v>412</v>
      </c>
      <c r="G137" s="102" t="s">
        <v>64</v>
      </c>
      <c r="H137" s="93" t="s">
        <v>410</v>
      </c>
      <c r="I137" s="87" t="s">
        <v>75</v>
      </c>
      <c r="J137" s="74" t="s">
        <v>24</v>
      </c>
      <c r="K137" s="78" t="s">
        <v>23</v>
      </c>
      <c r="L137" s="16"/>
      <c r="M137" s="78" t="str">
        <f t="shared" si="2"/>
        <v>Spécifique Offre</v>
      </c>
      <c r="N137" s="103" t="s">
        <v>9</v>
      </c>
      <c r="O137" s="79" t="s">
        <v>9</v>
      </c>
      <c r="P137" s="16"/>
      <c r="Q137" s="78"/>
      <c r="R137" s="78"/>
      <c r="S137" s="81" t="s">
        <v>24</v>
      </c>
    </row>
    <row r="138" spans="1:19" ht="39" customHeight="1" outlineLevel="2" x14ac:dyDescent="0.25">
      <c r="A138" s="13" t="s">
        <v>431</v>
      </c>
      <c r="B138" s="14">
        <v>138</v>
      </c>
      <c r="C138" s="71" t="s">
        <v>19</v>
      </c>
      <c r="D138" s="71" t="s">
        <v>432</v>
      </c>
      <c r="E138" s="16"/>
      <c r="F138" s="88" t="s">
        <v>433</v>
      </c>
      <c r="G138" s="137" t="s">
        <v>64</v>
      </c>
      <c r="H138" s="97" t="s">
        <v>434</v>
      </c>
      <c r="I138" s="19" t="s">
        <v>432</v>
      </c>
      <c r="J138" s="15" t="s">
        <v>24</v>
      </c>
      <c r="K138" s="20"/>
      <c r="L138" s="16"/>
      <c r="M138" s="20" t="str">
        <f t="shared" si="2"/>
        <v>Conforme au standard</v>
      </c>
      <c r="N138" s="92" t="s">
        <v>9</v>
      </c>
      <c r="O138" s="22" t="s">
        <v>9</v>
      </c>
      <c r="P138" s="16"/>
      <c r="Q138" s="20"/>
      <c r="R138" s="20"/>
      <c r="S138" s="23" t="s">
        <v>24</v>
      </c>
    </row>
    <row r="139" spans="1:19" ht="39" customHeight="1" outlineLevel="1" x14ac:dyDescent="0.25">
      <c r="A139" s="108" t="s">
        <v>435</v>
      </c>
      <c r="B139" s="14">
        <v>139</v>
      </c>
      <c r="C139" s="98" t="s">
        <v>30</v>
      </c>
      <c r="D139" s="38" t="s">
        <v>24</v>
      </c>
      <c r="E139" s="16"/>
      <c r="F139" s="35" t="s">
        <v>436</v>
      </c>
      <c r="G139" s="120"/>
      <c r="H139" s="34"/>
      <c r="I139" s="37" t="s">
        <v>24</v>
      </c>
      <c r="J139" s="34" t="s">
        <v>24</v>
      </c>
      <c r="K139" s="39"/>
      <c r="L139" s="16"/>
      <c r="M139" s="40" t="str">
        <f t="shared" si="2"/>
        <v/>
      </c>
      <c r="N139" s="39" t="s">
        <v>9</v>
      </c>
      <c r="O139" s="39" t="s">
        <v>9</v>
      </c>
      <c r="P139" s="16"/>
      <c r="Q139" s="39"/>
      <c r="R139" s="39"/>
      <c r="S139" s="41" t="s">
        <v>24</v>
      </c>
    </row>
    <row r="140" spans="1:19" ht="39" customHeight="1" outlineLevel="2" x14ac:dyDescent="0.25">
      <c r="A140" s="13" t="s">
        <v>437</v>
      </c>
      <c r="B140" s="14">
        <v>140</v>
      </c>
      <c r="C140" s="71" t="s">
        <v>51</v>
      </c>
      <c r="D140" s="71" t="s">
        <v>438</v>
      </c>
      <c r="E140" s="16"/>
      <c r="F140" s="90" t="s">
        <v>439</v>
      </c>
      <c r="G140" s="88" t="s">
        <v>64</v>
      </c>
      <c r="H140" s="97" t="s">
        <v>440</v>
      </c>
      <c r="I140" s="19" t="s">
        <v>438</v>
      </c>
      <c r="J140" s="15" t="s">
        <v>22</v>
      </c>
      <c r="K140" s="20"/>
      <c r="L140" s="16"/>
      <c r="M140" s="20" t="str">
        <f t="shared" si="2"/>
        <v>Conforme au standard</v>
      </c>
      <c r="N140" s="92" t="s">
        <v>9</v>
      </c>
      <c r="O140" s="22" t="s">
        <v>9</v>
      </c>
      <c r="P140" s="16"/>
      <c r="Q140" s="20"/>
      <c r="R140" s="20"/>
      <c r="S140" s="23" t="s">
        <v>24</v>
      </c>
    </row>
    <row r="141" spans="1:19" ht="39" customHeight="1" outlineLevel="2" x14ac:dyDescent="0.25">
      <c r="A141" s="13" t="s">
        <v>441</v>
      </c>
      <c r="B141" s="14">
        <v>141</v>
      </c>
      <c r="C141" s="160" t="s">
        <v>35</v>
      </c>
      <c r="D141" s="74" t="s">
        <v>24</v>
      </c>
      <c r="E141" s="16"/>
      <c r="F141" s="93" t="s">
        <v>442</v>
      </c>
      <c r="G141" s="102" t="s">
        <v>64</v>
      </c>
      <c r="H141" s="76" t="s">
        <v>443</v>
      </c>
      <c r="I141" s="87" t="s">
        <v>24</v>
      </c>
      <c r="J141" s="74" t="s">
        <v>22</v>
      </c>
      <c r="K141" s="78"/>
      <c r="L141" s="16"/>
      <c r="M141" s="78" t="str">
        <f t="shared" si="2"/>
        <v>Renseigner la réponse DCO</v>
      </c>
      <c r="N141" s="79" t="s">
        <v>9</v>
      </c>
      <c r="O141" s="79" t="s">
        <v>9</v>
      </c>
      <c r="P141" s="80"/>
      <c r="Q141" s="78"/>
      <c r="R141" s="78"/>
      <c r="S141" s="81" t="s">
        <v>24</v>
      </c>
    </row>
    <row r="142" spans="1:19" ht="39" customHeight="1" outlineLevel="2" x14ac:dyDescent="0.25">
      <c r="A142" s="13" t="s">
        <v>444</v>
      </c>
      <c r="B142" s="14">
        <v>142</v>
      </c>
      <c r="C142" s="160" t="s">
        <v>35</v>
      </c>
      <c r="D142" s="74" t="s">
        <v>24</v>
      </c>
      <c r="E142" s="16"/>
      <c r="F142" s="93" t="s">
        <v>445</v>
      </c>
      <c r="G142" s="135" t="s">
        <v>37</v>
      </c>
      <c r="H142" s="76" t="s">
        <v>38</v>
      </c>
      <c r="I142" s="87" t="s">
        <v>75</v>
      </c>
      <c r="J142" s="74" t="s">
        <v>24</v>
      </c>
      <c r="K142" s="78" t="s">
        <v>23</v>
      </c>
      <c r="L142" s="16"/>
      <c r="M142" s="78" t="str">
        <f t="shared" si="2"/>
        <v>Spécifique Offre</v>
      </c>
      <c r="N142" s="79" t="s">
        <v>9</v>
      </c>
      <c r="O142" s="79" t="s">
        <v>9</v>
      </c>
      <c r="P142" s="80"/>
      <c r="Q142" s="78"/>
      <c r="R142" s="78"/>
      <c r="S142" s="81" t="s">
        <v>24</v>
      </c>
    </row>
    <row r="143" spans="1:19" ht="39" customHeight="1" outlineLevel="2" x14ac:dyDescent="0.25">
      <c r="A143" s="13" t="s">
        <v>446</v>
      </c>
      <c r="B143" s="14">
        <v>143</v>
      </c>
      <c r="C143" s="71" t="s">
        <v>35</v>
      </c>
      <c r="D143" s="71" t="s">
        <v>24</v>
      </c>
      <c r="E143" s="16"/>
      <c r="F143" s="161" t="s">
        <v>447</v>
      </c>
      <c r="G143" s="73" t="s">
        <v>37</v>
      </c>
      <c r="H143" s="73" t="s">
        <v>38</v>
      </c>
      <c r="I143" s="19" t="s">
        <v>75</v>
      </c>
      <c r="J143" s="15" t="s">
        <v>24</v>
      </c>
      <c r="K143" s="20" t="s">
        <v>23</v>
      </c>
      <c r="L143" s="16"/>
      <c r="M143" s="20" t="str">
        <f t="shared" si="2"/>
        <v>Spécifique Offre</v>
      </c>
      <c r="N143" s="92" t="s">
        <v>9</v>
      </c>
      <c r="O143" s="22" t="s">
        <v>9</v>
      </c>
      <c r="P143" s="16"/>
      <c r="Q143" s="20"/>
      <c r="R143" s="20"/>
      <c r="S143" s="23" t="s">
        <v>24</v>
      </c>
    </row>
    <row r="144" spans="1:19" ht="39" customHeight="1" outlineLevel="2" x14ac:dyDescent="0.25">
      <c r="A144" s="13" t="s">
        <v>448</v>
      </c>
      <c r="B144" s="14">
        <v>144</v>
      </c>
      <c r="C144" s="71" t="s">
        <v>19</v>
      </c>
      <c r="D144" s="71" t="s">
        <v>273</v>
      </c>
      <c r="E144" s="16"/>
      <c r="F144" s="90" t="s">
        <v>449</v>
      </c>
      <c r="G144" s="88" t="s">
        <v>64</v>
      </c>
      <c r="H144" s="84" t="s">
        <v>450</v>
      </c>
      <c r="I144" s="19" t="s">
        <v>273</v>
      </c>
      <c r="J144" s="15" t="s">
        <v>22</v>
      </c>
      <c r="K144" s="20"/>
      <c r="L144" s="16"/>
      <c r="M144" s="20" t="str">
        <f t="shared" si="2"/>
        <v>Conforme au standard</v>
      </c>
      <c r="N144" s="92" t="s">
        <v>9</v>
      </c>
      <c r="O144" s="22" t="s">
        <v>9</v>
      </c>
      <c r="P144" s="16"/>
      <c r="Q144" s="20"/>
      <c r="R144" s="20"/>
      <c r="S144" s="23" t="s">
        <v>24</v>
      </c>
    </row>
    <row r="145" spans="1:28" ht="39" customHeight="1" outlineLevel="2" x14ac:dyDescent="0.25">
      <c r="A145" s="13" t="s">
        <v>451</v>
      </c>
      <c r="B145" s="14">
        <v>145</v>
      </c>
      <c r="C145" s="74" t="s">
        <v>35</v>
      </c>
      <c r="D145" s="74" t="s">
        <v>24</v>
      </c>
      <c r="E145" s="16"/>
      <c r="F145" s="93" t="s">
        <v>452</v>
      </c>
      <c r="G145" s="102" t="s">
        <v>37</v>
      </c>
      <c r="H145" s="76" t="s">
        <v>38</v>
      </c>
      <c r="I145" s="87" t="s">
        <v>75</v>
      </c>
      <c r="J145" s="74" t="s">
        <v>24</v>
      </c>
      <c r="K145" s="78" t="s">
        <v>23</v>
      </c>
      <c r="L145" s="16"/>
      <c r="M145" s="78" t="str">
        <f t="shared" si="2"/>
        <v>Spécifique Offre</v>
      </c>
      <c r="N145" s="79" t="s">
        <v>9</v>
      </c>
      <c r="O145" s="79" t="s">
        <v>9</v>
      </c>
      <c r="P145" s="80"/>
      <c r="Q145" s="78"/>
      <c r="R145" s="78"/>
      <c r="S145" s="81" t="s">
        <v>24</v>
      </c>
    </row>
    <row r="146" spans="1:28" ht="39" customHeight="1" outlineLevel="2" x14ac:dyDescent="0.25">
      <c r="A146" s="13" t="s">
        <v>453</v>
      </c>
      <c r="B146" s="14">
        <v>146</v>
      </c>
      <c r="C146" s="74" t="s">
        <v>35</v>
      </c>
      <c r="D146" s="74" t="s">
        <v>24</v>
      </c>
      <c r="E146" s="16"/>
      <c r="F146" s="93" t="s">
        <v>454</v>
      </c>
      <c r="G146" s="141" t="s">
        <v>48</v>
      </c>
      <c r="H146" s="76" t="s">
        <v>455</v>
      </c>
      <c r="I146" s="87" t="s">
        <v>75</v>
      </c>
      <c r="J146" s="74" t="s">
        <v>24</v>
      </c>
      <c r="K146" s="78" t="s">
        <v>23</v>
      </c>
      <c r="L146" s="16"/>
      <c r="M146" s="78" t="str">
        <f t="shared" si="2"/>
        <v>Spécifique Offre</v>
      </c>
      <c r="N146" s="79" t="s">
        <v>9</v>
      </c>
      <c r="O146" s="79" t="s">
        <v>9</v>
      </c>
      <c r="P146" s="80"/>
      <c r="Q146" s="78"/>
      <c r="R146" s="78"/>
      <c r="S146" s="81" t="s">
        <v>24</v>
      </c>
    </row>
    <row r="147" spans="1:28" ht="39" customHeight="1" outlineLevel="1" x14ac:dyDescent="0.25">
      <c r="A147" s="108" t="s">
        <v>456</v>
      </c>
      <c r="B147" s="14">
        <v>147</v>
      </c>
      <c r="C147" s="98" t="s">
        <v>30</v>
      </c>
      <c r="D147" s="38" t="s">
        <v>24</v>
      </c>
      <c r="E147" s="16"/>
      <c r="F147" s="34" t="s">
        <v>457</v>
      </c>
      <c r="G147" s="120"/>
      <c r="H147" s="34"/>
      <c r="I147" s="37" t="s">
        <v>24</v>
      </c>
      <c r="J147" s="34" t="s">
        <v>24</v>
      </c>
      <c r="K147" s="39"/>
      <c r="L147" s="16"/>
      <c r="M147" s="40" t="str">
        <f t="shared" si="2"/>
        <v/>
      </c>
      <c r="N147" s="39" t="s">
        <v>9</v>
      </c>
      <c r="O147" s="39" t="s">
        <v>9</v>
      </c>
      <c r="P147" s="16"/>
      <c r="Q147" s="39"/>
      <c r="R147" s="39"/>
      <c r="S147" s="41" t="s">
        <v>24</v>
      </c>
    </row>
    <row r="148" spans="1:28" ht="39" customHeight="1" outlineLevel="2" x14ac:dyDescent="0.25">
      <c r="A148" s="13" t="s">
        <v>458</v>
      </c>
      <c r="B148" s="14">
        <v>148</v>
      </c>
      <c r="C148" s="71" t="s">
        <v>51</v>
      </c>
      <c r="D148" s="71" t="s">
        <v>459</v>
      </c>
      <c r="E148" s="16"/>
      <c r="F148" s="88" t="s">
        <v>460</v>
      </c>
      <c r="G148" s="88" t="s">
        <v>64</v>
      </c>
      <c r="H148" s="97" t="s">
        <v>461</v>
      </c>
      <c r="I148" s="19" t="s">
        <v>459</v>
      </c>
      <c r="J148" s="15" t="s">
        <v>22</v>
      </c>
      <c r="K148" s="20"/>
      <c r="L148" s="16"/>
      <c r="M148" s="20" t="str">
        <f t="shared" si="2"/>
        <v>Conforme au standard</v>
      </c>
      <c r="N148" s="92" t="s">
        <v>9</v>
      </c>
      <c r="O148" s="22" t="s">
        <v>9</v>
      </c>
      <c r="P148" s="16"/>
      <c r="Q148" s="20"/>
      <c r="R148" s="20"/>
      <c r="S148" s="23" t="s">
        <v>24</v>
      </c>
    </row>
    <row r="149" spans="1:28" ht="39" customHeight="1" outlineLevel="2" x14ac:dyDescent="0.25">
      <c r="A149" s="13" t="s">
        <v>462</v>
      </c>
      <c r="B149" s="14">
        <v>149</v>
      </c>
      <c r="C149" s="74" t="s">
        <v>35</v>
      </c>
      <c r="D149" s="74" t="s">
        <v>24</v>
      </c>
      <c r="E149" s="16"/>
      <c r="F149" s="102" t="s">
        <v>463</v>
      </c>
      <c r="G149" s="102" t="s">
        <v>37</v>
      </c>
      <c r="H149" s="76" t="s">
        <v>38</v>
      </c>
      <c r="I149" s="87" t="s">
        <v>75</v>
      </c>
      <c r="J149" s="74" t="s">
        <v>24</v>
      </c>
      <c r="K149" s="78" t="s">
        <v>23</v>
      </c>
      <c r="L149" s="16"/>
      <c r="M149" s="78" t="str">
        <f t="shared" si="2"/>
        <v>Spécifique Offre</v>
      </c>
      <c r="N149" s="79" t="s">
        <v>9</v>
      </c>
      <c r="O149" s="79" t="s">
        <v>9</v>
      </c>
      <c r="P149" s="80"/>
      <c r="Q149" s="78"/>
      <c r="R149" s="78"/>
      <c r="S149" s="81" t="s">
        <v>24</v>
      </c>
    </row>
    <row r="150" spans="1:28" ht="39" customHeight="1" outlineLevel="2" x14ac:dyDescent="0.25">
      <c r="A150" s="13" t="s">
        <v>464</v>
      </c>
      <c r="B150" s="14">
        <v>150</v>
      </c>
      <c r="C150" s="71" t="s">
        <v>51</v>
      </c>
      <c r="D150" s="71" t="s">
        <v>465</v>
      </c>
      <c r="E150" s="16"/>
      <c r="F150" s="88" t="s">
        <v>466</v>
      </c>
      <c r="G150" s="137" t="s">
        <v>64</v>
      </c>
      <c r="H150" s="97" t="s">
        <v>467</v>
      </c>
      <c r="I150" s="19" t="s">
        <v>465</v>
      </c>
      <c r="J150" s="15" t="s">
        <v>22</v>
      </c>
      <c r="K150" s="20"/>
      <c r="L150" s="16"/>
      <c r="M150" s="20" t="str">
        <f t="shared" si="2"/>
        <v>Conforme au standard</v>
      </c>
      <c r="N150" s="92" t="s">
        <v>9</v>
      </c>
      <c r="O150" s="22" t="s">
        <v>9</v>
      </c>
      <c r="P150" s="16"/>
      <c r="Q150" s="20"/>
      <c r="R150" s="20"/>
      <c r="S150" s="23" t="s">
        <v>24</v>
      </c>
    </row>
    <row r="151" spans="1:28" ht="39" customHeight="1" outlineLevel="2" x14ac:dyDescent="0.25">
      <c r="A151" s="13" t="s">
        <v>468</v>
      </c>
      <c r="B151" s="14">
        <v>151</v>
      </c>
      <c r="C151" s="74" t="s">
        <v>35</v>
      </c>
      <c r="D151" s="74" t="s">
        <v>24</v>
      </c>
      <c r="E151" s="16"/>
      <c r="F151" s="102" t="s">
        <v>469</v>
      </c>
      <c r="G151" s="76" t="s">
        <v>37</v>
      </c>
      <c r="H151" s="76" t="s">
        <v>38</v>
      </c>
      <c r="I151" s="87" t="s">
        <v>75</v>
      </c>
      <c r="J151" s="74" t="s">
        <v>24</v>
      </c>
      <c r="K151" s="78" t="s">
        <v>23</v>
      </c>
      <c r="L151" s="16"/>
      <c r="M151" s="78" t="str">
        <f t="shared" si="2"/>
        <v>Spécifique Offre</v>
      </c>
      <c r="N151" s="79" t="s">
        <v>9</v>
      </c>
      <c r="O151" s="79" t="s">
        <v>9</v>
      </c>
      <c r="P151" s="80"/>
      <c r="Q151" s="78"/>
      <c r="R151" s="78"/>
      <c r="S151" s="81" t="s">
        <v>24</v>
      </c>
      <c r="Z151" s="172"/>
      <c r="AA151" s="172"/>
      <c r="AB151" s="172"/>
    </row>
    <row r="152" spans="1:28" ht="39" customHeight="1" x14ac:dyDescent="0.25">
      <c r="A152" s="24" t="s">
        <v>470</v>
      </c>
      <c r="B152" s="14">
        <v>152</v>
      </c>
      <c r="C152" s="110" t="s">
        <v>30</v>
      </c>
      <c r="D152" s="27" t="s">
        <v>24</v>
      </c>
      <c r="E152" s="16"/>
      <c r="F152" s="18" t="s">
        <v>471</v>
      </c>
      <c r="G152" s="153"/>
      <c r="H152" s="111"/>
      <c r="I152" s="112" t="s">
        <v>24</v>
      </c>
      <c r="J152" s="111" t="s">
        <v>24</v>
      </c>
      <c r="K152" s="113"/>
      <c r="L152" s="16"/>
      <c r="M152" s="113" t="str">
        <f t="shared" si="2"/>
        <v/>
      </c>
      <c r="N152" s="113" t="s">
        <v>9</v>
      </c>
      <c r="O152" s="113" t="s">
        <v>9</v>
      </c>
      <c r="P152" s="16"/>
      <c r="Q152" s="113"/>
      <c r="R152" s="113"/>
      <c r="S152" s="114" t="s">
        <v>24</v>
      </c>
    </row>
    <row r="153" spans="1:28" ht="39" customHeight="1" x14ac:dyDescent="0.25">
      <c r="A153" s="13" t="s">
        <v>472</v>
      </c>
      <c r="B153" s="14">
        <v>153</v>
      </c>
      <c r="C153" s="71" t="s">
        <v>26</v>
      </c>
      <c r="D153" s="162" t="s">
        <v>473</v>
      </c>
      <c r="E153" s="16"/>
      <c r="F153" s="88" t="s">
        <v>474</v>
      </c>
      <c r="G153" s="73" t="s">
        <v>64</v>
      </c>
      <c r="H153" s="97" t="s">
        <v>475</v>
      </c>
      <c r="I153" s="19" t="s">
        <v>179</v>
      </c>
      <c r="J153" s="15" t="s">
        <v>22</v>
      </c>
      <c r="K153" s="20" t="s">
        <v>23</v>
      </c>
      <c r="L153" s="16"/>
      <c r="M153" s="20" t="str">
        <f t="shared" si="2"/>
        <v>Non concerné</v>
      </c>
      <c r="N153" s="92" t="s">
        <v>9</v>
      </c>
      <c r="O153" s="22" t="s">
        <v>9</v>
      </c>
      <c r="P153" s="16"/>
      <c r="Q153" s="20"/>
      <c r="R153" s="20"/>
      <c r="S153" s="23" t="s">
        <v>24</v>
      </c>
    </row>
    <row r="154" spans="1:28" ht="39" customHeight="1" outlineLevel="1" x14ac:dyDescent="0.25">
      <c r="A154" s="108" t="s">
        <v>476</v>
      </c>
      <c r="B154" s="14">
        <v>154</v>
      </c>
      <c r="C154" s="98" t="s">
        <v>30</v>
      </c>
      <c r="D154" s="38" t="s">
        <v>24</v>
      </c>
      <c r="E154" s="16"/>
      <c r="F154" s="34" t="s">
        <v>477</v>
      </c>
      <c r="G154" s="115"/>
      <c r="H154" s="35"/>
      <c r="I154" s="99" t="s">
        <v>75</v>
      </c>
      <c r="J154" s="35" t="s">
        <v>24</v>
      </c>
      <c r="K154" s="39" t="s">
        <v>23</v>
      </c>
      <c r="L154" s="16"/>
      <c r="M154" s="40" t="str">
        <f t="shared" si="2"/>
        <v/>
      </c>
      <c r="N154" s="39" t="s">
        <v>9</v>
      </c>
      <c r="O154" s="39" t="s">
        <v>9</v>
      </c>
      <c r="P154" s="16"/>
      <c r="Q154" s="39"/>
      <c r="R154" s="39"/>
      <c r="S154" s="41" t="s">
        <v>24</v>
      </c>
    </row>
    <row r="155" spans="1:28" ht="39" customHeight="1" outlineLevel="2" x14ac:dyDescent="0.25">
      <c r="A155" s="70" t="s">
        <v>478</v>
      </c>
      <c r="B155" s="14">
        <v>155</v>
      </c>
      <c r="C155" s="71" t="s">
        <v>26</v>
      </c>
      <c r="D155" s="71" t="s">
        <v>479</v>
      </c>
      <c r="E155" s="16"/>
      <c r="F155" s="88" t="s">
        <v>480</v>
      </c>
      <c r="G155" s="88" t="s">
        <v>64</v>
      </c>
      <c r="H155" s="97" t="s">
        <v>481</v>
      </c>
      <c r="I155" s="19" t="s">
        <v>179</v>
      </c>
      <c r="J155" s="15" t="s">
        <v>22</v>
      </c>
      <c r="K155" s="20" t="s">
        <v>23</v>
      </c>
      <c r="L155" s="16"/>
      <c r="M155" s="20" t="str">
        <f t="shared" si="2"/>
        <v>Non concerné</v>
      </c>
      <c r="N155" s="92" t="s">
        <v>9</v>
      </c>
      <c r="O155" s="22" t="s">
        <v>9</v>
      </c>
      <c r="P155" s="16"/>
      <c r="Q155" s="20"/>
      <c r="R155" s="20"/>
      <c r="S155" s="23" t="s">
        <v>24</v>
      </c>
    </row>
    <row r="156" spans="1:28" ht="39" customHeight="1" outlineLevel="2" x14ac:dyDescent="0.25">
      <c r="A156" s="13" t="s">
        <v>482</v>
      </c>
      <c r="B156" s="14">
        <v>156</v>
      </c>
      <c r="C156" s="74" t="s">
        <v>51</v>
      </c>
      <c r="D156" s="74" t="s">
        <v>483</v>
      </c>
      <c r="E156" s="16"/>
      <c r="F156" s="102" t="s">
        <v>484</v>
      </c>
      <c r="G156" s="102" t="s">
        <v>64</v>
      </c>
      <c r="H156" s="76" t="s">
        <v>485</v>
      </c>
      <c r="I156" s="87" t="s">
        <v>483</v>
      </c>
      <c r="J156" s="74" t="s">
        <v>22</v>
      </c>
      <c r="K156" s="78"/>
      <c r="L156" s="16"/>
      <c r="M156" s="78" t="str">
        <f t="shared" si="2"/>
        <v>Conforme au standard</v>
      </c>
      <c r="N156" s="79" t="s">
        <v>9</v>
      </c>
      <c r="O156" s="79" t="s">
        <v>9</v>
      </c>
      <c r="P156" s="16"/>
      <c r="Q156" s="78"/>
      <c r="R156" s="78"/>
      <c r="S156" s="81" t="s">
        <v>24</v>
      </c>
    </row>
    <row r="157" spans="1:28" ht="39" customHeight="1" outlineLevel="2" x14ac:dyDescent="0.25">
      <c r="A157" s="13" t="s">
        <v>486</v>
      </c>
      <c r="B157" s="14">
        <v>157</v>
      </c>
      <c r="C157" s="74" t="s">
        <v>35</v>
      </c>
      <c r="D157" s="74" t="s">
        <v>24</v>
      </c>
      <c r="E157" s="16"/>
      <c r="F157" s="102" t="s">
        <v>487</v>
      </c>
      <c r="G157" s="76" t="s">
        <v>37</v>
      </c>
      <c r="H157" s="76" t="s">
        <v>38</v>
      </c>
      <c r="I157" s="87" t="s">
        <v>75</v>
      </c>
      <c r="J157" s="74" t="s">
        <v>24</v>
      </c>
      <c r="K157" s="78" t="s">
        <v>23</v>
      </c>
      <c r="L157" s="16"/>
      <c r="M157" s="78" t="str">
        <f t="shared" si="2"/>
        <v>Spécifique Offre</v>
      </c>
      <c r="N157" s="79" t="s">
        <v>9</v>
      </c>
      <c r="O157" s="79" t="s">
        <v>9</v>
      </c>
      <c r="P157" s="80"/>
      <c r="Q157" s="78"/>
      <c r="R157" s="78"/>
      <c r="S157" s="81" t="s">
        <v>24</v>
      </c>
    </row>
    <row r="158" spans="1:28" ht="39" customHeight="1" outlineLevel="2" x14ac:dyDescent="0.25">
      <c r="A158" s="13" t="s">
        <v>488</v>
      </c>
      <c r="B158" s="14">
        <v>158</v>
      </c>
      <c r="C158" s="74" t="s">
        <v>26</v>
      </c>
      <c r="D158" s="74" t="s">
        <v>489</v>
      </c>
      <c r="E158" s="16"/>
      <c r="F158" s="102" t="s">
        <v>490</v>
      </c>
      <c r="G158" s="141" t="s">
        <v>48</v>
      </c>
      <c r="H158" s="76" t="s">
        <v>491</v>
      </c>
      <c r="I158" s="94" t="s">
        <v>489</v>
      </c>
      <c r="J158" s="74" t="s">
        <v>24</v>
      </c>
      <c r="K158" s="78"/>
      <c r="L158" s="16"/>
      <c r="M158" s="78" t="str">
        <f t="shared" si="2"/>
        <v>Conforme au standard</v>
      </c>
      <c r="N158" s="79" t="s">
        <v>9</v>
      </c>
      <c r="O158" s="79" t="s">
        <v>9</v>
      </c>
      <c r="P158" s="80"/>
      <c r="Q158" s="78"/>
      <c r="R158" s="78"/>
      <c r="S158" s="81" t="s">
        <v>44</v>
      </c>
    </row>
    <row r="159" spans="1:28" ht="39" customHeight="1" outlineLevel="2" x14ac:dyDescent="0.25">
      <c r="A159" s="13" t="s">
        <v>492</v>
      </c>
      <c r="B159" s="14">
        <v>159</v>
      </c>
      <c r="C159" s="71" t="s">
        <v>35</v>
      </c>
      <c r="D159" s="71" t="s">
        <v>24</v>
      </c>
      <c r="E159" s="16"/>
      <c r="F159" s="88" t="s">
        <v>493</v>
      </c>
      <c r="G159" s="137" t="s">
        <v>64</v>
      </c>
      <c r="H159" s="97" t="s">
        <v>494</v>
      </c>
      <c r="I159" s="163" t="s">
        <v>75</v>
      </c>
      <c r="J159" s="15" t="s">
        <v>22</v>
      </c>
      <c r="K159" s="20" t="s">
        <v>23</v>
      </c>
      <c r="L159" s="16"/>
      <c r="M159" s="20" t="str">
        <f t="shared" si="2"/>
        <v>Spécifique Offre</v>
      </c>
      <c r="N159" s="22" t="s">
        <v>9</v>
      </c>
      <c r="O159" s="22" t="s">
        <v>9</v>
      </c>
      <c r="P159" s="16"/>
      <c r="Q159" s="20"/>
      <c r="R159" s="20"/>
      <c r="S159" s="23" t="s">
        <v>24</v>
      </c>
    </row>
    <row r="160" spans="1:28" ht="39" customHeight="1" outlineLevel="2" x14ac:dyDescent="0.25">
      <c r="A160" s="13" t="s">
        <v>495</v>
      </c>
      <c r="B160" s="14">
        <v>160</v>
      </c>
      <c r="C160" s="74" t="s">
        <v>35</v>
      </c>
      <c r="D160" s="74" t="s">
        <v>24</v>
      </c>
      <c r="E160" s="16"/>
      <c r="F160" s="102" t="s">
        <v>496</v>
      </c>
      <c r="G160" s="76" t="s">
        <v>37</v>
      </c>
      <c r="H160" s="76" t="s">
        <v>38</v>
      </c>
      <c r="I160" s="87" t="s">
        <v>75</v>
      </c>
      <c r="J160" s="74" t="s">
        <v>22</v>
      </c>
      <c r="K160" s="78" t="s">
        <v>23</v>
      </c>
      <c r="L160" s="16"/>
      <c r="M160" s="78" t="str">
        <f t="shared" si="2"/>
        <v>Spécifique Offre</v>
      </c>
      <c r="N160" s="79" t="s">
        <v>9</v>
      </c>
      <c r="O160" s="79" t="s">
        <v>9</v>
      </c>
      <c r="P160" s="80"/>
      <c r="Q160" s="78"/>
      <c r="R160" s="78"/>
      <c r="S160" s="81" t="s">
        <v>24</v>
      </c>
    </row>
    <row r="161" spans="1:28" ht="39" customHeight="1" outlineLevel="2" x14ac:dyDescent="0.25">
      <c r="A161" s="13" t="s">
        <v>497</v>
      </c>
      <c r="B161" s="14">
        <v>161</v>
      </c>
      <c r="C161" s="74" t="s">
        <v>35</v>
      </c>
      <c r="D161" s="74" t="s">
        <v>24</v>
      </c>
      <c r="E161" s="16"/>
      <c r="F161" s="102" t="s">
        <v>498</v>
      </c>
      <c r="G161" s="135" t="s">
        <v>114</v>
      </c>
      <c r="H161" s="136" t="s">
        <v>115</v>
      </c>
      <c r="I161" s="119" t="s">
        <v>116</v>
      </c>
      <c r="J161" s="74" t="s">
        <v>24</v>
      </c>
      <c r="K161" s="78" t="s">
        <v>23</v>
      </c>
      <c r="L161" s="16"/>
      <c r="M161" s="78" t="str">
        <f t="shared" si="2"/>
        <v>Spécifique Offre</v>
      </c>
      <c r="N161" s="79" t="s">
        <v>117</v>
      </c>
      <c r="O161" s="79" t="s">
        <v>9</v>
      </c>
      <c r="P161" s="80"/>
      <c r="Q161" s="78"/>
      <c r="R161" s="78"/>
      <c r="S161" s="81" t="s">
        <v>24</v>
      </c>
      <c r="Z161" s="172"/>
      <c r="AA161" s="172"/>
      <c r="AB161" s="172"/>
    </row>
    <row r="162" spans="1:28" ht="39" customHeight="1" outlineLevel="2" x14ac:dyDescent="0.25">
      <c r="A162" s="13" t="s">
        <v>499</v>
      </c>
      <c r="B162" s="14">
        <v>162</v>
      </c>
      <c r="C162" s="71" t="s">
        <v>26</v>
      </c>
      <c r="D162" s="71" t="s">
        <v>500</v>
      </c>
      <c r="E162" s="16"/>
      <c r="F162" s="88" t="s">
        <v>501</v>
      </c>
      <c r="G162" s="134" t="s">
        <v>48</v>
      </c>
      <c r="H162" s="73" t="s">
        <v>502</v>
      </c>
      <c r="I162" s="91" t="s">
        <v>179</v>
      </c>
      <c r="J162" s="15" t="s">
        <v>24</v>
      </c>
      <c r="K162" s="20" t="s">
        <v>23</v>
      </c>
      <c r="L162" s="16"/>
      <c r="M162" s="20" t="str">
        <f t="shared" si="2"/>
        <v>Non concerné</v>
      </c>
      <c r="N162" s="22" t="s">
        <v>9</v>
      </c>
      <c r="O162" s="22" t="s">
        <v>9</v>
      </c>
      <c r="P162" s="16"/>
      <c r="Q162" s="20"/>
      <c r="R162" s="20"/>
      <c r="S162" s="23" t="s">
        <v>44</v>
      </c>
    </row>
    <row r="163" spans="1:28" ht="39" customHeight="1" outlineLevel="2" x14ac:dyDescent="0.25">
      <c r="A163" s="13" t="s">
        <v>503</v>
      </c>
      <c r="B163" s="14">
        <v>163</v>
      </c>
      <c r="C163" s="71" t="s">
        <v>35</v>
      </c>
      <c r="D163" s="71" t="s">
        <v>24</v>
      </c>
      <c r="E163" s="16"/>
      <c r="F163" s="88" t="s">
        <v>504</v>
      </c>
      <c r="G163" s="134" t="s">
        <v>48</v>
      </c>
      <c r="H163" s="73" t="s">
        <v>505</v>
      </c>
      <c r="I163" s="91" t="s">
        <v>75</v>
      </c>
      <c r="J163" s="15" t="s">
        <v>22</v>
      </c>
      <c r="K163" s="20" t="s">
        <v>23</v>
      </c>
      <c r="L163" s="16"/>
      <c r="M163" s="20" t="str">
        <f t="shared" si="2"/>
        <v>Spécifique Offre</v>
      </c>
      <c r="N163" s="92" t="s">
        <v>9</v>
      </c>
      <c r="O163" s="22" t="s">
        <v>9</v>
      </c>
      <c r="P163" s="16"/>
      <c r="Q163" s="20"/>
      <c r="R163" s="20"/>
      <c r="S163" s="23" t="s">
        <v>24</v>
      </c>
    </row>
    <row r="164" spans="1:28" ht="39" customHeight="1" outlineLevel="2" x14ac:dyDescent="0.25">
      <c r="A164" s="13" t="s">
        <v>506</v>
      </c>
      <c r="B164" s="14">
        <v>164</v>
      </c>
      <c r="C164" s="160" t="s">
        <v>35</v>
      </c>
      <c r="D164" s="74" t="s">
        <v>24</v>
      </c>
      <c r="E164" s="16"/>
      <c r="F164" s="93" t="s">
        <v>507</v>
      </c>
      <c r="G164" s="135" t="s">
        <v>37</v>
      </c>
      <c r="H164" s="76" t="s">
        <v>38</v>
      </c>
      <c r="I164" s="87" t="s">
        <v>75</v>
      </c>
      <c r="J164" s="74" t="s">
        <v>24</v>
      </c>
      <c r="K164" s="78" t="s">
        <v>23</v>
      </c>
      <c r="L164" s="16"/>
      <c r="M164" s="78" t="str">
        <f t="shared" si="2"/>
        <v>Spécifique Offre</v>
      </c>
      <c r="N164" s="79" t="s">
        <v>9</v>
      </c>
      <c r="O164" s="79" t="s">
        <v>9</v>
      </c>
      <c r="P164" s="80"/>
      <c r="Q164" s="78"/>
      <c r="R164" s="78"/>
      <c r="S164" s="81" t="s">
        <v>24</v>
      </c>
    </row>
    <row r="165" spans="1:28" ht="39" customHeight="1" outlineLevel="1" x14ac:dyDescent="0.25">
      <c r="A165" s="108" t="s">
        <v>508</v>
      </c>
      <c r="B165" s="14">
        <v>165</v>
      </c>
      <c r="C165" s="98" t="s">
        <v>30</v>
      </c>
      <c r="D165" s="38" t="s">
        <v>24</v>
      </c>
      <c r="E165" s="16"/>
      <c r="F165" s="34" t="s">
        <v>509</v>
      </c>
      <c r="G165" s="115"/>
      <c r="H165" s="120"/>
      <c r="I165" s="99" t="s">
        <v>75</v>
      </c>
      <c r="J165" s="120" t="s">
        <v>24</v>
      </c>
      <c r="K165" s="39" t="s">
        <v>23</v>
      </c>
      <c r="L165" s="16"/>
      <c r="M165" s="40" t="str">
        <f t="shared" si="2"/>
        <v/>
      </c>
      <c r="N165" s="39" t="s">
        <v>9</v>
      </c>
      <c r="O165" s="39" t="s">
        <v>9</v>
      </c>
      <c r="P165" s="16"/>
      <c r="Q165" s="39"/>
      <c r="R165" s="39"/>
      <c r="S165" s="41" t="s">
        <v>24</v>
      </c>
    </row>
    <row r="166" spans="1:28" ht="39" customHeight="1" outlineLevel="2" x14ac:dyDescent="0.25">
      <c r="A166" s="13" t="s">
        <v>510</v>
      </c>
      <c r="B166" s="14">
        <v>166</v>
      </c>
      <c r="C166" s="71" t="s">
        <v>51</v>
      </c>
      <c r="D166" s="71" t="s">
        <v>511</v>
      </c>
      <c r="E166" s="16"/>
      <c r="F166" s="88" t="s">
        <v>512</v>
      </c>
      <c r="G166" s="137" t="s">
        <v>64</v>
      </c>
      <c r="H166" s="97" t="s">
        <v>513</v>
      </c>
      <c r="I166" s="19" t="s">
        <v>179</v>
      </c>
      <c r="J166" s="15" t="s">
        <v>22</v>
      </c>
      <c r="K166" s="20" t="s">
        <v>23</v>
      </c>
      <c r="L166" s="16"/>
      <c r="M166" s="20" t="str">
        <f t="shared" si="2"/>
        <v>Non concerné</v>
      </c>
      <c r="N166" s="92" t="s">
        <v>9</v>
      </c>
      <c r="O166" s="22" t="s">
        <v>9</v>
      </c>
      <c r="P166" s="16"/>
      <c r="Q166" s="20"/>
      <c r="R166" s="20"/>
      <c r="S166" s="23" t="s">
        <v>24</v>
      </c>
    </row>
    <row r="167" spans="1:28" ht="39" customHeight="1" outlineLevel="2" x14ac:dyDescent="0.25">
      <c r="A167" s="13" t="s">
        <v>514</v>
      </c>
      <c r="B167" s="14">
        <v>167</v>
      </c>
      <c r="C167" s="74" t="s">
        <v>35</v>
      </c>
      <c r="D167" s="74" t="s">
        <v>24</v>
      </c>
      <c r="E167" s="16"/>
      <c r="F167" s="102" t="s">
        <v>515</v>
      </c>
      <c r="G167" s="76" t="s">
        <v>37</v>
      </c>
      <c r="H167" s="76" t="s">
        <v>38</v>
      </c>
      <c r="I167" s="87" t="s">
        <v>75</v>
      </c>
      <c r="J167" s="74" t="s">
        <v>24</v>
      </c>
      <c r="K167" s="78" t="s">
        <v>23</v>
      </c>
      <c r="L167" s="16"/>
      <c r="M167" s="78" t="str">
        <f t="shared" si="2"/>
        <v>Spécifique Offre</v>
      </c>
      <c r="N167" s="79" t="s">
        <v>9</v>
      </c>
      <c r="O167" s="79" t="s">
        <v>9</v>
      </c>
      <c r="P167" s="80"/>
      <c r="Q167" s="78"/>
      <c r="R167" s="78"/>
      <c r="S167" s="81" t="s">
        <v>24</v>
      </c>
    </row>
    <row r="168" spans="1:28" ht="39" customHeight="1" outlineLevel="2" x14ac:dyDescent="0.25">
      <c r="A168" s="13" t="s">
        <v>516</v>
      </c>
      <c r="B168" s="14">
        <v>168</v>
      </c>
      <c r="C168" s="71" t="s">
        <v>26</v>
      </c>
      <c r="D168" s="71" t="s">
        <v>517</v>
      </c>
      <c r="E168" s="16"/>
      <c r="F168" s="88" t="s">
        <v>518</v>
      </c>
      <c r="G168" s="88" t="s">
        <v>64</v>
      </c>
      <c r="H168" s="97" t="s">
        <v>519</v>
      </c>
      <c r="I168" s="19" t="s">
        <v>179</v>
      </c>
      <c r="J168" s="15" t="s">
        <v>24</v>
      </c>
      <c r="K168" s="20" t="s">
        <v>23</v>
      </c>
      <c r="L168" s="16"/>
      <c r="M168" s="20" t="str">
        <f t="shared" si="2"/>
        <v>Non concerné</v>
      </c>
      <c r="N168" s="92" t="s">
        <v>9</v>
      </c>
      <c r="O168" s="22" t="s">
        <v>9</v>
      </c>
      <c r="P168" s="16"/>
      <c r="Q168" s="20"/>
      <c r="R168" s="20"/>
      <c r="S168" s="23" t="s">
        <v>24</v>
      </c>
    </row>
    <row r="169" spans="1:28" ht="39" customHeight="1" outlineLevel="2" x14ac:dyDescent="0.25">
      <c r="A169" s="13" t="s">
        <v>520</v>
      </c>
      <c r="B169" s="14">
        <v>169</v>
      </c>
      <c r="C169" s="71" t="s">
        <v>19</v>
      </c>
      <c r="D169" s="71" t="s">
        <v>521</v>
      </c>
      <c r="E169" s="16"/>
      <c r="F169" s="88" t="s">
        <v>522</v>
      </c>
      <c r="G169" s="88" t="s">
        <v>64</v>
      </c>
      <c r="H169" s="97" t="s">
        <v>523</v>
      </c>
      <c r="I169" s="19" t="s">
        <v>179</v>
      </c>
      <c r="J169" s="15" t="s">
        <v>24</v>
      </c>
      <c r="K169" s="20" t="s">
        <v>23</v>
      </c>
      <c r="L169" s="16"/>
      <c r="M169" s="20" t="str">
        <f t="shared" si="2"/>
        <v>Non concerné</v>
      </c>
      <c r="N169" s="92" t="s">
        <v>9</v>
      </c>
      <c r="O169" s="22" t="s">
        <v>9</v>
      </c>
      <c r="P169" s="16"/>
      <c r="Q169" s="20"/>
      <c r="R169" s="20"/>
      <c r="S169" s="23" t="s">
        <v>24</v>
      </c>
    </row>
    <row r="170" spans="1:28" ht="39" customHeight="1" outlineLevel="2" x14ac:dyDescent="0.25">
      <c r="A170" s="13" t="s">
        <v>524</v>
      </c>
      <c r="B170" s="14">
        <v>170</v>
      </c>
      <c r="C170" s="71" t="s">
        <v>26</v>
      </c>
      <c r="D170" s="71" t="s">
        <v>46</v>
      </c>
      <c r="E170" s="16"/>
      <c r="F170" s="88" t="s">
        <v>525</v>
      </c>
      <c r="G170" s="137" t="s">
        <v>64</v>
      </c>
      <c r="H170" s="72" t="s">
        <v>526</v>
      </c>
      <c r="I170" s="19" t="s">
        <v>46</v>
      </c>
      <c r="J170" s="15" t="s">
        <v>24</v>
      </c>
      <c r="K170" s="20" t="s">
        <v>23</v>
      </c>
      <c r="L170" s="16"/>
      <c r="M170" s="20" t="str">
        <f t="shared" si="2"/>
        <v>Non concerné</v>
      </c>
      <c r="N170" s="92" t="s">
        <v>9</v>
      </c>
      <c r="O170" s="22" t="s">
        <v>9</v>
      </c>
      <c r="P170" s="16"/>
      <c r="Q170" s="20"/>
      <c r="R170" s="20"/>
      <c r="S170" s="23" t="s">
        <v>24</v>
      </c>
    </row>
    <row r="171" spans="1:28" ht="39" customHeight="1" outlineLevel="2" x14ac:dyDescent="0.25">
      <c r="A171" s="13" t="s">
        <v>527</v>
      </c>
      <c r="B171" s="14">
        <v>171</v>
      </c>
      <c r="C171" s="74" t="s">
        <v>35</v>
      </c>
      <c r="D171" s="74" t="s">
        <v>24</v>
      </c>
      <c r="E171" s="16"/>
      <c r="F171" s="102" t="s">
        <v>528</v>
      </c>
      <c r="G171" s="102" t="s">
        <v>64</v>
      </c>
      <c r="H171" s="136" t="s">
        <v>529</v>
      </c>
      <c r="I171" s="87" t="s">
        <v>75</v>
      </c>
      <c r="J171" s="74" t="s">
        <v>22</v>
      </c>
      <c r="K171" s="78" t="s">
        <v>23</v>
      </c>
      <c r="L171" s="16"/>
      <c r="M171" s="78" t="str">
        <f t="shared" si="2"/>
        <v>Spécifique Offre</v>
      </c>
      <c r="N171" s="79" t="s">
        <v>9</v>
      </c>
      <c r="O171" s="79" t="s">
        <v>9</v>
      </c>
      <c r="P171" s="16"/>
      <c r="Q171" s="78"/>
      <c r="R171" s="78"/>
      <c r="S171" s="81" t="s">
        <v>24</v>
      </c>
    </row>
    <row r="172" spans="1:28" ht="39" customHeight="1" outlineLevel="2" x14ac:dyDescent="0.25">
      <c r="A172" s="13" t="s">
        <v>530</v>
      </c>
      <c r="B172" s="14">
        <v>172</v>
      </c>
      <c r="C172" s="74" t="s">
        <v>35</v>
      </c>
      <c r="D172" s="74" t="s">
        <v>24</v>
      </c>
      <c r="E172" s="16"/>
      <c r="F172" s="102" t="s">
        <v>531</v>
      </c>
      <c r="G172" s="102" t="s">
        <v>114</v>
      </c>
      <c r="H172" s="136" t="s">
        <v>115</v>
      </c>
      <c r="I172" s="119" t="s">
        <v>116</v>
      </c>
      <c r="J172" s="74" t="s">
        <v>24</v>
      </c>
      <c r="K172" s="78" t="s">
        <v>23</v>
      </c>
      <c r="L172" s="16"/>
      <c r="M172" s="78" t="str">
        <f t="shared" si="2"/>
        <v>Spécifique Offre</v>
      </c>
      <c r="N172" s="79" t="s">
        <v>117</v>
      </c>
      <c r="O172" s="79" t="s">
        <v>9</v>
      </c>
      <c r="P172" s="80"/>
      <c r="Q172" s="78"/>
      <c r="R172" s="78"/>
      <c r="S172" s="81" t="s">
        <v>24</v>
      </c>
    </row>
    <row r="173" spans="1:28" ht="39" customHeight="1" outlineLevel="2" x14ac:dyDescent="0.25">
      <c r="A173" s="13" t="s">
        <v>532</v>
      </c>
      <c r="B173" s="14">
        <v>173</v>
      </c>
      <c r="C173" s="74" t="s">
        <v>19</v>
      </c>
      <c r="D173" s="74" t="s">
        <v>46</v>
      </c>
      <c r="E173" s="16"/>
      <c r="F173" s="102" t="s">
        <v>533</v>
      </c>
      <c r="G173" s="102" t="s">
        <v>64</v>
      </c>
      <c r="H173" s="136" t="s">
        <v>534</v>
      </c>
      <c r="I173" s="87" t="s">
        <v>46</v>
      </c>
      <c r="J173" s="74" t="s">
        <v>22</v>
      </c>
      <c r="K173" s="78" t="s">
        <v>23</v>
      </c>
      <c r="L173" s="16"/>
      <c r="M173" s="78" t="str">
        <f t="shared" si="2"/>
        <v>Non concerné</v>
      </c>
      <c r="N173" s="79" t="s">
        <v>9</v>
      </c>
      <c r="O173" s="79" t="s">
        <v>9</v>
      </c>
      <c r="P173" s="16"/>
      <c r="Q173" s="78"/>
      <c r="R173" s="78"/>
      <c r="S173" s="81" t="s">
        <v>24</v>
      </c>
    </row>
    <row r="174" spans="1:28" ht="39" customHeight="1" outlineLevel="2" x14ac:dyDescent="0.25">
      <c r="A174" s="13" t="s">
        <v>535</v>
      </c>
      <c r="B174" s="14">
        <v>174</v>
      </c>
      <c r="C174" s="74" t="s">
        <v>19</v>
      </c>
      <c r="D174" s="74" t="s">
        <v>46</v>
      </c>
      <c r="E174" s="16"/>
      <c r="F174" s="102" t="s">
        <v>536</v>
      </c>
      <c r="G174" s="102" t="s">
        <v>114</v>
      </c>
      <c r="H174" s="136" t="s">
        <v>115</v>
      </c>
      <c r="I174" s="119" t="s">
        <v>116</v>
      </c>
      <c r="J174" s="74" t="s">
        <v>24</v>
      </c>
      <c r="K174" s="78" t="s">
        <v>23</v>
      </c>
      <c r="L174" s="16"/>
      <c r="M174" s="78" t="str">
        <f t="shared" si="2"/>
        <v>Non concerné</v>
      </c>
      <c r="N174" s="79" t="s">
        <v>9</v>
      </c>
      <c r="O174" s="79" t="s">
        <v>9</v>
      </c>
      <c r="P174" s="80"/>
      <c r="Q174" s="78"/>
      <c r="R174" s="78"/>
      <c r="S174" s="81" t="s">
        <v>24</v>
      </c>
    </row>
    <row r="175" spans="1:28" ht="39" customHeight="1" outlineLevel="2" x14ac:dyDescent="0.25">
      <c r="A175" s="13" t="s">
        <v>537</v>
      </c>
      <c r="B175" s="14">
        <v>175</v>
      </c>
      <c r="C175" s="71" t="s">
        <v>19</v>
      </c>
      <c r="D175" s="71" t="s">
        <v>46</v>
      </c>
      <c r="E175" s="16"/>
      <c r="F175" s="88" t="s">
        <v>538</v>
      </c>
      <c r="G175" s="88" t="s">
        <v>64</v>
      </c>
      <c r="H175" s="72" t="s">
        <v>539</v>
      </c>
      <c r="I175" s="19" t="s">
        <v>46</v>
      </c>
      <c r="J175" s="15" t="s">
        <v>22</v>
      </c>
      <c r="K175" s="20" t="s">
        <v>23</v>
      </c>
      <c r="L175" s="16"/>
      <c r="M175" s="20" t="str">
        <f t="shared" si="2"/>
        <v>Non concerné</v>
      </c>
      <c r="N175" s="92" t="s">
        <v>9</v>
      </c>
      <c r="O175" s="22" t="s">
        <v>9</v>
      </c>
      <c r="P175" s="16"/>
      <c r="Q175" s="20"/>
      <c r="R175" s="20"/>
      <c r="S175" s="23" t="s">
        <v>24</v>
      </c>
    </row>
    <row r="176" spans="1:28" ht="39" customHeight="1" outlineLevel="2" x14ac:dyDescent="0.25">
      <c r="A176" s="13" t="s">
        <v>540</v>
      </c>
      <c r="B176" s="14">
        <v>176</v>
      </c>
      <c r="C176" s="74" t="s">
        <v>19</v>
      </c>
      <c r="D176" s="74" t="s">
        <v>46</v>
      </c>
      <c r="E176" s="16"/>
      <c r="F176" s="102" t="s">
        <v>541</v>
      </c>
      <c r="G176" s="102" t="s">
        <v>114</v>
      </c>
      <c r="H176" s="136" t="s">
        <v>115</v>
      </c>
      <c r="I176" s="119" t="s">
        <v>116</v>
      </c>
      <c r="J176" s="74" t="s">
        <v>24</v>
      </c>
      <c r="K176" s="78" t="s">
        <v>23</v>
      </c>
      <c r="L176" s="16"/>
      <c r="M176" s="78" t="str">
        <f t="shared" si="2"/>
        <v>Non concerné</v>
      </c>
      <c r="N176" s="79" t="s">
        <v>9</v>
      </c>
      <c r="O176" s="79" t="s">
        <v>9</v>
      </c>
      <c r="P176" s="80"/>
      <c r="Q176" s="78"/>
      <c r="R176" s="78"/>
      <c r="S176" s="81" t="s">
        <v>24</v>
      </c>
    </row>
    <row r="177" spans="1:28" ht="39" customHeight="1" outlineLevel="2" x14ac:dyDescent="0.25">
      <c r="A177" s="13" t="s">
        <v>542</v>
      </c>
      <c r="B177" s="14">
        <v>177</v>
      </c>
      <c r="C177" s="71" t="s">
        <v>19</v>
      </c>
      <c r="D177" s="71" t="s">
        <v>46</v>
      </c>
      <c r="E177" s="16"/>
      <c r="F177" s="88" t="s">
        <v>543</v>
      </c>
      <c r="G177" s="73" t="s">
        <v>64</v>
      </c>
      <c r="H177" s="72" t="s">
        <v>544</v>
      </c>
      <c r="I177" s="19" t="s">
        <v>46</v>
      </c>
      <c r="J177" s="15" t="s">
        <v>22</v>
      </c>
      <c r="K177" s="20" t="s">
        <v>23</v>
      </c>
      <c r="L177" s="16"/>
      <c r="M177" s="20" t="str">
        <f t="shared" si="2"/>
        <v>Non concerné</v>
      </c>
      <c r="N177" s="92" t="s">
        <v>9</v>
      </c>
      <c r="O177" s="22" t="s">
        <v>9</v>
      </c>
      <c r="P177" s="16"/>
      <c r="Q177" s="20"/>
      <c r="R177" s="20"/>
      <c r="S177" s="23" t="s">
        <v>24</v>
      </c>
    </row>
    <row r="178" spans="1:28" ht="39" customHeight="1" outlineLevel="2" x14ac:dyDescent="0.25">
      <c r="A178" s="13" t="s">
        <v>545</v>
      </c>
      <c r="B178" s="14">
        <v>178</v>
      </c>
      <c r="C178" s="74" t="s">
        <v>19</v>
      </c>
      <c r="D178" s="74" t="s">
        <v>46</v>
      </c>
      <c r="E178" s="16"/>
      <c r="F178" s="102" t="s">
        <v>546</v>
      </c>
      <c r="G178" s="102" t="s">
        <v>114</v>
      </c>
      <c r="H178" s="136" t="s">
        <v>115</v>
      </c>
      <c r="I178" s="119" t="s">
        <v>116</v>
      </c>
      <c r="J178" s="74" t="s">
        <v>24</v>
      </c>
      <c r="K178" s="78" t="s">
        <v>23</v>
      </c>
      <c r="L178" s="16"/>
      <c r="M178" s="78" t="str">
        <f t="shared" si="2"/>
        <v>Non concerné</v>
      </c>
      <c r="N178" s="79" t="s">
        <v>9</v>
      </c>
      <c r="O178" s="79" t="s">
        <v>9</v>
      </c>
      <c r="P178" s="80"/>
      <c r="Q178" s="78"/>
      <c r="R178" s="78"/>
      <c r="S178" s="81" t="s">
        <v>24</v>
      </c>
    </row>
    <row r="179" spans="1:28" ht="39" customHeight="1" outlineLevel="2" x14ac:dyDescent="0.25">
      <c r="A179" s="13" t="s">
        <v>547</v>
      </c>
      <c r="B179" s="14">
        <v>179</v>
      </c>
      <c r="C179" s="71" t="s">
        <v>19</v>
      </c>
      <c r="D179" s="71" t="s">
        <v>548</v>
      </c>
      <c r="E179" s="16"/>
      <c r="F179" s="88" t="s">
        <v>549</v>
      </c>
      <c r="G179" s="88" t="s">
        <v>64</v>
      </c>
      <c r="H179" s="72" t="s">
        <v>550</v>
      </c>
      <c r="I179" s="19" t="s">
        <v>179</v>
      </c>
      <c r="J179" s="15" t="s">
        <v>22</v>
      </c>
      <c r="K179" s="20" t="s">
        <v>23</v>
      </c>
      <c r="L179" s="16"/>
      <c r="M179" s="20" t="str">
        <f t="shared" si="2"/>
        <v>Non concerné</v>
      </c>
      <c r="N179" s="92" t="s">
        <v>9</v>
      </c>
      <c r="O179" s="22" t="s">
        <v>9</v>
      </c>
      <c r="P179" s="16"/>
      <c r="Q179" s="20"/>
      <c r="R179" s="20"/>
      <c r="S179" s="23" t="s">
        <v>24</v>
      </c>
    </row>
    <row r="180" spans="1:28" ht="39" customHeight="1" outlineLevel="2" x14ac:dyDescent="0.25">
      <c r="A180" s="13" t="s">
        <v>551</v>
      </c>
      <c r="B180" s="14">
        <v>180</v>
      </c>
      <c r="C180" s="74" t="s">
        <v>35</v>
      </c>
      <c r="D180" s="74" t="s">
        <v>24</v>
      </c>
      <c r="E180" s="16"/>
      <c r="F180" s="102" t="s">
        <v>552</v>
      </c>
      <c r="G180" s="135" t="s">
        <v>64</v>
      </c>
      <c r="H180" s="76" t="s">
        <v>553</v>
      </c>
      <c r="I180" s="87" t="s">
        <v>24</v>
      </c>
      <c r="J180" s="74" t="s">
        <v>22</v>
      </c>
      <c r="K180" s="78"/>
      <c r="L180" s="16"/>
      <c r="M180" s="78" t="str">
        <f t="shared" si="2"/>
        <v>Renseigner la réponse DCO</v>
      </c>
      <c r="N180" s="79" t="s">
        <v>9</v>
      </c>
      <c r="O180" s="79" t="s">
        <v>9</v>
      </c>
      <c r="P180" s="80"/>
      <c r="Q180" s="78"/>
      <c r="R180" s="78"/>
      <c r="S180" s="81" t="s">
        <v>24</v>
      </c>
    </row>
    <row r="181" spans="1:28" ht="39" customHeight="1" outlineLevel="2" x14ac:dyDescent="0.25">
      <c r="A181" s="13" t="s">
        <v>554</v>
      </c>
      <c r="B181" s="14">
        <v>181</v>
      </c>
      <c r="C181" s="74" t="s">
        <v>35</v>
      </c>
      <c r="D181" s="74" t="s">
        <v>24</v>
      </c>
      <c r="E181" s="16"/>
      <c r="F181" s="102" t="s">
        <v>555</v>
      </c>
      <c r="G181" s="76" t="s">
        <v>37</v>
      </c>
      <c r="H181" s="76" t="s">
        <v>38</v>
      </c>
      <c r="I181" s="87" t="s">
        <v>75</v>
      </c>
      <c r="J181" s="74" t="s">
        <v>24</v>
      </c>
      <c r="K181" s="78" t="s">
        <v>23</v>
      </c>
      <c r="L181" s="16"/>
      <c r="M181" s="78" t="str">
        <f t="shared" si="2"/>
        <v>Spécifique Offre</v>
      </c>
      <c r="N181" s="79" t="s">
        <v>9</v>
      </c>
      <c r="O181" s="79" t="s">
        <v>9</v>
      </c>
      <c r="P181" s="80"/>
      <c r="Q181" s="78"/>
      <c r="R181" s="78"/>
      <c r="S181" s="81" t="s">
        <v>24</v>
      </c>
    </row>
    <row r="182" spans="1:28" ht="39" customHeight="1" outlineLevel="1" x14ac:dyDescent="0.25">
      <c r="A182" s="108" t="s">
        <v>556</v>
      </c>
      <c r="B182" s="14">
        <v>182</v>
      </c>
      <c r="C182" s="98" t="s">
        <v>30</v>
      </c>
      <c r="D182" s="38" t="s">
        <v>24</v>
      </c>
      <c r="E182" s="16"/>
      <c r="F182" s="34" t="s">
        <v>557</v>
      </c>
      <c r="G182" s="115"/>
      <c r="H182" s="120"/>
      <c r="I182" s="99" t="s">
        <v>75</v>
      </c>
      <c r="J182" s="120" t="s">
        <v>24</v>
      </c>
      <c r="K182" s="39" t="s">
        <v>23</v>
      </c>
      <c r="L182" s="16"/>
      <c r="M182" s="40" t="str">
        <f t="shared" si="2"/>
        <v/>
      </c>
      <c r="N182" s="39" t="s">
        <v>9</v>
      </c>
      <c r="O182" s="39" t="s">
        <v>9</v>
      </c>
      <c r="P182" s="16"/>
      <c r="Q182" s="39"/>
      <c r="R182" s="39"/>
      <c r="S182" s="41" t="s">
        <v>24</v>
      </c>
    </row>
    <row r="183" spans="1:28" ht="39" customHeight="1" outlineLevel="2" x14ac:dyDescent="0.25">
      <c r="A183" s="13" t="s">
        <v>558</v>
      </c>
      <c r="B183" s="14">
        <v>183</v>
      </c>
      <c r="C183" s="71" t="s">
        <v>26</v>
      </c>
      <c r="D183" s="71" t="s">
        <v>46</v>
      </c>
      <c r="E183" s="16"/>
      <c r="F183" s="88" t="s">
        <v>559</v>
      </c>
      <c r="G183" s="88" t="s">
        <v>64</v>
      </c>
      <c r="H183" s="97" t="s">
        <v>560</v>
      </c>
      <c r="I183" s="19" t="s">
        <v>46</v>
      </c>
      <c r="J183" s="15" t="s">
        <v>22</v>
      </c>
      <c r="K183" s="20" t="s">
        <v>23</v>
      </c>
      <c r="L183" s="16"/>
      <c r="M183" s="20" t="str">
        <f t="shared" si="2"/>
        <v>Non concerné</v>
      </c>
      <c r="N183" s="92" t="s">
        <v>9</v>
      </c>
      <c r="O183" s="22" t="s">
        <v>9</v>
      </c>
      <c r="P183" s="16"/>
      <c r="Q183" s="20"/>
      <c r="R183" s="20"/>
      <c r="S183" s="23" t="s">
        <v>24</v>
      </c>
    </row>
    <row r="184" spans="1:28" ht="39" customHeight="1" outlineLevel="2" x14ac:dyDescent="0.25">
      <c r="A184" s="13" t="s">
        <v>561</v>
      </c>
      <c r="B184" s="14">
        <v>184</v>
      </c>
      <c r="C184" s="74" t="s">
        <v>26</v>
      </c>
      <c r="D184" s="74" t="s">
        <v>46</v>
      </c>
      <c r="E184" s="16"/>
      <c r="F184" s="102" t="s">
        <v>562</v>
      </c>
      <c r="G184" s="135" t="s">
        <v>64</v>
      </c>
      <c r="H184" s="76" t="s">
        <v>563</v>
      </c>
      <c r="I184" s="87" t="s">
        <v>46</v>
      </c>
      <c r="J184" s="74" t="s">
        <v>24</v>
      </c>
      <c r="K184" s="78" t="s">
        <v>23</v>
      </c>
      <c r="L184" s="16"/>
      <c r="M184" s="78" t="str">
        <f t="shared" si="2"/>
        <v>Non concerné</v>
      </c>
      <c r="N184" s="79" t="s">
        <v>9</v>
      </c>
      <c r="O184" s="79" t="s">
        <v>9</v>
      </c>
      <c r="P184" s="80"/>
      <c r="Q184" s="78"/>
      <c r="R184" s="78"/>
      <c r="S184" s="81" t="s">
        <v>24</v>
      </c>
    </row>
    <row r="185" spans="1:28" ht="39" customHeight="1" outlineLevel="2" x14ac:dyDescent="0.25">
      <c r="A185" s="13" t="s">
        <v>564</v>
      </c>
      <c r="B185" s="14">
        <v>185</v>
      </c>
      <c r="C185" s="74" t="s">
        <v>26</v>
      </c>
      <c r="D185" s="74" t="s">
        <v>46</v>
      </c>
      <c r="E185" s="16"/>
      <c r="F185" s="102" t="s">
        <v>565</v>
      </c>
      <c r="G185" s="76" t="s">
        <v>64</v>
      </c>
      <c r="H185" s="76" t="s">
        <v>566</v>
      </c>
      <c r="I185" s="87" t="s">
        <v>46</v>
      </c>
      <c r="J185" s="74" t="s">
        <v>24</v>
      </c>
      <c r="K185" s="78" t="s">
        <v>23</v>
      </c>
      <c r="L185" s="16"/>
      <c r="M185" s="78" t="str">
        <f t="shared" si="2"/>
        <v>Non concerné</v>
      </c>
      <c r="N185" s="79" t="s">
        <v>9</v>
      </c>
      <c r="O185" s="79" t="s">
        <v>9</v>
      </c>
      <c r="P185" s="80"/>
      <c r="Q185" s="78"/>
      <c r="R185" s="78"/>
      <c r="S185" s="81" t="s">
        <v>24</v>
      </c>
    </row>
    <row r="186" spans="1:28" ht="39" customHeight="1" outlineLevel="2" x14ac:dyDescent="0.25">
      <c r="A186" s="13" t="s">
        <v>567</v>
      </c>
      <c r="B186" s="14">
        <v>186</v>
      </c>
      <c r="C186" s="74" t="s">
        <v>35</v>
      </c>
      <c r="D186" s="74" t="s">
        <v>24</v>
      </c>
      <c r="E186" s="16"/>
      <c r="F186" s="102" t="s">
        <v>568</v>
      </c>
      <c r="G186" s="102" t="s">
        <v>114</v>
      </c>
      <c r="H186" s="136" t="s">
        <v>115</v>
      </c>
      <c r="I186" s="119" t="s">
        <v>116</v>
      </c>
      <c r="J186" s="74" t="s">
        <v>24</v>
      </c>
      <c r="K186" s="78" t="s">
        <v>23</v>
      </c>
      <c r="L186" s="16"/>
      <c r="M186" s="78" t="str">
        <f t="shared" si="2"/>
        <v>Spécifique Offre</v>
      </c>
      <c r="N186" s="79" t="s">
        <v>117</v>
      </c>
      <c r="O186" s="79" t="s">
        <v>9</v>
      </c>
      <c r="P186" s="80"/>
      <c r="Q186" s="78"/>
      <c r="R186" s="78"/>
      <c r="S186" s="81" t="s">
        <v>24</v>
      </c>
    </row>
    <row r="187" spans="1:28" ht="39" customHeight="1" outlineLevel="1" x14ac:dyDescent="0.25">
      <c r="A187" s="108" t="s">
        <v>569</v>
      </c>
      <c r="B187" s="14">
        <v>187</v>
      </c>
      <c r="C187" s="98" t="s">
        <v>30</v>
      </c>
      <c r="D187" s="38" t="s">
        <v>24</v>
      </c>
      <c r="E187" s="16"/>
      <c r="F187" s="34" t="s">
        <v>570</v>
      </c>
      <c r="G187" s="115"/>
      <c r="H187" s="34"/>
      <c r="I187" s="37" t="s">
        <v>75</v>
      </c>
      <c r="J187" s="34" t="s">
        <v>24</v>
      </c>
      <c r="K187" s="39" t="s">
        <v>23</v>
      </c>
      <c r="L187" s="16"/>
      <c r="M187" s="40" t="str">
        <f t="shared" si="2"/>
        <v/>
      </c>
      <c r="N187" s="39" t="s">
        <v>9</v>
      </c>
      <c r="O187" s="39" t="s">
        <v>9</v>
      </c>
      <c r="P187" s="16"/>
      <c r="Q187" s="39"/>
      <c r="R187" s="39"/>
      <c r="S187" s="41" t="s">
        <v>24</v>
      </c>
    </row>
    <row r="188" spans="1:28" ht="39" customHeight="1" outlineLevel="2" x14ac:dyDescent="0.25">
      <c r="A188" s="13" t="s">
        <v>571</v>
      </c>
      <c r="B188" s="14">
        <v>188</v>
      </c>
      <c r="C188" s="71" t="s">
        <v>26</v>
      </c>
      <c r="D188" s="71" t="s">
        <v>572</v>
      </c>
      <c r="E188" s="16"/>
      <c r="F188" s="88" t="s">
        <v>573</v>
      </c>
      <c r="G188" s="137" t="s">
        <v>64</v>
      </c>
      <c r="H188" s="97" t="s">
        <v>574</v>
      </c>
      <c r="I188" s="19" t="s">
        <v>179</v>
      </c>
      <c r="J188" s="15" t="s">
        <v>22</v>
      </c>
      <c r="K188" s="20" t="s">
        <v>23</v>
      </c>
      <c r="L188" s="16"/>
      <c r="M188" s="20" t="str">
        <f t="shared" si="2"/>
        <v>Non concerné</v>
      </c>
      <c r="N188" s="92" t="s">
        <v>9</v>
      </c>
      <c r="O188" s="22" t="s">
        <v>9</v>
      </c>
      <c r="P188" s="16"/>
      <c r="Q188" s="20"/>
      <c r="R188" s="20"/>
      <c r="S188" s="23" t="s">
        <v>24</v>
      </c>
    </row>
    <row r="189" spans="1:28" s="172" customFormat="1" ht="39" customHeight="1" outlineLevel="2" x14ac:dyDescent="0.25">
      <c r="A189" s="123" t="s">
        <v>575</v>
      </c>
      <c r="B189" s="14">
        <v>189</v>
      </c>
      <c r="C189" s="124" t="s">
        <v>30</v>
      </c>
      <c r="D189" s="164" t="s">
        <v>24</v>
      </c>
      <c r="E189" s="165"/>
      <c r="F189" s="166" t="s">
        <v>576</v>
      </c>
      <c r="G189" s="156"/>
      <c r="H189" s="127"/>
      <c r="I189" s="167" t="s">
        <v>75</v>
      </c>
      <c r="J189" s="164"/>
      <c r="K189" s="168" t="s">
        <v>23</v>
      </c>
      <c r="L189" s="16"/>
      <c r="M189" s="168" t="str">
        <f t="shared" si="2"/>
        <v/>
      </c>
      <c r="N189" s="169" t="s">
        <v>9</v>
      </c>
      <c r="O189" s="170" t="s">
        <v>9</v>
      </c>
      <c r="P189" s="16"/>
      <c r="Q189" s="168"/>
      <c r="R189" s="168"/>
      <c r="S189" s="171" t="s">
        <v>24</v>
      </c>
      <c r="Z189" s="9"/>
      <c r="AA189" s="9"/>
      <c r="AB189" s="9"/>
    </row>
    <row r="190" spans="1:28" ht="39" customHeight="1" outlineLevel="2" x14ac:dyDescent="0.25">
      <c r="A190" s="13" t="s">
        <v>577</v>
      </c>
      <c r="B190" s="14">
        <v>190</v>
      </c>
      <c r="C190" s="74" t="s">
        <v>26</v>
      </c>
      <c r="D190" s="74" t="s">
        <v>578</v>
      </c>
      <c r="E190" s="85"/>
      <c r="F190" s="102" t="s">
        <v>579</v>
      </c>
      <c r="G190" s="173" t="s">
        <v>48</v>
      </c>
      <c r="H190" s="76" t="s">
        <v>580</v>
      </c>
      <c r="I190" s="94" t="s">
        <v>578</v>
      </c>
      <c r="J190" s="74" t="s">
        <v>22</v>
      </c>
      <c r="K190" s="78"/>
      <c r="L190" s="16"/>
      <c r="M190" s="78" t="str">
        <f t="shared" si="2"/>
        <v>Conforme au standard</v>
      </c>
      <c r="N190" s="103" t="s">
        <v>9</v>
      </c>
      <c r="O190" s="79" t="s">
        <v>9</v>
      </c>
      <c r="P190" s="16"/>
      <c r="Q190" s="78"/>
      <c r="R190" s="78"/>
      <c r="S190" s="81" t="s">
        <v>44</v>
      </c>
    </row>
    <row r="191" spans="1:28" ht="39" customHeight="1" outlineLevel="2" x14ac:dyDescent="0.25">
      <c r="A191" s="13" t="s">
        <v>581</v>
      </c>
      <c r="B191" s="14">
        <v>191</v>
      </c>
      <c r="C191" s="71" t="s">
        <v>26</v>
      </c>
      <c r="D191" s="71" t="s">
        <v>582</v>
      </c>
      <c r="E191" s="16"/>
      <c r="F191" s="88" t="s">
        <v>583</v>
      </c>
      <c r="G191" s="173" t="s">
        <v>48</v>
      </c>
      <c r="H191" s="90" t="s">
        <v>584</v>
      </c>
      <c r="I191" s="91" t="s">
        <v>179</v>
      </c>
      <c r="J191" s="15" t="s">
        <v>22</v>
      </c>
      <c r="K191" s="20" t="s">
        <v>23</v>
      </c>
      <c r="L191" s="16"/>
      <c r="M191" s="20" t="str">
        <f t="shared" si="2"/>
        <v>Non concerné</v>
      </c>
      <c r="N191" s="92" t="s">
        <v>9</v>
      </c>
      <c r="O191" s="22" t="s">
        <v>9</v>
      </c>
      <c r="P191" s="16"/>
      <c r="Q191" s="20"/>
      <c r="R191" s="20"/>
      <c r="S191" s="23" t="s">
        <v>44</v>
      </c>
    </row>
    <row r="192" spans="1:28" ht="39" customHeight="1" outlineLevel="2" x14ac:dyDescent="0.25">
      <c r="A192" s="13" t="s">
        <v>585</v>
      </c>
      <c r="B192" s="14">
        <v>192</v>
      </c>
      <c r="C192" s="160" t="s">
        <v>35</v>
      </c>
      <c r="D192" s="74" t="s">
        <v>24</v>
      </c>
      <c r="E192" s="16"/>
      <c r="F192" s="102" t="s">
        <v>586</v>
      </c>
      <c r="G192" s="102" t="s">
        <v>114</v>
      </c>
      <c r="H192" s="136" t="s">
        <v>115</v>
      </c>
      <c r="I192" s="119" t="s">
        <v>116</v>
      </c>
      <c r="J192" s="74" t="s">
        <v>24</v>
      </c>
      <c r="K192" s="78"/>
      <c r="L192" s="16"/>
      <c r="M192" s="78" t="str">
        <f t="shared" si="2"/>
        <v>Spécifique Offre</v>
      </c>
      <c r="N192" s="79" t="s">
        <v>117</v>
      </c>
      <c r="O192" s="79" t="s">
        <v>9</v>
      </c>
      <c r="P192" s="80"/>
      <c r="Q192" s="78"/>
      <c r="R192" s="78"/>
      <c r="S192" s="81" t="s">
        <v>24</v>
      </c>
    </row>
    <row r="193" spans="1:28" ht="39" customHeight="1" outlineLevel="2" x14ac:dyDescent="0.25">
      <c r="A193" s="13" t="s">
        <v>587</v>
      </c>
      <c r="B193" s="14">
        <v>193</v>
      </c>
      <c r="C193" s="160" t="s">
        <v>26</v>
      </c>
      <c r="D193" s="74" t="s">
        <v>588</v>
      </c>
      <c r="E193" s="16"/>
      <c r="F193" s="102" t="s">
        <v>589</v>
      </c>
      <c r="G193" s="102" t="s">
        <v>64</v>
      </c>
      <c r="H193" s="76" t="s">
        <v>590</v>
      </c>
      <c r="I193" s="87" t="s">
        <v>179</v>
      </c>
      <c r="J193" s="74" t="s">
        <v>24</v>
      </c>
      <c r="K193" s="78" t="s">
        <v>23</v>
      </c>
      <c r="L193" s="16"/>
      <c r="M193" s="78" t="str">
        <f t="shared" ref="M193:M256" si="3">IF(OR(A193="",LEFT(A193,3)="ElT"),"",IF(AND(OR(C193="Titre",LEFT(I193,11)="Non concern",NOT(ISERROR(SEARCH("annex",G193,1)))),C193&lt;&gt;"Sp"),IF(D193="","Non concerné",IF(LEFT(D193,11)="non concern","Non concerné","Non conforme au standard")),IF(AND(C193="Sp",I193&lt;&gt;""),"Spécifique Offre",IF(AND(OR(C193="",D193=""),C193&lt;&gt;"Sp"),MessageStandardIncomplet,IF(I193="",ReponseNonSaisie,IF(S193="=",IF(I193=D193,"Conforme au standard",IF(I193=StandardNonApplicable,"Non concerné","Non conforme au standard")),IF(NOT(ISERROR(SEARCH(D193,I193,1))),"Conforme au standard",IF(I193=StandardNonApplicable,"Non concerné","Non conforme au standard"))))))))</f>
        <v>Non concerné</v>
      </c>
      <c r="N193" s="79" t="s">
        <v>9</v>
      </c>
      <c r="O193" s="79" t="s">
        <v>9</v>
      </c>
      <c r="P193" s="80"/>
      <c r="Q193" s="78"/>
      <c r="R193" s="78"/>
      <c r="S193" s="81" t="s">
        <v>24</v>
      </c>
    </row>
    <row r="194" spans="1:28" ht="39" customHeight="1" outlineLevel="2" x14ac:dyDescent="0.25">
      <c r="A194" s="13" t="s">
        <v>591</v>
      </c>
      <c r="B194" s="14">
        <v>194</v>
      </c>
      <c r="C194" s="160" t="s">
        <v>35</v>
      </c>
      <c r="D194" s="74" t="s">
        <v>24</v>
      </c>
      <c r="E194" s="16"/>
      <c r="F194" s="102" t="s">
        <v>592</v>
      </c>
      <c r="G194" s="173" t="s">
        <v>48</v>
      </c>
      <c r="H194" s="76" t="s">
        <v>593</v>
      </c>
      <c r="I194" s="87" t="s">
        <v>75</v>
      </c>
      <c r="J194" s="74" t="s">
        <v>24</v>
      </c>
      <c r="K194" s="78" t="s">
        <v>23</v>
      </c>
      <c r="L194" s="16"/>
      <c r="M194" s="78" t="str">
        <f t="shared" si="3"/>
        <v>Spécifique Offre</v>
      </c>
      <c r="N194" s="79" t="s">
        <v>9</v>
      </c>
      <c r="O194" s="79" t="s">
        <v>9</v>
      </c>
      <c r="P194" s="80"/>
      <c r="Q194" s="78"/>
      <c r="R194" s="78"/>
      <c r="S194" s="81" t="s">
        <v>24</v>
      </c>
    </row>
    <row r="195" spans="1:28" ht="39" customHeight="1" outlineLevel="2" x14ac:dyDescent="0.25">
      <c r="A195" s="13" t="s">
        <v>594</v>
      </c>
      <c r="B195" s="14">
        <v>195</v>
      </c>
      <c r="C195" s="160" t="s">
        <v>35</v>
      </c>
      <c r="D195" s="74" t="s">
        <v>24</v>
      </c>
      <c r="E195" s="16"/>
      <c r="F195" s="102" t="s">
        <v>595</v>
      </c>
      <c r="G195" s="135" t="s">
        <v>37</v>
      </c>
      <c r="H195" s="76" t="s">
        <v>38</v>
      </c>
      <c r="I195" s="87" t="s">
        <v>24</v>
      </c>
      <c r="J195" s="74" t="s">
        <v>24</v>
      </c>
      <c r="K195" s="78"/>
      <c r="L195" s="16"/>
      <c r="M195" s="78" t="str">
        <f t="shared" si="3"/>
        <v>Renseigner la réponse DCO</v>
      </c>
      <c r="N195" s="79" t="s">
        <v>9</v>
      </c>
      <c r="O195" s="79" t="s">
        <v>9</v>
      </c>
      <c r="P195" s="80"/>
      <c r="Q195" s="78"/>
      <c r="R195" s="78"/>
      <c r="S195" s="81" t="s">
        <v>24</v>
      </c>
    </row>
    <row r="196" spans="1:28" ht="39" customHeight="1" outlineLevel="2" x14ac:dyDescent="0.25">
      <c r="A196" s="13" t="s">
        <v>596</v>
      </c>
      <c r="B196" s="14">
        <v>196</v>
      </c>
      <c r="C196" s="160" t="s">
        <v>35</v>
      </c>
      <c r="D196" s="74" t="s">
        <v>24</v>
      </c>
      <c r="E196" s="16"/>
      <c r="F196" s="102" t="s">
        <v>597</v>
      </c>
      <c r="G196" s="76" t="s">
        <v>37</v>
      </c>
      <c r="H196" s="76" t="s">
        <v>38</v>
      </c>
      <c r="I196" s="87" t="s">
        <v>24</v>
      </c>
      <c r="J196" s="74" t="s">
        <v>24</v>
      </c>
      <c r="K196" s="78"/>
      <c r="L196" s="16"/>
      <c r="M196" s="78" t="str">
        <f t="shared" si="3"/>
        <v>Renseigner la réponse DCO</v>
      </c>
      <c r="N196" s="79" t="s">
        <v>9</v>
      </c>
      <c r="O196" s="79" t="s">
        <v>9</v>
      </c>
      <c r="P196" s="80"/>
      <c r="Q196" s="78"/>
      <c r="R196" s="78"/>
      <c r="S196" s="81" t="s">
        <v>24</v>
      </c>
    </row>
    <row r="197" spans="1:28" ht="39" customHeight="1" outlineLevel="2" x14ac:dyDescent="0.25">
      <c r="A197" s="13" t="s">
        <v>598</v>
      </c>
      <c r="B197" s="14">
        <v>197</v>
      </c>
      <c r="C197" s="160" t="s">
        <v>26</v>
      </c>
      <c r="D197" s="74" t="s">
        <v>46</v>
      </c>
      <c r="E197" s="16"/>
      <c r="F197" s="102" t="s">
        <v>599</v>
      </c>
      <c r="G197" s="76" t="s">
        <v>64</v>
      </c>
      <c r="H197" s="76" t="s">
        <v>600</v>
      </c>
      <c r="I197" s="87" t="s">
        <v>46</v>
      </c>
      <c r="J197" s="74" t="s">
        <v>24</v>
      </c>
      <c r="K197" s="78" t="s">
        <v>23</v>
      </c>
      <c r="L197" s="16"/>
      <c r="M197" s="78" t="str">
        <f t="shared" si="3"/>
        <v>Non concerné</v>
      </c>
      <c r="N197" s="79" t="s">
        <v>9</v>
      </c>
      <c r="O197" s="79" t="s">
        <v>9</v>
      </c>
      <c r="P197" s="80"/>
      <c r="Q197" s="78"/>
      <c r="R197" s="78"/>
      <c r="S197" s="81" t="s">
        <v>24</v>
      </c>
    </row>
    <row r="198" spans="1:28" ht="39" customHeight="1" outlineLevel="2" x14ac:dyDescent="0.25">
      <c r="A198" s="13" t="s">
        <v>601</v>
      </c>
      <c r="B198" s="14">
        <v>198</v>
      </c>
      <c r="C198" s="74" t="s">
        <v>19</v>
      </c>
      <c r="D198" s="74" t="s">
        <v>46</v>
      </c>
      <c r="E198" s="85"/>
      <c r="F198" s="102" t="s">
        <v>602</v>
      </c>
      <c r="G198" s="102" t="s">
        <v>64</v>
      </c>
      <c r="H198" s="93" t="s">
        <v>603</v>
      </c>
      <c r="I198" s="87" t="s">
        <v>46</v>
      </c>
      <c r="J198" s="74" t="s">
        <v>24</v>
      </c>
      <c r="K198" s="78" t="s">
        <v>23</v>
      </c>
      <c r="L198" s="16"/>
      <c r="M198" s="78" t="str">
        <f t="shared" si="3"/>
        <v>Non concerné</v>
      </c>
      <c r="N198" s="103" t="s">
        <v>9</v>
      </c>
      <c r="O198" s="79" t="s">
        <v>9</v>
      </c>
      <c r="P198" s="16"/>
      <c r="Q198" s="78"/>
      <c r="R198" s="78"/>
      <c r="S198" s="23" t="s">
        <v>24</v>
      </c>
    </row>
    <row r="199" spans="1:28" s="172" customFormat="1" ht="39" customHeight="1" outlineLevel="2" x14ac:dyDescent="0.25">
      <c r="A199" s="123" t="s">
        <v>604</v>
      </c>
      <c r="B199" s="14">
        <v>199</v>
      </c>
      <c r="C199" s="124" t="s">
        <v>30</v>
      </c>
      <c r="D199" s="164" t="s">
        <v>24</v>
      </c>
      <c r="E199" s="165"/>
      <c r="F199" s="166" t="s">
        <v>605</v>
      </c>
      <c r="G199" s="146"/>
      <c r="H199" s="127"/>
      <c r="I199" s="167" t="s">
        <v>75</v>
      </c>
      <c r="J199" s="164"/>
      <c r="K199" s="168" t="s">
        <v>23</v>
      </c>
      <c r="L199" s="16"/>
      <c r="M199" s="168" t="str">
        <f t="shared" si="3"/>
        <v/>
      </c>
      <c r="N199" s="170" t="s">
        <v>9</v>
      </c>
      <c r="O199" s="170" t="s">
        <v>9</v>
      </c>
      <c r="P199" s="16"/>
      <c r="Q199" s="168"/>
      <c r="R199" s="168"/>
      <c r="S199" s="171" t="s">
        <v>24</v>
      </c>
      <c r="Z199" s="9"/>
      <c r="AA199" s="9"/>
      <c r="AB199" s="9"/>
    </row>
    <row r="200" spans="1:28" ht="39" customHeight="1" outlineLevel="2" x14ac:dyDescent="0.25">
      <c r="A200" s="13" t="s">
        <v>606</v>
      </c>
      <c r="B200" s="14">
        <v>200</v>
      </c>
      <c r="C200" s="74" t="s">
        <v>35</v>
      </c>
      <c r="D200" s="74" t="s">
        <v>24</v>
      </c>
      <c r="E200" s="16"/>
      <c r="F200" s="102" t="s">
        <v>607</v>
      </c>
      <c r="G200" s="173" t="s">
        <v>48</v>
      </c>
      <c r="H200" s="76" t="s">
        <v>608</v>
      </c>
      <c r="I200" s="87" t="s">
        <v>24</v>
      </c>
      <c r="J200" s="74" t="s">
        <v>22</v>
      </c>
      <c r="K200" s="78"/>
      <c r="L200" s="16"/>
      <c r="M200" s="78" t="str">
        <f t="shared" si="3"/>
        <v>Renseigner la réponse DCO</v>
      </c>
      <c r="N200" s="79" t="s">
        <v>9</v>
      </c>
      <c r="O200" s="79" t="s">
        <v>9</v>
      </c>
      <c r="P200" s="80"/>
      <c r="Q200" s="78"/>
      <c r="R200" s="78"/>
      <c r="S200" s="81" t="s">
        <v>24</v>
      </c>
    </row>
    <row r="201" spans="1:28" ht="39" customHeight="1" outlineLevel="2" x14ac:dyDescent="0.25">
      <c r="A201" s="13" t="s">
        <v>609</v>
      </c>
      <c r="B201" s="14">
        <v>201</v>
      </c>
      <c r="C201" s="74" t="s">
        <v>35</v>
      </c>
      <c r="D201" s="74" t="s">
        <v>24</v>
      </c>
      <c r="E201" s="16"/>
      <c r="F201" s="102" t="s">
        <v>610</v>
      </c>
      <c r="G201" s="102" t="s">
        <v>37</v>
      </c>
      <c r="H201" s="76" t="s">
        <v>38</v>
      </c>
      <c r="I201" s="87" t="s">
        <v>75</v>
      </c>
      <c r="J201" s="74" t="s">
        <v>24</v>
      </c>
      <c r="K201" s="78" t="s">
        <v>23</v>
      </c>
      <c r="L201" s="16"/>
      <c r="M201" s="78" t="str">
        <f t="shared" si="3"/>
        <v>Spécifique Offre</v>
      </c>
      <c r="N201" s="79" t="s">
        <v>9</v>
      </c>
      <c r="O201" s="79" t="s">
        <v>9</v>
      </c>
      <c r="P201" s="80"/>
      <c r="Q201" s="78"/>
      <c r="R201" s="78"/>
      <c r="S201" s="81" t="s">
        <v>24</v>
      </c>
    </row>
    <row r="202" spans="1:28" ht="39" customHeight="1" outlineLevel="2" x14ac:dyDescent="0.25">
      <c r="A202" s="13" t="s">
        <v>611</v>
      </c>
      <c r="B202" s="14">
        <v>202</v>
      </c>
      <c r="C202" s="74" t="s">
        <v>26</v>
      </c>
      <c r="D202" s="74" t="s">
        <v>612</v>
      </c>
      <c r="E202" s="16"/>
      <c r="F202" s="102" t="s">
        <v>613</v>
      </c>
      <c r="G202" s="102" t="s">
        <v>54</v>
      </c>
      <c r="H202" s="75" t="s">
        <v>614</v>
      </c>
      <c r="I202" s="87" t="s">
        <v>612</v>
      </c>
      <c r="J202" s="74" t="s">
        <v>22</v>
      </c>
      <c r="K202" s="78"/>
      <c r="L202" s="16"/>
      <c r="M202" s="78" t="str">
        <f t="shared" si="3"/>
        <v>Conforme au standard</v>
      </c>
      <c r="N202" s="79" t="s">
        <v>9</v>
      </c>
      <c r="O202" s="79" t="s">
        <v>9</v>
      </c>
      <c r="P202" s="80"/>
      <c r="Q202" s="78"/>
      <c r="R202" s="78"/>
      <c r="S202" s="81" t="s">
        <v>44</v>
      </c>
    </row>
    <row r="203" spans="1:28" ht="39" customHeight="1" outlineLevel="2" x14ac:dyDescent="0.25">
      <c r="A203" s="13" t="s">
        <v>615</v>
      </c>
      <c r="B203" s="14">
        <v>203</v>
      </c>
      <c r="C203" s="74" t="s">
        <v>35</v>
      </c>
      <c r="D203" s="74" t="s">
        <v>24</v>
      </c>
      <c r="E203" s="16"/>
      <c r="F203" s="102" t="s">
        <v>616</v>
      </c>
      <c r="G203" s="102" t="s">
        <v>54</v>
      </c>
      <c r="H203" s="75" t="s">
        <v>617</v>
      </c>
      <c r="I203" s="87" t="s">
        <v>24</v>
      </c>
      <c r="J203" s="74" t="s">
        <v>24</v>
      </c>
      <c r="K203" s="78"/>
      <c r="L203" s="16"/>
      <c r="M203" s="78" t="str">
        <f t="shared" si="3"/>
        <v>Renseigner la réponse DCO</v>
      </c>
      <c r="N203" s="79" t="s">
        <v>9</v>
      </c>
      <c r="O203" s="79" t="s">
        <v>9</v>
      </c>
      <c r="P203" s="80"/>
      <c r="Q203" s="78"/>
      <c r="R203" s="78"/>
      <c r="S203" s="81" t="s">
        <v>24</v>
      </c>
    </row>
    <row r="204" spans="1:28" ht="39" customHeight="1" x14ac:dyDescent="0.25">
      <c r="A204" s="24" t="s">
        <v>618</v>
      </c>
      <c r="B204" s="14">
        <v>204</v>
      </c>
      <c r="C204" s="110" t="s">
        <v>30</v>
      </c>
      <c r="D204" s="27" t="s">
        <v>24</v>
      </c>
      <c r="E204" s="16"/>
      <c r="F204" s="18" t="s">
        <v>619</v>
      </c>
      <c r="G204" s="174"/>
      <c r="H204" s="18"/>
      <c r="I204" s="26" t="s">
        <v>24</v>
      </c>
      <c r="J204" s="18" t="s">
        <v>24</v>
      </c>
      <c r="K204" s="113"/>
      <c r="L204" s="16"/>
      <c r="M204" s="113" t="str">
        <f t="shared" si="3"/>
        <v/>
      </c>
      <c r="N204" s="113" t="s">
        <v>9</v>
      </c>
      <c r="O204" s="113" t="s">
        <v>9</v>
      </c>
      <c r="P204" s="16"/>
      <c r="Q204" s="113"/>
      <c r="R204" s="113"/>
      <c r="S204" s="114" t="s">
        <v>24</v>
      </c>
    </row>
    <row r="205" spans="1:28" ht="39" customHeight="1" outlineLevel="1" x14ac:dyDescent="0.25">
      <c r="A205" s="108" t="s">
        <v>620</v>
      </c>
      <c r="B205" s="14">
        <v>205</v>
      </c>
      <c r="C205" s="98" t="s">
        <v>30</v>
      </c>
      <c r="D205" s="38" t="s">
        <v>24</v>
      </c>
      <c r="E205" s="16"/>
      <c r="F205" s="34" t="s">
        <v>621</v>
      </c>
      <c r="G205" s="115"/>
      <c r="H205" s="34"/>
      <c r="I205" s="37" t="s">
        <v>24</v>
      </c>
      <c r="J205" s="34" t="s">
        <v>24</v>
      </c>
      <c r="K205" s="39"/>
      <c r="L205" s="16"/>
      <c r="M205" s="40" t="str">
        <f t="shared" si="3"/>
        <v/>
      </c>
      <c r="N205" s="39" t="s">
        <v>9</v>
      </c>
      <c r="O205" s="39" t="s">
        <v>9</v>
      </c>
      <c r="P205" s="16"/>
      <c r="Q205" s="39"/>
      <c r="R205" s="39"/>
      <c r="S205" s="41" t="s">
        <v>24</v>
      </c>
    </row>
    <row r="206" spans="1:28" ht="39" customHeight="1" outlineLevel="2" x14ac:dyDescent="0.25">
      <c r="A206" s="13" t="s">
        <v>622</v>
      </c>
      <c r="B206" s="14">
        <v>206</v>
      </c>
      <c r="C206" s="71" t="s">
        <v>51</v>
      </c>
      <c r="D206" s="71" t="s">
        <v>623</v>
      </c>
      <c r="E206" s="16"/>
      <c r="F206" s="88" t="s">
        <v>624</v>
      </c>
      <c r="G206" s="137" t="s">
        <v>64</v>
      </c>
      <c r="H206" s="104" t="s">
        <v>625</v>
      </c>
      <c r="I206" s="19" t="s">
        <v>623</v>
      </c>
      <c r="J206" s="15" t="s">
        <v>22</v>
      </c>
      <c r="K206" s="20"/>
      <c r="L206" s="16"/>
      <c r="M206" s="20" t="str">
        <f t="shared" si="3"/>
        <v>Conforme au standard</v>
      </c>
      <c r="N206" s="92" t="s">
        <v>9</v>
      </c>
      <c r="O206" s="22" t="s">
        <v>9</v>
      </c>
      <c r="P206" s="16"/>
      <c r="Q206" s="20"/>
      <c r="R206" s="20"/>
      <c r="S206" s="23" t="s">
        <v>24</v>
      </c>
    </row>
    <row r="207" spans="1:28" ht="39" customHeight="1" outlineLevel="2" x14ac:dyDescent="0.25">
      <c r="A207" s="13" t="s">
        <v>626</v>
      </c>
      <c r="B207" s="14">
        <v>207</v>
      </c>
      <c r="C207" s="74" t="s">
        <v>35</v>
      </c>
      <c r="D207" s="74" t="s">
        <v>24</v>
      </c>
      <c r="E207" s="16"/>
      <c r="F207" s="102" t="s">
        <v>627</v>
      </c>
      <c r="G207" s="76" t="s">
        <v>37</v>
      </c>
      <c r="H207" s="76" t="s">
        <v>38</v>
      </c>
      <c r="I207" s="87" t="s">
        <v>75</v>
      </c>
      <c r="J207" s="74" t="s">
        <v>24</v>
      </c>
      <c r="K207" s="78" t="s">
        <v>23</v>
      </c>
      <c r="L207" s="16"/>
      <c r="M207" s="78" t="str">
        <f t="shared" si="3"/>
        <v>Spécifique Offre</v>
      </c>
      <c r="N207" s="79" t="s">
        <v>9</v>
      </c>
      <c r="O207" s="79" t="s">
        <v>9</v>
      </c>
      <c r="P207" s="80"/>
      <c r="Q207" s="78"/>
      <c r="R207" s="78"/>
      <c r="S207" s="81" t="s">
        <v>24</v>
      </c>
    </row>
    <row r="208" spans="1:28" ht="39" customHeight="1" outlineLevel="2" x14ac:dyDescent="0.25">
      <c r="A208" s="13" t="s">
        <v>628</v>
      </c>
      <c r="B208" s="14">
        <v>208</v>
      </c>
      <c r="C208" s="71" t="s">
        <v>51</v>
      </c>
      <c r="D208" s="71" t="s">
        <v>629</v>
      </c>
      <c r="E208" s="16"/>
      <c r="F208" s="88" t="s">
        <v>630</v>
      </c>
      <c r="G208" s="88" t="s">
        <v>64</v>
      </c>
      <c r="H208" s="104" t="s">
        <v>631</v>
      </c>
      <c r="I208" s="19" t="s">
        <v>629</v>
      </c>
      <c r="J208" s="15" t="s">
        <v>22</v>
      </c>
      <c r="K208" s="20"/>
      <c r="L208" s="16"/>
      <c r="M208" s="20" t="str">
        <f t="shared" si="3"/>
        <v>Conforme au standard</v>
      </c>
      <c r="N208" s="92" t="s">
        <v>9</v>
      </c>
      <c r="O208" s="22" t="s">
        <v>9</v>
      </c>
      <c r="P208" s="16"/>
      <c r="Q208" s="20"/>
      <c r="R208" s="20"/>
      <c r="S208" s="23" t="s">
        <v>24</v>
      </c>
    </row>
    <row r="209" spans="1:19" ht="39" customHeight="1" outlineLevel="2" x14ac:dyDescent="0.25">
      <c r="A209" s="13" t="s">
        <v>632</v>
      </c>
      <c r="B209" s="14">
        <v>209</v>
      </c>
      <c r="C209" s="74" t="s">
        <v>35</v>
      </c>
      <c r="D209" s="74" t="s">
        <v>24</v>
      </c>
      <c r="E209" s="16"/>
      <c r="F209" s="102" t="s">
        <v>633</v>
      </c>
      <c r="G209" s="102" t="s">
        <v>37</v>
      </c>
      <c r="H209" s="76" t="s">
        <v>38</v>
      </c>
      <c r="I209" s="87" t="s">
        <v>75</v>
      </c>
      <c r="J209" s="74" t="s">
        <v>24</v>
      </c>
      <c r="K209" s="78" t="s">
        <v>23</v>
      </c>
      <c r="L209" s="16"/>
      <c r="M209" s="78" t="str">
        <f t="shared" si="3"/>
        <v>Spécifique Offre</v>
      </c>
      <c r="N209" s="79" t="s">
        <v>9</v>
      </c>
      <c r="O209" s="79" t="s">
        <v>9</v>
      </c>
      <c r="P209" s="80"/>
      <c r="Q209" s="78"/>
      <c r="R209" s="78"/>
      <c r="S209" s="81" t="s">
        <v>24</v>
      </c>
    </row>
    <row r="210" spans="1:19" ht="39" customHeight="1" outlineLevel="2" x14ac:dyDescent="0.25">
      <c r="A210" s="13" t="s">
        <v>634</v>
      </c>
      <c r="B210" s="14">
        <v>210</v>
      </c>
      <c r="C210" s="71" t="s">
        <v>19</v>
      </c>
      <c r="D210" s="71" t="s">
        <v>635</v>
      </c>
      <c r="E210" s="16"/>
      <c r="F210" s="88" t="s">
        <v>636</v>
      </c>
      <c r="G210" s="137" t="s">
        <v>64</v>
      </c>
      <c r="H210" s="104" t="s">
        <v>637</v>
      </c>
      <c r="I210" s="19" t="s">
        <v>635</v>
      </c>
      <c r="J210" s="15" t="s">
        <v>22</v>
      </c>
      <c r="K210" s="20"/>
      <c r="L210" s="16"/>
      <c r="M210" s="20" t="str">
        <f t="shared" si="3"/>
        <v>Conforme au standard</v>
      </c>
      <c r="N210" s="92" t="s">
        <v>9</v>
      </c>
      <c r="O210" s="22" t="s">
        <v>9</v>
      </c>
      <c r="P210" s="16"/>
      <c r="Q210" s="20"/>
      <c r="R210" s="20"/>
      <c r="S210" s="23" t="s">
        <v>24</v>
      </c>
    </row>
    <row r="211" spans="1:19" ht="39" customHeight="1" outlineLevel="2" x14ac:dyDescent="0.25">
      <c r="A211" s="13" t="s">
        <v>638</v>
      </c>
      <c r="B211" s="14">
        <v>211</v>
      </c>
      <c r="C211" s="74" t="s">
        <v>19</v>
      </c>
      <c r="D211" s="74" t="s">
        <v>46</v>
      </c>
      <c r="E211" s="16"/>
      <c r="F211" s="102" t="s">
        <v>639</v>
      </c>
      <c r="G211" s="173" t="s">
        <v>48</v>
      </c>
      <c r="H211" s="76" t="s">
        <v>640</v>
      </c>
      <c r="I211" s="94" t="s">
        <v>46</v>
      </c>
      <c r="J211" s="74" t="s">
        <v>22</v>
      </c>
      <c r="K211" s="78" t="s">
        <v>23</v>
      </c>
      <c r="L211" s="16"/>
      <c r="M211" s="78" t="str">
        <f t="shared" si="3"/>
        <v>Non concerné</v>
      </c>
      <c r="N211" s="79" t="s">
        <v>9</v>
      </c>
      <c r="O211" s="79" t="s">
        <v>9</v>
      </c>
      <c r="P211" s="80"/>
      <c r="Q211" s="78"/>
      <c r="R211" s="78"/>
      <c r="S211" s="81" t="s">
        <v>44</v>
      </c>
    </row>
    <row r="212" spans="1:19" ht="39" customHeight="1" outlineLevel="2" x14ac:dyDescent="0.25">
      <c r="A212" s="13" t="s">
        <v>641</v>
      </c>
      <c r="B212" s="14">
        <v>212</v>
      </c>
      <c r="C212" s="74" t="s">
        <v>19</v>
      </c>
      <c r="D212" s="74" t="s">
        <v>46</v>
      </c>
      <c r="E212" s="16"/>
      <c r="F212" s="102" t="s">
        <v>642</v>
      </c>
      <c r="G212" s="76" t="s">
        <v>37</v>
      </c>
      <c r="H212" s="76" t="s">
        <v>38</v>
      </c>
      <c r="I212" s="87" t="s">
        <v>46</v>
      </c>
      <c r="J212" s="74" t="s">
        <v>24</v>
      </c>
      <c r="K212" s="78" t="s">
        <v>23</v>
      </c>
      <c r="L212" s="16"/>
      <c r="M212" s="78" t="str">
        <f t="shared" si="3"/>
        <v>Non concerné</v>
      </c>
      <c r="N212" s="79" t="s">
        <v>9</v>
      </c>
      <c r="O212" s="79" t="s">
        <v>9</v>
      </c>
      <c r="P212" s="80"/>
      <c r="Q212" s="78"/>
      <c r="R212" s="78"/>
      <c r="S212" s="81" t="s">
        <v>24</v>
      </c>
    </row>
    <row r="213" spans="1:19" ht="39" customHeight="1" outlineLevel="1" x14ac:dyDescent="0.25">
      <c r="A213" s="108" t="s">
        <v>643</v>
      </c>
      <c r="B213" s="14">
        <v>213</v>
      </c>
      <c r="C213" s="98" t="s">
        <v>30</v>
      </c>
      <c r="D213" s="38" t="s">
        <v>24</v>
      </c>
      <c r="E213" s="16"/>
      <c r="F213" s="34" t="s">
        <v>644</v>
      </c>
      <c r="G213" s="115"/>
      <c r="H213" s="34"/>
      <c r="I213" s="37" t="s">
        <v>24</v>
      </c>
      <c r="J213" s="34" t="s">
        <v>24</v>
      </c>
      <c r="K213" s="39"/>
      <c r="L213" s="16"/>
      <c r="M213" s="40" t="str">
        <f t="shared" si="3"/>
        <v/>
      </c>
      <c r="N213" s="39" t="s">
        <v>9</v>
      </c>
      <c r="O213" s="39" t="s">
        <v>9</v>
      </c>
      <c r="P213" s="16"/>
      <c r="Q213" s="39"/>
      <c r="R213" s="39"/>
      <c r="S213" s="41" t="s">
        <v>24</v>
      </c>
    </row>
    <row r="214" spans="1:19" ht="39" customHeight="1" outlineLevel="2" x14ac:dyDescent="0.25">
      <c r="A214" s="13" t="s">
        <v>645</v>
      </c>
      <c r="B214" s="14">
        <v>214</v>
      </c>
      <c r="C214" s="71" t="s">
        <v>51</v>
      </c>
      <c r="D214" s="71" t="s">
        <v>646</v>
      </c>
      <c r="E214" s="16"/>
      <c r="F214" s="88" t="s">
        <v>647</v>
      </c>
      <c r="G214" s="88" t="s">
        <v>64</v>
      </c>
      <c r="H214" s="97" t="s">
        <v>648</v>
      </c>
      <c r="I214" s="19" t="s">
        <v>646</v>
      </c>
      <c r="J214" s="15" t="s">
        <v>22</v>
      </c>
      <c r="K214" s="20"/>
      <c r="L214" s="16"/>
      <c r="M214" s="20" t="str">
        <f t="shared" si="3"/>
        <v>Conforme au standard</v>
      </c>
      <c r="N214" s="92" t="s">
        <v>9</v>
      </c>
      <c r="O214" s="22" t="s">
        <v>9</v>
      </c>
      <c r="P214" s="16"/>
      <c r="Q214" s="20"/>
      <c r="R214" s="20"/>
      <c r="S214" s="23" t="s">
        <v>24</v>
      </c>
    </row>
    <row r="215" spans="1:19" ht="39" customHeight="1" outlineLevel="2" x14ac:dyDescent="0.25">
      <c r="A215" s="13" t="s">
        <v>649</v>
      </c>
      <c r="B215" s="14">
        <v>215</v>
      </c>
      <c r="C215" s="74" t="s">
        <v>35</v>
      </c>
      <c r="D215" s="74" t="s">
        <v>24</v>
      </c>
      <c r="E215" s="16"/>
      <c r="F215" s="102" t="s">
        <v>650</v>
      </c>
      <c r="G215" s="135" t="s">
        <v>37</v>
      </c>
      <c r="H215" s="76" t="s">
        <v>38</v>
      </c>
      <c r="I215" s="87" t="s">
        <v>75</v>
      </c>
      <c r="J215" s="74" t="s">
        <v>24</v>
      </c>
      <c r="K215" s="78" t="s">
        <v>23</v>
      </c>
      <c r="L215" s="16"/>
      <c r="M215" s="78" t="str">
        <f t="shared" si="3"/>
        <v>Spécifique Offre</v>
      </c>
      <c r="N215" s="79" t="s">
        <v>9</v>
      </c>
      <c r="O215" s="79" t="s">
        <v>9</v>
      </c>
      <c r="P215" s="80"/>
      <c r="Q215" s="78"/>
      <c r="R215" s="78"/>
      <c r="S215" s="81" t="s">
        <v>24</v>
      </c>
    </row>
    <row r="216" spans="1:19" ht="39" customHeight="1" outlineLevel="2" x14ac:dyDescent="0.25">
      <c r="A216" s="13" t="s">
        <v>651</v>
      </c>
      <c r="B216" s="14">
        <v>216</v>
      </c>
      <c r="C216" s="74" t="s">
        <v>35</v>
      </c>
      <c r="D216" s="74" t="s">
        <v>24</v>
      </c>
      <c r="E216" s="16"/>
      <c r="F216" s="102" t="s">
        <v>652</v>
      </c>
      <c r="G216" s="102" t="s">
        <v>64</v>
      </c>
      <c r="H216" s="76" t="s">
        <v>653</v>
      </c>
      <c r="I216" s="87" t="s">
        <v>75</v>
      </c>
      <c r="J216" s="74" t="s">
        <v>22</v>
      </c>
      <c r="K216" s="78" t="s">
        <v>23</v>
      </c>
      <c r="L216" s="16"/>
      <c r="M216" s="78" t="str">
        <f t="shared" si="3"/>
        <v>Spécifique Offre</v>
      </c>
      <c r="N216" s="79" t="s">
        <v>9</v>
      </c>
      <c r="O216" s="79" t="s">
        <v>9</v>
      </c>
      <c r="P216" s="80"/>
      <c r="Q216" s="78"/>
      <c r="R216" s="78"/>
      <c r="S216" s="81" t="s">
        <v>24</v>
      </c>
    </row>
    <row r="217" spans="1:19" ht="39" customHeight="1" outlineLevel="2" x14ac:dyDescent="0.25">
      <c r="A217" s="13" t="s">
        <v>654</v>
      </c>
      <c r="B217" s="14">
        <v>217</v>
      </c>
      <c r="C217" s="74" t="s">
        <v>26</v>
      </c>
      <c r="D217" s="74" t="s">
        <v>655</v>
      </c>
      <c r="E217" s="16"/>
      <c r="F217" s="102" t="s">
        <v>656</v>
      </c>
      <c r="G217" s="141" t="s">
        <v>48</v>
      </c>
      <c r="H217" s="93" t="s">
        <v>657</v>
      </c>
      <c r="I217" s="87" t="s">
        <v>179</v>
      </c>
      <c r="J217" s="175" t="s">
        <v>22</v>
      </c>
      <c r="K217" s="78" t="s">
        <v>23</v>
      </c>
      <c r="L217" s="16"/>
      <c r="M217" s="78" t="str">
        <f t="shared" si="3"/>
        <v>Non concerné</v>
      </c>
      <c r="N217" s="79" t="s">
        <v>9</v>
      </c>
      <c r="O217" s="79" t="s">
        <v>9</v>
      </c>
      <c r="P217" s="80"/>
      <c r="Q217" s="78"/>
      <c r="R217" s="78"/>
      <c r="S217" s="81" t="s">
        <v>24</v>
      </c>
    </row>
    <row r="218" spans="1:19" ht="39" customHeight="1" outlineLevel="2" x14ac:dyDescent="0.25">
      <c r="A218" s="176" t="s">
        <v>658</v>
      </c>
      <c r="B218" s="14">
        <v>218</v>
      </c>
      <c r="C218" s="74" t="s">
        <v>26</v>
      </c>
      <c r="D218" s="74" t="s">
        <v>659</v>
      </c>
      <c r="E218" s="16"/>
      <c r="F218" s="102" t="s">
        <v>660</v>
      </c>
      <c r="G218" s="141" t="s">
        <v>37</v>
      </c>
      <c r="H218" s="93"/>
      <c r="I218" s="87" t="s">
        <v>179</v>
      </c>
      <c r="J218" s="74"/>
      <c r="K218" s="78" t="s">
        <v>23</v>
      </c>
      <c r="L218" s="16"/>
      <c r="M218" s="78" t="str">
        <f t="shared" si="3"/>
        <v>Non concerné</v>
      </c>
      <c r="N218" s="79" t="s">
        <v>9</v>
      </c>
      <c r="O218" s="79" t="s">
        <v>9</v>
      </c>
      <c r="P218" s="80"/>
      <c r="Q218" s="78"/>
      <c r="R218" s="78"/>
      <c r="S218" s="81" t="s">
        <v>24</v>
      </c>
    </row>
    <row r="219" spans="1:19" ht="39" customHeight="1" outlineLevel="2" x14ac:dyDescent="0.25">
      <c r="A219" s="13" t="s">
        <v>661</v>
      </c>
      <c r="B219" s="14">
        <v>219</v>
      </c>
      <c r="C219" s="74" t="s">
        <v>26</v>
      </c>
      <c r="D219" s="74" t="s">
        <v>659</v>
      </c>
      <c r="E219" s="16"/>
      <c r="F219" s="102" t="s">
        <v>662</v>
      </c>
      <c r="G219" s="141" t="s">
        <v>48</v>
      </c>
      <c r="H219" s="93" t="s">
        <v>663</v>
      </c>
      <c r="I219" s="94" t="s">
        <v>179</v>
      </c>
      <c r="J219" s="74" t="s">
        <v>24</v>
      </c>
      <c r="K219" s="78" t="s">
        <v>23</v>
      </c>
      <c r="L219" s="16"/>
      <c r="M219" s="78" t="str">
        <f t="shared" si="3"/>
        <v>Non concerné</v>
      </c>
      <c r="N219" s="79" t="s">
        <v>9</v>
      </c>
      <c r="O219" s="79" t="s">
        <v>9</v>
      </c>
      <c r="P219" s="80"/>
      <c r="Q219" s="78"/>
      <c r="R219" s="78"/>
      <c r="S219" s="81" t="s">
        <v>24</v>
      </c>
    </row>
    <row r="220" spans="1:19" ht="39" customHeight="1" outlineLevel="1" x14ac:dyDescent="0.25">
      <c r="A220" s="108" t="s">
        <v>664</v>
      </c>
      <c r="B220" s="14">
        <v>220</v>
      </c>
      <c r="C220" s="98" t="s">
        <v>30</v>
      </c>
      <c r="D220" s="38" t="s">
        <v>24</v>
      </c>
      <c r="E220" s="16"/>
      <c r="F220" s="34" t="s">
        <v>665</v>
      </c>
      <c r="G220" s="120"/>
      <c r="H220" s="34"/>
      <c r="I220" s="37" t="s">
        <v>24</v>
      </c>
      <c r="J220" s="34" t="s">
        <v>24</v>
      </c>
      <c r="K220" s="39"/>
      <c r="L220" s="16"/>
      <c r="M220" s="40" t="str">
        <f t="shared" si="3"/>
        <v/>
      </c>
      <c r="N220" s="39" t="s">
        <v>9</v>
      </c>
      <c r="O220" s="39" t="s">
        <v>9</v>
      </c>
      <c r="P220" s="16"/>
      <c r="Q220" s="39"/>
      <c r="R220" s="39"/>
      <c r="S220" s="41" t="s">
        <v>24</v>
      </c>
    </row>
    <row r="221" spans="1:19" ht="39" customHeight="1" outlineLevel="2" x14ac:dyDescent="0.25">
      <c r="A221" s="13" t="s">
        <v>666</v>
      </c>
      <c r="B221" s="14">
        <v>221</v>
      </c>
      <c r="C221" s="71" t="s">
        <v>51</v>
      </c>
      <c r="D221" s="71" t="s">
        <v>667</v>
      </c>
      <c r="E221" s="16"/>
      <c r="F221" s="88" t="s">
        <v>668</v>
      </c>
      <c r="G221" s="88" t="s">
        <v>64</v>
      </c>
      <c r="H221" s="97" t="s">
        <v>669</v>
      </c>
      <c r="I221" s="19" t="s">
        <v>667</v>
      </c>
      <c r="J221" s="15" t="s">
        <v>22</v>
      </c>
      <c r="K221" s="20"/>
      <c r="L221" s="16"/>
      <c r="M221" s="20" t="str">
        <f t="shared" si="3"/>
        <v>Conforme au standard</v>
      </c>
      <c r="N221" s="92" t="s">
        <v>9</v>
      </c>
      <c r="O221" s="22" t="s">
        <v>9</v>
      </c>
      <c r="P221" s="16"/>
      <c r="Q221" s="20"/>
      <c r="R221" s="20"/>
      <c r="S221" s="23" t="s">
        <v>24</v>
      </c>
    </row>
    <row r="222" spans="1:19" ht="39" customHeight="1" outlineLevel="2" x14ac:dyDescent="0.25">
      <c r="A222" s="13" t="s">
        <v>670</v>
      </c>
      <c r="B222" s="14">
        <v>222</v>
      </c>
      <c r="C222" s="74" t="s">
        <v>35</v>
      </c>
      <c r="D222" s="74" t="s">
        <v>24</v>
      </c>
      <c r="E222" s="16"/>
      <c r="F222" s="102" t="s">
        <v>671</v>
      </c>
      <c r="G222" s="102" t="s">
        <v>37</v>
      </c>
      <c r="H222" s="76" t="s">
        <v>38</v>
      </c>
      <c r="I222" s="87" t="s">
        <v>75</v>
      </c>
      <c r="J222" s="74" t="s">
        <v>24</v>
      </c>
      <c r="K222" s="78" t="s">
        <v>23</v>
      </c>
      <c r="L222" s="16"/>
      <c r="M222" s="78" t="str">
        <f t="shared" si="3"/>
        <v>Spécifique Offre</v>
      </c>
      <c r="N222" s="79" t="s">
        <v>9</v>
      </c>
      <c r="O222" s="79" t="s">
        <v>9</v>
      </c>
      <c r="P222" s="80"/>
      <c r="Q222" s="78"/>
      <c r="R222" s="78"/>
      <c r="S222" s="81" t="s">
        <v>24</v>
      </c>
    </row>
    <row r="223" spans="1:19" ht="39" customHeight="1" outlineLevel="2" x14ac:dyDescent="0.25">
      <c r="A223" s="13" t="s">
        <v>672</v>
      </c>
      <c r="B223" s="14">
        <v>223</v>
      </c>
      <c r="C223" s="71" t="s">
        <v>26</v>
      </c>
      <c r="D223" s="71" t="s">
        <v>673</v>
      </c>
      <c r="E223" s="16"/>
      <c r="F223" s="88" t="s">
        <v>674</v>
      </c>
      <c r="G223" s="96" t="s">
        <v>64</v>
      </c>
      <c r="H223" s="97" t="s">
        <v>675</v>
      </c>
      <c r="I223" s="19" t="s">
        <v>673</v>
      </c>
      <c r="J223" s="15" t="s">
        <v>24</v>
      </c>
      <c r="K223" s="20"/>
      <c r="L223" s="16"/>
      <c r="M223" s="20" t="str">
        <f t="shared" si="3"/>
        <v>Conforme au standard</v>
      </c>
      <c r="N223" s="92" t="s">
        <v>9</v>
      </c>
      <c r="O223" s="22" t="s">
        <v>9</v>
      </c>
      <c r="P223" s="16"/>
      <c r="Q223" s="20"/>
      <c r="R223" s="20"/>
      <c r="S223" s="23" t="s">
        <v>44</v>
      </c>
    </row>
    <row r="224" spans="1:19" ht="39" customHeight="1" outlineLevel="2" x14ac:dyDescent="0.25">
      <c r="A224" s="13" t="s">
        <v>676</v>
      </c>
      <c r="B224" s="14">
        <v>224</v>
      </c>
      <c r="C224" s="71" t="s">
        <v>26</v>
      </c>
      <c r="D224" s="71" t="s">
        <v>677</v>
      </c>
      <c r="E224" s="16"/>
      <c r="F224" s="88" t="s">
        <v>678</v>
      </c>
      <c r="G224" s="73" t="s">
        <v>64</v>
      </c>
      <c r="H224" s="97" t="s">
        <v>679</v>
      </c>
      <c r="I224" s="19" t="s">
        <v>677</v>
      </c>
      <c r="J224" s="15" t="s">
        <v>22</v>
      </c>
      <c r="K224" s="20"/>
      <c r="L224" s="16"/>
      <c r="M224" s="20" t="str">
        <f t="shared" si="3"/>
        <v>Conforme au standard</v>
      </c>
      <c r="N224" s="92" t="s">
        <v>9</v>
      </c>
      <c r="O224" s="22" t="s">
        <v>9</v>
      </c>
      <c r="P224" s="16"/>
      <c r="Q224" s="20"/>
      <c r="R224" s="20"/>
      <c r="S224" s="23" t="s">
        <v>44</v>
      </c>
    </row>
    <row r="225" spans="1:19" ht="39" customHeight="1" outlineLevel="2" x14ac:dyDescent="0.25">
      <c r="A225" s="13" t="s">
        <v>680</v>
      </c>
      <c r="B225" s="14">
        <v>225</v>
      </c>
      <c r="C225" s="74" t="s">
        <v>35</v>
      </c>
      <c r="D225" s="74" t="s">
        <v>24</v>
      </c>
      <c r="E225" s="16"/>
      <c r="F225" s="102" t="s">
        <v>681</v>
      </c>
      <c r="G225" s="102" t="s">
        <v>64</v>
      </c>
      <c r="H225" s="75" t="s">
        <v>614</v>
      </c>
      <c r="I225" s="87" t="s">
        <v>24</v>
      </c>
      <c r="J225" s="74" t="s">
        <v>22</v>
      </c>
      <c r="K225" s="78"/>
      <c r="L225" s="16"/>
      <c r="M225" s="78" t="str">
        <f t="shared" si="3"/>
        <v>Renseigner la réponse DCO</v>
      </c>
      <c r="N225" s="79" t="s">
        <v>9</v>
      </c>
      <c r="O225" s="79" t="s">
        <v>9</v>
      </c>
      <c r="P225" s="80"/>
      <c r="Q225" s="78"/>
      <c r="R225" s="78"/>
      <c r="S225" s="81" t="s">
        <v>24</v>
      </c>
    </row>
    <row r="226" spans="1:19" ht="39" customHeight="1" outlineLevel="2" x14ac:dyDescent="0.25">
      <c r="A226" s="13" t="s">
        <v>682</v>
      </c>
      <c r="B226" s="14">
        <v>226</v>
      </c>
      <c r="C226" s="74" t="s">
        <v>35</v>
      </c>
      <c r="D226" s="74" t="s">
        <v>24</v>
      </c>
      <c r="E226" s="16"/>
      <c r="F226" s="102" t="s">
        <v>683</v>
      </c>
      <c r="G226" s="102" t="s">
        <v>64</v>
      </c>
      <c r="H226" s="93" t="s">
        <v>684</v>
      </c>
      <c r="I226" s="87" t="s">
        <v>75</v>
      </c>
      <c r="J226" s="74" t="s">
        <v>24</v>
      </c>
      <c r="K226" s="78" t="s">
        <v>23</v>
      </c>
      <c r="L226" s="16"/>
      <c r="M226" s="78" t="str">
        <f t="shared" si="3"/>
        <v>Spécifique Offre</v>
      </c>
      <c r="N226" s="79" t="s">
        <v>9</v>
      </c>
      <c r="O226" s="79" t="s">
        <v>9</v>
      </c>
      <c r="P226" s="80"/>
      <c r="Q226" s="78"/>
      <c r="R226" s="78"/>
      <c r="S226" s="81" t="s">
        <v>24</v>
      </c>
    </row>
    <row r="227" spans="1:19" ht="39" customHeight="1" outlineLevel="2" x14ac:dyDescent="0.25">
      <c r="A227" s="13" t="s">
        <v>685</v>
      </c>
      <c r="B227" s="14">
        <v>227</v>
      </c>
      <c r="C227" s="74" t="s">
        <v>35</v>
      </c>
      <c r="D227" s="74" t="s">
        <v>24</v>
      </c>
      <c r="E227" s="16"/>
      <c r="F227" s="102" t="s">
        <v>686</v>
      </c>
      <c r="G227" s="102" t="s">
        <v>54</v>
      </c>
      <c r="H227" s="93" t="s">
        <v>663</v>
      </c>
      <c r="I227" s="87" t="s">
        <v>75</v>
      </c>
      <c r="J227" s="74"/>
      <c r="K227" s="78" t="s">
        <v>23</v>
      </c>
      <c r="L227" s="16"/>
      <c r="M227" s="78" t="str">
        <f t="shared" si="3"/>
        <v>Spécifique Offre</v>
      </c>
      <c r="N227" s="79" t="s">
        <v>9</v>
      </c>
      <c r="O227" s="79" t="s">
        <v>9</v>
      </c>
      <c r="P227" s="80"/>
      <c r="Q227" s="78"/>
      <c r="R227" s="78"/>
      <c r="S227" s="81" t="s">
        <v>24</v>
      </c>
    </row>
    <row r="228" spans="1:19" ht="39" customHeight="1" outlineLevel="2" x14ac:dyDescent="0.25">
      <c r="A228" s="13" t="s">
        <v>687</v>
      </c>
      <c r="B228" s="14">
        <v>228</v>
      </c>
      <c r="C228" s="74" t="s">
        <v>35</v>
      </c>
      <c r="D228" s="74" t="s">
        <v>24</v>
      </c>
      <c r="E228" s="16"/>
      <c r="F228" s="102" t="s">
        <v>688</v>
      </c>
      <c r="G228" s="102" t="s">
        <v>64</v>
      </c>
      <c r="H228" s="93" t="s">
        <v>684</v>
      </c>
      <c r="I228" s="87" t="s">
        <v>75</v>
      </c>
      <c r="J228" s="74" t="s">
        <v>24</v>
      </c>
      <c r="K228" s="78" t="s">
        <v>23</v>
      </c>
      <c r="L228" s="16"/>
      <c r="M228" s="78" t="str">
        <f t="shared" si="3"/>
        <v>Spécifique Offre</v>
      </c>
      <c r="N228" s="79" t="s">
        <v>9</v>
      </c>
      <c r="O228" s="79" t="s">
        <v>9</v>
      </c>
      <c r="P228" s="80"/>
      <c r="Q228" s="78"/>
      <c r="R228" s="78"/>
      <c r="S228" s="81" t="s">
        <v>24</v>
      </c>
    </row>
    <row r="229" spans="1:19" ht="39" customHeight="1" outlineLevel="2" x14ac:dyDescent="0.25">
      <c r="A229" s="13" t="s">
        <v>689</v>
      </c>
      <c r="B229" s="14">
        <v>229</v>
      </c>
      <c r="C229" s="74" t="s">
        <v>35</v>
      </c>
      <c r="D229" s="74" t="s">
        <v>24</v>
      </c>
      <c r="E229" s="16"/>
      <c r="F229" s="102" t="s">
        <v>690</v>
      </c>
      <c r="G229" s="102" t="s">
        <v>54</v>
      </c>
      <c r="H229" s="93" t="s">
        <v>663</v>
      </c>
      <c r="I229" s="87" t="s">
        <v>75</v>
      </c>
      <c r="J229" s="74"/>
      <c r="K229" s="78" t="s">
        <v>23</v>
      </c>
      <c r="L229" s="16"/>
      <c r="M229" s="78" t="str">
        <f t="shared" si="3"/>
        <v>Spécifique Offre</v>
      </c>
      <c r="N229" s="79" t="s">
        <v>9</v>
      </c>
      <c r="O229" s="79" t="s">
        <v>9</v>
      </c>
      <c r="P229" s="80"/>
      <c r="Q229" s="78"/>
      <c r="R229" s="78"/>
      <c r="S229" s="81" t="s">
        <v>24</v>
      </c>
    </row>
    <row r="230" spans="1:19" ht="39" customHeight="1" outlineLevel="2" x14ac:dyDescent="0.25">
      <c r="A230" s="13" t="s">
        <v>691</v>
      </c>
      <c r="B230" s="14">
        <v>230</v>
      </c>
      <c r="C230" s="71" t="s">
        <v>35</v>
      </c>
      <c r="D230" s="71" t="s">
        <v>24</v>
      </c>
      <c r="E230" s="16"/>
      <c r="F230" s="88" t="s">
        <v>692</v>
      </c>
      <c r="G230" s="73" t="s">
        <v>64</v>
      </c>
      <c r="H230" s="97" t="s">
        <v>693</v>
      </c>
      <c r="I230" s="19" t="s">
        <v>24</v>
      </c>
      <c r="J230" s="15" t="s">
        <v>24</v>
      </c>
      <c r="K230" s="20"/>
      <c r="L230" s="16"/>
      <c r="M230" s="20" t="str">
        <f t="shared" si="3"/>
        <v>Renseigner la réponse DCO</v>
      </c>
      <c r="N230" s="92" t="s">
        <v>9</v>
      </c>
      <c r="O230" s="22" t="s">
        <v>9</v>
      </c>
      <c r="P230" s="16"/>
      <c r="Q230" s="20"/>
      <c r="R230" s="20"/>
      <c r="S230" s="23" t="s">
        <v>24</v>
      </c>
    </row>
    <row r="231" spans="1:19" ht="39" customHeight="1" outlineLevel="2" x14ac:dyDescent="0.25">
      <c r="A231" s="13" t="s">
        <v>694</v>
      </c>
      <c r="B231" s="14">
        <v>231</v>
      </c>
      <c r="C231" s="71" t="s">
        <v>51</v>
      </c>
      <c r="D231" s="71" t="s">
        <v>695</v>
      </c>
      <c r="E231" s="16"/>
      <c r="F231" s="88" t="s">
        <v>696</v>
      </c>
      <c r="G231" s="73" t="s">
        <v>64</v>
      </c>
      <c r="H231" s="97" t="s">
        <v>697</v>
      </c>
      <c r="I231" s="19" t="s">
        <v>695</v>
      </c>
      <c r="J231" s="15" t="s">
        <v>22</v>
      </c>
      <c r="K231" s="20"/>
      <c r="L231" s="16"/>
      <c r="M231" s="20" t="str">
        <f t="shared" si="3"/>
        <v>Conforme au standard</v>
      </c>
      <c r="N231" s="92" t="s">
        <v>9</v>
      </c>
      <c r="O231" s="22" t="s">
        <v>9</v>
      </c>
      <c r="P231" s="16"/>
      <c r="Q231" s="20"/>
      <c r="R231" s="20"/>
      <c r="S231" s="23" t="s">
        <v>24</v>
      </c>
    </row>
    <row r="232" spans="1:19" ht="39" customHeight="1" outlineLevel="2" x14ac:dyDescent="0.25">
      <c r="A232" s="13" t="s">
        <v>698</v>
      </c>
      <c r="B232" s="14">
        <v>232</v>
      </c>
      <c r="C232" s="74" t="s">
        <v>35</v>
      </c>
      <c r="D232" s="74" t="s">
        <v>24</v>
      </c>
      <c r="E232" s="16"/>
      <c r="F232" s="102" t="s">
        <v>699</v>
      </c>
      <c r="G232" s="102" t="s">
        <v>37</v>
      </c>
      <c r="H232" s="76" t="s">
        <v>38</v>
      </c>
      <c r="I232" s="87" t="s">
        <v>75</v>
      </c>
      <c r="J232" s="74" t="s">
        <v>24</v>
      </c>
      <c r="K232" s="78" t="s">
        <v>23</v>
      </c>
      <c r="L232" s="16"/>
      <c r="M232" s="78" t="str">
        <f t="shared" si="3"/>
        <v>Spécifique Offre</v>
      </c>
      <c r="N232" s="79" t="s">
        <v>9</v>
      </c>
      <c r="O232" s="79" t="s">
        <v>9</v>
      </c>
      <c r="P232" s="80"/>
      <c r="Q232" s="78"/>
      <c r="R232" s="78"/>
      <c r="S232" s="81" t="s">
        <v>24</v>
      </c>
    </row>
    <row r="233" spans="1:19" ht="39" customHeight="1" outlineLevel="2" x14ac:dyDescent="0.25">
      <c r="A233" s="13" t="s">
        <v>700</v>
      </c>
      <c r="B233" s="14">
        <v>233</v>
      </c>
      <c r="C233" s="71" t="s">
        <v>19</v>
      </c>
      <c r="D233" s="71" t="s">
        <v>701</v>
      </c>
      <c r="E233" s="16"/>
      <c r="F233" s="88" t="s">
        <v>702</v>
      </c>
      <c r="G233" s="88" t="s">
        <v>64</v>
      </c>
      <c r="H233" s="73" t="s">
        <v>703</v>
      </c>
      <c r="I233" s="19" t="s">
        <v>701</v>
      </c>
      <c r="J233" s="15" t="s">
        <v>24</v>
      </c>
      <c r="K233" s="20"/>
      <c r="L233" s="16"/>
      <c r="M233" s="20" t="str">
        <f t="shared" si="3"/>
        <v>Conforme au standard</v>
      </c>
      <c r="N233" s="92" t="s">
        <v>9</v>
      </c>
      <c r="O233" s="22" t="s">
        <v>9</v>
      </c>
      <c r="P233" s="16"/>
      <c r="Q233" s="20"/>
      <c r="R233" s="20"/>
      <c r="S233" s="23" t="s">
        <v>24</v>
      </c>
    </row>
    <row r="234" spans="1:19" ht="39" customHeight="1" outlineLevel="1" x14ac:dyDescent="0.25">
      <c r="A234" s="108" t="s">
        <v>704</v>
      </c>
      <c r="B234" s="14">
        <v>234</v>
      </c>
      <c r="C234" s="98" t="s">
        <v>30</v>
      </c>
      <c r="D234" s="38" t="s">
        <v>24</v>
      </c>
      <c r="E234" s="16"/>
      <c r="F234" s="34" t="s">
        <v>705</v>
      </c>
      <c r="G234" s="155"/>
      <c r="H234" s="34"/>
      <c r="I234" s="37" t="s">
        <v>24</v>
      </c>
      <c r="J234" s="34" t="s">
        <v>24</v>
      </c>
      <c r="K234" s="39"/>
      <c r="L234" s="16"/>
      <c r="M234" s="40" t="str">
        <f t="shared" si="3"/>
        <v/>
      </c>
      <c r="N234" s="39" t="s">
        <v>9</v>
      </c>
      <c r="O234" s="39" t="s">
        <v>9</v>
      </c>
      <c r="P234" s="16"/>
      <c r="Q234" s="39"/>
      <c r="R234" s="39"/>
      <c r="S234" s="41" t="s">
        <v>24</v>
      </c>
    </row>
    <row r="235" spans="1:19" ht="39" customHeight="1" outlineLevel="2" x14ac:dyDescent="0.25">
      <c r="A235" s="13" t="s">
        <v>706</v>
      </c>
      <c r="B235" s="14">
        <v>235</v>
      </c>
      <c r="C235" s="71" t="s">
        <v>26</v>
      </c>
      <c r="D235" s="71" t="s">
        <v>707</v>
      </c>
      <c r="E235" s="16"/>
      <c r="F235" s="88" t="s">
        <v>708</v>
      </c>
      <c r="G235" s="73" t="s">
        <v>64</v>
      </c>
      <c r="H235" s="97" t="s">
        <v>709</v>
      </c>
      <c r="I235" s="19" t="s">
        <v>707</v>
      </c>
      <c r="J235" s="15" t="s">
        <v>22</v>
      </c>
      <c r="K235" s="20"/>
      <c r="L235" s="16"/>
      <c r="M235" s="20" t="str">
        <f t="shared" si="3"/>
        <v>Conforme au standard</v>
      </c>
      <c r="N235" s="92" t="s">
        <v>9</v>
      </c>
      <c r="O235" s="22" t="s">
        <v>9</v>
      </c>
      <c r="P235" s="16"/>
      <c r="Q235" s="20"/>
      <c r="R235" s="20"/>
      <c r="S235" s="23" t="s">
        <v>24</v>
      </c>
    </row>
    <row r="236" spans="1:19" ht="39" customHeight="1" outlineLevel="2" x14ac:dyDescent="0.25">
      <c r="A236" s="13" t="s">
        <v>710</v>
      </c>
      <c r="B236" s="14">
        <v>236</v>
      </c>
      <c r="C236" s="74" t="s">
        <v>35</v>
      </c>
      <c r="D236" s="74" t="s">
        <v>24</v>
      </c>
      <c r="E236" s="16"/>
      <c r="F236" s="102" t="s">
        <v>711</v>
      </c>
      <c r="G236" s="102" t="s">
        <v>37</v>
      </c>
      <c r="H236" s="76" t="s">
        <v>38</v>
      </c>
      <c r="I236" s="87" t="s">
        <v>75</v>
      </c>
      <c r="J236" s="74" t="s">
        <v>24</v>
      </c>
      <c r="K236" s="78" t="s">
        <v>23</v>
      </c>
      <c r="L236" s="16"/>
      <c r="M236" s="78" t="str">
        <f t="shared" si="3"/>
        <v>Spécifique Offre</v>
      </c>
      <c r="N236" s="79" t="s">
        <v>9</v>
      </c>
      <c r="O236" s="79" t="s">
        <v>9</v>
      </c>
      <c r="P236" s="80"/>
      <c r="Q236" s="78"/>
      <c r="R236" s="78"/>
      <c r="S236" s="81" t="s">
        <v>24</v>
      </c>
    </row>
    <row r="237" spans="1:19" ht="39" customHeight="1" outlineLevel="2" x14ac:dyDescent="0.25">
      <c r="A237" s="13" t="s">
        <v>712</v>
      </c>
      <c r="B237" s="14">
        <v>237</v>
      </c>
      <c r="C237" s="74" t="s">
        <v>35</v>
      </c>
      <c r="D237" s="74" t="s">
        <v>24</v>
      </c>
      <c r="E237" s="16"/>
      <c r="F237" s="102" t="s">
        <v>713</v>
      </c>
      <c r="G237" s="102" t="s">
        <v>37</v>
      </c>
      <c r="H237" s="76" t="s">
        <v>38</v>
      </c>
      <c r="I237" s="87" t="s">
        <v>75</v>
      </c>
      <c r="J237" s="74" t="s">
        <v>24</v>
      </c>
      <c r="K237" s="78" t="s">
        <v>23</v>
      </c>
      <c r="L237" s="16"/>
      <c r="M237" s="78" t="str">
        <f t="shared" si="3"/>
        <v>Spécifique Offre</v>
      </c>
      <c r="N237" s="79" t="s">
        <v>9</v>
      </c>
      <c r="O237" s="79" t="s">
        <v>9</v>
      </c>
      <c r="P237" s="80"/>
      <c r="Q237" s="78"/>
      <c r="R237" s="78"/>
      <c r="S237" s="81" t="s">
        <v>24</v>
      </c>
    </row>
    <row r="238" spans="1:19" ht="39" customHeight="1" outlineLevel="2" x14ac:dyDescent="0.25">
      <c r="A238" s="13" t="s">
        <v>714</v>
      </c>
      <c r="B238" s="14">
        <v>238</v>
      </c>
      <c r="C238" s="74" t="s">
        <v>35</v>
      </c>
      <c r="D238" s="74" t="s">
        <v>24</v>
      </c>
      <c r="E238" s="16"/>
      <c r="F238" s="102" t="s">
        <v>715</v>
      </c>
      <c r="G238" s="135" t="s">
        <v>37</v>
      </c>
      <c r="H238" s="76" t="s">
        <v>38</v>
      </c>
      <c r="I238" s="87" t="s">
        <v>75</v>
      </c>
      <c r="J238" s="74" t="s">
        <v>24</v>
      </c>
      <c r="K238" s="78" t="s">
        <v>23</v>
      </c>
      <c r="L238" s="16"/>
      <c r="M238" s="78" t="str">
        <f t="shared" si="3"/>
        <v>Spécifique Offre</v>
      </c>
      <c r="N238" s="79" t="s">
        <v>9</v>
      </c>
      <c r="O238" s="79" t="s">
        <v>9</v>
      </c>
      <c r="P238" s="80"/>
      <c r="Q238" s="78"/>
      <c r="R238" s="78"/>
      <c r="S238" s="81" t="s">
        <v>24</v>
      </c>
    </row>
    <row r="239" spans="1:19" ht="39" customHeight="1" outlineLevel="2" x14ac:dyDescent="0.25">
      <c r="A239" s="13" t="s">
        <v>716</v>
      </c>
      <c r="B239" s="14">
        <v>239</v>
      </c>
      <c r="C239" s="71" t="s">
        <v>26</v>
      </c>
      <c r="D239" s="71" t="s">
        <v>717</v>
      </c>
      <c r="E239" s="16"/>
      <c r="F239" s="88" t="s">
        <v>718</v>
      </c>
      <c r="G239" s="73" t="s">
        <v>64</v>
      </c>
      <c r="H239" s="73" t="s">
        <v>719</v>
      </c>
      <c r="I239" s="19" t="s">
        <v>717</v>
      </c>
      <c r="J239" s="15" t="s">
        <v>24</v>
      </c>
      <c r="K239" s="20"/>
      <c r="L239" s="16"/>
      <c r="M239" s="20" t="str">
        <f t="shared" si="3"/>
        <v>Conforme au standard</v>
      </c>
      <c r="N239" s="92" t="s">
        <v>9</v>
      </c>
      <c r="O239" s="22" t="s">
        <v>9</v>
      </c>
      <c r="P239" s="16"/>
      <c r="Q239" s="20"/>
      <c r="R239" s="20"/>
      <c r="S239" s="23" t="s">
        <v>24</v>
      </c>
    </row>
    <row r="240" spans="1:19" ht="39" customHeight="1" outlineLevel="1" x14ac:dyDescent="0.25">
      <c r="A240" s="108" t="s">
        <v>720</v>
      </c>
      <c r="B240" s="14">
        <v>240</v>
      </c>
      <c r="C240" s="98" t="s">
        <v>30</v>
      </c>
      <c r="D240" s="38" t="s">
        <v>24</v>
      </c>
      <c r="E240" s="16"/>
      <c r="F240" s="34" t="s">
        <v>721</v>
      </c>
      <c r="G240" s="115"/>
      <c r="H240" s="34"/>
      <c r="I240" s="37" t="s">
        <v>24</v>
      </c>
      <c r="J240" s="34" t="s">
        <v>24</v>
      </c>
      <c r="K240" s="39"/>
      <c r="L240" s="16"/>
      <c r="M240" s="40" t="str">
        <f t="shared" si="3"/>
        <v/>
      </c>
      <c r="N240" s="39" t="s">
        <v>9</v>
      </c>
      <c r="O240" s="39" t="s">
        <v>9</v>
      </c>
      <c r="P240" s="16"/>
      <c r="Q240" s="39"/>
      <c r="R240" s="39"/>
      <c r="S240" s="41" t="s">
        <v>24</v>
      </c>
    </row>
    <row r="241" spans="1:19" ht="39" customHeight="1" outlineLevel="2" x14ac:dyDescent="0.25">
      <c r="A241" s="70" t="s">
        <v>722</v>
      </c>
      <c r="B241" s="14">
        <v>241</v>
      </c>
      <c r="C241" s="71" t="s">
        <v>51</v>
      </c>
      <c r="D241" s="71" t="s">
        <v>723</v>
      </c>
      <c r="E241" s="16"/>
      <c r="F241" s="88" t="s">
        <v>724</v>
      </c>
      <c r="G241" s="88" t="s">
        <v>64</v>
      </c>
      <c r="H241" s="97" t="s">
        <v>725</v>
      </c>
      <c r="I241" s="19" t="s">
        <v>723</v>
      </c>
      <c r="J241" s="15" t="s">
        <v>22</v>
      </c>
      <c r="K241" s="20"/>
      <c r="L241" s="16"/>
      <c r="M241" s="20" t="str">
        <f t="shared" si="3"/>
        <v>Conforme au standard</v>
      </c>
      <c r="N241" s="92" t="s">
        <v>9</v>
      </c>
      <c r="O241" s="22" t="s">
        <v>9</v>
      </c>
      <c r="P241" s="16"/>
      <c r="Q241" s="20"/>
      <c r="R241" s="20"/>
      <c r="S241" s="23" t="s">
        <v>24</v>
      </c>
    </row>
    <row r="242" spans="1:19" ht="39" customHeight="1" outlineLevel="2" x14ac:dyDescent="0.25">
      <c r="A242" s="13" t="s">
        <v>726</v>
      </c>
      <c r="B242" s="14">
        <v>242</v>
      </c>
      <c r="C242" s="74" t="s">
        <v>35</v>
      </c>
      <c r="D242" s="74" t="s">
        <v>24</v>
      </c>
      <c r="E242" s="16"/>
      <c r="F242" s="102" t="s">
        <v>727</v>
      </c>
      <c r="G242" s="76" t="s">
        <v>37</v>
      </c>
      <c r="H242" s="76" t="s">
        <v>38</v>
      </c>
      <c r="I242" s="87" t="s">
        <v>75</v>
      </c>
      <c r="J242" s="74" t="s">
        <v>24</v>
      </c>
      <c r="K242" s="78" t="s">
        <v>23</v>
      </c>
      <c r="L242" s="16"/>
      <c r="M242" s="78" t="str">
        <f t="shared" si="3"/>
        <v>Spécifique Offre</v>
      </c>
      <c r="N242" s="79" t="s">
        <v>9</v>
      </c>
      <c r="O242" s="79" t="s">
        <v>9</v>
      </c>
      <c r="P242" s="16"/>
      <c r="Q242" s="78"/>
      <c r="R242" s="78"/>
      <c r="S242" s="81" t="s">
        <v>24</v>
      </c>
    </row>
    <row r="243" spans="1:19" ht="39" customHeight="1" outlineLevel="2" x14ac:dyDescent="0.25">
      <c r="A243" s="13" t="s">
        <v>728</v>
      </c>
      <c r="B243" s="14">
        <v>243</v>
      </c>
      <c r="C243" s="71" t="s">
        <v>19</v>
      </c>
      <c r="D243" s="71" t="s">
        <v>729</v>
      </c>
      <c r="E243" s="16"/>
      <c r="F243" s="88" t="s">
        <v>730</v>
      </c>
      <c r="G243" s="137" t="s">
        <v>64</v>
      </c>
      <c r="H243" s="97" t="s">
        <v>731</v>
      </c>
      <c r="I243" s="19" t="s">
        <v>729</v>
      </c>
      <c r="J243" s="15" t="s">
        <v>22</v>
      </c>
      <c r="K243" s="20"/>
      <c r="L243" s="16"/>
      <c r="M243" s="20" t="str">
        <f t="shared" si="3"/>
        <v>Conforme au standard</v>
      </c>
      <c r="N243" s="92" t="s">
        <v>9</v>
      </c>
      <c r="O243" s="22" t="s">
        <v>9</v>
      </c>
      <c r="P243" s="16"/>
      <c r="Q243" s="20"/>
      <c r="R243" s="20"/>
      <c r="S243" s="23" t="s">
        <v>24</v>
      </c>
    </row>
    <row r="244" spans="1:19" ht="39" customHeight="1" outlineLevel="2" x14ac:dyDescent="0.25">
      <c r="A244" s="13" t="s">
        <v>732</v>
      </c>
      <c r="B244" s="14">
        <v>244</v>
      </c>
      <c r="C244" s="74" t="s">
        <v>19</v>
      </c>
      <c r="D244" s="74" t="s">
        <v>733</v>
      </c>
      <c r="E244" s="16"/>
      <c r="F244" s="102" t="s">
        <v>734</v>
      </c>
      <c r="G244" s="76" t="s">
        <v>37</v>
      </c>
      <c r="H244" s="76" t="s">
        <v>38</v>
      </c>
      <c r="I244" s="87" t="s">
        <v>733</v>
      </c>
      <c r="J244" s="74" t="s">
        <v>24</v>
      </c>
      <c r="K244" s="78"/>
      <c r="L244" s="16"/>
      <c r="M244" s="78" t="str">
        <f t="shared" si="3"/>
        <v>Conforme au standard</v>
      </c>
      <c r="N244" s="79" t="s">
        <v>9</v>
      </c>
      <c r="O244" s="79" t="s">
        <v>9</v>
      </c>
      <c r="P244" s="80"/>
      <c r="Q244" s="78"/>
      <c r="R244" s="78"/>
      <c r="S244" s="81" t="s">
        <v>24</v>
      </c>
    </row>
    <row r="245" spans="1:19" ht="39" customHeight="1" outlineLevel="2" x14ac:dyDescent="0.25">
      <c r="A245" s="13" t="s">
        <v>735</v>
      </c>
      <c r="B245" s="14">
        <v>245</v>
      </c>
      <c r="C245" s="74" t="s">
        <v>26</v>
      </c>
      <c r="D245" s="74">
        <v>0.7</v>
      </c>
      <c r="E245" s="16"/>
      <c r="F245" s="102" t="s">
        <v>736</v>
      </c>
      <c r="G245" s="76" t="s">
        <v>290</v>
      </c>
      <c r="H245" s="76" t="s">
        <v>38</v>
      </c>
      <c r="I245" s="177">
        <v>0.7</v>
      </c>
      <c r="J245" s="74" t="s">
        <v>24</v>
      </c>
      <c r="K245" s="78"/>
      <c r="L245" s="16"/>
      <c r="M245" s="78" t="str">
        <f t="shared" si="3"/>
        <v>Conforme au standard</v>
      </c>
      <c r="N245" s="79" t="s">
        <v>9</v>
      </c>
      <c r="O245" s="79" t="s">
        <v>9</v>
      </c>
      <c r="P245" s="80"/>
      <c r="Q245" s="78"/>
      <c r="R245" s="78"/>
      <c r="S245" s="81" t="s">
        <v>24</v>
      </c>
    </row>
    <row r="246" spans="1:19" ht="39" customHeight="1" outlineLevel="2" x14ac:dyDescent="0.25">
      <c r="A246" s="13" t="s">
        <v>737</v>
      </c>
      <c r="B246" s="14">
        <v>246</v>
      </c>
      <c r="C246" s="71" t="s">
        <v>19</v>
      </c>
      <c r="D246" s="71" t="s">
        <v>738</v>
      </c>
      <c r="E246" s="16"/>
      <c r="F246" s="88" t="s">
        <v>739</v>
      </c>
      <c r="G246" s="88" t="s">
        <v>64</v>
      </c>
      <c r="H246" s="97" t="s">
        <v>740</v>
      </c>
      <c r="I246" s="19" t="s">
        <v>738</v>
      </c>
      <c r="J246" s="15" t="s">
        <v>22</v>
      </c>
      <c r="K246" s="20"/>
      <c r="L246" s="16"/>
      <c r="M246" s="20" t="str">
        <f t="shared" si="3"/>
        <v>Conforme au standard</v>
      </c>
      <c r="N246" s="92" t="s">
        <v>9</v>
      </c>
      <c r="O246" s="22" t="s">
        <v>9</v>
      </c>
      <c r="P246" s="16"/>
      <c r="Q246" s="20"/>
      <c r="R246" s="20"/>
      <c r="S246" s="23" t="s">
        <v>24</v>
      </c>
    </row>
    <row r="247" spans="1:19" ht="39" customHeight="1" outlineLevel="2" x14ac:dyDescent="0.25">
      <c r="A247" s="13" t="s">
        <v>741</v>
      </c>
      <c r="B247" s="14">
        <v>247</v>
      </c>
      <c r="C247" s="74" t="s">
        <v>19</v>
      </c>
      <c r="D247" s="74" t="s">
        <v>46</v>
      </c>
      <c r="E247" s="16"/>
      <c r="F247" s="102" t="s">
        <v>742</v>
      </c>
      <c r="G247" s="102" t="s">
        <v>54</v>
      </c>
      <c r="H247" s="76" t="s">
        <v>743</v>
      </c>
      <c r="I247" s="87" t="s">
        <v>46</v>
      </c>
      <c r="J247" s="74" t="s">
        <v>22</v>
      </c>
      <c r="K247" s="78" t="s">
        <v>23</v>
      </c>
      <c r="L247" s="16"/>
      <c r="M247" s="78" t="str">
        <f t="shared" si="3"/>
        <v>Non concerné</v>
      </c>
      <c r="N247" s="79" t="s">
        <v>9</v>
      </c>
      <c r="O247" s="79" t="s">
        <v>9</v>
      </c>
      <c r="P247" s="80"/>
      <c r="Q247" s="78"/>
      <c r="R247" s="78"/>
      <c r="S247" s="81" t="s">
        <v>24</v>
      </c>
    </row>
    <row r="248" spans="1:19" ht="39" customHeight="1" outlineLevel="2" x14ac:dyDescent="0.25">
      <c r="A248" s="13" t="s">
        <v>744</v>
      </c>
      <c r="B248" s="14">
        <v>248</v>
      </c>
      <c r="C248" s="74" t="s">
        <v>19</v>
      </c>
      <c r="D248" s="74" t="s">
        <v>46</v>
      </c>
      <c r="E248" s="16"/>
      <c r="F248" s="102" t="s">
        <v>745</v>
      </c>
      <c r="G248" s="76" t="s">
        <v>37</v>
      </c>
      <c r="H248" s="76" t="s">
        <v>38</v>
      </c>
      <c r="I248" s="87" t="s">
        <v>46</v>
      </c>
      <c r="J248" s="74" t="s">
        <v>24</v>
      </c>
      <c r="K248" s="78" t="s">
        <v>23</v>
      </c>
      <c r="L248" s="16"/>
      <c r="M248" s="78" t="str">
        <f t="shared" si="3"/>
        <v>Non concerné</v>
      </c>
      <c r="N248" s="79" t="s">
        <v>9</v>
      </c>
      <c r="O248" s="79" t="s">
        <v>9</v>
      </c>
      <c r="P248" s="80"/>
      <c r="Q248" s="78"/>
      <c r="R248" s="78"/>
      <c r="S248" s="81" t="s">
        <v>24</v>
      </c>
    </row>
    <row r="249" spans="1:19" ht="39" customHeight="1" outlineLevel="2" x14ac:dyDescent="0.25">
      <c r="A249" s="13" t="s">
        <v>746</v>
      </c>
      <c r="B249" s="14">
        <v>249</v>
      </c>
      <c r="C249" s="71" t="s">
        <v>19</v>
      </c>
      <c r="D249" s="71" t="s">
        <v>747</v>
      </c>
      <c r="E249" s="16"/>
      <c r="F249" s="88" t="s">
        <v>748</v>
      </c>
      <c r="G249" s="88" t="s">
        <v>64</v>
      </c>
      <c r="H249" s="97" t="s">
        <v>749</v>
      </c>
      <c r="I249" s="19" t="s">
        <v>747</v>
      </c>
      <c r="J249" s="15" t="s">
        <v>22</v>
      </c>
      <c r="K249" s="20"/>
      <c r="L249" s="16"/>
      <c r="M249" s="20" t="str">
        <f t="shared" si="3"/>
        <v>Conforme au standard</v>
      </c>
      <c r="N249" s="92" t="s">
        <v>9</v>
      </c>
      <c r="O249" s="22" t="s">
        <v>9</v>
      </c>
      <c r="P249" s="16"/>
      <c r="Q249" s="20"/>
      <c r="R249" s="20"/>
      <c r="S249" s="23" t="s">
        <v>24</v>
      </c>
    </row>
    <row r="250" spans="1:19" ht="39" customHeight="1" outlineLevel="2" x14ac:dyDescent="0.25">
      <c r="A250" s="13" t="s">
        <v>750</v>
      </c>
      <c r="B250" s="14">
        <v>250</v>
      </c>
      <c r="C250" s="74" t="s">
        <v>51</v>
      </c>
      <c r="D250" s="74" t="s">
        <v>751</v>
      </c>
      <c r="E250" s="16"/>
      <c r="F250" s="102" t="s">
        <v>752</v>
      </c>
      <c r="G250" s="102" t="s">
        <v>64</v>
      </c>
      <c r="H250" s="76" t="s">
        <v>753</v>
      </c>
      <c r="I250" s="87" t="s">
        <v>751</v>
      </c>
      <c r="J250" s="74" t="s">
        <v>22</v>
      </c>
      <c r="K250" s="78"/>
      <c r="L250" s="16"/>
      <c r="M250" s="78" t="str">
        <f t="shared" si="3"/>
        <v>Conforme au standard</v>
      </c>
      <c r="N250" s="79" t="s">
        <v>9</v>
      </c>
      <c r="O250" s="79" t="s">
        <v>9</v>
      </c>
      <c r="P250" s="80"/>
      <c r="Q250" s="78"/>
      <c r="R250" s="78"/>
      <c r="S250" s="81" t="s">
        <v>24</v>
      </c>
    </row>
    <row r="251" spans="1:19" ht="39" customHeight="1" outlineLevel="2" x14ac:dyDescent="0.25">
      <c r="A251" s="13" t="s">
        <v>754</v>
      </c>
      <c r="B251" s="14">
        <v>251</v>
      </c>
      <c r="C251" s="74" t="s">
        <v>35</v>
      </c>
      <c r="D251" s="74" t="s">
        <v>24</v>
      </c>
      <c r="E251" s="16"/>
      <c r="F251" s="102" t="s">
        <v>755</v>
      </c>
      <c r="G251" s="135" t="s">
        <v>37</v>
      </c>
      <c r="H251" s="76" t="s">
        <v>38</v>
      </c>
      <c r="I251" s="177" t="s">
        <v>75</v>
      </c>
      <c r="J251" s="74" t="s">
        <v>24</v>
      </c>
      <c r="K251" s="78" t="s">
        <v>23</v>
      </c>
      <c r="L251" s="16"/>
      <c r="M251" s="78" t="str">
        <f t="shared" si="3"/>
        <v>Spécifique Offre</v>
      </c>
      <c r="N251" s="79" t="s">
        <v>9</v>
      </c>
      <c r="O251" s="79" t="s">
        <v>9</v>
      </c>
      <c r="P251" s="80"/>
      <c r="Q251" s="78"/>
      <c r="R251" s="78"/>
      <c r="S251" s="81" t="s">
        <v>24</v>
      </c>
    </row>
    <row r="252" spans="1:19" ht="39" customHeight="1" outlineLevel="2" x14ac:dyDescent="0.25">
      <c r="A252" s="13" t="s">
        <v>756</v>
      </c>
      <c r="B252" s="14">
        <v>252</v>
      </c>
      <c r="C252" s="71" t="s">
        <v>19</v>
      </c>
      <c r="D252" s="71" t="s">
        <v>46</v>
      </c>
      <c r="E252" s="16"/>
      <c r="F252" s="88" t="s">
        <v>757</v>
      </c>
      <c r="G252" s="73" t="s">
        <v>64</v>
      </c>
      <c r="H252" s="97" t="s">
        <v>758</v>
      </c>
      <c r="I252" s="19" t="s">
        <v>46</v>
      </c>
      <c r="J252" s="15" t="s">
        <v>22</v>
      </c>
      <c r="K252" s="20" t="s">
        <v>23</v>
      </c>
      <c r="L252" s="16"/>
      <c r="M252" s="20" t="str">
        <f t="shared" si="3"/>
        <v>Non concerné</v>
      </c>
      <c r="N252" s="92" t="s">
        <v>9</v>
      </c>
      <c r="O252" s="22" t="s">
        <v>9</v>
      </c>
      <c r="P252" s="16"/>
      <c r="Q252" s="20"/>
      <c r="R252" s="20"/>
      <c r="S252" s="23" t="s">
        <v>24</v>
      </c>
    </row>
    <row r="253" spans="1:19" ht="39" customHeight="1" outlineLevel="2" x14ac:dyDescent="0.25">
      <c r="A253" s="13" t="s">
        <v>759</v>
      </c>
      <c r="B253" s="14">
        <v>253</v>
      </c>
      <c r="C253" s="74" t="s">
        <v>19</v>
      </c>
      <c r="D253" s="74" t="s">
        <v>46</v>
      </c>
      <c r="E253" s="16"/>
      <c r="F253" s="102" t="s">
        <v>760</v>
      </c>
      <c r="G253" s="102" t="s">
        <v>64</v>
      </c>
      <c r="H253" s="76" t="s">
        <v>761</v>
      </c>
      <c r="I253" s="87" t="s">
        <v>46</v>
      </c>
      <c r="J253" s="74" t="s">
        <v>24</v>
      </c>
      <c r="K253" s="78" t="s">
        <v>23</v>
      </c>
      <c r="L253" s="16"/>
      <c r="M253" s="78" t="str">
        <f t="shared" si="3"/>
        <v>Non concerné</v>
      </c>
      <c r="N253" s="79" t="s">
        <v>9</v>
      </c>
      <c r="O253" s="79" t="s">
        <v>9</v>
      </c>
      <c r="P253" s="80"/>
      <c r="Q253" s="78"/>
      <c r="R253" s="78"/>
      <c r="S253" s="81" t="s">
        <v>24</v>
      </c>
    </row>
    <row r="254" spans="1:19" ht="39" customHeight="1" x14ac:dyDescent="0.25">
      <c r="A254" s="24" t="s">
        <v>762</v>
      </c>
      <c r="B254" s="14">
        <v>254</v>
      </c>
      <c r="C254" s="110" t="s">
        <v>30</v>
      </c>
      <c r="D254" s="27" t="s">
        <v>24</v>
      </c>
      <c r="E254" s="16"/>
      <c r="F254" s="18" t="s">
        <v>763</v>
      </c>
      <c r="G254" s="174"/>
      <c r="H254" s="111"/>
      <c r="I254" s="112" t="s">
        <v>24</v>
      </c>
      <c r="J254" s="111" t="s">
        <v>24</v>
      </c>
      <c r="K254" s="113"/>
      <c r="L254" s="16"/>
      <c r="M254" s="113" t="str">
        <f t="shared" si="3"/>
        <v/>
      </c>
      <c r="N254" s="113" t="s">
        <v>9</v>
      </c>
      <c r="O254" s="113" t="s">
        <v>9</v>
      </c>
      <c r="P254" s="16"/>
      <c r="Q254" s="113"/>
      <c r="R254" s="113"/>
      <c r="S254" s="114" t="s">
        <v>24</v>
      </c>
    </row>
    <row r="255" spans="1:19" ht="39" customHeight="1" outlineLevel="1" x14ac:dyDescent="0.25">
      <c r="A255" s="108" t="s">
        <v>764</v>
      </c>
      <c r="B255" s="14">
        <v>255</v>
      </c>
      <c r="C255" s="98" t="s">
        <v>30</v>
      </c>
      <c r="D255" s="38" t="s">
        <v>24</v>
      </c>
      <c r="E255" s="16"/>
      <c r="F255" s="34" t="s">
        <v>765</v>
      </c>
      <c r="G255" s="155"/>
      <c r="H255" s="34"/>
      <c r="I255" s="37" t="s">
        <v>24</v>
      </c>
      <c r="J255" s="34" t="s">
        <v>24</v>
      </c>
      <c r="K255" s="39"/>
      <c r="L255" s="16"/>
      <c r="M255" s="40" t="str">
        <f t="shared" si="3"/>
        <v/>
      </c>
      <c r="N255" s="39" t="s">
        <v>9</v>
      </c>
      <c r="O255" s="39" t="s">
        <v>9</v>
      </c>
      <c r="P255" s="16"/>
      <c r="Q255" s="39"/>
      <c r="R255" s="39"/>
      <c r="S255" s="41" t="s">
        <v>24</v>
      </c>
    </row>
    <row r="256" spans="1:19" ht="39" customHeight="1" outlineLevel="2" x14ac:dyDescent="0.25">
      <c r="A256" s="13" t="s">
        <v>766</v>
      </c>
      <c r="B256" s="14">
        <v>256</v>
      </c>
      <c r="C256" s="71" t="s">
        <v>51</v>
      </c>
      <c r="D256" s="71" t="s">
        <v>767</v>
      </c>
      <c r="E256" s="16"/>
      <c r="F256" s="88" t="s">
        <v>768</v>
      </c>
      <c r="G256" s="73" t="s">
        <v>64</v>
      </c>
      <c r="H256" s="72" t="s">
        <v>769</v>
      </c>
      <c r="I256" s="19" t="s">
        <v>767</v>
      </c>
      <c r="J256" s="15" t="s">
        <v>24</v>
      </c>
      <c r="K256" s="20"/>
      <c r="L256" s="16"/>
      <c r="M256" s="20" t="str">
        <f t="shared" si="3"/>
        <v>Conforme au standard</v>
      </c>
      <c r="N256" s="92" t="s">
        <v>9</v>
      </c>
      <c r="O256" s="22" t="s">
        <v>9</v>
      </c>
      <c r="P256" s="16"/>
      <c r="Q256" s="20"/>
      <c r="R256" s="20"/>
      <c r="S256" s="23" t="s">
        <v>24</v>
      </c>
    </row>
    <row r="257" spans="1:19" ht="39" customHeight="1" outlineLevel="2" x14ac:dyDescent="0.25">
      <c r="A257" s="13" t="s">
        <v>770</v>
      </c>
      <c r="B257" s="14">
        <v>257</v>
      </c>
      <c r="C257" s="71" t="s">
        <v>51</v>
      </c>
      <c r="D257" s="71" t="s">
        <v>771</v>
      </c>
      <c r="E257" s="16"/>
      <c r="F257" s="88" t="s">
        <v>772</v>
      </c>
      <c r="G257" s="84" t="s">
        <v>54</v>
      </c>
      <c r="H257" s="72" t="s">
        <v>773</v>
      </c>
      <c r="I257" s="19" t="s">
        <v>771</v>
      </c>
      <c r="J257" s="15" t="s">
        <v>24</v>
      </c>
      <c r="K257" s="20"/>
      <c r="L257" s="16"/>
      <c r="M257" s="20" t="str">
        <f t="shared" ref="M257:M320" si="4">IF(OR(A257="",LEFT(A257,3)="ElT"),"",IF(AND(OR(C257="Titre",LEFT(I257,11)="Non concern",NOT(ISERROR(SEARCH("annex",G257,1)))),C257&lt;&gt;"Sp"),IF(D257="","Non concerné",IF(LEFT(D257,11)="non concern","Non concerné","Non conforme au standard")),IF(AND(C257="Sp",I257&lt;&gt;""),"Spécifique Offre",IF(AND(OR(C257="",D257=""),C257&lt;&gt;"Sp"),MessageStandardIncomplet,IF(I257="",ReponseNonSaisie,IF(S257="=",IF(I257=D257,"Conforme au standard",IF(I257=StandardNonApplicable,"Non concerné","Non conforme au standard")),IF(NOT(ISERROR(SEARCH(D257,I257,1))),"Conforme au standard",IF(I257=StandardNonApplicable,"Non concerné","Non conforme au standard"))))))))</f>
        <v>Conforme au standard</v>
      </c>
      <c r="N257" s="92" t="s">
        <v>9</v>
      </c>
      <c r="O257" s="22" t="s">
        <v>9</v>
      </c>
      <c r="P257" s="16"/>
      <c r="Q257" s="20"/>
      <c r="R257" s="20"/>
      <c r="S257" s="23" t="s">
        <v>24</v>
      </c>
    </row>
    <row r="258" spans="1:19" ht="39" customHeight="1" outlineLevel="2" x14ac:dyDescent="0.25">
      <c r="A258" s="13" t="s">
        <v>774</v>
      </c>
      <c r="B258" s="14">
        <v>258</v>
      </c>
      <c r="C258" s="71" t="s">
        <v>19</v>
      </c>
      <c r="D258" s="71" t="s">
        <v>775</v>
      </c>
      <c r="E258" s="16"/>
      <c r="F258" s="88" t="s">
        <v>776</v>
      </c>
      <c r="G258" s="141" t="s">
        <v>48</v>
      </c>
      <c r="H258" s="97" t="s">
        <v>777</v>
      </c>
      <c r="I258" s="91" t="s">
        <v>775</v>
      </c>
      <c r="J258" s="15" t="s">
        <v>22</v>
      </c>
      <c r="K258" s="20"/>
      <c r="L258" s="16"/>
      <c r="M258" s="20" t="str">
        <f t="shared" si="4"/>
        <v>Conforme au standard</v>
      </c>
      <c r="N258" s="92" t="s">
        <v>9</v>
      </c>
      <c r="O258" s="22" t="s">
        <v>9</v>
      </c>
      <c r="P258" s="16"/>
      <c r="Q258" s="20"/>
      <c r="R258" s="20"/>
      <c r="S258" s="23" t="s">
        <v>44</v>
      </c>
    </row>
    <row r="259" spans="1:19" ht="39" customHeight="1" outlineLevel="2" x14ac:dyDescent="0.25">
      <c r="A259" s="13" t="s">
        <v>778</v>
      </c>
      <c r="B259" s="14">
        <v>259</v>
      </c>
      <c r="C259" s="74" t="s">
        <v>19</v>
      </c>
      <c r="D259" s="74" t="s">
        <v>779</v>
      </c>
      <c r="E259" s="16"/>
      <c r="F259" s="102" t="s">
        <v>780</v>
      </c>
      <c r="G259" s="102" t="s">
        <v>54</v>
      </c>
      <c r="H259" s="118" t="s">
        <v>781</v>
      </c>
      <c r="I259" s="87" t="s">
        <v>179</v>
      </c>
      <c r="J259" s="74" t="s">
        <v>22</v>
      </c>
      <c r="K259" s="78" t="s">
        <v>23</v>
      </c>
      <c r="L259" s="16"/>
      <c r="M259" s="78" t="str">
        <f t="shared" si="4"/>
        <v>Non concerné</v>
      </c>
      <c r="N259" s="79" t="s">
        <v>9</v>
      </c>
      <c r="O259" s="79" t="s">
        <v>9</v>
      </c>
      <c r="P259" s="80"/>
      <c r="Q259" s="78"/>
      <c r="R259" s="78"/>
      <c r="S259" s="81" t="s">
        <v>24</v>
      </c>
    </row>
    <row r="260" spans="1:19" ht="39" customHeight="1" outlineLevel="2" x14ac:dyDescent="0.25">
      <c r="A260" s="13" t="s">
        <v>782</v>
      </c>
      <c r="B260" s="14">
        <v>260</v>
      </c>
      <c r="C260" s="74" t="s">
        <v>35</v>
      </c>
      <c r="D260" s="74" t="s">
        <v>24</v>
      </c>
      <c r="E260" s="16"/>
      <c r="F260" s="102" t="s">
        <v>783</v>
      </c>
      <c r="G260" s="141" t="s">
        <v>48</v>
      </c>
      <c r="H260" s="74" t="s">
        <v>784</v>
      </c>
      <c r="I260" s="87" t="s">
        <v>75</v>
      </c>
      <c r="J260" s="74" t="s">
        <v>24</v>
      </c>
      <c r="K260" s="78" t="s">
        <v>23</v>
      </c>
      <c r="L260" s="16"/>
      <c r="M260" s="78" t="str">
        <f t="shared" si="4"/>
        <v>Spécifique Offre</v>
      </c>
      <c r="N260" s="79" t="s">
        <v>9</v>
      </c>
      <c r="O260" s="79" t="s">
        <v>9</v>
      </c>
      <c r="P260" s="80"/>
      <c r="Q260" s="78"/>
      <c r="R260" s="78"/>
      <c r="S260" s="81" t="s">
        <v>44</v>
      </c>
    </row>
    <row r="261" spans="1:19" ht="39" customHeight="1" outlineLevel="2" x14ac:dyDescent="0.25">
      <c r="A261" s="13" t="s">
        <v>785</v>
      </c>
      <c r="B261" s="14">
        <v>261</v>
      </c>
      <c r="C261" s="74" t="s">
        <v>35</v>
      </c>
      <c r="D261" s="74" t="s">
        <v>24</v>
      </c>
      <c r="E261" s="16"/>
      <c r="F261" s="102" t="s">
        <v>786</v>
      </c>
      <c r="G261" s="102" t="s">
        <v>37</v>
      </c>
      <c r="H261" s="118" t="s">
        <v>38</v>
      </c>
      <c r="I261" s="87" t="s">
        <v>75</v>
      </c>
      <c r="J261" s="74" t="s">
        <v>24</v>
      </c>
      <c r="K261" s="78" t="s">
        <v>23</v>
      </c>
      <c r="L261" s="16"/>
      <c r="M261" s="78" t="str">
        <f t="shared" si="4"/>
        <v>Spécifique Offre</v>
      </c>
      <c r="N261" s="79" t="s">
        <v>9</v>
      </c>
      <c r="O261" s="79" t="s">
        <v>9</v>
      </c>
      <c r="P261" s="80"/>
      <c r="Q261" s="78"/>
      <c r="R261" s="78"/>
      <c r="S261" s="81" t="s">
        <v>24</v>
      </c>
    </row>
    <row r="262" spans="1:19" ht="39" customHeight="1" outlineLevel="1" x14ac:dyDescent="0.25">
      <c r="A262" s="108" t="s">
        <v>787</v>
      </c>
      <c r="B262" s="14">
        <v>262</v>
      </c>
      <c r="C262" s="98" t="s">
        <v>30</v>
      </c>
      <c r="D262" s="38" t="s">
        <v>24</v>
      </c>
      <c r="E262" s="16"/>
      <c r="F262" s="34" t="s">
        <v>788</v>
      </c>
      <c r="G262" s="115"/>
      <c r="H262" s="35"/>
      <c r="I262" s="99" t="s">
        <v>24</v>
      </c>
      <c r="J262" s="35" t="s">
        <v>24</v>
      </c>
      <c r="K262" s="39"/>
      <c r="L262" s="16"/>
      <c r="M262" s="40" t="str">
        <f t="shared" si="4"/>
        <v/>
      </c>
      <c r="N262" s="39" t="s">
        <v>9</v>
      </c>
      <c r="O262" s="39" t="s">
        <v>9</v>
      </c>
      <c r="P262" s="16"/>
      <c r="Q262" s="39"/>
      <c r="R262" s="39"/>
      <c r="S262" s="41" t="s">
        <v>24</v>
      </c>
    </row>
    <row r="263" spans="1:19" ht="39" customHeight="1" outlineLevel="2" x14ac:dyDescent="0.25">
      <c r="A263" s="13" t="s">
        <v>789</v>
      </c>
      <c r="B263" s="14">
        <v>263</v>
      </c>
      <c r="C263" s="71" t="s">
        <v>26</v>
      </c>
      <c r="D263" s="71" t="s">
        <v>790</v>
      </c>
      <c r="E263" s="16"/>
      <c r="F263" s="88" t="s">
        <v>791</v>
      </c>
      <c r="G263" s="137" t="s">
        <v>64</v>
      </c>
      <c r="H263" s="97" t="s">
        <v>792</v>
      </c>
      <c r="I263" s="19" t="s">
        <v>790</v>
      </c>
      <c r="J263" s="15" t="s">
        <v>22</v>
      </c>
      <c r="K263" s="20"/>
      <c r="L263" s="16"/>
      <c r="M263" s="20" t="str">
        <f t="shared" si="4"/>
        <v>Conforme au standard</v>
      </c>
      <c r="N263" s="92" t="s">
        <v>9</v>
      </c>
      <c r="O263" s="22" t="s">
        <v>9</v>
      </c>
      <c r="P263" s="16"/>
      <c r="Q263" s="20"/>
      <c r="R263" s="20"/>
      <c r="S263" s="23" t="s">
        <v>24</v>
      </c>
    </row>
    <row r="264" spans="1:19" ht="39" customHeight="1" outlineLevel="2" x14ac:dyDescent="0.25">
      <c r="A264" s="13" t="s">
        <v>793</v>
      </c>
      <c r="B264" s="14">
        <v>264</v>
      </c>
      <c r="C264" s="74" t="s">
        <v>35</v>
      </c>
      <c r="D264" s="74" t="s">
        <v>24</v>
      </c>
      <c r="E264" s="16"/>
      <c r="F264" s="102" t="s">
        <v>794</v>
      </c>
      <c r="G264" s="76" t="s">
        <v>114</v>
      </c>
      <c r="H264" s="136" t="s">
        <v>115</v>
      </c>
      <c r="I264" s="119" t="s">
        <v>116</v>
      </c>
      <c r="J264" s="74" t="s">
        <v>24</v>
      </c>
      <c r="K264" s="78" t="s">
        <v>23</v>
      </c>
      <c r="L264" s="16"/>
      <c r="M264" s="78" t="str">
        <f t="shared" si="4"/>
        <v>Spécifique Offre</v>
      </c>
      <c r="N264" s="79" t="s">
        <v>117</v>
      </c>
      <c r="O264" s="79" t="s">
        <v>9</v>
      </c>
      <c r="P264" s="80"/>
      <c r="Q264" s="78"/>
      <c r="R264" s="78"/>
      <c r="S264" s="81" t="s">
        <v>24</v>
      </c>
    </row>
    <row r="265" spans="1:19" ht="39" customHeight="1" outlineLevel="2" x14ac:dyDescent="0.25">
      <c r="A265" s="13" t="s">
        <v>795</v>
      </c>
      <c r="B265" s="14">
        <v>265</v>
      </c>
      <c r="C265" s="71" t="s">
        <v>19</v>
      </c>
      <c r="D265" s="71" t="s">
        <v>796</v>
      </c>
      <c r="E265" s="16"/>
      <c r="F265" s="88" t="s">
        <v>797</v>
      </c>
      <c r="G265" s="88" t="s">
        <v>64</v>
      </c>
      <c r="H265" s="97" t="s">
        <v>798</v>
      </c>
      <c r="I265" s="19" t="s">
        <v>796</v>
      </c>
      <c r="J265" s="15" t="s">
        <v>22</v>
      </c>
      <c r="K265" s="20"/>
      <c r="L265" s="16"/>
      <c r="M265" s="20" t="str">
        <f t="shared" si="4"/>
        <v>Conforme au standard</v>
      </c>
      <c r="N265" s="92" t="s">
        <v>9</v>
      </c>
      <c r="O265" s="22" t="s">
        <v>9</v>
      </c>
      <c r="P265" s="16"/>
      <c r="Q265" s="20"/>
      <c r="R265" s="20"/>
      <c r="S265" s="23" t="s">
        <v>24</v>
      </c>
    </row>
    <row r="266" spans="1:19" ht="39" customHeight="1" outlineLevel="2" x14ac:dyDescent="0.25">
      <c r="A266" s="13" t="s">
        <v>799</v>
      </c>
      <c r="B266" s="14">
        <v>266</v>
      </c>
      <c r="C266" s="74" t="s">
        <v>19</v>
      </c>
      <c r="D266" s="74" t="s">
        <v>800</v>
      </c>
      <c r="E266" s="85"/>
      <c r="F266" s="102" t="s">
        <v>801</v>
      </c>
      <c r="G266" s="102" t="s">
        <v>64</v>
      </c>
      <c r="H266" s="76" t="s">
        <v>802</v>
      </c>
      <c r="I266" s="87" t="s">
        <v>800</v>
      </c>
      <c r="J266" s="74" t="s">
        <v>22</v>
      </c>
      <c r="K266" s="78"/>
      <c r="L266" s="16"/>
      <c r="M266" s="78" t="str">
        <f t="shared" si="4"/>
        <v>Conforme au standard</v>
      </c>
      <c r="N266" s="79" t="s">
        <v>9</v>
      </c>
      <c r="O266" s="79" t="s">
        <v>9</v>
      </c>
      <c r="P266" s="80"/>
      <c r="Q266" s="78"/>
      <c r="R266" s="78"/>
      <c r="S266" s="81" t="s">
        <v>24</v>
      </c>
    </row>
    <row r="267" spans="1:19" ht="39" customHeight="1" outlineLevel="2" x14ac:dyDescent="0.25">
      <c r="A267" s="13" t="s">
        <v>803</v>
      </c>
      <c r="B267" s="14">
        <v>267</v>
      </c>
      <c r="C267" s="74" t="s">
        <v>35</v>
      </c>
      <c r="D267" s="74" t="s">
        <v>24</v>
      </c>
      <c r="E267" s="85"/>
      <c r="F267" s="102" t="s">
        <v>804</v>
      </c>
      <c r="G267" s="76" t="s">
        <v>37</v>
      </c>
      <c r="H267" s="76" t="s">
        <v>38</v>
      </c>
      <c r="I267" s="87" t="s">
        <v>75</v>
      </c>
      <c r="J267" s="74" t="s">
        <v>24</v>
      </c>
      <c r="K267" s="78" t="s">
        <v>23</v>
      </c>
      <c r="L267" s="16"/>
      <c r="M267" s="78" t="str">
        <f t="shared" si="4"/>
        <v>Spécifique Offre</v>
      </c>
      <c r="N267" s="79" t="s">
        <v>9</v>
      </c>
      <c r="O267" s="79" t="s">
        <v>9</v>
      </c>
      <c r="P267" s="80"/>
      <c r="Q267" s="78"/>
      <c r="R267" s="78"/>
      <c r="S267" s="81" t="s">
        <v>24</v>
      </c>
    </row>
    <row r="268" spans="1:19" ht="39" customHeight="1" outlineLevel="2" x14ac:dyDescent="0.25">
      <c r="A268" s="13" t="s">
        <v>805</v>
      </c>
      <c r="B268" s="14">
        <v>268</v>
      </c>
      <c r="C268" s="71" t="s">
        <v>19</v>
      </c>
      <c r="D268" s="71" t="s">
        <v>806</v>
      </c>
      <c r="E268" s="16"/>
      <c r="F268" s="88" t="s">
        <v>807</v>
      </c>
      <c r="G268" s="73" t="s">
        <v>64</v>
      </c>
      <c r="H268" s="97" t="s">
        <v>808</v>
      </c>
      <c r="I268" s="19" t="s">
        <v>806</v>
      </c>
      <c r="J268" s="15" t="s">
        <v>22</v>
      </c>
      <c r="K268" s="20"/>
      <c r="L268" s="16"/>
      <c r="M268" s="20" t="str">
        <f t="shared" si="4"/>
        <v>Conforme au standard</v>
      </c>
      <c r="N268" s="92" t="s">
        <v>9</v>
      </c>
      <c r="O268" s="22" t="s">
        <v>9</v>
      </c>
      <c r="P268" s="16"/>
      <c r="Q268" s="20"/>
      <c r="R268" s="20"/>
      <c r="S268" s="23" t="s">
        <v>24</v>
      </c>
    </row>
    <row r="269" spans="1:19" ht="39" customHeight="1" outlineLevel="2" x14ac:dyDescent="0.25">
      <c r="A269" s="13" t="s">
        <v>809</v>
      </c>
      <c r="B269" s="14">
        <v>269</v>
      </c>
      <c r="C269" s="74" t="s">
        <v>35</v>
      </c>
      <c r="D269" s="74" t="s">
        <v>24</v>
      </c>
      <c r="E269" s="16"/>
      <c r="F269" s="102" t="s">
        <v>810</v>
      </c>
      <c r="G269" s="76" t="s">
        <v>37</v>
      </c>
      <c r="H269" s="178" t="s">
        <v>811</v>
      </c>
      <c r="I269" s="87" t="s">
        <v>75</v>
      </c>
      <c r="J269" s="74" t="s">
        <v>24</v>
      </c>
      <c r="K269" s="78" t="s">
        <v>23</v>
      </c>
      <c r="L269" s="16"/>
      <c r="M269" s="78" t="str">
        <f t="shared" si="4"/>
        <v>Spécifique Offre</v>
      </c>
      <c r="N269" s="79" t="s">
        <v>9</v>
      </c>
      <c r="O269" s="79" t="s">
        <v>9</v>
      </c>
      <c r="P269" s="80"/>
      <c r="Q269" s="78"/>
      <c r="R269" s="78"/>
      <c r="S269" s="81" t="s">
        <v>24</v>
      </c>
    </row>
    <row r="270" spans="1:19" ht="39" customHeight="1" outlineLevel="2" x14ac:dyDescent="0.25">
      <c r="A270" s="13" t="s">
        <v>812</v>
      </c>
      <c r="B270" s="14">
        <v>270</v>
      </c>
      <c r="C270" s="15" t="s">
        <v>35</v>
      </c>
      <c r="D270" s="179" t="s">
        <v>24</v>
      </c>
      <c r="E270" s="16"/>
      <c r="F270" s="96" t="s">
        <v>813</v>
      </c>
      <c r="G270" s="97" t="s">
        <v>114</v>
      </c>
      <c r="H270" s="180" t="s">
        <v>814</v>
      </c>
      <c r="I270" s="107" t="s">
        <v>116</v>
      </c>
      <c r="J270" s="15" t="s">
        <v>24</v>
      </c>
      <c r="K270" s="20"/>
      <c r="L270" s="16"/>
      <c r="M270" s="20" t="str">
        <f t="shared" si="4"/>
        <v>Spécifique Offre</v>
      </c>
      <c r="N270" s="21" t="s">
        <v>117</v>
      </c>
      <c r="O270" s="22" t="s">
        <v>9</v>
      </c>
      <c r="P270" s="16"/>
      <c r="Q270" s="20"/>
      <c r="R270" s="20"/>
      <c r="S270" s="23" t="s">
        <v>24</v>
      </c>
    </row>
    <row r="271" spans="1:19" ht="39" customHeight="1" outlineLevel="2" x14ac:dyDescent="0.25">
      <c r="A271" s="13" t="s">
        <v>815</v>
      </c>
      <c r="B271" s="14">
        <v>271</v>
      </c>
      <c r="C271" s="15" t="s">
        <v>51</v>
      </c>
      <c r="D271" s="179" t="s">
        <v>816</v>
      </c>
      <c r="E271" s="16"/>
      <c r="F271" s="96" t="s">
        <v>817</v>
      </c>
      <c r="G271" s="73" t="s">
        <v>64</v>
      </c>
      <c r="H271" s="97" t="s">
        <v>818</v>
      </c>
      <c r="I271" s="19" t="s">
        <v>816</v>
      </c>
      <c r="J271" s="15" t="s">
        <v>22</v>
      </c>
      <c r="K271" s="20"/>
      <c r="L271" s="16"/>
      <c r="M271" s="20" t="str">
        <f t="shared" si="4"/>
        <v>Conforme au standard</v>
      </c>
      <c r="N271" s="21" t="s">
        <v>9</v>
      </c>
      <c r="O271" s="22" t="s">
        <v>9</v>
      </c>
      <c r="P271" s="16"/>
      <c r="Q271" s="20"/>
      <c r="R271" s="20"/>
      <c r="S271" s="23" t="s">
        <v>24</v>
      </c>
    </row>
    <row r="272" spans="1:19" ht="39" customHeight="1" outlineLevel="2" x14ac:dyDescent="0.25">
      <c r="A272" s="13" t="s">
        <v>819</v>
      </c>
      <c r="B272" s="14">
        <v>272</v>
      </c>
      <c r="C272" s="74" t="s">
        <v>35</v>
      </c>
      <c r="D272" s="74" t="s">
        <v>24</v>
      </c>
      <c r="E272" s="85"/>
      <c r="F272" s="102" t="s">
        <v>820</v>
      </c>
      <c r="G272" s="102" t="s">
        <v>37</v>
      </c>
      <c r="H272" s="118" t="s">
        <v>38</v>
      </c>
      <c r="I272" s="87" t="s">
        <v>75</v>
      </c>
      <c r="J272" s="74"/>
      <c r="K272" s="78" t="s">
        <v>23</v>
      </c>
      <c r="L272" s="16"/>
      <c r="M272" s="78" t="str">
        <f t="shared" si="4"/>
        <v>Spécifique Offre</v>
      </c>
      <c r="N272" s="79" t="s">
        <v>9</v>
      </c>
      <c r="O272" s="79" t="s">
        <v>9</v>
      </c>
      <c r="P272" s="16"/>
      <c r="Q272" s="78"/>
      <c r="R272" s="78"/>
      <c r="S272" s="81" t="s">
        <v>24</v>
      </c>
    </row>
    <row r="273" spans="1:28" ht="39" customHeight="1" outlineLevel="1" x14ac:dyDescent="0.25">
      <c r="A273" s="108" t="s">
        <v>821</v>
      </c>
      <c r="B273" s="14">
        <v>273</v>
      </c>
      <c r="C273" s="98" t="s">
        <v>30</v>
      </c>
      <c r="D273" s="181" t="s">
        <v>24</v>
      </c>
      <c r="E273" s="16"/>
      <c r="F273" s="34" t="s">
        <v>822</v>
      </c>
      <c r="G273" s="35"/>
      <c r="H273" s="35"/>
      <c r="I273" s="99" t="s">
        <v>24</v>
      </c>
      <c r="J273" s="35" t="s">
        <v>24</v>
      </c>
      <c r="K273" s="39"/>
      <c r="L273" s="16"/>
      <c r="M273" s="40" t="str">
        <f t="shared" si="4"/>
        <v/>
      </c>
      <c r="N273" s="39" t="s">
        <v>9</v>
      </c>
      <c r="O273" s="39" t="s">
        <v>9</v>
      </c>
      <c r="P273" s="16"/>
      <c r="Q273" s="39"/>
      <c r="R273" s="39"/>
      <c r="S273" s="41" t="s">
        <v>24</v>
      </c>
    </row>
    <row r="274" spans="1:28" ht="39" customHeight="1" outlineLevel="2" x14ac:dyDescent="0.25">
      <c r="A274" s="13" t="s">
        <v>823</v>
      </c>
      <c r="B274" s="14">
        <v>274</v>
      </c>
      <c r="C274" s="71" t="s">
        <v>51</v>
      </c>
      <c r="D274" s="71" t="s">
        <v>824</v>
      </c>
      <c r="E274" s="16"/>
      <c r="F274" s="88" t="s">
        <v>825</v>
      </c>
      <c r="G274" s="73" t="s">
        <v>64</v>
      </c>
      <c r="H274" s="97" t="s">
        <v>826</v>
      </c>
      <c r="I274" s="19" t="s">
        <v>824</v>
      </c>
      <c r="J274" s="15" t="s">
        <v>22</v>
      </c>
      <c r="K274" s="20"/>
      <c r="L274" s="16"/>
      <c r="M274" s="20" t="str">
        <f t="shared" si="4"/>
        <v>Conforme au standard</v>
      </c>
      <c r="N274" s="92" t="s">
        <v>9</v>
      </c>
      <c r="O274" s="22" t="s">
        <v>9</v>
      </c>
      <c r="P274" s="16"/>
      <c r="Q274" s="20"/>
      <c r="R274" s="20"/>
      <c r="S274" s="23" t="s">
        <v>24</v>
      </c>
    </row>
    <row r="275" spans="1:28" ht="39" customHeight="1" x14ac:dyDescent="0.25">
      <c r="A275" s="24" t="s">
        <v>827</v>
      </c>
      <c r="B275" s="14">
        <v>275</v>
      </c>
      <c r="C275" s="110" t="s">
        <v>30</v>
      </c>
      <c r="D275" s="27" t="s">
        <v>24</v>
      </c>
      <c r="E275" s="16"/>
      <c r="F275" s="18" t="s">
        <v>828</v>
      </c>
      <c r="G275" s="18"/>
      <c r="H275" s="18"/>
      <c r="I275" s="26" t="s">
        <v>24</v>
      </c>
      <c r="J275" s="18" t="s">
        <v>24</v>
      </c>
      <c r="K275" s="113"/>
      <c r="L275" s="16"/>
      <c r="M275" s="113" t="str">
        <f t="shared" si="4"/>
        <v/>
      </c>
      <c r="N275" s="113" t="s">
        <v>9</v>
      </c>
      <c r="O275" s="113" t="s">
        <v>9</v>
      </c>
      <c r="P275" s="16"/>
      <c r="Q275" s="113"/>
      <c r="R275" s="113"/>
      <c r="S275" s="114" t="s">
        <v>24</v>
      </c>
    </row>
    <row r="276" spans="1:28" ht="39" customHeight="1" outlineLevel="2" x14ac:dyDescent="0.25">
      <c r="A276" s="13" t="s">
        <v>829</v>
      </c>
      <c r="B276" s="14">
        <v>276</v>
      </c>
      <c r="C276" s="71" t="s">
        <v>51</v>
      </c>
      <c r="D276" s="71" t="s">
        <v>830</v>
      </c>
      <c r="E276" s="16"/>
      <c r="F276" s="88" t="s">
        <v>831</v>
      </c>
      <c r="G276" s="73" t="s">
        <v>64</v>
      </c>
      <c r="H276" s="97" t="s">
        <v>832</v>
      </c>
      <c r="I276" s="19" t="s">
        <v>830</v>
      </c>
      <c r="J276" s="15" t="s">
        <v>22</v>
      </c>
      <c r="K276" s="20"/>
      <c r="L276" s="16"/>
      <c r="M276" s="20" t="str">
        <f t="shared" si="4"/>
        <v>Conforme au standard</v>
      </c>
      <c r="N276" s="92" t="s">
        <v>9</v>
      </c>
      <c r="O276" s="22" t="s">
        <v>9</v>
      </c>
      <c r="P276" s="16"/>
      <c r="Q276" s="20"/>
      <c r="R276" s="20"/>
      <c r="S276" s="23" t="s">
        <v>24</v>
      </c>
    </row>
    <row r="277" spans="1:28" ht="39" customHeight="1" outlineLevel="2" x14ac:dyDescent="0.25">
      <c r="A277" s="13" t="s">
        <v>833</v>
      </c>
      <c r="B277" s="14">
        <v>277</v>
      </c>
      <c r="C277" s="74" t="s">
        <v>35</v>
      </c>
      <c r="D277" s="74" t="s">
        <v>24</v>
      </c>
      <c r="E277" s="16"/>
      <c r="F277" s="102" t="s">
        <v>834</v>
      </c>
      <c r="G277" s="76" t="s">
        <v>37</v>
      </c>
      <c r="H277" s="76" t="s">
        <v>38</v>
      </c>
      <c r="I277" s="87" t="s">
        <v>75</v>
      </c>
      <c r="J277" s="74" t="s">
        <v>24</v>
      </c>
      <c r="K277" s="78" t="s">
        <v>23</v>
      </c>
      <c r="L277" s="16"/>
      <c r="M277" s="78" t="str">
        <f t="shared" si="4"/>
        <v>Spécifique Offre</v>
      </c>
      <c r="N277" s="79" t="s">
        <v>9</v>
      </c>
      <c r="O277" s="79" t="s">
        <v>9</v>
      </c>
      <c r="P277" s="80"/>
      <c r="Q277" s="78"/>
      <c r="R277" s="78"/>
      <c r="S277" s="81" t="s">
        <v>24</v>
      </c>
    </row>
    <row r="278" spans="1:28" ht="39" customHeight="1" outlineLevel="2" x14ac:dyDescent="0.25">
      <c r="A278" s="13" t="s">
        <v>835</v>
      </c>
      <c r="B278" s="14">
        <v>278</v>
      </c>
      <c r="C278" s="15" t="s">
        <v>35</v>
      </c>
      <c r="D278" s="15" t="s">
        <v>24</v>
      </c>
      <c r="E278" s="182"/>
      <c r="F278" s="96" t="s">
        <v>836</v>
      </c>
      <c r="G278" s="97" t="s">
        <v>64</v>
      </c>
      <c r="H278" s="97" t="s">
        <v>837</v>
      </c>
      <c r="I278" s="19" t="s">
        <v>24</v>
      </c>
      <c r="J278" s="15" t="s">
        <v>22</v>
      </c>
      <c r="K278" s="20"/>
      <c r="L278" s="16"/>
      <c r="M278" s="20" t="str">
        <f t="shared" si="4"/>
        <v>Renseigner la réponse DCO</v>
      </c>
      <c r="N278" s="20" t="s">
        <v>9</v>
      </c>
      <c r="O278" s="20" t="s">
        <v>9</v>
      </c>
      <c r="P278" s="16"/>
      <c r="Q278" s="20"/>
      <c r="R278" s="20"/>
      <c r="S278" s="23" t="s">
        <v>24</v>
      </c>
    </row>
    <row r="279" spans="1:28" s="183" customFormat="1" ht="39" customHeight="1" outlineLevel="2" x14ac:dyDescent="0.25">
      <c r="A279" s="13" t="s">
        <v>838</v>
      </c>
      <c r="B279" s="14">
        <v>279</v>
      </c>
      <c r="C279" s="74" t="s">
        <v>19</v>
      </c>
      <c r="D279" s="74" t="s">
        <v>839</v>
      </c>
      <c r="E279" s="16"/>
      <c r="F279" s="102" t="s">
        <v>840</v>
      </c>
      <c r="G279" s="76" t="s">
        <v>64</v>
      </c>
      <c r="H279" s="76" t="s">
        <v>841</v>
      </c>
      <c r="I279" s="87" t="s">
        <v>179</v>
      </c>
      <c r="J279" s="74" t="s">
        <v>24</v>
      </c>
      <c r="K279" s="78" t="s">
        <v>23</v>
      </c>
      <c r="L279" s="16"/>
      <c r="M279" s="78" t="str">
        <f t="shared" si="4"/>
        <v>Non concerné</v>
      </c>
      <c r="N279" s="79" t="s">
        <v>9</v>
      </c>
      <c r="O279" s="79" t="s">
        <v>9</v>
      </c>
      <c r="P279" s="80"/>
      <c r="Q279" s="78"/>
      <c r="R279" s="78"/>
      <c r="S279" s="81" t="s">
        <v>24</v>
      </c>
      <c r="Z279" s="9"/>
      <c r="AA279" s="9"/>
      <c r="AB279" s="9"/>
    </row>
    <row r="280" spans="1:28" ht="39" customHeight="1" x14ac:dyDescent="0.25">
      <c r="A280" s="24" t="s">
        <v>842</v>
      </c>
      <c r="B280" s="14">
        <v>280</v>
      </c>
      <c r="C280" s="110" t="s">
        <v>30</v>
      </c>
      <c r="D280" s="27" t="s">
        <v>24</v>
      </c>
      <c r="E280" s="16"/>
      <c r="F280" s="18" t="s">
        <v>843</v>
      </c>
      <c r="G280" s="18"/>
      <c r="H280" s="18"/>
      <c r="I280" s="26" t="s">
        <v>24</v>
      </c>
      <c r="J280" s="18" t="s">
        <v>24</v>
      </c>
      <c r="K280" s="113"/>
      <c r="L280" s="16"/>
      <c r="M280" s="113" t="str">
        <f t="shared" si="4"/>
        <v/>
      </c>
      <c r="N280" s="113" t="s">
        <v>9</v>
      </c>
      <c r="O280" s="113" t="s">
        <v>9</v>
      </c>
      <c r="P280" s="16"/>
      <c r="Q280" s="113"/>
      <c r="R280" s="113"/>
      <c r="S280" s="114" t="s">
        <v>24</v>
      </c>
    </row>
    <row r="281" spans="1:28" ht="39" customHeight="1" outlineLevel="2" x14ac:dyDescent="0.25">
      <c r="A281" s="13" t="s">
        <v>844</v>
      </c>
      <c r="B281" s="14">
        <v>281</v>
      </c>
      <c r="C281" s="71" t="s">
        <v>26</v>
      </c>
      <c r="D281" s="71" t="s">
        <v>845</v>
      </c>
      <c r="E281" s="16"/>
      <c r="F281" s="88" t="s">
        <v>846</v>
      </c>
      <c r="G281" s="89" t="s">
        <v>48</v>
      </c>
      <c r="H281" s="73" t="s">
        <v>847</v>
      </c>
      <c r="I281" s="91" t="s">
        <v>845</v>
      </c>
      <c r="J281" s="15" t="s">
        <v>22</v>
      </c>
      <c r="K281" s="20"/>
      <c r="L281" s="16"/>
      <c r="M281" s="20" t="str">
        <f t="shared" si="4"/>
        <v>Conforme au standard</v>
      </c>
      <c r="N281" s="92" t="s">
        <v>9</v>
      </c>
      <c r="O281" s="22" t="s">
        <v>9</v>
      </c>
      <c r="P281" s="16"/>
      <c r="Q281" s="20"/>
      <c r="R281" s="20"/>
      <c r="S281" s="23" t="s">
        <v>44</v>
      </c>
    </row>
    <row r="282" spans="1:28" ht="39" customHeight="1" outlineLevel="2" x14ac:dyDescent="0.25">
      <c r="A282" s="13" t="s">
        <v>848</v>
      </c>
      <c r="B282" s="14">
        <v>282</v>
      </c>
      <c r="C282" s="74" t="s">
        <v>26</v>
      </c>
      <c r="D282" s="74" t="s">
        <v>849</v>
      </c>
      <c r="E282" s="16"/>
      <c r="F282" s="102" t="s">
        <v>850</v>
      </c>
      <c r="G282" s="76" t="s">
        <v>290</v>
      </c>
      <c r="H282" s="76" t="s">
        <v>38</v>
      </c>
      <c r="I282" s="87" t="s">
        <v>849</v>
      </c>
      <c r="J282" s="74" t="s">
        <v>24</v>
      </c>
      <c r="K282" s="78"/>
      <c r="L282" s="16"/>
      <c r="M282" s="78" t="str">
        <f t="shared" si="4"/>
        <v>Conforme au standard</v>
      </c>
      <c r="N282" s="79" t="s">
        <v>9</v>
      </c>
      <c r="O282" s="79" t="s">
        <v>9</v>
      </c>
      <c r="P282" s="80"/>
      <c r="Q282" s="78"/>
      <c r="R282" s="78"/>
      <c r="S282" s="81" t="s">
        <v>24</v>
      </c>
    </row>
    <row r="283" spans="1:28" ht="39" customHeight="1" x14ac:dyDescent="0.25">
      <c r="A283" s="24" t="s">
        <v>851</v>
      </c>
      <c r="B283" s="14">
        <v>283</v>
      </c>
      <c r="C283" s="110" t="s">
        <v>30</v>
      </c>
      <c r="D283" s="27" t="s">
        <v>24</v>
      </c>
      <c r="E283" s="16"/>
      <c r="F283" s="18" t="s">
        <v>852</v>
      </c>
      <c r="G283" s="18"/>
      <c r="H283" s="18"/>
      <c r="I283" s="26" t="s">
        <v>24</v>
      </c>
      <c r="J283" s="18" t="s">
        <v>24</v>
      </c>
      <c r="K283" s="113"/>
      <c r="L283" s="16"/>
      <c r="M283" s="113" t="str">
        <f t="shared" si="4"/>
        <v/>
      </c>
      <c r="N283" s="113" t="s">
        <v>9</v>
      </c>
      <c r="O283" s="113" t="s">
        <v>9</v>
      </c>
      <c r="P283" s="16"/>
      <c r="Q283" s="113"/>
      <c r="R283" s="113"/>
      <c r="S283" s="114" t="s">
        <v>24</v>
      </c>
    </row>
    <row r="284" spans="1:28" ht="39" customHeight="1" outlineLevel="1" x14ac:dyDescent="0.25">
      <c r="A284" s="108" t="s">
        <v>853</v>
      </c>
      <c r="B284" s="14">
        <v>284</v>
      </c>
      <c r="C284" s="98" t="s">
        <v>30</v>
      </c>
      <c r="D284" s="38" t="s">
        <v>24</v>
      </c>
      <c r="E284" s="16"/>
      <c r="F284" s="34" t="s">
        <v>854</v>
      </c>
      <c r="G284" s="34"/>
      <c r="H284" s="34"/>
      <c r="I284" s="37" t="s">
        <v>24</v>
      </c>
      <c r="J284" s="34" t="s">
        <v>24</v>
      </c>
      <c r="K284" s="39"/>
      <c r="L284" s="16"/>
      <c r="M284" s="40" t="str">
        <f t="shared" si="4"/>
        <v/>
      </c>
      <c r="N284" s="39" t="s">
        <v>9</v>
      </c>
      <c r="O284" s="39" t="s">
        <v>9</v>
      </c>
      <c r="P284" s="16"/>
      <c r="Q284" s="39"/>
      <c r="R284" s="39"/>
      <c r="S284" s="41" t="s">
        <v>24</v>
      </c>
    </row>
    <row r="285" spans="1:28" ht="39" customHeight="1" outlineLevel="2" x14ac:dyDescent="0.25">
      <c r="A285" s="13" t="s">
        <v>855</v>
      </c>
      <c r="B285" s="14">
        <v>285</v>
      </c>
      <c r="C285" s="15" t="s">
        <v>19</v>
      </c>
      <c r="D285" s="15" t="s">
        <v>856</v>
      </c>
      <c r="E285" s="16"/>
      <c r="F285" s="88" t="s">
        <v>857</v>
      </c>
      <c r="G285" s="73" t="s">
        <v>64</v>
      </c>
      <c r="H285" s="88" t="s">
        <v>858</v>
      </c>
      <c r="I285" s="19" t="s">
        <v>856</v>
      </c>
      <c r="J285" s="15" t="s">
        <v>24</v>
      </c>
      <c r="K285" s="20"/>
      <c r="L285" s="16"/>
      <c r="M285" s="20" t="str">
        <f t="shared" si="4"/>
        <v>Conforme au standard</v>
      </c>
      <c r="N285" s="92" t="s">
        <v>9</v>
      </c>
      <c r="O285" s="22" t="s">
        <v>9</v>
      </c>
      <c r="P285" s="16"/>
      <c r="Q285" s="20"/>
      <c r="R285" s="20"/>
      <c r="S285" s="23" t="s">
        <v>24</v>
      </c>
    </row>
    <row r="286" spans="1:28" ht="39" customHeight="1" outlineLevel="2" x14ac:dyDescent="0.25">
      <c r="A286" s="13" t="s">
        <v>859</v>
      </c>
      <c r="B286" s="14">
        <v>286</v>
      </c>
      <c r="C286" s="15" t="s">
        <v>35</v>
      </c>
      <c r="D286" s="15" t="s">
        <v>24</v>
      </c>
      <c r="E286" s="16"/>
      <c r="F286" s="88" t="s">
        <v>860</v>
      </c>
      <c r="G286" s="89" t="s">
        <v>48</v>
      </c>
      <c r="H286" s="184" t="s">
        <v>861</v>
      </c>
      <c r="I286" s="91" t="s">
        <v>24</v>
      </c>
      <c r="J286" s="15" t="s">
        <v>24</v>
      </c>
      <c r="K286" s="20"/>
      <c r="L286" s="16"/>
      <c r="M286" s="20" t="str">
        <f t="shared" si="4"/>
        <v>Renseigner la réponse DCO</v>
      </c>
      <c r="N286" s="92" t="s">
        <v>9</v>
      </c>
      <c r="O286" s="22" t="s">
        <v>9</v>
      </c>
      <c r="P286" s="16"/>
      <c r="Q286" s="20"/>
      <c r="R286" s="20"/>
      <c r="S286" s="23" t="s">
        <v>44</v>
      </c>
    </row>
    <row r="287" spans="1:28" ht="39" customHeight="1" outlineLevel="2" x14ac:dyDescent="0.25">
      <c r="A287" s="13" t="s">
        <v>862</v>
      </c>
      <c r="B287" s="14">
        <v>287</v>
      </c>
      <c r="C287" s="71" t="s">
        <v>35</v>
      </c>
      <c r="D287" s="71" t="s">
        <v>24</v>
      </c>
      <c r="E287" s="16"/>
      <c r="F287" s="88" t="s">
        <v>315</v>
      </c>
      <c r="G287" s="73" t="s">
        <v>64</v>
      </c>
      <c r="H287" s="96" t="s">
        <v>316</v>
      </c>
      <c r="I287" s="19" t="s">
        <v>24</v>
      </c>
      <c r="J287" s="15" t="s">
        <v>22</v>
      </c>
      <c r="K287" s="20"/>
      <c r="L287" s="16"/>
      <c r="M287" s="20" t="str">
        <f t="shared" si="4"/>
        <v>Renseigner la réponse DCO</v>
      </c>
      <c r="N287" s="92" t="s">
        <v>9</v>
      </c>
      <c r="O287" s="22" t="s">
        <v>9</v>
      </c>
      <c r="P287" s="16"/>
      <c r="Q287" s="20"/>
      <c r="R287" s="20"/>
      <c r="S287" s="23" t="s">
        <v>24</v>
      </c>
    </row>
    <row r="288" spans="1:28" ht="39" customHeight="1" outlineLevel="2" x14ac:dyDescent="0.25">
      <c r="A288" s="13" t="s">
        <v>863</v>
      </c>
      <c r="B288" s="14">
        <v>288</v>
      </c>
      <c r="C288" s="74" t="s">
        <v>35</v>
      </c>
      <c r="D288" s="74" t="s">
        <v>24</v>
      </c>
      <c r="E288" s="16"/>
      <c r="F288" s="102" t="s">
        <v>318</v>
      </c>
      <c r="G288" s="76" t="s">
        <v>37</v>
      </c>
      <c r="H288" s="76" t="s">
        <v>38</v>
      </c>
      <c r="I288" s="87" t="s">
        <v>75</v>
      </c>
      <c r="J288" s="74" t="s">
        <v>24</v>
      </c>
      <c r="K288" s="78" t="s">
        <v>23</v>
      </c>
      <c r="L288" s="16"/>
      <c r="M288" s="78" t="str">
        <f t="shared" si="4"/>
        <v>Spécifique Offre</v>
      </c>
      <c r="N288" s="79" t="s">
        <v>9</v>
      </c>
      <c r="O288" s="79" t="s">
        <v>9</v>
      </c>
      <c r="P288" s="80"/>
      <c r="Q288" s="78"/>
      <c r="R288" s="78"/>
      <c r="S288" s="81" t="s">
        <v>24</v>
      </c>
    </row>
    <row r="289" spans="1:19" ht="39" customHeight="1" outlineLevel="2" x14ac:dyDescent="0.25">
      <c r="A289" s="13" t="s">
        <v>864</v>
      </c>
      <c r="B289" s="14">
        <v>289</v>
      </c>
      <c r="C289" s="15" t="s">
        <v>19</v>
      </c>
      <c r="D289" s="15" t="s">
        <v>865</v>
      </c>
      <c r="E289" s="16"/>
      <c r="F289" s="88" t="s">
        <v>866</v>
      </c>
      <c r="G289" s="89" t="s">
        <v>48</v>
      </c>
      <c r="H289" s="90" t="s">
        <v>867</v>
      </c>
      <c r="I289" s="91" t="s">
        <v>865</v>
      </c>
      <c r="J289" s="15" t="s">
        <v>22</v>
      </c>
      <c r="K289" s="20"/>
      <c r="L289" s="16"/>
      <c r="M289" s="20" t="str">
        <f t="shared" si="4"/>
        <v>Conforme au standard</v>
      </c>
      <c r="N289" s="92" t="s">
        <v>9</v>
      </c>
      <c r="O289" s="22" t="s">
        <v>9</v>
      </c>
      <c r="P289" s="16"/>
      <c r="Q289" s="20"/>
      <c r="R289" s="20"/>
      <c r="S289" s="23" t="s">
        <v>44</v>
      </c>
    </row>
    <row r="290" spans="1:19" ht="39" customHeight="1" outlineLevel="2" x14ac:dyDescent="0.25">
      <c r="A290" s="13" t="s">
        <v>868</v>
      </c>
      <c r="B290" s="14">
        <v>290</v>
      </c>
      <c r="C290" s="74" t="s">
        <v>35</v>
      </c>
      <c r="D290" s="74" t="s">
        <v>24</v>
      </c>
      <c r="E290" s="16"/>
      <c r="F290" s="102" t="s">
        <v>869</v>
      </c>
      <c r="G290" s="93" t="s">
        <v>37</v>
      </c>
      <c r="H290" s="93" t="s">
        <v>38</v>
      </c>
      <c r="I290" s="87" t="s">
        <v>24</v>
      </c>
      <c r="J290" s="74" t="s">
        <v>24</v>
      </c>
      <c r="K290" s="78"/>
      <c r="L290" s="16"/>
      <c r="M290" s="78" t="str">
        <f t="shared" si="4"/>
        <v>Renseigner la réponse DCO</v>
      </c>
      <c r="N290" s="79" t="s">
        <v>9</v>
      </c>
      <c r="O290" s="79" t="s">
        <v>9</v>
      </c>
      <c r="P290" s="80"/>
      <c r="Q290" s="78"/>
      <c r="R290" s="78"/>
      <c r="S290" s="81" t="s">
        <v>24</v>
      </c>
    </row>
    <row r="291" spans="1:19" ht="39" customHeight="1" outlineLevel="2" x14ac:dyDescent="0.25">
      <c r="A291" s="13" t="s">
        <v>870</v>
      </c>
      <c r="B291" s="14">
        <v>291</v>
      </c>
      <c r="C291" s="74" t="s">
        <v>19</v>
      </c>
      <c r="D291" s="74" t="s">
        <v>46</v>
      </c>
      <c r="E291" s="16"/>
      <c r="F291" s="102" t="s">
        <v>871</v>
      </c>
      <c r="G291" s="93" t="s">
        <v>37</v>
      </c>
      <c r="H291" s="93" t="s">
        <v>38</v>
      </c>
      <c r="I291" s="87" t="s">
        <v>46</v>
      </c>
      <c r="J291" s="74" t="s">
        <v>24</v>
      </c>
      <c r="K291" s="78" t="s">
        <v>23</v>
      </c>
      <c r="L291" s="16"/>
      <c r="M291" s="78" t="str">
        <f t="shared" si="4"/>
        <v>Non concerné</v>
      </c>
      <c r="N291" s="79" t="s">
        <v>9</v>
      </c>
      <c r="O291" s="79" t="s">
        <v>9</v>
      </c>
      <c r="P291" s="80"/>
      <c r="Q291" s="78"/>
      <c r="R291" s="78"/>
      <c r="S291" s="81" t="s">
        <v>24</v>
      </c>
    </row>
    <row r="292" spans="1:19" ht="39" customHeight="1" outlineLevel="2" x14ac:dyDescent="0.25">
      <c r="A292" s="13" t="s">
        <v>872</v>
      </c>
      <c r="B292" s="14">
        <v>292</v>
      </c>
      <c r="C292" s="74" t="s">
        <v>19</v>
      </c>
      <c r="D292" s="74" t="s">
        <v>46</v>
      </c>
      <c r="E292" s="16"/>
      <c r="F292" s="102" t="s">
        <v>873</v>
      </c>
      <c r="G292" s="93" t="s">
        <v>37</v>
      </c>
      <c r="H292" s="93" t="s">
        <v>38</v>
      </c>
      <c r="I292" s="87" t="s">
        <v>46</v>
      </c>
      <c r="J292" s="74" t="s">
        <v>24</v>
      </c>
      <c r="K292" s="78" t="s">
        <v>23</v>
      </c>
      <c r="L292" s="16"/>
      <c r="M292" s="78" t="str">
        <f t="shared" si="4"/>
        <v>Non concerné</v>
      </c>
      <c r="N292" s="79" t="s">
        <v>9</v>
      </c>
      <c r="O292" s="79" t="s">
        <v>9</v>
      </c>
      <c r="P292" s="80"/>
      <c r="Q292" s="78"/>
      <c r="R292" s="78"/>
      <c r="S292" s="81" t="s">
        <v>24</v>
      </c>
    </row>
    <row r="293" spans="1:19" ht="39" customHeight="1" outlineLevel="2" x14ac:dyDescent="0.25">
      <c r="A293" s="13" t="s">
        <v>874</v>
      </c>
      <c r="B293" s="14">
        <v>293</v>
      </c>
      <c r="C293" s="74" t="s">
        <v>19</v>
      </c>
      <c r="D293" s="74" t="s">
        <v>46</v>
      </c>
      <c r="E293" s="16"/>
      <c r="F293" s="102" t="s">
        <v>875</v>
      </c>
      <c r="G293" s="93" t="s">
        <v>37</v>
      </c>
      <c r="H293" s="93" t="s">
        <v>38</v>
      </c>
      <c r="I293" s="87" t="s">
        <v>46</v>
      </c>
      <c r="J293" s="74" t="s">
        <v>24</v>
      </c>
      <c r="K293" s="78" t="s">
        <v>23</v>
      </c>
      <c r="L293" s="16"/>
      <c r="M293" s="78" t="str">
        <f t="shared" si="4"/>
        <v>Non concerné</v>
      </c>
      <c r="N293" s="79" t="s">
        <v>9</v>
      </c>
      <c r="O293" s="79" t="s">
        <v>9</v>
      </c>
      <c r="P293" s="80"/>
      <c r="Q293" s="78"/>
      <c r="R293" s="78"/>
      <c r="S293" s="81" t="s">
        <v>24</v>
      </c>
    </row>
    <row r="294" spans="1:19" ht="39" customHeight="1" outlineLevel="2" x14ac:dyDescent="0.25">
      <c r="A294" s="13" t="s">
        <v>876</v>
      </c>
      <c r="B294" s="14">
        <v>294</v>
      </c>
      <c r="C294" s="74" t="s">
        <v>19</v>
      </c>
      <c r="D294" s="74" t="s">
        <v>46</v>
      </c>
      <c r="E294" s="16"/>
      <c r="F294" s="102" t="s">
        <v>877</v>
      </c>
      <c r="G294" s="93" t="s">
        <v>64</v>
      </c>
      <c r="H294" s="93" t="s">
        <v>878</v>
      </c>
      <c r="I294" s="87" t="s">
        <v>46</v>
      </c>
      <c r="J294" s="74" t="s">
        <v>24</v>
      </c>
      <c r="K294" s="78" t="s">
        <v>23</v>
      </c>
      <c r="L294" s="16"/>
      <c r="M294" s="78" t="str">
        <f t="shared" si="4"/>
        <v>Non concerné</v>
      </c>
      <c r="N294" s="79" t="s">
        <v>9</v>
      </c>
      <c r="O294" s="79" t="s">
        <v>9</v>
      </c>
      <c r="P294" s="80"/>
      <c r="Q294" s="78"/>
      <c r="R294" s="78"/>
      <c r="S294" s="81" t="s">
        <v>24</v>
      </c>
    </row>
    <row r="295" spans="1:19" ht="39" customHeight="1" outlineLevel="2" x14ac:dyDescent="0.25">
      <c r="A295" s="13" t="s">
        <v>879</v>
      </c>
      <c r="B295" s="14">
        <v>295</v>
      </c>
      <c r="C295" s="74" t="s">
        <v>19</v>
      </c>
      <c r="D295" s="74" t="s">
        <v>46</v>
      </c>
      <c r="E295" s="16"/>
      <c r="F295" s="102" t="s">
        <v>880</v>
      </c>
      <c r="G295" s="93" t="s">
        <v>64</v>
      </c>
      <c r="H295" s="93" t="s">
        <v>878</v>
      </c>
      <c r="I295" s="87" t="s">
        <v>46</v>
      </c>
      <c r="J295" s="74" t="s">
        <v>24</v>
      </c>
      <c r="K295" s="78" t="s">
        <v>23</v>
      </c>
      <c r="L295" s="16"/>
      <c r="M295" s="78" t="str">
        <f t="shared" si="4"/>
        <v>Non concerné</v>
      </c>
      <c r="N295" s="79" t="s">
        <v>9</v>
      </c>
      <c r="O295" s="79" t="s">
        <v>9</v>
      </c>
      <c r="P295" s="80"/>
      <c r="Q295" s="78"/>
      <c r="R295" s="78"/>
      <c r="S295" s="81" t="s">
        <v>24</v>
      </c>
    </row>
    <row r="296" spans="1:19" ht="39" customHeight="1" outlineLevel="2" x14ac:dyDescent="0.25">
      <c r="A296" s="13" t="s">
        <v>881</v>
      </c>
      <c r="B296" s="14">
        <v>296</v>
      </c>
      <c r="C296" s="74" t="s">
        <v>19</v>
      </c>
      <c r="D296" s="74" t="s">
        <v>882</v>
      </c>
      <c r="E296" s="85"/>
      <c r="F296" s="102" t="s">
        <v>883</v>
      </c>
      <c r="G296" s="89" t="s">
        <v>48</v>
      </c>
      <c r="H296" s="76" t="s">
        <v>884</v>
      </c>
      <c r="I296" s="87" t="s">
        <v>179</v>
      </c>
      <c r="J296" s="74" t="s">
        <v>22</v>
      </c>
      <c r="K296" s="78" t="s">
        <v>23</v>
      </c>
      <c r="L296" s="16"/>
      <c r="M296" s="78" t="str">
        <f t="shared" si="4"/>
        <v>Non concerné</v>
      </c>
      <c r="N296" s="103" t="s">
        <v>9</v>
      </c>
      <c r="O296" s="79" t="s">
        <v>9</v>
      </c>
      <c r="P296" s="16"/>
      <c r="Q296" s="78"/>
      <c r="R296" s="78"/>
      <c r="S296" s="23" t="s">
        <v>24</v>
      </c>
    </row>
    <row r="297" spans="1:19" ht="39" customHeight="1" outlineLevel="2" x14ac:dyDescent="0.25">
      <c r="A297" s="13" t="s">
        <v>885</v>
      </c>
      <c r="B297" s="14">
        <v>297</v>
      </c>
      <c r="C297" s="74" t="s">
        <v>35</v>
      </c>
      <c r="D297" s="74" t="s">
        <v>24</v>
      </c>
      <c r="E297" s="16"/>
      <c r="F297" s="102" t="s">
        <v>886</v>
      </c>
      <c r="G297" s="76" t="s">
        <v>37</v>
      </c>
      <c r="H297" s="76" t="s">
        <v>38</v>
      </c>
      <c r="I297" s="87" t="s">
        <v>24</v>
      </c>
      <c r="J297" s="74" t="s">
        <v>24</v>
      </c>
      <c r="K297" s="78"/>
      <c r="L297" s="16"/>
      <c r="M297" s="78" t="str">
        <f t="shared" si="4"/>
        <v>Renseigner la réponse DCO</v>
      </c>
      <c r="N297" s="79" t="s">
        <v>9</v>
      </c>
      <c r="O297" s="79" t="s">
        <v>9</v>
      </c>
      <c r="P297" s="80"/>
      <c r="Q297" s="78"/>
      <c r="R297" s="78"/>
      <c r="S297" s="81" t="s">
        <v>24</v>
      </c>
    </row>
    <row r="298" spans="1:19" ht="39" customHeight="1" outlineLevel="2" x14ac:dyDescent="0.25">
      <c r="A298" s="13" t="s">
        <v>887</v>
      </c>
      <c r="B298" s="14">
        <v>298</v>
      </c>
      <c r="C298" s="71" t="s">
        <v>35</v>
      </c>
      <c r="D298" s="71" t="s">
        <v>24</v>
      </c>
      <c r="E298" s="16"/>
      <c r="F298" s="88" t="s">
        <v>888</v>
      </c>
      <c r="G298" s="73" t="s">
        <v>64</v>
      </c>
      <c r="H298" s="73" t="s">
        <v>889</v>
      </c>
      <c r="I298" s="19" t="s">
        <v>24</v>
      </c>
      <c r="J298" s="15" t="s">
        <v>24</v>
      </c>
      <c r="K298" s="20"/>
      <c r="L298" s="16"/>
      <c r="M298" s="20" t="str">
        <f t="shared" si="4"/>
        <v>Renseigner la réponse DCO</v>
      </c>
      <c r="N298" s="92" t="s">
        <v>9</v>
      </c>
      <c r="O298" s="22" t="s">
        <v>9</v>
      </c>
      <c r="P298" s="16"/>
      <c r="Q298" s="20"/>
      <c r="R298" s="20"/>
      <c r="S298" s="23" t="s">
        <v>24</v>
      </c>
    </row>
    <row r="299" spans="1:19" ht="39" customHeight="1" outlineLevel="2" x14ac:dyDescent="0.25">
      <c r="A299" s="13" t="s">
        <v>890</v>
      </c>
      <c r="B299" s="14">
        <v>299</v>
      </c>
      <c r="C299" s="71" t="s">
        <v>19</v>
      </c>
      <c r="D299" s="71" t="s">
        <v>891</v>
      </c>
      <c r="E299" s="16"/>
      <c r="F299" s="88" t="s">
        <v>892</v>
      </c>
      <c r="G299" s="73" t="s">
        <v>64</v>
      </c>
      <c r="H299" s="97" t="s">
        <v>893</v>
      </c>
      <c r="I299" s="19" t="s">
        <v>891</v>
      </c>
      <c r="J299" s="15" t="s">
        <v>22</v>
      </c>
      <c r="K299" s="20"/>
      <c r="L299" s="16"/>
      <c r="M299" s="20" t="str">
        <f t="shared" si="4"/>
        <v>Conforme au standard</v>
      </c>
      <c r="N299" s="92" t="s">
        <v>9</v>
      </c>
      <c r="O299" s="22" t="s">
        <v>9</v>
      </c>
      <c r="P299" s="16"/>
      <c r="Q299" s="20"/>
      <c r="R299" s="20"/>
      <c r="S299" s="23" t="s">
        <v>24</v>
      </c>
    </row>
    <row r="300" spans="1:19" ht="39" customHeight="1" outlineLevel="2" x14ac:dyDescent="0.25">
      <c r="A300" s="13" t="s">
        <v>894</v>
      </c>
      <c r="B300" s="14">
        <v>300</v>
      </c>
      <c r="C300" s="74" t="s">
        <v>19</v>
      </c>
      <c r="D300" s="74" t="s">
        <v>895</v>
      </c>
      <c r="E300" s="16"/>
      <c r="F300" s="102" t="s">
        <v>896</v>
      </c>
      <c r="G300" s="89" t="s">
        <v>48</v>
      </c>
      <c r="H300" s="76" t="s">
        <v>897</v>
      </c>
      <c r="I300" s="94" t="s">
        <v>895</v>
      </c>
      <c r="J300" s="74" t="s">
        <v>24</v>
      </c>
      <c r="K300" s="78"/>
      <c r="L300" s="16"/>
      <c r="M300" s="78" t="str">
        <f t="shared" si="4"/>
        <v>Conforme au standard</v>
      </c>
      <c r="N300" s="79" t="s">
        <v>9</v>
      </c>
      <c r="O300" s="79" t="s">
        <v>9</v>
      </c>
      <c r="P300" s="80"/>
      <c r="Q300" s="78"/>
      <c r="R300" s="78"/>
      <c r="S300" s="81" t="s">
        <v>44</v>
      </c>
    </row>
    <row r="301" spans="1:19" ht="39" customHeight="1" outlineLevel="2" x14ac:dyDescent="0.25">
      <c r="A301" s="13" t="s">
        <v>898</v>
      </c>
      <c r="B301" s="14">
        <v>301</v>
      </c>
      <c r="C301" s="74" t="s">
        <v>19</v>
      </c>
      <c r="D301" s="74" t="s">
        <v>46</v>
      </c>
      <c r="E301" s="16"/>
      <c r="F301" s="102" t="s">
        <v>899</v>
      </c>
      <c r="G301" s="76" t="s">
        <v>64</v>
      </c>
      <c r="H301" s="76" t="s">
        <v>900</v>
      </c>
      <c r="I301" s="94" t="s">
        <v>46</v>
      </c>
      <c r="J301" s="74" t="s">
        <v>24</v>
      </c>
      <c r="K301" s="78" t="s">
        <v>23</v>
      </c>
      <c r="L301" s="16"/>
      <c r="M301" s="78" t="str">
        <f t="shared" si="4"/>
        <v>Non concerné</v>
      </c>
      <c r="N301" s="79" t="s">
        <v>9</v>
      </c>
      <c r="O301" s="79" t="s">
        <v>9</v>
      </c>
      <c r="P301" s="80"/>
      <c r="Q301" s="78"/>
      <c r="R301" s="78"/>
      <c r="S301" s="81" t="s">
        <v>44</v>
      </c>
    </row>
    <row r="302" spans="1:19" ht="39" customHeight="1" outlineLevel="2" x14ac:dyDescent="0.25">
      <c r="A302" s="13" t="s">
        <v>901</v>
      </c>
      <c r="B302" s="14">
        <v>302</v>
      </c>
      <c r="C302" s="74" t="s">
        <v>35</v>
      </c>
      <c r="D302" s="74" t="s">
        <v>24</v>
      </c>
      <c r="E302" s="16"/>
      <c r="F302" s="102" t="s">
        <v>902</v>
      </c>
      <c r="G302" s="89" t="s">
        <v>48</v>
      </c>
      <c r="H302" s="76" t="s">
        <v>903</v>
      </c>
      <c r="I302" s="94" t="s">
        <v>24</v>
      </c>
      <c r="J302" s="74" t="s">
        <v>24</v>
      </c>
      <c r="K302" s="78"/>
      <c r="L302" s="16"/>
      <c r="M302" s="78" t="str">
        <f t="shared" si="4"/>
        <v>Renseigner la réponse DCO</v>
      </c>
      <c r="N302" s="79" t="s">
        <v>9</v>
      </c>
      <c r="O302" s="79" t="s">
        <v>9</v>
      </c>
      <c r="P302" s="80"/>
      <c r="Q302" s="78"/>
      <c r="R302" s="78"/>
      <c r="S302" s="81" t="s">
        <v>44</v>
      </c>
    </row>
    <row r="303" spans="1:19" ht="39" customHeight="1" outlineLevel="2" x14ac:dyDescent="0.25">
      <c r="A303" s="13" t="s">
        <v>904</v>
      </c>
      <c r="B303" s="14">
        <v>303</v>
      </c>
      <c r="C303" s="74" t="s">
        <v>19</v>
      </c>
      <c r="D303" s="74" t="s">
        <v>46</v>
      </c>
      <c r="E303" s="16"/>
      <c r="F303" s="102" t="s">
        <v>905</v>
      </c>
      <c r="G303" s="76" t="s">
        <v>64</v>
      </c>
      <c r="H303" s="76" t="s">
        <v>906</v>
      </c>
      <c r="I303" s="87" t="s">
        <v>46</v>
      </c>
      <c r="J303" s="74" t="s">
        <v>24</v>
      </c>
      <c r="K303" s="78" t="s">
        <v>23</v>
      </c>
      <c r="L303" s="16"/>
      <c r="M303" s="78" t="str">
        <f t="shared" si="4"/>
        <v>Non concerné</v>
      </c>
      <c r="N303" s="79" t="s">
        <v>9</v>
      </c>
      <c r="O303" s="79" t="s">
        <v>9</v>
      </c>
      <c r="P303" s="80"/>
      <c r="Q303" s="78"/>
      <c r="R303" s="78"/>
      <c r="S303" s="81" t="s">
        <v>24</v>
      </c>
    </row>
    <row r="304" spans="1:19" ht="39" customHeight="1" outlineLevel="2" x14ac:dyDescent="0.25">
      <c r="A304" s="142" t="s">
        <v>907</v>
      </c>
      <c r="B304" s="14">
        <v>304</v>
      </c>
      <c r="C304" s="143" t="s">
        <v>30</v>
      </c>
      <c r="D304" s="144" t="s">
        <v>24</v>
      </c>
      <c r="E304" s="16"/>
      <c r="F304" s="145" t="s">
        <v>908</v>
      </c>
      <c r="G304" s="147"/>
      <c r="H304" s="147"/>
      <c r="I304" s="148" t="s">
        <v>24</v>
      </c>
      <c r="J304" s="147" t="s">
        <v>24</v>
      </c>
      <c r="K304" s="149"/>
      <c r="L304" s="16"/>
      <c r="M304" s="149" t="str">
        <f t="shared" si="4"/>
        <v/>
      </c>
      <c r="N304" s="149" t="s">
        <v>9</v>
      </c>
      <c r="O304" s="149" t="s">
        <v>9</v>
      </c>
      <c r="P304" s="16"/>
      <c r="Q304" s="149"/>
      <c r="R304" s="149"/>
      <c r="S304" s="150" t="s">
        <v>24</v>
      </c>
    </row>
    <row r="305" spans="1:19" ht="39" customHeight="1" outlineLevel="2" x14ac:dyDescent="0.25">
      <c r="A305" s="70" t="s">
        <v>909</v>
      </c>
      <c r="B305" s="14">
        <v>305</v>
      </c>
      <c r="C305" s="71" t="s">
        <v>26</v>
      </c>
      <c r="D305" s="71" t="s">
        <v>910</v>
      </c>
      <c r="E305" s="16"/>
      <c r="F305" s="88" t="s">
        <v>911</v>
      </c>
      <c r="G305" s="73" t="s">
        <v>64</v>
      </c>
      <c r="H305" s="97" t="s">
        <v>912</v>
      </c>
      <c r="I305" s="19" t="s">
        <v>910</v>
      </c>
      <c r="J305" s="15" t="s">
        <v>22</v>
      </c>
      <c r="K305" s="20"/>
      <c r="L305" s="16"/>
      <c r="M305" s="20" t="str">
        <f t="shared" si="4"/>
        <v>Conforme au standard</v>
      </c>
      <c r="N305" s="92" t="s">
        <v>9</v>
      </c>
      <c r="O305" s="22" t="s">
        <v>9</v>
      </c>
      <c r="P305" s="16"/>
      <c r="Q305" s="20"/>
      <c r="R305" s="20"/>
      <c r="S305" s="23" t="s">
        <v>24</v>
      </c>
    </row>
    <row r="306" spans="1:19" ht="39" customHeight="1" outlineLevel="2" x14ac:dyDescent="0.25">
      <c r="A306" s="13" t="s">
        <v>913</v>
      </c>
      <c r="B306" s="14">
        <v>306</v>
      </c>
      <c r="C306" s="74" t="s">
        <v>19</v>
      </c>
      <c r="D306" s="74" t="s">
        <v>46</v>
      </c>
      <c r="E306" s="16"/>
      <c r="F306" s="102" t="s">
        <v>914</v>
      </c>
      <c r="G306" s="76" t="s">
        <v>64</v>
      </c>
      <c r="H306" s="102" t="s">
        <v>915</v>
      </c>
      <c r="I306" s="87" t="s">
        <v>46</v>
      </c>
      <c r="J306" s="74" t="s">
        <v>24</v>
      </c>
      <c r="K306" s="78" t="s">
        <v>23</v>
      </c>
      <c r="L306" s="16"/>
      <c r="M306" s="78" t="str">
        <f t="shared" si="4"/>
        <v>Non concerné</v>
      </c>
      <c r="N306" s="79" t="s">
        <v>9</v>
      </c>
      <c r="O306" s="79" t="s">
        <v>9</v>
      </c>
      <c r="P306" s="80"/>
      <c r="Q306" s="78"/>
      <c r="R306" s="78"/>
      <c r="S306" s="81" t="s">
        <v>24</v>
      </c>
    </row>
    <row r="307" spans="1:19" ht="39" customHeight="1" outlineLevel="2" x14ac:dyDescent="0.25">
      <c r="A307" s="142" t="s">
        <v>916</v>
      </c>
      <c r="B307" s="14">
        <v>307</v>
      </c>
      <c r="C307" s="143" t="s">
        <v>30</v>
      </c>
      <c r="D307" s="144" t="s">
        <v>24</v>
      </c>
      <c r="E307" s="16"/>
      <c r="F307" s="145" t="s">
        <v>917</v>
      </c>
      <c r="G307" s="147"/>
      <c r="H307" s="147"/>
      <c r="I307" s="148" t="s">
        <v>24</v>
      </c>
      <c r="J307" s="147" t="s">
        <v>24</v>
      </c>
      <c r="K307" s="149"/>
      <c r="L307" s="16"/>
      <c r="M307" s="149" t="str">
        <f t="shared" si="4"/>
        <v/>
      </c>
      <c r="N307" s="149" t="s">
        <v>9</v>
      </c>
      <c r="O307" s="149" t="s">
        <v>9</v>
      </c>
      <c r="P307" s="16"/>
      <c r="Q307" s="149"/>
      <c r="R307" s="149"/>
      <c r="S307" s="150" t="s">
        <v>24</v>
      </c>
    </row>
    <row r="308" spans="1:19" ht="39" customHeight="1" outlineLevel="2" x14ac:dyDescent="0.25">
      <c r="A308" s="13" t="s">
        <v>918</v>
      </c>
      <c r="B308" s="14">
        <v>308</v>
      </c>
      <c r="C308" s="71" t="s">
        <v>19</v>
      </c>
      <c r="D308" s="71" t="s">
        <v>919</v>
      </c>
      <c r="E308" s="16"/>
      <c r="F308" s="88" t="s">
        <v>920</v>
      </c>
      <c r="G308" s="73" t="s">
        <v>64</v>
      </c>
      <c r="H308" s="97" t="s">
        <v>921</v>
      </c>
      <c r="I308" s="19" t="s">
        <v>919</v>
      </c>
      <c r="J308" s="15" t="s">
        <v>22</v>
      </c>
      <c r="K308" s="20"/>
      <c r="L308" s="16"/>
      <c r="M308" s="20" t="str">
        <f t="shared" si="4"/>
        <v>Conforme au standard</v>
      </c>
      <c r="N308" s="92" t="s">
        <v>9</v>
      </c>
      <c r="O308" s="22" t="s">
        <v>9</v>
      </c>
      <c r="P308" s="16"/>
      <c r="Q308" s="20"/>
      <c r="R308" s="20"/>
      <c r="S308" s="23" t="s">
        <v>24</v>
      </c>
    </row>
    <row r="309" spans="1:19" ht="39" customHeight="1" outlineLevel="2" x14ac:dyDescent="0.25">
      <c r="A309" s="13" t="s">
        <v>922</v>
      </c>
      <c r="B309" s="14">
        <v>309</v>
      </c>
      <c r="C309" s="74" t="s">
        <v>19</v>
      </c>
      <c r="D309" s="74" t="s">
        <v>923</v>
      </c>
      <c r="E309" s="16"/>
      <c r="F309" s="102" t="s">
        <v>924</v>
      </c>
      <c r="G309" s="76" t="s">
        <v>64</v>
      </c>
      <c r="H309" s="102" t="s">
        <v>925</v>
      </c>
      <c r="I309" s="87" t="s">
        <v>923</v>
      </c>
      <c r="J309" s="74" t="s">
        <v>24</v>
      </c>
      <c r="K309" s="78"/>
      <c r="L309" s="16"/>
      <c r="M309" s="78" t="str">
        <f t="shared" si="4"/>
        <v>Conforme au standard</v>
      </c>
      <c r="N309" s="79" t="s">
        <v>9</v>
      </c>
      <c r="O309" s="79" t="s">
        <v>9</v>
      </c>
      <c r="P309" s="80"/>
      <c r="Q309" s="78"/>
      <c r="R309" s="78"/>
      <c r="S309" s="81" t="s">
        <v>24</v>
      </c>
    </row>
    <row r="310" spans="1:19" ht="39" customHeight="1" outlineLevel="2" x14ac:dyDescent="0.25">
      <c r="A310" s="13" t="s">
        <v>926</v>
      </c>
      <c r="B310" s="14">
        <v>310</v>
      </c>
      <c r="C310" s="71" t="s">
        <v>19</v>
      </c>
      <c r="D310" s="71" t="s">
        <v>927</v>
      </c>
      <c r="E310" s="16"/>
      <c r="F310" s="88" t="s">
        <v>928</v>
      </c>
      <c r="G310" s="73" t="s">
        <v>64</v>
      </c>
      <c r="H310" s="97" t="s">
        <v>929</v>
      </c>
      <c r="I310" s="19" t="s">
        <v>927</v>
      </c>
      <c r="J310" s="15" t="s">
        <v>24</v>
      </c>
      <c r="K310" s="20"/>
      <c r="L310" s="16"/>
      <c r="M310" s="20" t="str">
        <f t="shared" si="4"/>
        <v>Conforme au standard</v>
      </c>
      <c r="N310" s="92" t="s">
        <v>9</v>
      </c>
      <c r="O310" s="22" t="s">
        <v>9</v>
      </c>
      <c r="P310" s="16"/>
      <c r="Q310" s="20"/>
      <c r="R310" s="20"/>
      <c r="S310" s="23" t="s">
        <v>24</v>
      </c>
    </row>
    <row r="311" spans="1:19" ht="39" customHeight="1" outlineLevel="2" x14ac:dyDescent="0.25">
      <c r="A311" s="142" t="s">
        <v>930</v>
      </c>
      <c r="B311" s="14">
        <v>311</v>
      </c>
      <c r="C311" s="143" t="s">
        <v>30</v>
      </c>
      <c r="D311" s="144" t="s">
        <v>24</v>
      </c>
      <c r="E311" s="16"/>
      <c r="F311" s="145" t="s">
        <v>931</v>
      </c>
      <c r="G311" s="147"/>
      <c r="H311" s="147"/>
      <c r="I311" s="148" t="s">
        <v>24</v>
      </c>
      <c r="J311" s="147" t="s">
        <v>24</v>
      </c>
      <c r="K311" s="149"/>
      <c r="L311" s="16"/>
      <c r="M311" s="149" t="str">
        <f t="shared" si="4"/>
        <v/>
      </c>
      <c r="N311" s="149" t="s">
        <v>9</v>
      </c>
      <c r="O311" s="149" t="s">
        <v>9</v>
      </c>
      <c r="P311" s="16"/>
      <c r="Q311" s="149"/>
      <c r="R311" s="149"/>
      <c r="S311" s="150" t="s">
        <v>24</v>
      </c>
    </row>
    <row r="312" spans="1:19" ht="39" customHeight="1" outlineLevel="2" x14ac:dyDescent="0.25">
      <c r="A312" s="13" t="s">
        <v>932</v>
      </c>
      <c r="B312" s="14">
        <v>312</v>
      </c>
      <c r="C312" s="71" t="s">
        <v>26</v>
      </c>
      <c r="D312" s="71" t="s">
        <v>933</v>
      </c>
      <c r="E312" s="16"/>
      <c r="F312" s="88" t="s">
        <v>934</v>
      </c>
      <c r="G312" s="73" t="s">
        <v>64</v>
      </c>
      <c r="H312" s="97" t="s">
        <v>935</v>
      </c>
      <c r="I312" s="19" t="s">
        <v>933</v>
      </c>
      <c r="J312" s="15" t="s">
        <v>22</v>
      </c>
      <c r="K312" s="20"/>
      <c r="L312" s="16"/>
      <c r="M312" s="20" t="str">
        <f t="shared" si="4"/>
        <v>Conforme au standard</v>
      </c>
      <c r="N312" s="92" t="s">
        <v>9</v>
      </c>
      <c r="O312" s="22" t="s">
        <v>9</v>
      </c>
      <c r="P312" s="16"/>
      <c r="Q312" s="20"/>
      <c r="R312" s="20"/>
      <c r="S312" s="23" t="s">
        <v>24</v>
      </c>
    </row>
    <row r="313" spans="1:19" ht="39" customHeight="1" outlineLevel="2" x14ac:dyDescent="0.25">
      <c r="A313" s="13" t="s">
        <v>936</v>
      </c>
      <c r="B313" s="14">
        <v>313</v>
      </c>
      <c r="C313" s="74" t="s">
        <v>26</v>
      </c>
      <c r="D313" s="74" t="s">
        <v>937</v>
      </c>
      <c r="E313" s="16"/>
      <c r="F313" s="102" t="s">
        <v>938</v>
      </c>
      <c r="G313" s="76" t="s">
        <v>64</v>
      </c>
      <c r="H313" s="102" t="s">
        <v>939</v>
      </c>
      <c r="I313" s="87" t="s">
        <v>937</v>
      </c>
      <c r="J313" s="74" t="s">
        <v>24</v>
      </c>
      <c r="K313" s="78"/>
      <c r="L313" s="16"/>
      <c r="M313" s="78" t="str">
        <f t="shared" si="4"/>
        <v>Conforme au standard</v>
      </c>
      <c r="N313" s="79" t="s">
        <v>9</v>
      </c>
      <c r="O313" s="79" t="s">
        <v>9</v>
      </c>
      <c r="P313" s="80"/>
      <c r="Q313" s="78"/>
      <c r="R313" s="78"/>
      <c r="S313" s="81" t="s">
        <v>24</v>
      </c>
    </row>
    <row r="314" spans="1:19" ht="39" customHeight="1" outlineLevel="1" x14ac:dyDescent="0.25">
      <c r="A314" s="108" t="s">
        <v>940</v>
      </c>
      <c r="B314" s="14">
        <v>314</v>
      </c>
      <c r="C314" s="98" t="s">
        <v>30</v>
      </c>
      <c r="D314" s="38" t="s">
        <v>24</v>
      </c>
      <c r="E314" s="16"/>
      <c r="F314" s="34" t="s">
        <v>941</v>
      </c>
      <c r="G314" s="34"/>
      <c r="H314" s="34"/>
      <c r="I314" s="37" t="s">
        <v>24</v>
      </c>
      <c r="J314" s="34" t="s">
        <v>24</v>
      </c>
      <c r="K314" s="39"/>
      <c r="L314" s="16"/>
      <c r="M314" s="40" t="str">
        <f t="shared" si="4"/>
        <v/>
      </c>
      <c r="N314" s="39" t="s">
        <v>9</v>
      </c>
      <c r="O314" s="39" t="s">
        <v>9</v>
      </c>
      <c r="P314" s="16"/>
      <c r="Q314" s="39"/>
      <c r="R314" s="39"/>
      <c r="S314" s="41" t="s">
        <v>24</v>
      </c>
    </row>
    <row r="315" spans="1:19" ht="39" customHeight="1" outlineLevel="2" x14ac:dyDescent="0.25">
      <c r="A315" s="13" t="s">
        <v>942</v>
      </c>
      <c r="B315" s="14">
        <v>315</v>
      </c>
      <c r="C315" s="15" t="s">
        <v>51</v>
      </c>
      <c r="D315" s="15" t="s">
        <v>943</v>
      </c>
      <c r="E315" s="82"/>
      <c r="F315" s="96" t="s">
        <v>944</v>
      </c>
      <c r="G315" s="89" t="s">
        <v>48</v>
      </c>
      <c r="H315" s="88" t="s">
        <v>945</v>
      </c>
      <c r="I315" s="19" t="s">
        <v>943</v>
      </c>
      <c r="J315" s="15" t="s">
        <v>22</v>
      </c>
      <c r="K315" s="20"/>
      <c r="L315" s="16"/>
      <c r="M315" s="20" t="str">
        <f t="shared" si="4"/>
        <v>Conforme au standard</v>
      </c>
      <c r="N315" s="22" t="s">
        <v>9</v>
      </c>
      <c r="O315" s="22" t="s">
        <v>9</v>
      </c>
      <c r="P315" s="16"/>
      <c r="Q315" s="20"/>
      <c r="R315" s="20"/>
      <c r="S315" s="23" t="s">
        <v>24</v>
      </c>
    </row>
    <row r="316" spans="1:19" ht="39" customHeight="1" outlineLevel="2" x14ac:dyDescent="0.25">
      <c r="A316" s="13" t="s">
        <v>946</v>
      </c>
      <c r="B316" s="14">
        <v>316</v>
      </c>
      <c r="C316" s="74" t="s">
        <v>35</v>
      </c>
      <c r="D316" s="74" t="s">
        <v>24</v>
      </c>
      <c r="E316" s="85"/>
      <c r="F316" s="102" t="s">
        <v>947</v>
      </c>
      <c r="G316" s="89" t="s">
        <v>48</v>
      </c>
      <c r="H316" s="102" t="s">
        <v>948</v>
      </c>
      <c r="I316" s="87" t="s">
        <v>75</v>
      </c>
      <c r="J316" s="74"/>
      <c r="K316" s="78" t="s">
        <v>23</v>
      </c>
      <c r="L316" s="16"/>
      <c r="M316" s="78" t="str">
        <f t="shared" si="4"/>
        <v>Spécifique Offre</v>
      </c>
      <c r="N316" s="103" t="s">
        <v>9</v>
      </c>
      <c r="O316" s="79" t="s">
        <v>9</v>
      </c>
      <c r="P316" s="80"/>
      <c r="Q316" s="78"/>
      <c r="R316" s="78"/>
      <c r="S316" s="81" t="s">
        <v>24</v>
      </c>
    </row>
    <row r="317" spans="1:19" ht="39" customHeight="1" outlineLevel="2" x14ac:dyDescent="0.25">
      <c r="A317" s="13" t="s">
        <v>949</v>
      </c>
      <c r="B317" s="14">
        <v>317</v>
      </c>
      <c r="C317" s="74" t="s">
        <v>35</v>
      </c>
      <c r="D317" s="74" t="s">
        <v>24</v>
      </c>
      <c r="E317" s="16"/>
      <c r="F317" s="102" t="s">
        <v>950</v>
      </c>
      <c r="G317" s="76" t="s">
        <v>114</v>
      </c>
      <c r="H317" s="136" t="s">
        <v>951</v>
      </c>
      <c r="I317" s="119" t="s">
        <v>116</v>
      </c>
      <c r="J317" s="74" t="s">
        <v>24</v>
      </c>
      <c r="K317" s="78" t="s">
        <v>23</v>
      </c>
      <c r="L317" s="16"/>
      <c r="M317" s="78" t="str">
        <f t="shared" si="4"/>
        <v>Spécifique Offre</v>
      </c>
      <c r="N317" s="79" t="s">
        <v>117</v>
      </c>
      <c r="O317" s="79" t="s">
        <v>9</v>
      </c>
      <c r="P317" s="80"/>
      <c r="Q317" s="78"/>
      <c r="R317" s="78"/>
      <c r="S317" s="81" t="s">
        <v>24</v>
      </c>
    </row>
    <row r="318" spans="1:19" ht="39" customHeight="1" outlineLevel="2" x14ac:dyDescent="0.25">
      <c r="A318" s="13" t="s">
        <v>952</v>
      </c>
      <c r="B318" s="14">
        <v>318</v>
      </c>
      <c r="C318" s="74" t="s">
        <v>35</v>
      </c>
      <c r="D318" s="74" t="s">
        <v>24</v>
      </c>
      <c r="E318" s="85"/>
      <c r="F318" s="102" t="s">
        <v>953</v>
      </c>
      <c r="G318" s="102" t="s">
        <v>37</v>
      </c>
      <c r="H318" s="102" t="s">
        <v>38</v>
      </c>
      <c r="I318" s="87" t="s">
        <v>75</v>
      </c>
      <c r="J318" s="74"/>
      <c r="K318" s="78" t="s">
        <v>23</v>
      </c>
      <c r="L318" s="16"/>
      <c r="M318" s="78" t="str">
        <f t="shared" si="4"/>
        <v>Spécifique Offre</v>
      </c>
      <c r="N318" s="103" t="s">
        <v>9</v>
      </c>
      <c r="O318" s="79" t="s">
        <v>9</v>
      </c>
      <c r="P318" s="16"/>
      <c r="Q318" s="78"/>
      <c r="R318" s="78"/>
      <c r="S318" s="81" t="s">
        <v>24</v>
      </c>
    </row>
    <row r="319" spans="1:19" ht="39" customHeight="1" outlineLevel="2" x14ac:dyDescent="0.25">
      <c r="A319" s="13" t="s">
        <v>954</v>
      </c>
      <c r="B319" s="14">
        <v>319</v>
      </c>
      <c r="C319" s="74" t="s">
        <v>35</v>
      </c>
      <c r="D319" s="74" t="s">
        <v>24</v>
      </c>
      <c r="E319" s="85"/>
      <c r="F319" s="102" t="s">
        <v>955</v>
      </c>
      <c r="G319" s="89" t="s">
        <v>48</v>
      </c>
      <c r="H319" s="102" t="s">
        <v>948</v>
      </c>
      <c r="I319" s="87" t="s">
        <v>75</v>
      </c>
      <c r="J319" s="74"/>
      <c r="K319" s="78" t="s">
        <v>23</v>
      </c>
      <c r="L319" s="16"/>
      <c r="M319" s="78" t="str">
        <f t="shared" si="4"/>
        <v>Spécifique Offre</v>
      </c>
      <c r="N319" s="103" t="s">
        <v>9</v>
      </c>
      <c r="O319" s="79" t="s">
        <v>9</v>
      </c>
      <c r="P319" s="80"/>
      <c r="Q319" s="78"/>
      <c r="R319" s="78"/>
      <c r="S319" s="81" t="s">
        <v>24</v>
      </c>
    </row>
    <row r="320" spans="1:19" ht="39" customHeight="1" outlineLevel="2" x14ac:dyDescent="0.25">
      <c r="A320" s="13" t="s">
        <v>956</v>
      </c>
      <c r="B320" s="14">
        <v>320</v>
      </c>
      <c r="C320" s="74" t="s">
        <v>35</v>
      </c>
      <c r="D320" s="74" t="s">
        <v>24</v>
      </c>
      <c r="E320" s="85"/>
      <c r="F320" s="102" t="s">
        <v>957</v>
      </c>
      <c r="G320" s="102" t="s">
        <v>54</v>
      </c>
      <c r="H320" s="102" t="s">
        <v>958</v>
      </c>
      <c r="I320" s="87" t="s">
        <v>75</v>
      </c>
      <c r="J320" s="74"/>
      <c r="K320" s="78" t="s">
        <v>23</v>
      </c>
      <c r="L320" s="16"/>
      <c r="M320" s="78" t="str">
        <f t="shared" si="4"/>
        <v>Spécifique Offre</v>
      </c>
      <c r="N320" s="103" t="s">
        <v>9</v>
      </c>
      <c r="O320" s="79" t="s">
        <v>9</v>
      </c>
      <c r="P320" s="16"/>
      <c r="Q320" s="78"/>
      <c r="R320" s="78"/>
      <c r="S320" s="81" t="s">
        <v>24</v>
      </c>
    </row>
    <row r="321" spans="1:19" ht="39" customHeight="1" outlineLevel="2" x14ac:dyDescent="0.25">
      <c r="A321" s="13" t="s">
        <v>959</v>
      </c>
      <c r="B321" s="14">
        <v>321</v>
      </c>
      <c r="C321" s="74" t="s">
        <v>35</v>
      </c>
      <c r="D321" s="74" t="s">
        <v>24</v>
      </c>
      <c r="E321" s="85"/>
      <c r="F321" s="102" t="s">
        <v>960</v>
      </c>
      <c r="G321" s="102" t="s">
        <v>54</v>
      </c>
      <c r="H321" s="102" t="s">
        <v>961</v>
      </c>
      <c r="I321" s="87" t="s">
        <v>75</v>
      </c>
      <c r="J321" s="74" t="s">
        <v>22</v>
      </c>
      <c r="K321" s="78" t="s">
        <v>23</v>
      </c>
      <c r="L321" s="16"/>
      <c r="M321" s="78" t="str">
        <f t="shared" ref="M321:M384" si="5">IF(OR(A321="",LEFT(A321,3)="ElT"),"",IF(AND(OR(C321="Titre",LEFT(I321,11)="Non concern",NOT(ISERROR(SEARCH("annex",G321,1)))),C321&lt;&gt;"Sp"),IF(D321="","Non concerné",IF(LEFT(D321,11)="non concern","Non concerné","Non conforme au standard")),IF(AND(C321="Sp",I321&lt;&gt;""),"Spécifique Offre",IF(AND(OR(C321="",D321=""),C321&lt;&gt;"Sp"),MessageStandardIncomplet,IF(I321="",ReponseNonSaisie,IF(S321="=",IF(I321=D321,"Conforme au standard",IF(I321=StandardNonApplicable,"Non concerné","Non conforme au standard")),IF(NOT(ISERROR(SEARCH(D321,I321,1))),"Conforme au standard",IF(I321=StandardNonApplicable,"Non concerné","Non conforme au standard"))))))))</f>
        <v>Spécifique Offre</v>
      </c>
      <c r="N321" s="103" t="s">
        <v>9</v>
      </c>
      <c r="O321" s="79" t="s">
        <v>9</v>
      </c>
      <c r="P321" s="80"/>
      <c r="Q321" s="78"/>
      <c r="R321" s="78"/>
      <c r="S321" s="81" t="s">
        <v>24</v>
      </c>
    </row>
    <row r="322" spans="1:19" ht="39" customHeight="1" outlineLevel="2" x14ac:dyDescent="0.25">
      <c r="A322" s="13" t="s">
        <v>962</v>
      </c>
      <c r="B322" s="14">
        <v>322</v>
      </c>
      <c r="C322" s="74" t="s">
        <v>35</v>
      </c>
      <c r="D322" s="74" t="s">
        <v>24</v>
      </c>
      <c r="E322" s="85"/>
      <c r="F322" s="102" t="s">
        <v>963</v>
      </c>
      <c r="G322" s="102" t="s">
        <v>37</v>
      </c>
      <c r="H322" s="102" t="s">
        <v>38</v>
      </c>
      <c r="I322" s="87" t="s">
        <v>75</v>
      </c>
      <c r="J322" s="74"/>
      <c r="K322" s="78" t="s">
        <v>23</v>
      </c>
      <c r="L322" s="16"/>
      <c r="M322" s="78" t="str">
        <f t="shared" si="5"/>
        <v>Spécifique Offre</v>
      </c>
      <c r="N322" s="103" t="s">
        <v>9</v>
      </c>
      <c r="O322" s="79" t="s">
        <v>9</v>
      </c>
      <c r="P322" s="16"/>
      <c r="Q322" s="78"/>
      <c r="R322" s="78"/>
      <c r="S322" s="81" t="s">
        <v>24</v>
      </c>
    </row>
    <row r="323" spans="1:19" ht="39" customHeight="1" outlineLevel="2" x14ac:dyDescent="0.25">
      <c r="A323" s="13" t="s">
        <v>964</v>
      </c>
      <c r="B323" s="14">
        <v>323</v>
      </c>
      <c r="C323" s="74" t="s">
        <v>35</v>
      </c>
      <c r="D323" s="74" t="s">
        <v>24</v>
      </c>
      <c r="E323" s="85"/>
      <c r="F323" s="102" t="s">
        <v>965</v>
      </c>
      <c r="G323" s="102" t="s">
        <v>37</v>
      </c>
      <c r="H323" s="102" t="s">
        <v>966</v>
      </c>
      <c r="I323" s="87" t="s">
        <v>75</v>
      </c>
      <c r="J323" s="74"/>
      <c r="K323" s="78" t="s">
        <v>23</v>
      </c>
      <c r="L323" s="16"/>
      <c r="M323" s="78" t="str">
        <f t="shared" si="5"/>
        <v>Spécifique Offre</v>
      </c>
      <c r="N323" s="103" t="s">
        <v>9</v>
      </c>
      <c r="O323" s="79" t="s">
        <v>9</v>
      </c>
      <c r="P323" s="80"/>
      <c r="Q323" s="78"/>
      <c r="R323" s="78"/>
      <c r="S323" s="81" t="s">
        <v>24</v>
      </c>
    </row>
    <row r="324" spans="1:19" ht="39" customHeight="1" outlineLevel="2" x14ac:dyDescent="0.25">
      <c r="A324" s="13" t="s">
        <v>967</v>
      </c>
      <c r="B324" s="14">
        <v>324</v>
      </c>
      <c r="C324" s="74" t="s">
        <v>35</v>
      </c>
      <c r="D324" s="74" t="s">
        <v>24</v>
      </c>
      <c r="E324" s="85"/>
      <c r="F324" s="102" t="s">
        <v>968</v>
      </c>
      <c r="G324" s="102" t="s">
        <v>37</v>
      </c>
      <c r="H324" s="102" t="s">
        <v>38</v>
      </c>
      <c r="I324" s="87" t="s">
        <v>75</v>
      </c>
      <c r="J324" s="74"/>
      <c r="K324" s="78" t="s">
        <v>23</v>
      </c>
      <c r="L324" s="16"/>
      <c r="M324" s="78" t="str">
        <f t="shared" si="5"/>
        <v>Spécifique Offre</v>
      </c>
      <c r="N324" s="103" t="s">
        <v>9</v>
      </c>
      <c r="O324" s="79" t="s">
        <v>9</v>
      </c>
      <c r="P324" s="16"/>
      <c r="Q324" s="78"/>
      <c r="R324" s="78"/>
      <c r="S324" s="81" t="s">
        <v>24</v>
      </c>
    </row>
    <row r="325" spans="1:19" ht="39" customHeight="1" outlineLevel="2" x14ac:dyDescent="0.25">
      <c r="A325" s="13" t="s">
        <v>969</v>
      </c>
      <c r="B325" s="14">
        <v>325</v>
      </c>
      <c r="C325" s="74" t="s">
        <v>35</v>
      </c>
      <c r="D325" s="74" t="s">
        <v>24</v>
      </c>
      <c r="E325" s="85"/>
      <c r="F325" s="102" t="s">
        <v>970</v>
      </c>
      <c r="G325" s="89" t="s">
        <v>48</v>
      </c>
      <c r="H325" s="102" t="s">
        <v>948</v>
      </c>
      <c r="I325" s="87" t="s">
        <v>75</v>
      </c>
      <c r="J325" s="74"/>
      <c r="K325" s="78" t="s">
        <v>23</v>
      </c>
      <c r="L325" s="16"/>
      <c r="M325" s="78" t="str">
        <f t="shared" si="5"/>
        <v>Spécifique Offre</v>
      </c>
      <c r="N325" s="103" t="s">
        <v>9</v>
      </c>
      <c r="O325" s="79" t="s">
        <v>9</v>
      </c>
      <c r="P325" s="80"/>
      <c r="Q325" s="78"/>
      <c r="R325" s="78"/>
      <c r="S325" s="81" t="s">
        <v>24</v>
      </c>
    </row>
    <row r="326" spans="1:19" ht="39" customHeight="1" outlineLevel="2" x14ac:dyDescent="0.25">
      <c r="A326" s="13" t="s">
        <v>971</v>
      </c>
      <c r="B326" s="14">
        <v>326</v>
      </c>
      <c r="C326" s="74" t="s">
        <v>35</v>
      </c>
      <c r="D326" s="74" t="s">
        <v>24</v>
      </c>
      <c r="E326" s="85"/>
      <c r="F326" s="102" t="s">
        <v>972</v>
      </c>
      <c r="G326" s="102" t="s">
        <v>54</v>
      </c>
      <c r="H326" s="102" t="s">
        <v>973</v>
      </c>
      <c r="I326" s="87" t="s">
        <v>75</v>
      </c>
      <c r="J326" s="74" t="s">
        <v>22</v>
      </c>
      <c r="K326" s="78" t="s">
        <v>23</v>
      </c>
      <c r="L326" s="16"/>
      <c r="M326" s="78" t="str">
        <f t="shared" si="5"/>
        <v>Spécifique Offre</v>
      </c>
      <c r="N326" s="103" t="s">
        <v>9</v>
      </c>
      <c r="O326" s="79" t="s">
        <v>9</v>
      </c>
      <c r="P326" s="16"/>
      <c r="Q326" s="78"/>
      <c r="R326" s="78"/>
      <c r="S326" s="81" t="s">
        <v>24</v>
      </c>
    </row>
    <row r="327" spans="1:19" ht="39" customHeight="1" outlineLevel="2" x14ac:dyDescent="0.25">
      <c r="A327" s="13" t="s">
        <v>974</v>
      </c>
      <c r="B327" s="14">
        <v>327</v>
      </c>
      <c r="C327" s="74" t="s">
        <v>35</v>
      </c>
      <c r="D327" s="74" t="s">
        <v>24</v>
      </c>
      <c r="E327" s="85"/>
      <c r="F327" s="102" t="s">
        <v>975</v>
      </c>
      <c r="G327" s="102" t="s">
        <v>37</v>
      </c>
      <c r="H327" s="102" t="s">
        <v>976</v>
      </c>
      <c r="I327" s="87" t="s">
        <v>75</v>
      </c>
      <c r="J327" s="74"/>
      <c r="K327" s="78" t="s">
        <v>23</v>
      </c>
      <c r="L327" s="16"/>
      <c r="M327" s="78" t="str">
        <f t="shared" si="5"/>
        <v>Spécifique Offre</v>
      </c>
      <c r="N327" s="103" t="s">
        <v>9</v>
      </c>
      <c r="O327" s="79" t="s">
        <v>9</v>
      </c>
      <c r="P327" s="80"/>
      <c r="Q327" s="78"/>
      <c r="R327" s="78"/>
      <c r="S327" s="81" t="s">
        <v>24</v>
      </c>
    </row>
    <row r="328" spans="1:19" ht="39" customHeight="1" outlineLevel="2" x14ac:dyDescent="0.25">
      <c r="A328" s="13" t="s">
        <v>977</v>
      </c>
      <c r="B328" s="14">
        <v>328</v>
      </c>
      <c r="C328" s="74" t="s">
        <v>35</v>
      </c>
      <c r="D328" s="74" t="s">
        <v>24</v>
      </c>
      <c r="E328" s="85"/>
      <c r="F328" s="102" t="s">
        <v>978</v>
      </c>
      <c r="G328" s="102" t="s">
        <v>54</v>
      </c>
      <c r="H328" s="102" t="s">
        <v>979</v>
      </c>
      <c r="I328" s="87" t="s">
        <v>75</v>
      </c>
      <c r="J328" s="74"/>
      <c r="K328" s="78" t="s">
        <v>23</v>
      </c>
      <c r="L328" s="16"/>
      <c r="M328" s="78" t="str">
        <f t="shared" si="5"/>
        <v>Spécifique Offre</v>
      </c>
      <c r="N328" s="103" t="s">
        <v>9</v>
      </c>
      <c r="O328" s="79" t="s">
        <v>9</v>
      </c>
      <c r="P328" s="16"/>
      <c r="Q328" s="78"/>
      <c r="R328" s="78"/>
      <c r="S328" s="81" t="s">
        <v>24</v>
      </c>
    </row>
    <row r="329" spans="1:19" ht="39" customHeight="1" outlineLevel="2" x14ac:dyDescent="0.25">
      <c r="A329" s="13" t="s">
        <v>980</v>
      </c>
      <c r="B329" s="14">
        <v>329</v>
      </c>
      <c r="C329" s="74" t="s">
        <v>35</v>
      </c>
      <c r="D329" s="74" t="s">
        <v>24</v>
      </c>
      <c r="E329" s="85"/>
      <c r="F329" s="102" t="s">
        <v>981</v>
      </c>
      <c r="G329" s="102" t="s">
        <v>37</v>
      </c>
      <c r="H329" s="102" t="s">
        <v>982</v>
      </c>
      <c r="I329" s="87" t="s">
        <v>75</v>
      </c>
      <c r="J329" s="74" t="s">
        <v>22</v>
      </c>
      <c r="K329" s="78" t="s">
        <v>23</v>
      </c>
      <c r="L329" s="16"/>
      <c r="M329" s="78" t="str">
        <f t="shared" si="5"/>
        <v>Spécifique Offre</v>
      </c>
      <c r="N329" s="103" t="s">
        <v>9</v>
      </c>
      <c r="O329" s="79" t="s">
        <v>9</v>
      </c>
      <c r="P329" s="80"/>
      <c r="Q329" s="78"/>
      <c r="R329" s="78"/>
      <c r="S329" s="81" t="s">
        <v>24</v>
      </c>
    </row>
    <row r="330" spans="1:19" ht="39" customHeight="1" outlineLevel="2" x14ac:dyDescent="0.25">
      <c r="A330" s="13" t="s">
        <v>983</v>
      </c>
      <c r="B330" s="14">
        <v>330</v>
      </c>
      <c r="C330" s="74" t="s">
        <v>35</v>
      </c>
      <c r="D330" s="74" t="s">
        <v>24</v>
      </c>
      <c r="E330" s="85"/>
      <c r="F330" s="102" t="s">
        <v>984</v>
      </c>
      <c r="G330" s="102" t="s">
        <v>37</v>
      </c>
      <c r="H330" s="102" t="s">
        <v>976</v>
      </c>
      <c r="I330" s="87" t="s">
        <v>75</v>
      </c>
      <c r="J330" s="74"/>
      <c r="K330" s="78" t="s">
        <v>23</v>
      </c>
      <c r="L330" s="16"/>
      <c r="M330" s="78" t="str">
        <f t="shared" si="5"/>
        <v>Spécifique Offre</v>
      </c>
      <c r="N330" s="103" t="s">
        <v>9</v>
      </c>
      <c r="O330" s="79" t="s">
        <v>9</v>
      </c>
      <c r="P330" s="16"/>
      <c r="Q330" s="78"/>
      <c r="R330" s="78"/>
      <c r="S330" s="81" t="s">
        <v>24</v>
      </c>
    </row>
    <row r="331" spans="1:19" ht="39" customHeight="1" outlineLevel="2" x14ac:dyDescent="0.25">
      <c r="A331" s="13" t="s">
        <v>985</v>
      </c>
      <c r="B331" s="14">
        <v>331</v>
      </c>
      <c r="C331" s="74" t="s">
        <v>19</v>
      </c>
      <c r="D331" s="74" t="s">
        <v>46</v>
      </c>
      <c r="E331" s="85"/>
      <c r="F331" s="102" t="s">
        <v>986</v>
      </c>
      <c r="G331" s="76" t="s">
        <v>64</v>
      </c>
      <c r="H331" s="76" t="s">
        <v>987</v>
      </c>
      <c r="I331" s="87" t="s">
        <v>46</v>
      </c>
      <c r="J331" s="74" t="s">
        <v>22</v>
      </c>
      <c r="K331" s="78" t="s">
        <v>23</v>
      </c>
      <c r="L331" s="16"/>
      <c r="M331" s="78" t="str">
        <f t="shared" si="5"/>
        <v>Non concerné</v>
      </c>
      <c r="N331" s="103" t="s">
        <v>9</v>
      </c>
      <c r="O331" s="79" t="s">
        <v>9</v>
      </c>
      <c r="P331" s="16"/>
      <c r="Q331" s="78"/>
      <c r="R331" s="78"/>
      <c r="S331" s="23" t="s">
        <v>24</v>
      </c>
    </row>
    <row r="332" spans="1:19" ht="39" customHeight="1" outlineLevel="2" x14ac:dyDescent="0.25">
      <c r="A332" s="13" t="s">
        <v>988</v>
      </c>
      <c r="B332" s="14">
        <v>332</v>
      </c>
      <c r="C332" s="74" t="s">
        <v>35</v>
      </c>
      <c r="D332" s="74" t="s">
        <v>24</v>
      </c>
      <c r="E332" s="85"/>
      <c r="F332" s="102" t="s">
        <v>989</v>
      </c>
      <c r="G332" s="102" t="s">
        <v>64</v>
      </c>
      <c r="H332" s="76" t="s">
        <v>990</v>
      </c>
      <c r="I332" s="87" t="s">
        <v>24</v>
      </c>
      <c r="J332" s="74" t="s">
        <v>22</v>
      </c>
      <c r="K332" s="78"/>
      <c r="L332" s="16"/>
      <c r="M332" s="78" t="str">
        <f t="shared" si="5"/>
        <v>Renseigner la réponse DCO</v>
      </c>
      <c r="N332" s="103" t="s">
        <v>9</v>
      </c>
      <c r="O332" s="79" t="s">
        <v>9</v>
      </c>
      <c r="P332" s="16"/>
      <c r="Q332" s="78"/>
      <c r="R332" s="78"/>
      <c r="S332" s="81" t="s">
        <v>24</v>
      </c>
    </row>
    <row r="333" spans="1:19" ht="39" customHeight="1" outlineLevel="2" x14ac:dyDescent="0.25">
      <c r="A333" s="13" t="s">
        <v>991</v>
      </c>
      <c r="B333" s="14">
        <v>333</v>
      </c>
      <c r="C333" s="74" t="s">
        <v>35</v>
      </c>
      <c r="D333" s="74" t="s">
        <v>24</v>
      </c>
      <c r="E333" s="85"/>
      <c r="F333" s="102" t="s">
        <v>992</v>
      </c>
      <c r="G333" s="89" t="s">
        <v>48</v>
      </c>
      <c r="H333" s="185" t="s">
        <v>993</v>
      </c>
      <c r="I333" s="87" t="s">
        <v>75</v>
      </c>
      <c r="J333" s="74" t="s">
        <v>24</v>
      </c>
      <c r="K333" s="78" t="s">
        <v>23</v>
      </c>
      <c r="L333" s="16"/>
      <c r="M333" s="78" t="str">
        <f t="shared" si="5"/>
        <v>Spécifique Offre</v>
      </c>
      <c r="N333" s="103" t="s">
        <v>9</v>
      </c>
      <c r="O333" s="79" t="s">
        <v>9</v>
      </c>
      <c r="P333" s="80"/>
      <c r="Q333" s="78"/>
      <c r="R333" s="78"/>
      <c r="S333" s="81" t="s">
        <v>24</v>
      </c>
    </row>
    <row r="334" spans="1:19" ht="39" customHeight="1" outlineLevel="2" x14ac:dyDescent="0.25">
      <c r="A334" s="13" t="s">
        <v>994</v>
      </c>
      <c r="B334" s="14">
        <v>334</v>
      </c>
      <c r="C334" s="15" t="s">
        <v>35</v>
      </c>
      <c r="D334" s="15" t="s">
        <v>24</v>
      </c>
      <c r="E334" s="16"/>
      <c r="F334" s="88" t="s">
        <v>995</v>
      </c>
      <c r="G334" s="73" t="s">
        <v>64</v>
      </c>
      <c r="H334" s="97" t="s">
        <v>996</v>
      </c>
      <c r="I334" s="19" t="s">
        <v>75</v>
      </c>
      <c r="J334" s="71" t="s">
        <v>22</v>
      </c>
      <c r="K334" s="20" t="s">
        <v>23</v>
      </c>
      <c r="L334" s="16"/>
      <c r="M334" s="20" t="str">
        <f t="shared" si="5"/>
        <v>Spécifique Offre</v>
      </c>
      <c r="N334" s="92" t="s">
        <v>9</v>
      </c>
      <c r="O334" s="22" t="s">
        <v>9</v>
      </c>
      <c r="P334" s="16"/>
      <c r="Q334" s="20"/>
      <c r="R334" s="20"/>
      <c r="S334" s="23" t="s">
        <v>24</v>
      </c>
    </row>
    <row r="335" spans="1:19" ht="39" customHeight="1" outlineLevel="2" x14ac:dyDescent="0.25">
      <c r="A335" s="13" t="s">
        <v>997</v>
      </c>
      <c r="B335" s="14">
        <v>335</v>
      </c>
      <c r="C335" s="74" t="s">
        <v>35</v>
      </c>
      <c r="D335" s="74" t="s">
        <v>24</v>
      </c>
      <c r="E335" s="16"/>
      <c r="F335" s="102" t="s">
        <v>318</v>
      </c>
      <c r="G335" s="76" t="s">
        <v>114</v>
      </c>
      <c r="H335" s="136" t="s">
        <v>115</v>
      </c>
      <c r="I335" s="119" t="s">
        <v>116</v>
      </c>
      <c r="J335" s="74" t="s">
        <v>24</v>
      </c>
      <c r="K335" s="78" t="s">
        <v>23</v>
      </c>
      <c r="L335" s="16"/>
      <c r="M335" s="78" t="str">
        <f t="shared" si="5"/>
        <v>Spécifique Offre</v>
      </c>
      <c r="N335" s="79" t="s">
        <v>117</v>
      </c>
      <c r="O335" s="79" t="s">
        <v>9</v>
      </c>
      <c r="P335" s="80"/>
      <c r="Q335" s="78"/>
      <c r="R335" s="78"/>
      <c r="S335" s="81" t="s">
        <v>24</v>
      </c>
    </row>
    <row r="336" spans="1:19" ht="39" customHeight="1" outlineLevel="2" x14ac:dyDescent="0.25">
      <c r="A336" s="142" t="s">
        <v>998</v>
      </c>
      <c r="B336" s="14">
        <v>336</v>
      </c>
      <c r="C336" s="143" t="s">
        <v>30</v>
      </c>
      <c r="D336" s="144" t="s">
        <v>24</v>
      </c>
      <c r="E336" s="16"/>
      <c r="F336" s="186" t="s">
        <v>999</v>
      </c>
      <c r="G336" s="156"/>
      <c r="H336" s="147"/>
      <c r="I336" s="148" t="s">
        <v>24</v>
      </c>
      <c r="J336" s="147" t="s">
        <v>24</v>
      </c>
      <c r="K336" s="149"/>
      <c r="L336" s="16"/>
      <c r="M336" s="149" t="str">
        <f t="shared" si="5"/>
        <v/>
      </c>
      <c r="N336" s="149" t="s">
        <v>9</v>
      </c>
      <c r="O336" s="149" t="s">
        <v>9</v>
      </c>
      <c r="P336" s="16"/>
      <c r="Q336" s="149"/>
      <c r="R336" s="149"/>
      <c r="S336" s="150" t="s">
        <v>24</v>
      </c>
    </row>
    <row r="337" spans="1:19" ht="39" customHeight="1" outlineLevel="2" x14ac:dyDescent="0.25">
      <c r="A337" s="13" t="s">
        <v>1000</v>
      </c>
      <c r="B337" s="14">
        <v>337</v>
      </c>
      <c r="C337" s="15" t="s">
        <v>51</v>
      </c>
      <c r="D337" s="71" t="s">
        <v>1001</v>
      </c>
      <c r="E337" s="16"/>
      <c r="F337" s="88" t="s">
        <v>1002</v>
      </c>
      <c r="G337" s="73" t="s">
        <v>64</v>
      </c>
      <c r="H337" s="97" t="s">
        <v>1003</v>
      </c>
      <c r="I337" s="19" t="s">
        <v>1001</v>
      </c>
      <c r="J337" s="71" t="s">
        <v>22</v>
      </c>
      <c r="K337" s="20"/>
      <c r="L337" s="16"/>
      <c r="M337" s="20" t="str">
        <f t="shared" si="5"/>
        <v>Conforme au standard</v>
      </c>
      <c r="N337" s="92" t="s">
        <v>9</v>
      </c>
      <c r="O337" s="22" t="s">
        <v>9</v>
      </c>
      <c r="P337" s="16"/>
      <c r="Q337" s="20"/>
      <c r="R337" s="20"/>
      <c r="S337" s="23" t="s">
        <v>24</v>
      </c>
    </row>
    <row r="338" spans="1:19" ht="39" customHeight="1" outlineLevel="2" x14ac:dyDescent="0.25">
      <c r="A338" s="13" t="s">
        <v>1004</v>
      </c>
      <c r="B338" s="14">
        <v>338</v>
      </c>
      <c r="C338" s="15" t="s">
        <v>19</v>
      </c>
      <c r="D338" s="15" t="s">
        <v>1005</v>
      </c>
      <c r="E338" s="82"/>
      <c r="F338" s="96" t="s">
        <v>1006</v>
      </c>
      <c r="G338" s="97" t="s">
        <v>64</v>
      </c>
      <c r="H338" s="187" t="s">
        <v>1007</v>
      </c>
      <c r="I338" s="19" t="s">
        <v>1005</v>
      </c>
      <c r="J338" s="15" t="s">
        <v>22</v>
      </c>
      <c r="K338" s="20"/>
      <c r="L338" s="16"/>
      <c r="M338" s="20" t="str">
        <f t="shared" si="5"/>
        <v>Conforme au standard</v>
      </c>
      <c r="N338" s="22" t="s">
        <v>9</v>
      </c>
      <c r="O338" s="22" t="s">
        <v>9</v>
      </c>
      <c r="P338" s="16"/>
      <c r="Q338" s="20"/>
      <c r="R338" s="20"/>
      <c r="S338" s="23" t="s">
        <v>24</v>
      </c>
    </row>
    <row r="339" spans="1:19" ht="39" customHeight="1" outlineLevel="2" x14ac:dyDescent="0.25">
      <c r="A339" s="13" t="s">
        <v>1008</v>
      </c>
      <c r="B339" s="14">
        <v>339</v>
      </c>
      <c r="C339" s="74" t="s">
        <v>19</v>
      </c>
      <c r="D339" s="74" t="s">
        <v>46</v>
      </c>
      <c r="E339" s="16"/>
      <c r="F339" s="102" t="s">
        <v>1009</v>
      </c>
      <c r="G339" s="76" t="s">
        <v>37</v>
      </c>
      <c r="H339" s="76" t="s">
        <v>38</v>
      </c>
      <c r="I339" s="87" t="s">
        <v>46</v>
      </c>
      <c r="J339" s="74" t="s">
        <v>24</v>
      </c>
      <c r="K339" s="78" t="s">
        <v>23</v>
      </c>
      <c r="L339" s="16"/>
      <c r="M339" s="78" t="str">
        <f t="shared" si="5"/>
        <v>Non concerné</v>
      </c>
      <c r="N339" s="79" t="s">
        <v>9</v>
      </c>
      <c r="O339" s="79" t="s">
        <v>9</v>
      </c>
      <c r="P339" s="80"/>
      <c r="Q339" s="78"/>
      <c r="R339" s="78"/>
      <c r="S339" s="81" t="s">
        <v>24</v>
      </c>
    </row>
    <row r="340" spans="1:19" ht="39" customHeight="1" outlineLevel="2" x14ac:dyDescent="0.25">
      <c r="A340" s="142" t="s">
        <v>1010</v>
      </c>
      <c r="B340" s="14">
        <v>340</v>
      </c>
      <c r="C340" s="143" t="s">
        <v>30</v>
      </c>
      <c r="D340" s="144" t="s">
        <v>24</v>
      </c>
      <c r="E340" s="16"/>
      <c r="F340" s="186" t="s">
        <v>1011</v>
      </c>
      <c r="G340" s="156"/>
      <c r="H340" s="147"/>
      <c r="I340" s="148" t="s">
        <v>24</v>
      </c>
      <c r="J340" s="147" t="s">
        <v>24</v>
      </c>
      <c r="K340" s="149"/>
      <c r="L340" s="16"/>
      <c r="M340" s="149" t="str">
        <f t="shared" si="5"/>
        <v/>
      </c>
      <c r="N340" s="149" t="s">
        <v>9</v>
      </c>
      <c r="O340" s="149" t="s">
        <v>9</v>
      </c>
      <c r="P340" s="16"/>
      <c r="Q340" s="149"/>
      <c r="R340" s="149"/>
      <c r="S340" s="150" t="s">
        <v>24</v>
      </c>
    </row>
    <row r="341" spans="1:19" ht="39" customHeight="1" outlineLevel="2" x14ac:dyDescent="0.25">
      <c r="A341" s="13" t="s">
        <v>1012</v>
      </c>
      <c r="B341" s="14">
        <v>341</v>
      </c>
      <c r="C341" s="15" t="s">
        <v>19</v>
      </c>
      <c r="D341" s="15" t="s">
        <v>46</v>
      </c>
      <c r="E341" s="16"/>
      <c r="F341" s="88" t="s">
        <v>1013</v>
      </c>
      <c r="G341" s="73" t="s">
        <v>64</v>
      </c>
      <c r="H341" s="97" t="s">
        <v>1014</v>
      </c>
      <c r="I341" s="19" t="s">
        <v>46</v>
      </c>
      <c r="J341" s="71" t="s">
        <v>22</v>
      </c>
      <c r="K341" s="20" t="s">
        <v>23</v>
      </c>
      <c r="L341" s="16"/>
      <c r="M341" s="20" t="str">
        <f t="shared" si="5"/>
        <v>Non concerné</v>
      </c>
      <c r="N341" s="92" t="s">
        <v>9</v>
      </c>
      <c r="O341" s="22" t="s">
        <v>9</v>
      </c>
      <c r="P341" s="16"/>
      <c r="Q341" s="20"/>
      <c r="R341" s="20"/>
      <c r="S341" s="23" t="s">
        <v>24</v>
      </c>
    </row>
    <row r="342" spans="1:19" ht="39" customHeight="1" outlineLevel="2" x14ac:dyDescent="0.25">
      <c r="A342" s="13" t="s">
        <v>1015</v>
      </c>
      <c r="B342" s="14">
        <v>342</v>
      </c>
      <c r="C342" s="74" t="s">
        <v>51</v>
      </c>
      <c r="D342" s="74" t="s">
        <v>1016</v>
      </c>
      <c r="E342" s="85"/>
      <c r="F342" s="102" t="s">
        <v>1017</v>
      </c>
      <c r="G342" s="102" t="s">
        <v>54</v>
      </c>
      <c r="H342" s="76" t="s">
        <v>1018</v>
      </c>
      <c r="I342" s="87" t="s">
        <v>179</v>
      </c>
      <c r="J342" s="74"/>
      <c r="K342" s="78" t="s">
        <v>23</v>
      </c>
      <c r="L342" s="16"/>
      <c r="M342" s="78" t="str">
        <f t="shared" si="5"/>
        <v>Non concerné</v>
      </c>
      <c r="N342" s="103" t="s">
        <v>9</v>
      </c>
      <c r="O342" s="79" t="s">
        <v>9</v>
      </c>
      <c r="P342" s="16"/>
      <c r="Q342" s="78"/>
      <c r="R342" s="78"/>
      <c r="S342" s="81" t="s">
        <v>24</v>
      </c>
    </row>
    <row r="343" spans="1:19" ht="39" customHeight="1" outlineLevel="2" x14ac:dyDescent="0.25">
      <c r="A343" s="13" t="s">
        <v>1019</v>
      </c>
      <c r="B343" s="14">
        <v>343</v>
      </c>
      <c r="C343" s="74" t="s">
        <v>35</v>
      </c>
      <c r="D343" s="74" t="s">
        <v>24</v>
      </c>
      <c r="E343" s="16"/>
      <c r="F343" s="102" t="s">
        <v>1020</v>
      </c>
      <c r="G343" s="76" t="s">
        <v>37</v>
      </c>
      <c r="H343" s="118" t="s">
        <v>1021</v>
      </c>
      <c r="I343" s="87" t="s">
        <v>75</v>
      </c>
      <c r="J343" s="74" t="s">
        <v>24</v>
      </c>
      <c r="K343" s="78" t="s">
        <v>23</v>
      </c>
      <c r="L343" s="16"/>
      <c r="M343" s="78" t="str">
        <f t="shared" si="5"/>
        <v>Spécifique Offre</v>
      </c>
      <c r="N343" s="79" t="s">
        <v>9</v>
      </c>
      <c r="O343" s="79" t="s">
        <v>9</v>
      </c>
      <c r="P343" s="80"/>
      <c r="Q343" s="78"/>
      <c r="R343" s="78"/>
      <c r="S343" s="81" t="s">
        <v>24</v>
      </c>
    </row>
    <row r="344" spans="1:19" ht="39" customHeight="1" outlineLevel="2" x14ac:dyDescent="0.25">
      <c r="A344" s="13" t="s">
        <v>1022</v>
      </c>
      <c r="B344" s="14">
        <v>344</v>
      </c>
      <c r="C344" s="74" t="s">
        <v>51</v>
      </c>
      <c r="D344" s="74" t="s">
        <v>1023</v>
      </c>
      <c r="E344" s="16"/>
      <c r="F344" s="102" t="s">
        <v>1024</v>
      </c>
      <c r="G344" s="76" t="s">
        <v>64</v>
      </c>
      <c r="H344" s="76" t="s">
        <v>1025</v>
      </c>
      <c r="I344" s="87" t="s">
        <v>179</v>
      </c>
      <c r="J344" s="74" t="s">
        <v>24</v>
      </c>
      <c r="K344" s="78" t="s">
        <v>23</v>
      </c>
      <c r="L344" s="16"/>
      <c r="M344" s="78" t="str">
        <f t="shared" si="5"/>
        <v>Non concerné</v>
      </c>
      <c r="N344" s="79" t="s">
        <v>9</v>
      </c>
      <c r="O344" s="79" t="s">
        <v>9</v>
      </c>
      <c r="P344" s="80"/>
      <c r="Q344" s="78"/>
      <c r="R344" s="78"/>
      <c r="S344" s="81" t="s">
        <v>24</v>
      </c>
    </row>
    <row r="345" spans="1:19" ht="39" customHeight="1" outlineLevel="2" x14ac:dyDescent="0.25">
      <c r="A345" s="142" t="s">
        <v>1026</v>
      </c>
      <c r="B345" s="14">
        <v>345</v>
      </c>
      <c r="C345" s="143" t="s">
        <v>30</v>
      </c>
      <c r="D345" s="144" t="s">
        <v>24</v>
      </c>
      <c r="E345" s="16"/>
      <c r="F345" s="186" t="s">
        <v>1027</v>
      </c>
      <c r="G345" s="156"/>
      <c r="H345" s="147"/>
      <c r="I345" s="148" t="s">
        <v>24</v>
      </c>
      <c r="J345" s="147" t="s">
        <v>24</v>
      </c>
      <c r="K345" s="149"/>
      <c r="L345" s="16"/>
      <c r="M345" s="149" t="str">
        <f t="shared" si="5"/>
        <v/>
      </c>
      <c r="N345" s="149" t="s">
        <v>9</v>
      </c>
      <c r="O345" s="149" t="s">
        <v>9</v>
      </c>
      <c r="P345" s="16"/>
      <c r="Q345" s="149"/>
      <c r="R345" s="149"/>
      <c r="S345" s="150" t="s">
        <v>24</v>
      </c>
    </row>
    <row r="346" spans="1:19" ht="39" customHeight="1" outlineLevel="2" x14ac:dyDescent="0.25">
      <c r="A346" s="13" t="s">
        <v>1028</v>
      </c>
      <c r="B346" s="14">
        <v>346</v>
      </c>
      <c r="C346" s="15" t="s">
        <v>51</v>
      </c>
      <c r="D346" s="15" t="s">
        <v>1029</v>
      </c>
      <c r="E346" s="16"/>
      <c r="F346" s="88" t="s">
        <v>1030</v>
      </c>
      <c r="G346" s="73" t="s">
        <v>290</v>
      </c>
      <c r="H346" s="84" t="s">
        <v>1031</v>
      </c>
      <c r="I346" s="19" t="s">
        <v>1029</v>
      </c>
      <c r="J346" s="71" t="s">
        <v>22</v>
      </c>
      <c r="K346" s="20"/>
      <c r="L346" s="16"/>
      <c r="M346" s="20" t="str">
        <f t="shared" si="5"/>
        <v>Conforme au standard</v>
      </c>
      <c r="N346" s="92" t="s">
        <v>9</v>
      </c>
      <c r="O346" s="22" t="s">
        <v>9</v>
      </c>
      <c r="P346" s="16"/>
      <c r="Q346" s="20"/>
      <c r="R346" s="20"/>
      <c r="S346" s="23" t="s">
        <v>24</v>
      </c>
    </row>
    <row r="347" spans="1:19" ht="39" customHeight="1" outlineLevel="2" x14ac:dyDescent="0.25">
      <c r="A347" s="13" t="s">
        <v>1032</v>
      </c>
      <c r="B347" s="14">
        <v>347</v>
      </c>
      <c r="C347" s="74" t="s">
        <v>51</v>
      </c>
      <c r="D347" s="188" t="s">
        <v>1033</v>
      </c>
      <c r="E347" s="16"/>
      <c r="F347" s="102" t="s">
        <v>1034</v>
      </c>
      <c r="G347" s="102" t="s">
        <v>54</v>
      </c>
      <c r="H347" s="76" t="s">
        <v>1035</v>
      </c>
      <c r="I347" s="87" t="s">
        <v>1033</v>
      </c>
      <c r="J347" s="74" t="s">
        <v>22</v>
      </c>
      <c r="K347" s="78"/>
      <c r="L347" s="16"/>
      <c r="M347" s="78" t="str">
        <f t="shared" si="5"/>
        <v>Conforme au standard</v>
      </c>
      <c r="N347" s="79" t="s">
        <v>9</v>
      </c>
      <c r="O347" s="79" t="s">
        <v>9</v>
      </c>
      <c r="P347" s="80"/>
      <c r="Q347" s="78"/>
      <c r="R347" s="78"/>
      <c r="S347" s="81" t="s">
        <v>24</v>
      </c>
    </row>
    <row r="348" spans="1:19" ht="39" customHeight="1" outlineLevel="2" x14ac:dyDescent="0.25">
      <c r="A348" s="13" t="s">
        <v>1036</v>
      </c>
      <c r="B348" s="14">
        <v>348</v>
      </c>
      <c r="C348" s="74" t="s">
        <v>35</v>
      </c>
      <c r="D348" s="188" t="s">
        <v>24</v>
      </c>
      <c r="E348" s="16"/>
      <c r="F348" s="102" t="s">
        <v>1037</v>
      </c>
      <c r="G348" s="76" t="s">
        <v>37</v>
      </c>
      <c r="H348" s="76" t="s">
        <v>38</v>
      </c>
      <c r="I348" s="189" t="s">
        <v>75</v>
      </c>
      <c r="J348" s="74"/>
      <c r="K348" s="78" t="s">
        <v>23</v>
      </c>
      <c r="L348" s="16"/>
      <c r="M348" s="78" t="str">
        <f t="shared" si="5"/>
        <v>Spécifique Offre</v>
      </c>
      <c r="N348" s="79" t="s">
        <v>9</v>
      </c>
      <c r="O348" s="79" t="s">
        <v>9</v>
      </c>
      <c r="P348" s="80"/>
      <c r="Q348" s="78"/>
      <c r="R348" s="78"/>
      <c r="S348" s="81" t="s">
        <v>24</v>
      </c>
    </row>
    <row r="349" spans="1:19" ht="39" customHeight="1" outlineLevel="2" x14ac:dyDescent="0.25">
      <c r="A349" s="13" t="s">
        <v>1038</v>
      </c>
      <c r="B349" s="14">
        <v>349</v>
      </c>
      <c r="C349" s="74" t="s">
        <v>51</v>
      </c>
      <c r="D349" s="74" t="s">
        <v>1039</v>
      </c>
      <c r="E349" s="16"/>
      <c r="F349" s="102" t="s">
        <v>1040</v>
      </c>
      <c r="G349" s="134" t="s">
        <v>48</v>
      </c>
      <c r="H349" s="118" t="s">
        <v>1041</v>
      </c>
      <c r="I349" s="190" t="s">
        <v>1039</v>
      </c>
      <c r="J349" s="74" t="s">
        <v>24</v>
      </c>
      <c r="K349" s="78"/>
      <c r="L349" s="16"/>
      <c r="M349" s="78" t="str">
        <f t="shared" si="5"/>
        <v>Conforme au standard</v>
      </c>
      <c r="N349" s="79" t="s">
        <v>9</v>
      </c>
      <c r="O349" s="79" t="s">
        <v>9</v>
      </c>
      <c r="P349" s="80"/>
      <c r="Q349" s="78"/>
      <c r="R349" s="78"/>
      <c r="S349" s="81" t="s">
        <v>44</v>
      </c>
    </row>
    <row r="350" spans="1:19" ht="39" customHeight="1" outlineLevel="2" x14ac:dyDescent="0.25">
      <c r="A350" s="13" t="s">
        <v>1042</v>
      </c>
      <c r="B350" s="14">
        <v>350</v>
      </c>
      <c r="C350" s="74" t="s">
        <v>51</v>
      </c>
      <c r="D350" s="74" t="s">
        <v>1043</v>
      </c>
      <c r="E350" s="16"/>
      <c r="F350" s="102" t="s">
        <v>1044</v>
      </c>
      <c r="G350" s="76" t="s">
        <v>64</v>
      </c>
      <c r="H350" s="93" t="s">
        <v>1045</v>
      </c>
      <c r="I350" s="191" t="s">
        <v>1043</v>
      </c>
      <c r="J350" s="74" t="s">
        <v>22</v>
      </c>
      <c r="K350" s="78"/>
      <c r="L350" s="16"/>
      <c r="M350" s="78" t="str">
        <f t="shared" si="5"/>
        <v>Conforme au standard</v>
      </c>
      <c r="N350" s="79" t="s">
        <v>9</v>
      </c>
      <c r="O350" s="79" t="s">
        <v>9</v>
      </c>
      <c r="P350" s="80"/>
      <c r="Q350" s="78"/>
      <c r="R350" s="78"/>
      <c r="S350" s="81" t="s">
        <v>24</v>
      </c>
    </row>
    <row r="351" spans="1:19" ht="39" customHeight="1" outlineLevel="2" x14ac:dyDescent="0.25">
      <c r="A351" s="13" t="s">
        <v>1046</v>
      </c>
      <c r="B351" s="14">
        <v>351</v>
      </c>
      <c r="C351" s="74" t="s">
        <v>35</v>
      </c>
      <c r="D351" s="74" t="s">
        <v>24</v>
      </c>
      <c r="E351" s="16"/>
      <c r="F351" s="102" t="s">
        <v>422</v>
      </c>
      <c r="G351" s="76" t="s">
        <v>37</v>
      </c>
      <c r="H351" s="76" t="s">
        <v>38</v>
      </c>
      <c r="I351" s="87" t="s">
        <v>75</v>
      </c>
      <c r="J351" s="74" t="s">
        <v>24</v>
      </c>
      <c r="K351" s="78" t="s">
        <v>23</v>
      </c>
      <c r="L351" s="16"/>
      <c r="M351" s="78" t="str">
        <f t="shared" si="5"/>
        <v>Spécifique Offre</v>
      </c>
      <c r="N351" s="79" t="s">
        <v>9</v>
      </c>
      <c r="O351" s="79" t="s">
        <v>9</v>
      </c>
      <c r="P351" s="80"/>
      <c r="Q351" s="78"/>
      <c r="R351" s="78"/>
      <c r="S351" s="81" t="s">
        <v>24</v>
      </c>
    </row>
    <row r="352" spans="1:19" ht="39" customHeight="1" x14ac:dyDescent="0.25">
      <c r="A352" s="24" t="s">
        <v>1047</v>
      </c>
      <c r="B352" s="14">
        <v>352</v>
      </c>
      <c r="C352" s="110" t="s">
        <v>30</v>
      </c>
      <c r="D352" s="27" t="s">
        <v>24</v>
      </c>
      <c r="E352" s="16"/>
      <c r="F352" s="18" t="s">
        <v>1048</v>
      </c>
      <c r="G352" s="153"/>
      <c r="H352" s="18"/>
      <c r="I352" s="26" t="s">
        <v>24</v>
      </c>
      <c r="J352" s="18" t="s">
        <v>24</v>
      </c>
      <c r="K352" s="113"/>
      <c r="L352" s="16"/>
      <c r="M352" s="113" t="str">
        <f t="shared" si="5"/>
        <v/>
      </c>
      <c r="N352" s="113" t="s">
        <v>9</v>
      </c>
      <c r="O352" s="113" t="s">
        <v>9</v>
      </c>
      <c r="P352" s="16"/>
      <c r="Q352" s="113"/>
      <c r="R352" s="113"/>
      <c r="S352" s="114" t="s">
        <v>24</v>
      </c>
    </row>
    <row r="353" spans="1:19" ht="39" customHeight="1" outlineLevel="1" x14ac:dyDescent="0.25">
      <c r="A353" s="108" t="s">
        <v>1049</v>
      </c>
      <c r="B353" s="14">
        <v>353</v>
      </c>
      <c r="C353" s="98" t="s">
        <v>30</v>
      </c>
      <c r="D353" s="38" t="s">
        <v>24</v>
      </c>
      <c r="E353" s="16"/>
      <c r="F353" s="34" t="s">
        <v>1050</v>
      </c>
      <c r="G353" s="120"/>
      <c r="H353" s="34"/>
      <c r="I353" s="37" t="s">
        <v>24</v>
      </c>
      <c r="J353" s="34" t="s">
        <v>24</v>
      </c>
      <c r="K353" s="39"/>
      <c r="L353" s="16"/>
      <c r="M353" s="40" t="str">
        <f t="shared" si="5"/>
        <v/>
      </c>
      <c r="N353" s="39" t="s">
        <v>9</v>
      </c>
      <c r="O353" s="39" t="s">
        <v>9</v>
      </c>
      <c r="P353" s="16"/>
      <c r="Q353" s="39"/>
      <c r="R353" s="39"/>
      <c r="S353" s="41" t="s">
        <v>24</v>
      </c>
    </row>
    <row r="354" spans="1:19" ht="39" customHeight="1" outlineLevel="2" x14ac:dyDescent="0.25">
      <c r="A354" s="13" t="s">
        <v>1051</v>
      </c>
      <c r="B354" s="14">
        <v>354</v>
      </c>
      <c r="C354" s="71" t="s">
        <v>19</v>
      </c>
      <c r="D354" s="162" t="s">
        <v>1052</v>
      </c>
      <c r="E354" s="16"/>
      <c r="F354" s="88" t="s">
        <v>474</v>
      </c>
      <c r="G354" s="73" t="s">
        <v>64</v>
      </c>
      <c r="H354" s="97" t="s">
        <v>475</v>
      </c>
      <c r="I354" s="19" t="s">
        <v>179</v>
      </c>
      <c r="J354" s="15" t="s">
        <v>22</v>
      </c>
      <c r="K354" s="20" t="s">
        <v>23</v>
      </c>
      <c r="L354" s="16"/>
      <c r="M354" s="20" t="str">
        <f t="shared" si="5"/>
        <v>Non concerné</v>
      </c>
      <c r="N354" s="92" t="s">
        <v>9</v>
      </c>
      <c r="O354" s="22" t="s">
        <v>9</v>
      </c>
      <c r="P354" s="16"/>
      <c r="Q354" s="20"/>
      <c r="R354" s="20"/>
      <c r="S354" s="23" t="s">
        <v>24</v>
      </c>
    </row>
    <row r="355" spans="1:19" ht="39" customHeight="1" outlineLevel="2" x14ac:dyDescent="0.25">
      <c r="A355" s="13" t="s">
        <v>1053</v>
      </c>
      <c r="B355" s="14">
        <v>355</v>
      </c>
      <c r="C355" s="15" t="s">
        <v>19</v>
      </c>
      <c r="D355" s="15" t="s">
        <v>46</v>
      </c>
      <c r="E355" s="16"/>
      <c r="F355" s="96" t="s">
        <v>1054</v>
      </c>
      <c r="G355" s="97" t="s">
        <v>64</v>
      </c>
      <c r="H355" s="97" t="s">
        <v>1055</v>
      </c>
      <c r="I355" s="19" t="s">
        <v>46</v>
      </c>
      <c r="J355" s="15" t="s">
        <v>22</v>
      </c>
      <c r="K355" s="20" t="s">
        <v>23</v>
      </c>
      <c r="L355" s="16"/>
      <c r="M355" s="20" t="str">
        <f t="shared" si="5"/>
        <v>Non concerné</v>
      </c>
      <c r="N355" s="21" t="s">
        <v>9</v>
      </c>
      <c r="O355" s="22" t="s">
        <v>9</v>
      </c>
      <c r="P355" s="16"/>
      <c r="Q355" s="20"/>
      <c r="R355" s="20"/>
      <c r="S355" s="23" t="s">
        <v>24</v>
      </c>
    </row>
    <row r="356" spans="1:19" ht="39" customHeight="1" outlineLevel="2" x14ac:dyDescent="0.25">
      <c r="A356" s="13" t="s">
        <v>1056</v>
      </c>
      <c r="B356" s="14">
        <v>356</v>
      </c>
      <c r="C356" s="74" t="s">
        <v>19</v>
      </c>
      <c r="D356" s="74" t="s">
        <v>46</v>
      </c>
      <c r="E356" s="16"/>
      <c r="F356" s="102" t="s">
        <v>1057</v>
      </c>
      <c r="G356" s="76" t="s">
        <v>37</v>
      </c>
      <c r="H356" s="76" t="s">
        <v>38</v>
      </c>
      <c r="I356" s="87" t="s">
        <v>46</v>
      </c>
      <c r="J356" s="74" t="s">
        <v>24</v>
      </c>
      <c r="K356" s="78" t="s">
        <v>23</v>
      </c>
      <c r="L356" s="16"/>
      <c r="M356" s="78" t="str">
        <f t="shared" si="5"/>
        <v>Non concerné</v>
      </c>
      <c r="N356" s="79" t="s">
        <v>9</v>
      </c>
      <c r="O356" s="79" t="s">
        <v>9</v>
      </c>
      <c r="P356" s="80"/>
      <c r="Q356" s="78"/>
      <c r="R356" s="78"/>
      <c r="S356" s="81" t="s">
        <v>24</v>
      </c>
    </row>
    <row r="357" spans="1:19" ht="39" customHeight="1" outlineLevel="2" x14ac:dyDescent="0.25">
      <c r="A357" s="13" t="s">
        <v>1058</v>
      </c>
      <c r="B357" s="14">
        <v>357</v>
      </c>
      <c r="C357" s="71" t="s">
        <v>19</v>
      </c>
      <c r="D357" s="71" t="s">
        <v>46</v>
      </c>
      <c r="E357" s="16"/>
      <c r="F357" s="88" t="s">
        <v>1059</v>
      </c>
      <c r="G357" s="73" t="s">
        <v>37</v>
      </c>
      <c r="H357" s="73" t="s">
        <v>38</v>
      </c>
      <c r="I357" s="19" t="s">
        <v>46</v>
      </c>
      <c r="J357" s="15" t="s">
        <v>24</v>
      </c>
      <c r="K357" s="20" t="s">
        <v>23</v>
      </c>
      <c r="L357" s="16"/>
      <c r="M357" s="20" t="str">
        <f t="shared" si="5"/>
        <v>Non concerné</v>
      </c>
      <c r="N357" s="92" t="s">
        <v>9</v>
      </c>
      <c r="O357" s="22" t="s">
        <v>9</v>
      </c>
      <c r="P357" s="16"/>
      <c r="Q357" s="20"/>
      <c r="R357" s="20"/>
      <c r="S357" s="23" t="s">
        <v>24</v>
      </c>
    </row>
    <row r="358" spans="1:19" ht="39" customHeight="1" outlineLevel="2" x14ac:dyDescent="0.25">
      <c r="A358" s="13" t="s">
        <v>1060</v>
      </c>
      <c r="B358" s="14">
        <v>358</v>
      </c>
      <c r="C358" s="71" t="s">
        <v>19</v>
      </c>
      <c r="D358" s="71" t="s">
        <v>46</v>
      </c>
      <c r="E358" s="16"/>
      <c r="F358" s="88" t="s">
        <v>1061</v>
      </c>
      <c r="G358" s="73" t="s">
        <v>64</v>
      </c>
      <c r="H358" s="73" t="s">
        <v>1062</v>
      </c>
      <c r="I358" s="19" t="s">
        <v>46</v>
      </c>
      <c r="J358" s="15" t="s">
        <v>24</v>
      </c>
      <c r="K358" s="20" t="s">
        <v>23</v>
      </c>
      <c r="L358" s="16"/>
      <c r="M358" s="20" t="str">
        <f t="shared" si="5"/>
        <v>Non concerné</v>
      </c>
      <c r="N358" s="92" t="s">
        <v>9</v>
      </c>
      <c r="O358" s="22" t="s">
        <v>9</v>
      </c>
      <c r="P358" s="16"/>
      <c r="Q358" s="20"/>
      <c r="R358" s="20"/>
      <c r="S358" s="23" t="s">
        <v>24</v>
      </c>
    </row>
    <row r="359" spans="1:19" ht="39" customHeight="1" outlineLevel="2" x14ac:dyDescent="0.25">
      <c r="A359" s="13" t="s">
        <v>1063</v>
      </c>
      <c r="B359" s="14">
        <v>359</v>
      </c>
      <c r="C359" s="71" t="s">
        <v>19</v>
      </c>
      <c r="D359" s="71" t="s">
        <v>46</v>
      </c>
      <c r="E359" s="16"/>
      <c r="F359" s="88" t="s">
        <v>1064</v>
      </c>
      <c r="G359" s="73" t="s">
        <v>64</v>
      </c>
      <c r="H359" s="97" t="s">
        <v>1065</v>
      </c>
      <c r="I359" s="19" t="s">
        <v>46</v>
      </c>
      <c r="J359" s="15" t="s">
        <v>22</v>
      </c>
      <c r="K359" s="20" t="s">
        <v>23</v>
      </c>
      <c r="L359" s="16"/>
      <c r="M359" s="20" t="str">
        <f t="shared" si="5"/>
        <v>Non concerné</v>
      </c>
      <c r="N359" s="92" t="s">
        <v>9</v>
      </c>
      <c r="O359" s="22" t="s">
        <v>9</v>
      </c>
      <c r="P359" s="16"/>
      <c r="Q359" s="20"/>
      <c r="R359" s="20"/>
      <c r="S359" s="23" t="s">
        <v>24</v>
      </c>
    </row>
    <row r="360" spans="1:19" ht="39" customHeight="1" outlineLevel="2" x14ac:dyDescent="0.25">
      <c r="A360" s="13" t="s">
        <v>1066</v>
      </c>
      <c r="B360" s="14">
        <v>360</v>
      </c>
      <c r="C360" s="74" t="s">
        <v>19</v>
      </c>
      <c r="D360" s="74" t="s">
        <v>46</v>
      </c>
      <c r="E360" s="16"/>
      <c r="F360" s="102" t="s">
        <v>1067</v>
      </c>
      <c r="G360" s="134" t="s">
        <v>48</v>
      </c>
      <c r="H360" s="93" t="s">
        <v>1068</v>
      </c>
      <c r="I360" s="94" t="s">
        <v>46</v>
      </c>
      <c r="J360" s="74" t="s">
        <v>24</v>
      </c>
      <c r="K360" s="78" t="s">
        <v>23</v>
      </c>
      <c r="L360" s="16"/>
      <c r="M360" s="78" t="str">
        <f t="shared" si="5"/>
        <v>Non concerné</v>
      </c>
      <c r="N360" s="79" t="s">
        <v>9</v>
      </c>
      <c r="O360" s="79" t="s">
        <v>9</v>
      </c>
      <c r="P360" s="80"/>
      <c r="Q360" s="78"/>
      <c r="R360" s="78"/>
      <c r="S360" s="81" t="s">
        <v>44</v>
      </c>
    </row>
    <row r="361" spans="1:19" ht="39" customHeight="1" outlineLevel="2" x14ac:dyDescent="0.25">
      <c r="A361" s="13" t="s">
        <v>1069</v>
      </c>
      <c r="B361" s="14">
        <v>361</v>
      </c>
      <c r="C361" s="71" t="s">
        <v>19</v>
      </c>
      <c r="D361" s="71" t="s">
        <v>46</v>
      </c>
      <c r="E361" s="16"/>
      <c r="F361" s="96" t="s">
        <v>1070</v>
      </c>
      <c r="G361" s="73" t="s">
        <v>37</v>
      </c>
      <c r="H361" s="73" t="s">
        <v>38</v>
      </c>
      <c r="I361" s="19" t="s">
        <v>46</v>
      </c>
      <c r="J361" s="15" t="s">
        <v>24</v>
      </c>
      <c r="K361" s="20" t="s">
        <v>23</v>
      </c>
      <c r="L361" s="16"/>
      <c r="M361" s="20" t="str">
        <f t="shared" si="5"/>
        <v>Non concerné</v>
      </c>
      <c r="N361" s="92" t="s">
        <v>9</v>
      </c>
      <c r="O361" s="22" t="s">
        <v>9</v>
      </c>
      <c r="P361" s="16"/>
      <c r="Q361" s="20"/>
      <c r="R361" s="20"/>
      <c r="S361" s="23" t="s">
        <v>24</v>
      </c>
    </row>
    <row r="362" spans="1:19" ht="39" customHeight="1" outlineLevel="2" x14ac:dyDescent="0.25">
      <c r="A362" s="13" t="s">
        <v>1071</v>
      </c>
      <c r="B362" s="14">
        <v>362</v>
      </c>
      <c r="C362" s="71" t="s">
        <v>19</v>
      </c>
      <c r="D362" s="71" t="s">
        <v>46</v>
      </c>
      <c r="E362" s="16"/>
      <c r="F362" s="88" t="s">
        <v>1072</v>
      </c>
      <c r="G362" s="73" t="s">
        <v>37</v>
      </c>
      <c r="H362" s="73" t="s">
        <v>38</v>
      </c>
      <c r="I362" s="19" t="s">
        <v>46</v>
      </c>
      <c r="J362" s="15" t="s">
        <v>24</v>
      </c>
      <c r="K362" s="20" t="s">
        <v>23</v>
      </c>
      <c r="L362" s="16"/>
      <c r="M362" s="20" t="str">
        <f t="shared" si="5"/>
        <v>Non concerné</v>
      </c>
      <c r="N362" s="92" t="s">
        <v>9</v>
      </c>
      <c r="O362" s="22" t="s">
        <v>9</v>
      </c>
      <c r="P362" s="16"/>
      <c r="Q362" s="20"/>
      <c r="R362" s="20"/>
      <c r="S362" s="23" t="s">
        <v>24</v>
      </c>
    </row>
    <row r="363" spans="1:19" ht="39" customHeight="1" outlineLevel="2" x14ac:dyDescent="0.25">
      <c r="A363" s="13" t="s">
        <v>1073</v>
      </c>
      <c r="B363" s="14">
        <v>363</v>
      </c>
      <c r="C363" s="71" t="s">
        <v>19</v>
      </c>
      <c r="D363" s="71" t="s">
        <v>46</v>
      </c>
      <c r="E363" s="16"/>
      <c r="F363" s="88" t="s">
        <v>1074</v>
      </c>
      <c r="G363" s="73" t="s">
        <v>64</v>
      </c>
      <c r="H363" s="97" t="s">
        <v>1075</v>
      </c>
      <c r="I363" s="19" t="s">
        <v>46</v>
      </c>
      <c r="J363" s="15" t="s">
        <v>24</v>
      </c>
      <c r="K363" s="20" t="s">
        <v>23</v>
      </c>
      <c r="L363" s="16"/>
      <c r="M363" s="20" t="str">
        <f t="shared" si="5"/>
        <v>Non concerné</v>
      </c>
      <c r="N363" s="92" t="s">
        <v>9</v>
      </c>
      <c r="O363" s="22" t="s">
        <v>9</v>
      </c>
      <c r="P363" s="16"/>
      <c r="Q363" s="20"/>
      <c r="R363" s="20"/>
      <c r="S363" s="23" t="s">
        <v>24</v>
      </c>
    </row>
    <row r="364" spans="1:19" ht="39" customHeight="1" outlineLevel="2" x14ac:dyDescent="0.25">
      <c r="A364" s="13" t="s">
        <v>1076</v>
      </c>
      <c r="B364" s="14">
        <v>364</v>
      </c>
      <c r="C364" s="71" t="s">
        <v>19</v>
      </c>
      <c r="D364" s="71" t="s">
        <v>46</v>
      </c>
      <c r="E364" s="16"/>
      <c r="F364" s="88" t="s">
        <v>1077</v>
      </c>
      <c r="G364" s="73" t="s">
        <v>64</v>
      </c>
      <c r="H364" s="96" t="s">
        <v>1078</v>
      </c>
      <c r="I364" s="19" t="s">
        <v>46</v>
      </c>
      <c r="J364" s="15" t="s">
        <v>22</v>
      </c>
      <c r="K364" s="20" t="s">
        <v>23</v>
      </c>
      <c r="L364" s="16"/>
      <c r="M364" s="20" t="str">
        <f t="shared" si="5"/>
        <v>Non concerné</v>
      </c>
      <c r="N364" s="92" t="s">
        <v>9</v>
      </c>
      <c r="O364" s="22" t="s">
        <v>9</v>
      </c>
      <c r="P364" s="16"/>
      <c r="Q364" s="20"/>
      <c r="R364" s="20"/>
      <c r="S364" s="23" t="s">
        <v>24</v>
      </c>
    </row>
    <row r="365" spans="1:19" ht="39" customHeight="1" outlineLevel="2" x14ac:dyDescent="0.25">
      <c r="A365" s="13" t="s">
        <v>1079</v>
      </c>
      <c r="B365" s="14">
        <v>365</v>
      </c>
      <c r="C365" s="74" t="s">
        <v>19</v>
      </c>
      <c r="D365" s="74" t="s">
        <v>46</v>
      </c>
      <c r="E365" s="16"/>
      <c r="F365" s="102" t="s">
        <v>1080</v>
      </c>
      <c r="G365" s="134" t="s">
        <v>48</v>
      </c>
      <c r="H365" s="102" t="s">
        <v>1081</v>
      </c>
      <c r="I365" s="94" t="s">
        <v>46</v>
      </c>
      <c r="J365" s="74" t="s">
        <v>24</v>
      </c>
      <c r="K365" s="78" t="s">
        <v>23</v>
      </c>
      <c r="L365" s="16"/>
      <c r="M365" s="78" t="str">
        <f t="shared" si="5"/>
        <v>Non concerné</v>
      </c>
      <c r="N365" s="79" t="s">
        <v>9</v>
      </c>
      <c r="O365" s="79" t="s">
        <v>9</v>
      </c>
      <c r="P365" s="80"/>
      <c r="Q365" s="78"/>
      <c r="R365" s="78"/>
      <c r="S365" s="81" t="s">
        <v>44</v>
      </c>
    </row>
    <row r="366" spans="1:19" ht="39" customHeight="1" outlineLevel="2" x14ac:dyDescent="0.25">
      <c r="A366" s="13" t="s">
        <v>1082</v>
      </c>
      <c r="B366" s="14">
        <v>366</v>
      </c>
      <c r="C366" s="15" t="s">
        <v>19</v>
      </c>
      <c r="D366" s="15" t="s">
        <v>46</v>
      </c>
      <c r="E366" s="16"/>
      <c r="F366" s="88" t="s">
        <v>1083</v>
      </c>
      <c r="G366" s="73" t="s">
        <v>64</v>
      </c>
      <c r="H366" s="96" t="s">
        <v>1084</v>
      </c>
      <c r="I366" s="19" t="s">
        <v>46</v>
      </c>
      <c r="J366" s="15" t="s">
        <v>22</v>
      </c>
      <c r="K366" s="20" t="s">
        <v>23</v>
      </c>
      <c r="L366" s="16"/>
      <c r="M366" s="20" t="str">
        <f t="shared" si="5"/>
        <v>Non concerné</v>
      </c>
      <c r="N366" s="92" t="s">
        <v>9</v>
      </c>
      <c r="O366" s="22" t="s">
        <v>9</v>
      </c>
      <c r="P366" s="16"/>
      <c r="Q366" s="20"/>
      <c r="R366" s="20"/>
      <c r="S366" s="23" t="s">
        <v>24</v>
      </c>
    </row>
    <row r="367" spans="1:19" ht="39" customHeight="1" outlineLevel="2" x14ac:dyDescent="0.25">
      <c r="A367" s="13" t="s">
        <v>1085</v>
      </c>
      <c r="B367" s="14">
        <v>367</v>
      </c>
      <c r="C367" s="74" t="s">
        <v>19</v>
      </c>
      <c r="D367" s="74" t="s">
        <v>46</v>
      </c>
      <c r="E367" s="16"/>
      <c r="F367" s="102" t="s">
        <v>1086</v>
      </c>
      <c r="G367" s="134" t="s">
        <v>48</v>
      </c>
      <c r="H367" s="102" t="s">
        <v>1087</v>
      </c>
      <c r="I367" s="94" t="s">
        <v>46</v>
      </c>
      <c r="J367" s="74" t="s">
        <v>24</v>
      </c>
      <c r="K367" s="78" t="s">
        <v>23</v>
      </c>
      <c r="L367" s="16"/>
      <c r="M367" s="78" t="str">
        <f t="shared" si="5"/>
        <v>Non concerné</v>
      </c>
      <c r="N367" s="79" t="s">
        <v>9</v>
      </c>
      <c r="O367" s="79" t="s">
        <v>9</v>
      </c>
      <c r="P367" s="80"/>
      <c r="Q367" s="78"/>
      <c r="R367" s="78"/>
      <c r="S367" s="81" t="s">
        <v>44</v>
      </c>
    </row>
    <row r="368" spans="1:19" ht="39" customHeight="1" outlineLevel="1" x14ac:dyDescent="0.25">
      <c r="A368" s="108" t="s">
        <v>1088</v>
      </c>
      <c r="B368" s="14">
        <v>368</v>
      </c>
      <c r="C368" s="98" t="s">
        <v>30</v>
      </c>
      <c r="D368" s="38" t="s">
        <v>24</v>
      </c>
      <c r="E368" s="16"/>
      <c r="F368" s="34" t="s">
        <v>1089</v>
      </c>
      <c r="G368" s="120"/>
      <c r="H368" s="34"/>
      <c r="I368" s="37" t="s">
        <v>24</v>
      </c>
      <c r="J368" s="34" t="s">
        <v>24</v>
      </c>
      <c r="K368" s="39"/>
      <c r="L368" s="16"/>
      <c r="M368" s="40" t="str">
        <f t="shared" si="5"/>
        <v/>
      </c>
      <c r="N368" s="39" t="s">
        <v>9</v>
      </c>
      <c r="O368" s="39" t="s">
        <v>9</v>
      </c>
      <c r="P368" s="16"/>
      <c r="Q368" s="39"/>
      <c r="R368" s="39"/>
      <c r="S368" s="41" t="s">
        <v>24</v>
      </c>
    </row>
    <row r="369" spans="1:19" ht="39" customHeight="1" outlineLevel="2" x14ac:dyDescent="0.25">
      <c r="A369" s="13" t="s">
        <v>1090</v>
      </c>
      <c r="B369" s="14">
        <v>369</v>
      </c>
      <c r="C369" s="15" t="s">
        <v>26</v>
      </c>
      <c r="D369" s="15" t="s">
        <v>865</v>
      </c>
      <c r="E369" s="16"/>
      <c r="F369" s="88" t="s">
        <v>1091</v>
      </c>
      <c r="G369" s="134" t="s">
        <v>48</v>
      </c>
      <c r="H369" s="90" t="s">
        <v>1092</v>
      </c>
      <c r="I369" s="91" t="s">
        <v>865</v>
      </c>
      <c r="J369" s="15" t="s">
        <v>22</v>
      </c>
      <c r="K369" s="20"/>
      <c r="L369" s="16"/>
      <c r="M369" s="20" t="str">
        <f t="shared" si="5"/>
        <v>Conforme au standard</v>
      </c>
      <c r="N369" s="92" t="s">
        <v>9</v>
      </c>
      <c r="O369" s="22" t="s">
        <v>9</v>
      </c>
      <c r="P369" s="16"/>
      <c r="Q369" s="20"/>
      <c r="R369" s="20"/>
      <c r="S369" s="23" t="s">
        <v>44</v>
      </c>
    </row>
    <row r="370" spans="1:19" ht="39" customHeight="1" outlineLevel="2" x14ac:dyDescent="0.25">
      <c r="A370" s="13" t="s">
        <v>1093</v>
      </c>
      <c r="B370" s="14">
        <v>370</v>
      </c>
      <c r="C370" s="74" t="s">
        <v>35</v>
      </c>
      <c r="D370" s="74" t="s">
        <v>24</v>
      </c>
      <c r="E370" s="16"/>
      <c r="F370" s="102" t="s">
        <v>869</v>
      </c>
      <c r="G370" s="76" t="s">
        <v>37</v>
      </c>
      <c r="H370" s="93" t="s">
        <v>1094</v>
      </c>
      <c r="I370" s="87" t="s">
        <v>24</v>
      </c>
      <c r="J370" s="74" t="s">
        <v>24</v>
      </c>
      <c r="K370" s="78"/>
      <c r="L370" s="16"/>
      <c r="M370" s="78" t="str">
        <f t="shared" si="5"/>
        <v>Renseigner la réponse DCO</v>
      </c>
      <c r="N370" s="79" t="s">
        <v>9</v>
      </c>
      <c r="O370" s="79" t="s">
        <v>9</v>
      </c>
      <c r="P370" s="80"/>
      <c r="Q370" s="78"/>
      <c r="R370" s="78"/>
      <c r="S370" s="81" t="s">
        <v>24</v>
      </c>
    </row>
    <row r="371" spans="1:19" ht="39" customHeight="1" outlineLevel="2" x14ac:dyDescent="0.25">
      <c r="A371" s="13" t="s">
        <v>1095</v>
      </c>
      <c r="B371" s="14">
        <v>371</v>
      </c>
      <c r="C371" s="74" t="s">
        <v>35</v>
      </c>
      <c r="D371" s="74" t="s">
        <v>24</v>
      </c>
      <c r="E371" s="16"/>
      <c r="F371" s="102" t="s">
        <v>871</v>
      </c>
      <c r="G371" s="76" t="s">
        <v>37</v>
      </c>
      <c r="H371" s="93" t="s">
        <v>1094</v>
      </c>
      <c r="I371" s="87" t="s">
        <v>75</v>
      </c>
      <c r="J371" s="74" t="s">
        <v>24</v>
      </c>
      <c r="K371" s="78" t="s">
        <v>23</v>
      </c>
      <c r="L371" s="16"/>
      <c r="M371" s="78" t="str">
        <f t="shared" si="5"/>
        <v>Spécifique Offre</v>
      </c>
      <c r="N371" s="79" t="s">
        <v>9</v>
      </c>
      <c r="O371" s="79" t="s">
        <v>9</v>
      </c>
      <c r="P371" s="80"/>
      <c r="Q371" s="78"/>
      <c r="R371" s="78"/>
      <c r="S371" s="81" t="s">
        <v>24</v>
      </c>
    </row>
    <row r="372" spans="1:19" ht="39" customHeight="1" outlineLevel="2" x14ac:dyDescent="0.25">
      <c r="A372" s="13" t="s">
        <v>1096</v>
      </c>
      <c r="B372" s="14">
        <v>372</v>
      </c>
      <c r="C372" s="74" t="s">
        <v>35</v>
      </c>
      <c r="D372" s="74" t="s">
        <v>24</v>
      </c>
      <c r="E372" s="16"/>
      <c r="F372" s="102" t="s">
        <v>873</v>
      </c>
      <c r="G372" s="76" t="s">
        <v>37</v>
      </c>
      <c r="H372" s="93" t="s">
        <v>1094</v>
      </c>
      <c r="I372" s="87" t="s">
        <v>75</v>
      </c>
      <c r="J372" s="74" t="s">
        <v>24</v>
      </c>
      <c r="K372" s="78" t="s">
        <v>23</v>
      </c>
      <c r="L372" s="16"/>
      <c r="M372" s="78" t="str">
        <f t="shared" si="5"/>
        <v>Spécifique Offre</v>
      </c>
      <c r="N372" s="79" t="s">
        <v>9</v>
      </c>
      <c r="O372" s="79" t="s">
        <v>9</v>
      </c>
      <c r="P372" s="80"/>
      <c r="Q372" s="78"/>
      <c r="R372" s="78"/>
      <c r="S372" s="81" t="s">
        <v>24</v>
      </c>
    </row>
    <row r="373" spans="1:19" ht="39" customHeight="1" outlineLevel="2" x14ac:dyDescent="0.25">
      <c r="A373" s="13" t="s">
        <v>1097</v>
      </c>
      <c r="B373" s="14">
        <v>373</v>
      </c>
      <c r="C373" s="74" t="s">
        <v>35</v>
      </c>
      <c r="D373" s="74" t="s">
        <v>24</v>
      </c>
      <c r="E373" s="16"/>
      <c r="F373" s="102" t="s">
        <v>875</v>
      </c>
      <c r="G373" s="76" t="s">
        <v>37</v>
      </c>
      <c r="H373" s="93" t="s">
        <v>1094</v>
      </c>
      <c r="I373" s="87" t="s">
        <v>75</v>
      </c>
      <c r="J373" s="74" t="s">
        <v>24</v>
      </c>
      <c r="K373" s="78" t="s">
        <v>23</v>
      </c>
      <c r="L373" s="16"/>
      <c r="M373" s="78" t="str">
        <f t="shared" si="5"/>
        <v>Spécifique Offre</v>
      </c>
      <c r="N373" s="79" t="s">
        <v>9</v>
      </c>
      <c r="O373" s="79" t="s">
        <v>9</v>
      </c>
      <c r="P373" s="80"/>
      <c r="Q373" s="78"/>
      <c r="R373" s="78"/>
      <c r="S373" s="81" t="s">
        <v>24</v>
      </c>
    </row>
    <row r="374" spans="1:19" ht="39" customHeight="1" outlineLevel="1" x14ac:dyDescent="0.25">
      <c r="A374" s="108" t="s">
        <v>1098</v>
      </c>
      <c r="B374" s="14">
        <v>374</v>
      </c>
      <c r="C374" s="98" t="s">
        <v>30</v>
      </c>
      <c r="D374" s="38" t="s">
        <v>24</v>
      </c>
      <c r="E374" s="16"/>
      <c r="F374" s="34" t="s">
        <v>1099</v>
      </c>
      <c r="G374" s="120"/>
      <c r="H374" s="34"/>
      <c r="I374" s="37" t="s">
        <v>24</v>
      </c>
      <c r="J374" s="34" t="s">
        <v>24</v>
      </c>
      <c r="K374" s="39"/>
      <c r="L374" s="16"/>
      <c r="M374" s="40" t="str">
        <f t="shared" si="5"/>
        <v/>
      </c>
      <c r="N374" s="39" t="s">
        <v>9</v>
      </c>
      <c r="O374" s="39" t="s">
        <v>9</v>
      </c>
      <c r="P374" s="16"/>
      <c r="Q374" s="39"/>
      <c r="R374" s="39"/>
      <c r="S374" s="41" t="s">
        <v>24</v>
      </c>
    </row>
    <row r="375" spans="1:19" ht="39" customHeight="1" outlineLevel="2" x14ac:dyDescent="0.25">
      <c r="A375" s="13" t="s">
        <v>1100</v>
      </c>
      <c r="B375" s="14">
        <v>375</v>
      </c>
      <c r="C375" s="71" t="s">
        <v>26</v>
      </c>
      <c r="D375" s="71" t="s">
        <v>46</v>
      </c>
      <c r="E375" s="16"/>
      <c r="F375" s="88" t="s">
        <v>1101</v>
      </c>
      <c r="G375" s="134" t="s">
        <v>48</v>
      </c>
      <c r="H375" s="90" t="s">
        <v>1102</v>
      </c>
      <c r="I375" s="91" t="s">
        <v>46</v>
      </c>
      <c r="J375" s="15" t="s">
        <v>24</v>
      </c>
      <c r="K375" s="20" t="s">
        <v>23</v>
      </c>
      <c r="L375" s="16"/>
      <c r="M375" s="20" t="str">
        <f t="shared" si="5"/>
        <v>Non concerné</v>
      </c>
      <c r="N375" s="92" t="s">
        <v>9</v>
      </c>
      <c r="O375" s="22" t="s">
        <v>9</v>
      </c>
      <c r="P375" s="16"/>
      <c r="Q375" s="20"/>
      <c r="R375" s="20"/>
      <c r="S375" s="23" t="s">
        <v>44</v>
      </c>
    </row>
    <row r="376" spans="1:19" ht="39" customHeight="1" outlineLevel="2" x14ac:dyDescent="0.25">
      <c r="A376" s="13" t="s">
        <v>1103</v>
      </c>
      <c r="B376" s="14">
        <v>376</v>
      </c>
      <c r="C376" s="71" t="s">
        <v>19</v>
      </c>
      <c r="D376" s="71" t="s">
        <v>46</v>
      </c>
      <c r="E376" s="16"/>
      <c r="F376" s="88" t="s">
        <v>1104</v>
      </c>
      <c r="G376" s="73" t="s">
        <v>64</v>
      </c>
      <c r="H376" s="97" t="s">
        <v>1105</v>
      </c>
      <c r="I376" s="19" t="s">
        <v>46</v>
      </c>
      <c r="J376" s="15" t="s">
        <v>24</v>
      </c>
      <c r="K376" s="20" t="s">
        <v>23</v>
      </c>
      <c r="L376" s="16"/>
      <c r="M376" s="20" t="str">
        <f t="shared" si="5"/>
        <v>Non concerné</v>
      </c>
      <c r="N376" s="92" t="s">
        <v>9</v>
      </c>
      <c r="O376" s="22" t="s">
        <v>9</v>
      </c>
      <c r="P376" s="16"/>
      <c r="Q376" s="20"/>
      <c r="R376" s="20"/>
      <c r="S376" s="23" t="s">
        <v>24</v>
      </c>
    </row>
    <row r="377" spans="1:19" ht="39" customHeight="1" outlineLevel="1" x14ac:dyDescent="0.25">
      <c r="A377" s="192" t="s">
        <v>1106</v>
      </c>
      <c r="B377" s="14">
        <v>377</v>
      </c>
      <c r="C377" s="98" t="s">
        <v>30</v>
      </c>
      <c r="D377" s="38" t="s">
        <v>24</v>
      </c>
      <c r="E377" s="16"/>
      <c r="F377" s="34" t="s">
        <v>1107</v>
      </c>
      <c r="G377" s="120"/>
      <c r="H377" s="34"/>
      <c r="I377" s="37" t="s">
        <v>24</v>
      </c>
      <c r="J377" s="34" t="s">
        <v>24</v>
      </c>
      <c r="K377" s="39"/>
      <c r="L377" s="16"/>
      <c r="M377" s="40" t="str">
        <f t="shared" si="5"/>
        <v/>
      </c>
      <c r="N377" s="39" t="s">
        <v>9</v>
      </c>
      <c r="O377" s="39" t="s">
        <v>9</v>
      </c>
      <c r="P377" s="16"/>
      <c r="Q377" s="39"/>
      <c r="R377" s="39"/>
      <c r="S377" s="41" t="s">
        <v>24</v>
      </c>
    </row>
    <row r="378" spans="1:19" ht="39" customHeight="1" outlineLevel="2" x14ac:dyDescent="0.25">
      <c r="A378" s="13" t="s">
        <v>1108</v>
      </c>
      <c r="B378" s="14">
        <v>378</v>
      </c>
      <c r="C378" s="15" t="s">
        <v>26</v>
      </c>
      <c r="D378" s="15" t="s">
        <v>1109</v>
      </c>
      <c r="E378" s="16"/>
      <c r="F378" s="88" t="s">
        <v>1110</v>
      </c>
      <c r="G378" s="73" t="s">
        <v>64</v>
      </c>
      <c r="H378" s="96" t="s">
        <v>1111</v>
      </c>
      <c r="I378" s="19" t="s">
        <v>1109</v>
      </c>
      <c r="J378" s="15" t="s">
        <v>22</v>
      </c>
      <c r="K378" s="20"/>
      <c r="L378" s="16"/>
      <c r="M378" s="20" t="str">
        <f t="shared" si="5"/>
        <v>Conforme au standard</v>
      </c>
      <c r="N378" s="92" t="s">
        <v>9</v>
      </c>
      <c r="O378" s="22" t="s">
        <v>9</v>
      </c>
      <c r="P378" s="16"/>
      <c r="Q378" s="20"/>
      <c r="R378" s="20"/>
      <c r="S378" s="23" t="s">
        <v>24</v>
      </c>
    </row>
    <row r="379" spans="1:19" ht="39" customHeight="1" outlineLevel="2" x14ac:dyDescent="0.25">
      <c r="A379" s="13" t="s">
        <v>1112</v>
      </c>
      <c r="B379" s="14">
        <v>379</v>
      </c>
      <c r="C379" s="15" t="s">
        <v>35</v>
      </c>
      <c r="D379" s="15" t="s">
        <v>24</v>
      </c>
      <c r="E379" s="16"/>
      <c r="F379" s="88" t="s">
        <v>1113</v>
      </c>
      <c r="G379" s="193" t="s">
        <v>114</v>
      </c>
      <c r="H379" s="194" t="s">
        <v>115</v>
      </c>
      <c r="I379" s="107" t="s">
        <v>116</v>
      </c>
      <c r="J379" s="15"/>
      <c r="K379" s="20"/>
      <c r="L379" s="16"/>
      <c r="M379" s="20" t="str">
        <f t="shared" si="5"/>
        <v>Spécifique Offre</v>
      </c>
      <c r="N379" s="92" t="s">
        <v>117</v>
      </c>
      <c r="O379" s="22" t="s">
        <v>9</v>
      </c>
      <c r="P379" s="16"/>
      <c r="Q379" s="20"/>
      <c r="R379" s="20"/>
      <c r="S379" s="23" t="s">
        <v>24</v>
      </c>
    </row>
    <row r="380" spans="1:19" ht="39" customHeight="1" outlineLevel="2" x14ac:dyDescent="0.25">
      <c r="A380" s="13" t="s">
        <v>1114</v>
      </c>
      <c r="B380" s="14">
        <v>380</v>
      </c>
      <c r="C380" s="74" t="s">
        <v>35</v>
      </c>
      <c r="D380" s="74" t="s">
        <v>24</v>
      </c>
      <c r="E380" s="16"/>
      <c r="F380" s="102" t="s">
        <v>1115</v>
      </c>
      <c r="G380" s="76" t="s">
        <v>37</v>
      </c>
      <c r="H380" s="102" t="s">
        <v>1094</v>
      </c>
      <c r="I380" s="87" t="s">
        <v>75</v>
      </c>
      <c r="J380" s="74" t="s">
        <v>24</v>
      </c>
      <c r="K380" s="78" t="s">
        <v>23</v>
      </c>
      <c r="L380" s="16"/>
      <c r="M380" s="78" t="str">
        <f t="shared" si="5"/>
        <v>Spécifique Offre</v>
      </c>
      <c r="N380" s="79" t="s">
        <v>9</v>
      </c>
      <c r="O380" s="79" t="s">
        <v>9</v>
      </c>
      <c r="P380" s="80"/>
      <c r="Q380" s="78"/>
      <c r="R380" s="78"/>
      <c r="S380" s="81" t="s">
        <v>24</v>
      </c>
    </row>
    <row r="381" spans="1:19" ht="39" customHeight="1" outlineLevel="2" x14ac:dyDescent="0.25">
      <c r="A381" s="13" t="s">
        <v>1116</v>
      </c>
      <c r="B381" s="14">
        <v>381</v>
      </c>
      <c r="C381" s="15" t="s">
        <v>26</v>
      </c>
      <c r="D381" s="15" t="s">
        <v>1117</v>
      </c>
      <c r="E381" s="16"/>
      <c r="F381" s="88" t="s">
        <v>1118</v>
      </c>
      <c r="G381" s="134" t="s">
        <v>48</v>
      </c>
      <c r="H381" s="96" t="s">
        <v>1119</v>
      </c>
      <c r="I381" s="19" t="s">
        <v>1117</v>
      </c>
      <c r="J381" s="15" t="s">
        <v>22</v>
      </c>
      <c r="K381" s="20"/>
      <c r="L381" s="16"/>
      <c r="M381" s="20" t="str">
        <f t="shared" si="5"/>
        <v>Conforme au standard</v>
      </c>
      <c r="N381" s="92" t="s">
        <v>9</v>
      </c>
      <c r="O381" s="22" t="s">
        <v>9</v>
      </c>
      <c r="P381" s="16"/>
      <c r="Q381" s="20"/>
      <c r="R381" s="20"/>
      <c r="S381" s="23" t="s">
        <v>24</v>
      </c>
    </row>
    <row r="382" spans="1:19" ht="39" customHeight="1" outlineLevel="2" x14ac:dyDescent="0.25">
      <c r="A382" s="13" t="s">
        <v>1120</v>
      </c>
      <c r="B382" s="14">
        <v>382</v>
      </c>
      <c r="C382" s="74" t="s">
        <v>35</v>
      </c>
      <c r="D382" s="74" t="s">
        <v>24</v>
      </c>
      <c r="E382" s="16"/>
      <c r="F382" s="102" t="s">
        <v>1121</v>
      </c>
      <c r="G382" s="76" t="s">
        <v>64</v>
      </c>
      <c r="H382" s="102" t="s">
        <v>1122</v>
      </c>
      <c r="I382" s="87" t="s">
        <v>75</v>
      </c>
      <c r="J382" s="74" t="s">
        <v>22</v>
      </c>
      <c r="K382" s="78" t="s">
        <v>23</v>
      </c>
      <c r="L382" s="16"/>
      <c r="M382" s="78" t="str">
        <f t="shared" si="5"/>
        <v>Spécifique Offre</v>
      </c>
      <c r="N382" s="79" t="s">
        <v>9</v>
      </c>
      <c r="O382" s="79" t="s">
        <v>9</v>
      </c>
      <c r="P382" s="80"/>
      <c r="Q382" s="78"/>
      <c r="R382" s="78"/>
      <c r="S382" s="81" t="s">
        <v>24</v>
      </c>
    </row>
    <row r="383" spans="1:19" ht="39" customHeight="1" outlineLevel="2" x14ac:dyDescent="0.25">
      <c r="A383" s="13" t="s">
        <v>1123</v>
      </c>
      <c r="B383" s="14">
        <v>383</v>
      </c>
      <c r="C383" s="74" t="s">
        <v>35</v>
      </c>
      <c r="D383" s="74" t="s">
        <v>24</v>
      </c>
      <c r="E383" s="16"/>
      <c r="F383" s="102" t="s">
        <v>1124</v>
      </c>
      <c r="G383" s="76" t="s">
        <v>37</v>
      </c>
      <c r="H383" s="102" t="s">
        <v>1094</v>
      </c>
      <c r="I383" s="87" t="s">
        <v>75</v>
      </c>
      <c r="J383" s="74" t="s">
        <v>24</v>
      </c>
      <c r="K383" s="78" t="s">
        <v>23</v>
      </c>
      <c r="L383" s="16"/>
      <c r="M383" s="78" t="str">
        <f t="shared" si="5"/>
        <v>Spécifique Offre</v>
      </c>
      <c r="N383" s="79" t="s">
        <v>9</v>
      </c>
      <c r="O383" s="79" t="s">
        <v>9</v>
      </c>
      <c r="P383" s="80"/>
      <c r="Q383" s="78"/>
      <c r="R383" s="78"/>
      <c r="S383" s="81" t="s">
        <v>24</v>
      </c>
    </row>
    <row r="384" spans="1:19" ht="39" customHeight="1" outlineLevel="1" x14ac:dyDescent="0.25">
      <c r="A384" s="108" t="s">
        <v>1125</v>
      </c>
      <c r="B384" s="14">
        <v>384</v>
      </c>
      <c r="C384" s="98" t="s">
        <v>30</v>
      </c>
      <c r="D384" s="38" t="s">
        <v>24</v>
      </c>
      <c r="E384" s="16"/>
      <c r="F384" s="34" t="s">
        <v>1126</v>
      </c>
      <c r="G384" s="120"/>
      <c r="H384" s="34"/>
      <c r="I384" s="37" t="s">
        <v>24</v>
      </c>
      <c r="J384" s="34" t="s">
        <v>24</v>
      </c>
      <c r="K384" s="39"/>
      <c r="L384" s="16"/>
      <c r="M384" s="40" t="str">
        <f t="shared" si="5"/>
        <v/>
      </c>
      <c r="N384" s="39" t="s">
        <v>9</v>
      </c>
      <c r="O384" s="39" t="s">
        <v>9</v>
      </c>
      <c r="P384" s="16"/>
      <c r="Q384" s="39"/>
      <c r="R384" s="39"/>
      <c r="S384" s="41" t="s">
        <v>24</v>
      </c>
    </row>
    <row r="385" spans="1:19" ht="39" customHeight="1" outlineLevel="2" x14ac:dyDescent="0.25">
      <c r="A385" s="13" t="s">
        <v>1127</v>
      </c>
      <c r="B385" s="14">
        <v>385</v>
      </c>
      <c r="C385" s="15" t="s">
        <v>19</v>
      </c>
      <c r="D385" s="15" t="s">
        <v>1128</v>
      </c>
      <c r="E385" s="16"/>
      <c r="F385" s="88" t="s">
        <v>1129</v>
      </c>
      <c r="G385" s="73" t="s">
        <v>64</v>
      </c>
      <c r="H385" s="96" t="s">
        <v>1130</v>
      </c>
      <c r="I385" s="19" t="s">
        <v>1128</v>
      </c>
      <c r="J385" s="15" t="s">
        <v>22</v>
      </c>
      <c r="K385" s="20"/>
      <c r="L385" s="16"/>
      <c r="M385" s="20" t="str">
        <f t="shared" ref="M385:M448" si="6">IF(OR(A385="",LEFT(A385,3)="ElT"),"",IF(AND(OR(C385="Titre",LEFT(I385,11)="Non concern",NOT(ISERROR(SEARCH("annex",G385,1)))),C385&lt;&gt;"Sp"),IF(D385="","Non concerné",IF(LEFT(D385,11)="non concern","Non concerné","Non conforme au standard")),IF(AND(C385="Sp",I385&lt;&gt;""),"Spécifique Offre",IF(AND(OR(C385="",D385=""),C385&lt;&gt;"Sp"),MessageStandardIncomplet,IF(I385="",ReponseNonSaisie,IF(S385="=",IF(I385=D385,"Conforme au standard",IF(I385=StandardNonApplicable,"Non concerné","Non conforme au standard")),IF(NOT(ISERROR(SEARCH(D385,I385,1))),"Conforme au standard",IF(I385=StandardNonApplicable,"Non concerné","Non conforme au standard"))))))))</f>
        <v>Conforme au standard</v>
      </c>
      <c r="N385" s="92" t="s">
        <v>9</v>
      </c>
      <c r="O385" s="22" t="s">
        <v>9</v>
      </c>
      <c r="P385" s="16"/>
      <c r="Q385" s="20"/>
      <c r="R385" s="20"/>
      <c r="S385" s="23" t="s">
        <v>24</v>
      </c>
    </row>
    <row r="386" spans="1:19" ht="39" customHeight="1" outlineLevel="2" x14ac:dyDescent="0.25">
      <c r="A386" s="13" t="s">
        <v>1131</v>
      </c>
      <c r="B386" s="14">
        <v>386</v>
      </c>
      <c r="C386" s="74" t="s">
        <v>19</v>
      </c>
      <c r="D386" s="74" t="s">
        <v>46</v>
      </c>
      <c r="E386" s="16"/>
      <c r="F386" s="102" t="s">
        <v>1132</v>
      </c>
      <c r="G386" s="134" t="s">
        <v>48</v>
      </c>
      <c r="H386" s="102" t="s">
        <v>1133</v>
      </c>
      <c r="I386" s="94" t="s">
        <v>46</v>
      </c>
      <c r="J386" s="74" t="s">
        <v>24</v>
      </c>
      <c r="K386" s="78" t="s">
        <v>23</v>
      </c>
      <c r="L386" s="16"/>
      <c r="M386" s="78" t="str">
        <f t="shared" si="6"/>
        <v>Non concerné</v>
      </c>
      <c r="N386" s="79" t="s">
        <v>9</v>
      </c>
      <c r="O386" s="79" t="s">
        <v>9</v>
      </c>
      <c r="P386" s="80"/>
      <c r="Q386" s="78"/>
      <c r="R386" s="78"/>
      <c r="S386" s="81" t="s">
        <v>44</v>
      </c>
    </row>
    <row r="387" spans="1:19" ht="39" customHeight="1" outlineLevel="2" x14ac:dyDescent="0.25">
      <c r="A387" s="70" t="s">
        <v>1134</v>
      </c>
      <c r="B387" s="14">
        <v>387</v>
      </c>
      <c r="C387" s="74" t="s">
        <v>35</v>
      </c>
      <c r="D387" s="74" t="s">
        <v>24</v>
      </c>
      <c r="E387" s="16"/>
      <c r="F387" s="102" t="s">
        <v>1135</v>
      </c>
      <c r="G387" s="134" t="s">
        <v>48</v>
      </c>
      <c r="H387" s="102" t="s">
        <v>1136</v>
      </c>
      <c r="I387" s="94" t="s">
        <v>24</v>
      </c>
      <c r="J387" s="74" t="s">
        <v>24</v>
      </c>
      <c r="K387" s="78"/>
      <c r="L387" s="16"/>
      <c r="M387" s="78" t="str">
        <f t="shared" si="6"/>
        <v>Renseigner la réponse DCO</v>
      </c>
      <c r="N387" s="79" t="s">
        <v>9</v>
      </c>
      <c r="O387" s="79" t="s">
        <v>9</v>
      </c>
      <c r="P387" s="80"/>
      <c r="Q387" s="78"/>
      <c r="R387" s="78"/>
      <c r="S387" s="81" t="s">
        <v>44</v>
      </c>
    </row>
    <row r="388" spans="1:19" ht="39" customHeight="1" outlineLevel="2" x14ac:dyDescent="0.25">
      <c r="A388" s="13" t="s">
        <v>1137</v>
      </c>
      <c r="B388" s="14">
        <v>388</v>
      </c>
      <c r="C388" s="15" t="s">
        <v>19</v>
      </c>
      <c r="D388" s="15" t="s">
        <v>1138</v>
      </c>
      <c r="E388" s="16"/>
      <c r="F388" s="88" t="s">
        <v>1139</v>
      </c>
      <c r="G388" s="73" t="s">
        <v>64</v>
      </c>
      <c r="H388" s="96" t="s">
        <v>1140</v>
      </c>
      <c r="I388" s="19" t="s">
        <v>1138</v>
      </c>
      <c r="J388" s="15" t="s">
        <v>22</v>
      </c>
      <c r="K388" s="20"/>
      <c r="L388" s="16"/>
      <c r="M388" s="20" t="str">
        <f t="shared" si="6"/>
        <v>Conforme au standard</v>
      </c>
      <c r="N388" s="92" t="s">
        <v>9</v>
      </c>
      <c r="O388" s="22" t="s">
        <v>9</v>
      </c>
      <c r="P388" s="16"/>
      <c r="Q388" s="20"/>
      <c r="R388" s="20"/>
      <c r="S388" s="23" t="s">
        <v>24</v>
      </c>
    </row>
    <row r="389" spans="1:19" ht="39" customHeight="1" outlineLevel="2" x14ac:dyDescent="0.25">
      <c r="A389" s="13" t="s">
        <v>1141</v>
      </c>
      <c r="B389" s="14">
        <v>389</v>
      </c>
      <c r="C389" s="74" t="s">
        <v>35</v>
      </c>
      <c r="D389" s="74" t="s">
        <v>24</v>
      </c>
      <c r="E389" s="16"/>
      <c r="F389" s="102" t="s">
        <v>1142</v>
      </c>
      <c r="G389" s="76" t="s">
        <v>37</v>
      </c>
      <c r="H389" s="76" t="s">
        <v>38</v>
      </c>
      <c r="I389" s="87" t="s">
        <v>24</v>
      </c>
      <c r="J389" s="74" t="s">
        <v>24</v>
      </c>
      <c r="K389" s="78"/>
      <c r="L389" s="16"/>
      <c r="M389" s="78" t="str">
        <f t="shared" si="6"/>
        <v>Renseigner la réponse DCO</v>
      </c>
      <c r="N389" s="79" t="s">
        <v>9</v>
      </c>
      <c r="O389" s="79" t="s">
        <v>9</v>
      </c>
      <c r="P389" s="80"/>
      <c r="Q389" s="78"/>
      <c r="R389" s="78"/>
      <c r="S389" s="81" t="s">
        <v>24</v>
      </c>
    </row>
    <row r="390" spans="1:19" ht="39" customHeight="1" outlineLevel="2" x14ac:dyDescent="0.25">
      <c r="A390" s="13" t="s">
        <v>1143</v>
      </c>
      <c r="B390" s="14">
        <v>390</v>
      </c>
      <c r="C390" s="15" t="s">
        <v>26</v>
      </c>
      <c r="D390" s="71" t="s">
        <v>1144</v>
      </c>
      <c r="E390" s="16"/>
      <c r="F390" s="88" t="s">
        <v>1145</v>
      </c>
      <c r="G390" s="73" t="s">
        <v>64</v>
      </c>
      <c r="H390" s="96" t="s">
        <v>1146</v>
      </c>
      <c r="I390" s="19" t="s">
        <v>1144</v>
      </c>
      <c r="J390" s="15" t="s">
        <v>22</v>
      </c>
      <c r="K390" s="20"/>
      <c r="L390" s="16"/>
      <c r="M390" s="20" t="str">
        <f t="shared" si="6"/>
        <v>Conforme au standard</v>
      </c>
      <c r="N390" s="92" t="s">
        <v>9</v>
      </c>
      <c r="O390" s="22" t="s">
        <v>9</v>
      </c>
      <c r="P390" s="16"/>
      <c r="Q390" s="20"/>
      <c r="R390" s="20"/>
      <c r="S390" s="23" t="s">
        <v>24</v>
      </c>
    </row>
    <row r="391" spans="1:19" ht="39" customHeight="1" outlineLevel="2" x14ac:dyDescent="0.25">
      <c r="A391" s="13" t="s">
        <v>1147</v>
      </c>
      <c r="B391" s="14">
        <v>391</v>
      </c>
      <c r="C391" s="74" t="s">
        <v>35</v>
      </c>
      <c r="D391" s="74" t="s">
        <v>24</v>
      </c>
      <c r="E391" s="16"/>
      <c r="F391" s="102" t="s">
        <v>1148</v>
      </c>
      <c r="G391" s="76" t="s">
        <v>37</v>
      </c>
      <c r="H391" s="76" t="s">
        <v>38</v>
      </c>
      <c r="I391" s="87" t="s">
        <v>24</v>
      </c>
      <c r="J391" s="74" t="s">
        <v>24</v>
      </c>
      <c r="K391" s="78"/>
      <c r="L391" s="16"/>
      <c r="M391" s="78" t="str">
        <f t="shared" si="6"/>
        <v>Renseigner la réponse DCO</v>
      </c>
      <c r="N391" s="79" t="s">
        <v>9</v>
      </c>
      <c r="O391" s="79" t="s">
        <v>9</v>
      </c>
      <c r="P391" s="80"/>
      <c r="Q391" s="78"/>
      <c r="R391" s="78"/>
      <c r="S391" s="81" t="s">
        <v>24</v>
      </c>
    </row>
    <row r="392" spans="1:19" ht="39" customHeight="1" outlineLevel="1" x14ac:dyDescent="0.25">
      <c r="A392" s="108" t="s">
        <v>1149</v>
      </c>
      <c r="B392" s="14">
        <v>392</v>
      </c>
      <c r="C392" s="98" t="s">
        <v>30</v>
      </c>
      <c r="D392" s="38" t="s">
        <v>24</v>
      </c>
      <c r="E392" s="16"/>
      <c r="F392" s="34" t="s">
        <v>1150</v>
      </c>
      <c r="G392" s="120"/>
      <c r="H392" s="34"/>
      <c r="I392" s="37" t="s">
        <v>24</v>
      </c>
      <c r="J392" s="34" t="s">
        <v>24</v>
      </c>
      <c r="K392" s="39"/>
      <c r="L392" s="16"/>
      <c r="M392" s="40" t="str">
        <f t="shared" si="6"/>
        <v/>
      </c>
      <c r="N392" s="39" t="s">
        <v>9</v>
      </c>
      <c r="O392" s="39" t="s">
        <v>9</v>
      </c>
      <c r="P392" s="16"/>
      <c r="Q392" s="39"/>
      <c r="R392" s="39"/>
      <c r="S392" s="41" t="s">
        <v>24</v>
      </c>
    </row>
    <row r="393" spans="1:19" ht="39" customHeight="1" outlineLevel="2" x14ac:dyDescent="0.25">
      <c r="A393" s="70" t="s">
        <v>1151</v>
      </c>
      <c r="B393" s="14">
        <v>393</v>
      </c>
      <c r="C393" s="71" t="s">
        <v>51</v>
      </c>
      <c r="D393" s="71" t="s">
        <v>1152</v>
      </c>
      <c r="E393" s="16"/>
      <c r="F393" s="88" t="s">
        <v>1153</v>
      </c>
      <c r="G393" s="73" t="s">
        <v>64</v>
      </c>
      <c r="H393" s="97" t="s">
        <v>1154</v>
      </c>
      <c r="I393" s="19" t="s">
        <v>1152</v>
      </c>
      <c r="J393" s="15" t="s">
        <v>22</v>
      </c>
      <c r="K393" s="20"/>
      <c r="L393" s="16"/>
      <c r="M393" s="20" t="str">
        <f t="shared" si="6"/>
        <v>Conforme au standard</v>
      </c>
      <c r="N393" s="92" t="s">
        <v>9</v>
      </c>
      <c r="O393" s="22" t="s">
        <v>9</v>
      </c>
      <c r="P393" s="16"/>
      <c r="Q393" s="20"/>
      <c r="R393" s="20"/>
      <c r="S393" s="23" t="s">
        <v>24</v>
      </c>
    </row>
    <row r="394" spans="1:19" ht="39" customHeight="1" outlineLevel="2" x14ac:dyDescent="0.25">
      <c r="A394" s="13" t="s">
        <v>1155</v>
      </c>
      <c r="B394" s="14">
        <v>394</v>
      </c>
      <c r="C394" s="74" t="s">
        <v>35</v>
      </c>
      <c r="D394" s="74" t="s">
        <v>24</v>
      </c>
      <c r="E394" s="16"/>
      <c r="F394" s="102" t="s">
        <v>1156</v>
      </c>
      <c r="G394" s="76" t="s">
        <v>114</v>
      </c>
      <c r="H394" s="136" t="s">
        <v>115</v>
      </c>
      <c r="I394" s="119" t="s">
        <v>116</v>
      </c>
      <c r="J394" s="74" t="s">
        <v>24</v>
      </c>
      <c r="K394" s="78"/>
      <c r="L394" s="16"/>
      <c r="M394" s="78" t="str">
        <f t="shared" si="6"/>
        <v>Spécifique Offre</v>
      </c>
      <c r="N394" s="79" t="s">
        <v>117</v>
      </c>
      <c r="O394" s="79" t="s">
        <v>9</v>
      </c>
      <c r="P394" s="80"/>
      <c r="Q394" s="78"/>
      <c r="R394" s="78"/>
      <c r="S394" s="81" t="s">
        <v>24</v>
      </c>
    </row>
    <row r="395" spans="1:19" ht="39" customHeight="1" outlineLevel="2" x14ac:dyDescent="0.25">
      <c r="A395" s="13" t="s">
        <v>1157</v>
      </c>
      <c r="B395" s="14">
        <v>395</v>
      </c>
      <c r="C395" s="74" t="s">
        <v>35</v>
      </c>
      <c r="D395" s="74" t="s">
        <v>24</v>
      </c>
      <c r="E395" s="16"/>
      <c r="F395" s="102" t="s">
        <v>1158</v>
      </c>
      <c r="G395" s="76" t="s">
        <v>64</v>
      </c>
      <c r="H395" s="158" t="s">
        <v>1159</v>
      </c>
      <c r="I395" s="195" t="s">
        <v>24</v>
      </c>
      <c r="J395" s="74" t="s">
        <v>24</v>
      </c>
      <c r="K395" s="78"/>
      <c r="L395" s="16"/>
      <c r="M395" s="78" t="str">
        <f t="shared" si="6"/>
        <v>Renseigner la réponse DCO</v>
      </c>
      <c r="N395" s="79" t="s">
        <v>9</v>
      </c>
      <c r="O395" s="79" t="s">
        <v>9</v>
      </c>
      <c r="P395" s="80"/>
      <c r="Q395" s="78"/>
      <c r="R395" s="78"/>
      <c r="S395" s="81" t="s">
        <v>24</v>
      </c>
    </row>
    <row r="396" spans="1:19" ht="39" customHeight="1" outlineLevel="2" x14ac:dyDescent="0.25">
      <c r="A396" s="13" t="s">
        <v>1160</v>
      </c>
      <c r="B396" s="14">
        <v>396</v>
      </c>
      <c r="C396" s="74" t="s">
        <v>35</v>
      </c>
      <c r="D396" s="74" t="s">
        <v>24</v>
      </c>
      <c r="E396" s="16"/>
      <c r="F396" s="102" t="s">
        <v>1161</v>
      </c>
      <c r="G396" s="76" t="s">
        <v>64</v>
      </c>
      <c r="H396" s="158" t="s">
        <v>1162</v>
      </c>
      <c r="I396" s="87" t="s">
        <v>24</v>
      </c>
      <c r="J396" s="74"/>
      <c r="K396" s="78"/>
      <c r="L396" s="16"/>
      <c r="M396" s="78" t="str">
        <f t="shared" si="6"/>
        <v>Renseigner la réponse DCO</v>
      </c>
      <c r="N396" s="79" t="s">
        <v>9</v>
      </c>
      <c r="O396" s="79" t="s">
        <v>9</v>
      </c>
      <c r="P396" s="80"/>
      <c r="Q396" s="78"/>
      <c r="R396" s="78"/>
      <c r="S396" s="81" t="s">
        <v>24</v>
      </c>
    </row>
    <row r="397" spans="1:19" ht="39" customHeight="1" outlineLevel="2" x14ac:dyDescent="0.25">
      <c r="A397" s="13" t="s">
        <v>1163</v>
      </c>
      <c r="B397" s="14">
        <v>397</v>
      </c>
      <c r="C397" s="71" t="s">
        <v>35</v>
      </c>
      <c r="D397" s="71" t="s">
        <v>24</v>
      </c>
      <c r="E397" s="16"/>
      <c r="F397" s="88" t="s">
        <v>1164</v>
      </c>
      <c r="G397" s="73" t="s">
        <v>64</v>
      </c>
      <c r="H397" s="73" t="s">
        <v>1165</v>
      </c>
      <c r="I397" s="19" t="s">
        <v>24</v>
      </c>
      <c r="J397" s="15" t="s">
        <v>22</v>
      </c>
      <c r="K397" s="20"/>
      <c r="L397" s="16"/>
      <c r="M397" s="20" t="str">
        <f t="shared" si="6"/>
        <v>Renseigner la réponse DCO</v>
      </c>
      <c r="N397" s="92" t="s">
        <v>9</v>
      </c>
      <c r="O397" s="22" t="s">
        <v>9</v>
      </c>
      <c r="P397" s="16"/>
      <c r="Q397" s="20"/>
      <c r="R397" s="20"/>
      <c r="S397" s="23" t="s">
        <v>24</v>
      </c>
    </row>
    <row r="398" spans="1:19" ht="39" customHeight="1" outlineLevel="2" x14ac:dyDescent="0.25">
      <c r="A398" s="13" t="s">
        <v>1166</v>
      </c>
      <c r="B398" s="14">
        <v>398</v>
      </c>
      <c r="C398" s="74" t="s">
        <v>35</v>
      </c>
      <c r="D398" s="74" t="s">
        <v>24</v>
      </c>
      <c r="E398" s="16"/>
      <c r="F398" s="102" t="s">
        <v>1167</v>
      </c>
      <c r="G398" s="76" t="s">
        <v>114</v>
      </c>
      <c r="H398" s="136" t="s">
        <v>115</v>
      </c>
      <c r="I398" s="119" t="s">
        <v>116</v>
      </c>
      <c r="J398" s="74" t="s">
        <v>24</v>
      </c>
      <c r="K398" s="78" t="s">
        <v>23</v>
      </c>
      <c r="L398" s="16"/>
      <c r="M398" s="78" t="str">
        <f t="shared" si="6"/>
        <v>Spécifique Offre</v>
      </c>
      <c r="N398" s="79" t="s">
        <v>117</v>
      </c>
      <c r="O398" s="79" t="s">
        <v>9</v>
      </c>
      <c r="P398" s="80"/>
      <c r="Q398" s="78"/>
      <c r="R398" s="78"/>
      <c r="S398" s="81" t="s">
        <v>24</v>
      </c>
    </row>
    <row r="399" spans="1:19" ht="39" customHeight="1" outlineLevel="2" x14ac:dyDescent="0.25">
      <c r="A399" s="13" t="s">
        <v>1168</v>
      </c>
      <c r="B399" s="14">
        <v>399</v>
      </c>
      <c r="C399" s="71" t="s">
        <v>35</v>
      </c>
      <c r="D399" s="71" t="s">
        <v>24</v>
      </c>
      <c r="E399" s="16"/>
      <c r="F399" s="88" t="s">
        <v>1169</v>
      </c>
      <c r="G399" s="73" t="s">
        <v>64</v>
      </c>
      <c r="H399" s="73" t="s">
        <v>1170</v>
      </c>
      <c r="I399" s="19" t="s">
        <v>24</v>
      </c>
      <c r="J399" s="15" t="s">
        <v>22</v>
      </c>
      <c r="K399" s="20"/>
      <c r="L399" s="16"/>
      <c r="M399" s="20" t="str">
        <f t="shared" si="6"/>
        <v>Renseigner la réponse DCO</v>
      </c>
      <c r="N399" s="92" t="s">
        <v>9</v>
      </c>
      <c r="O399" s="22" t="s">
        <v>9</v>
      </c>
      <c r="P399" s="16"/>
      <c r="Q399" s="20"/>
      <c r="R399" s="20"/>
      <c r="S399" s="23" t="s">
        <v>24</v>
      </c>
    </row>
    <row r="400" spans="1:19" ht="39" customHeight="1" outlineLevel="2" x14ac:dyDescent="0.25">
      <c r="A400" s="13" t="s">
        <v>1171</v>
      </c>
      <c r="B400" s="14">
        <v>400</v>
      </c>
      <c r="C400" s="74" t="s">
        <v>35</v>
      </c>
      <c r="D400" s="74" t="s">
        <v>24</v>
      </c>
      <c r="E400" s="16"/>
      <c r="F400" s="102" t="s">
        <v>1167</v>
      </c>
      <c r="G400" s="135" t="s">
        <v>114</v>
      </c>
      <c r="H400" s="136" t="s">
        <v>115</v>
      </c>
      <c r="I400" s="119" t="s">
        <v>116</v>
      </c>
      <c r="J400" s="74" t="s">
        <v>24</v>
      </c>
      <c r="K400" s="78" t="s">
        <v>23</v>
      </c>
      <c r="L400" s="16"/>
      <c r="M400" s="78" t="str">
        <f t="shared" si="6"/>
        <v>Spécifique Offre</v>
      </c>
      <c r="N400" s="79" t="s">
        <v>117</v>
      </c>
      <c r="O400" s="79" t="s">
        <v>9</v>
      </c>
      <c r="P400" s="80"/>
      <c r="Q400" s="78"/>
      <c r="R400" s="78"/>
      <c r="S400" s="81" t="s">
        <v>24</v>
      </c>
    </row>
    <row r="401" spans="1:19" ht="39" customHeight="1" outlineLevel="2" x14ac:dyDescent="0.25">
      <c r="A401" s="13" t="s">
        <v>1172</v>
      </c>
      <c r="B401" s="14">
        <v>401</v>
      </c>
      <c r="C401" s="15" t="s">
        <v>51</v>
      </c>
      <c r="D401" s="15" t="s">
        <v>1173</v>
      </c>
      <c r="E401" s="16"/>
      <c r="F401" s="88" t="s">
        <v>1174</v>
      </c>
      <c r="G401" s="84" t="s">
        <v>54</v>
      </c>
      <c r="H401" s="97" t="s">
        <v>1175</v>
      </c>
      <c r="I401" s="19" t="s">
        <v>1173</v>
      </c>
      <c r="J401" s="15" t="s">
        <v>22</v>
      </c>
      <c r="K401" s="20"/>
      <c r="L401" s="16"/>
      <c r="M401" s="20" t="str">
        <f t="shared" si="6"/>
        <v>Conforme au standard</v>
      </c>
      <c r="N401" s="22" t="s">
        <v>9</v>
      </c>
      <c r="O401" s="22" t="s">
        <v>9</v>
      </c>
      <c r="P401" s="16"/>
      <c r="Q401" s="20"/>
      <c r="R401" s="20"/>
      <c r="S401" s="23" t="s">
        <v>24</v>
      </c>
    </row>
    <row r="402" spans="1:19" ht="39" customHeight="1" outlineLevel="2" x14ac:dyDescent="0.25">
      <c r="A402" s="13" t="s">
        <v>1176</v>
      </c>
      <c r="B402" s="14">
        <v>402</v>
      </c>
      <c r="C402" s="74" t="s">
        <v>35</v>
      </c>
      <c r="D402" s="74" t="s">
        <v>24</v>
      </c>
      <c r="E402" s="16"/>
      <c r="F402" s="102" t="s">
        <v>1167</v>
      </c>
      <c r="G402" s="135" t="s">
        <v>114</v>
      </c>
      <c r="H402" s="136" t="s">
        <v>115</v>
      </c>
      <c r="I402" s="119" t="s">
        <v>116</v>
      </c>
      <c r="J402" s="85"/>
      <c r="K402" s="78"/>
      <c r="L402" s="20"/>
      <c r="M402" s="79" t="str">
        <f t="shared" si="6"/>
        <v>Spécifique Offre</v>
      </c>
      <c r="N402" s="79" t="s">
        <v>117</v>
      </c>
      <c r="O402" s="196" t="s">
        <v>9</v>
      </c>
      <c r="P402" s="20"/>
      <c r="Q402" s="79"/>
      <c r="R402" s="78"/>
      <c r="S402" s="81" t="s">
        <v>24</v>
      </c>
    </row>
    <row r="403" spans="1:19" ht="39" customHeight="1" outlineLevel="2" x14ac:dyDescent="0.25">
      <c r="A403" s="13" t="s">
        <v>1177</v>
      </c>
      <c r="B403" s="14">
        <v>403</v>
      </c>
      <c r="C403" s="71" t="s">
        <v>51</v>
      </c>
      <c r="D403" s="71" t="s">
        <v>1178</v>
      </c>
      <c r="E403" s="16"/>
      <c r="F403" s="88" t="s">
        <v>1179</v>
      </c>
      <c r="G403" s="73" t="s">
        <v>54</v>
      </c>
      <c r="H403" s="97" t="s">
        <v>1180</v>
      </c>
      <c r="I403" s="19" t="s">
        <v>1178</v>
      </c>
      <c r="J403" s="15" t="s">
        <v>24</v>
      </c>
      <c r="K403" s="20"/>
      <c r="L403" s="16"/>
      <c r="M403" s="20" t="str">
        <f t="shared" si="6"/>
        <v>Conforme au standard</v>
      </c>
      <c r="N403" s="21" t="s">
        <v>9</v>
      </c>
      <c r="O403" s="22" t="s">
        <v>9</v>
      </c>
      <c r="P403" s="16"/>
      <c r="Q403" s="20"/>
      <c r="R403" s="20"/>
      <c r="S403" s="23" t="s">
        <v>24</v>
      </c>
    </row>
    <row r="404" spans="1:19" ht="39" customHeight="1" outlineLevel="2" x14ac:dyDescent="0.25">
      <c r="A404" s="13" t="s">
        <v>1181</v>
      </c>
      <c r="B404" s="14">
        <v>404</v>
      </c>
      <c r="C404" s="71" t="s">
        <v>51</v>
      </c>
      <c r="D404" s="71" t="s">
        <v>1182</v>
      </c>
      <c r="E404" s="16"/>
      <c r="F404" s="88" t="s">
        <v>1183</v>
      </c>
      <c r="G404" s="84" t="s">
        <v>54</v>
      </c>
      <c r="H404" s="97" t="s">
        <v>1184</v>
      </c>
      <c r="I404" s="19" t="s">
        <v>1182</v>
      </c>
      <c r="J404" s="15" t="s">
        <v>22</v>
      </c>
      <c r="K404" s="20"/>
      <c r="L404" s="16"/>
      <c r="M404" s="20" t="str">
        <f t="shared" si="6"/>
        <v>Conforme au standard</v>
      </c>
      <c r="N404" s="21" t="s">
        <v>9</v>
      </c>
      <c r="O404" s="22" t="s">
        <v>9</v>
      </c>
      <c r="P404" s="16"/>
      <c r="Q404" s="20"/>
      <c r="R404" s="20"/>
      <c r="S404" s="23" t="s">
        <v>24</v>
      </c>
    </row>
    <row r="405" spans="1:19" ht="39" customHeight="1" outlineLevel="2" x14ac:dyDescent="0.25">
      <c r="A405" s="13" t="s">
        <v>1185</v>
      </c>
      <c r="B405" s="14">
        <v>405</v>
      </c>
      <c r="C405" s="74" t="s">
        <v>35</v>
      </c>
      <c r="D405" s="74" t="s">
        <v>24</v>
      </c>
      <c r="E405" s="16"/>
      <c r="F405" s="102" t="s">
        <v>1186</v>
      </c>
      <c r="G405" s="135" t="s">
        <v>114</v>
      </c>
      <c r="H405" s="136" t="s">
        <v>115</v>
      </c>
      <c r="I405" s="119" t="s">
        <v>116</v>
      </c>
      <c r="J405" s="74" t="s">
        <v>24</v>
      </c>
      <c r="K405" s="78"/>
      <c r="L405" s="16"/>
      <c r="M405" s="78" t="str">
        <f t="shared" si="6"/>
        <v>Spécifique Offre</v>
      </c>
      <c r="N405" s="197" t="s">
        <v>117</v>
      </c>
      <c r="O405" s="79" t="s">
        <v>9</v>
      </c>
      <c r="P405" s="16"/>
      <c r="Q405" s="78"/>
      <c r="R405" s="78"/>
      <c r="S405" s="81" t="s">
        <v>24</v>
      </c>
    </row>
    <row r="406" spans="1:19" ht="39" customHeight="1" outlineLevel="2" x14ac:dyDescent="0.25">
      <c r="A406" s="13" t="s">
        <v>1187</v>
      </c>
      <c r="B406" s="14">
        <v>406</v>
      </c>
      <c r="C406" s="74" t="s">
        <v>35</v>
      </c>
      <c r="D406" s="74" t="s">
        <v>24</v>
      </c>
      <c r="E406" s="85"/>
      <c r="F406" s="102" t="s">
        <v>1188</v>
      </c>
      <c r="G406" s="135" t="s">
        <v>114</v>
      </c>
      <c r="H406" s="136" t="s">
        <v>115</v>
      </c>
      <c r="I406" s="119" t="s">
        <v>116</v>
      </c>
      <c r="J406" s="74"/>
      <c r="K406" s="78"/>
      <c r="L406" s="16"/>
      <c r="M406" s="78" t="str">
        <f t="shared" si="6"/>
        <v>Spécifique Offre</v>
      </c>
      <c r="N406" s="79" t="s">
        <v>117</v>
      </c>
      <c r="O406" s="79" t="s">
        <v>9</v>
      </c>
      <c r="P406" s="80"/>
      <c r="Q406" s="78"/>
      <c r="R406" s="78"/>
      <c r="S406" s="81" t="s">
        <v>24</v>
      </c>
    </row>
    <row r="407" spans="1:19" ht="39" customHeight="1" outlineLevel="2" x14ac:dyDescent="0.25">
      <c r="A407" s="13" t="s">
        <v>1189</v>
      </c>
      <c r="B407" s="14">
        <v>407</v>
      </c>
      <c r="C407" s="71" t="s">
        <v>35</v>
      </c>
      <c r="D407" s="71" t="s">
        <v>24</v>
      </c>
      <c r="E407" s="16"/>
      <c r="F407" s="88" t="s">
        <v>1190</v>
      </c>
      <c r="G407" s="73" t="s">
        <v>64</v>
      </c>
      <c r="H407" s="97" t="s">
        <v>1191</v>
      </c>
      <c r="I407" s="19" t="s">
        <v>24</v>
      </c>
      <c r="J407" s="15" t="s">
        <v>22</v>
      </c>
      <c r="K407" s="20"/>
      <c r="L407" s="16"/>
      <c r="M407" s="20" t="str">
        <f t="shared" si="6"/>
        <v>Renseigner la réponse DCO</v>
      </c>
      <c r="N407" s="21" t="s">
        <v>9</v>
      </c>
      <c r="O407" s="22" t="s">
        <v>9</v>
      </c>
      <c r="P407" s="16"/>
      <c r="Q407" s="20"/>
      <c r="R407" s="20"/>
      <c r="S407" s="23" t="s">
        <v>24</v>
      </c>
    </row>
    <row r="408" spans="1:19" ht="39" customHeight="1" outlineLevel="2" x14ac:dyDescent="0.25">
      <c r="A408" s="13" t="s">
        <v>1192</v>
      </c>
      <c r="B408" s="14">
        <v>408</v>
      </c>
      <c r="C408" s="74" t="s">
        <v>35</v>
      </c>
      <c r="D408" s="74" t="s">
        <v>24</v>
      </c>
      <c r="E408" s="16"/>
      <c r="F408" s="102" t="s">
        <v>1193</v>
      </c>
      <c r="G408" s="135" t="s">
        <v>114</v>
      </c>
      <c r="H408" s="136" t="s">
        <v>115</v>
      </c>
      <c r="I408" s="119" t="s">
        <v>116</v>
      </c>
      <c r="J408" s="74"/>
      <c r="K408" s="78" t="s">
        <v>23</v>
      </c>
      <c r="L408" s="16"/>
      <c r="M408" s="78" t="str">
        <f t="shared" si="6"/>
        <v>Spécifique Offre</v>
      </c>
      <c r="N408" s="79" t="s">
        <v>117</v>
      </c>
      <c r="O408" s="79" t="s">
        <v>9</v>
      </c>
      <c r="P408" s="80"/>
      <c r="Q408" s="78"/>
      <c r="R408" s="78"/>
      <c r="S408" s="81" t="s">
        <v>24</v>
      </c>
    </row>
    <row r="409" spans="1:19" ht="39" customHeight="1" outlineLevel="2" x14ac:dyDescent="0.25">
      <c r="A409" s="13" t="s">
        <v>1194</v>
      </c>
      <c r="B409" s="14">
        <v>409</v>
      </c>
      <c r="C409" s="74" t="s">
        <v>35</v>
      </c>
      <c r="D409" s="74" t="s">
        <v>24</v>
      </c>
      <c r="E409" s="16"/>
      <c r="F409" s="102" t="s">
        <v>1195</v>
      </c>
      <c r="G409" s="135" t="s">
        <v>114</v>
      </c>
      <c r="H409" s="136" t="s">
        <v>115</v>
      </c>
      <c r="I409" s="119" t="s">
        <v>116</v>
      </c>
      <c r="J409" s="74" t="s">
        <v>24</v>
      </c>
      <c r="K409" s="78"/>
      <c r="L409" s="16"/>
      <c r="M409" s="78" t="str">
        <f t="shared" si="6"/>
        <v>Spécifique Offre</v>
      </c>
      <c r="N409" s="79" t="s">
        <v>117</v>
      </c>
      <c r="O409" s="79" t="s">
        <v>9</v>
      </c>
      <c r="P409" s="80"/>
      <c r="Q409" s="78"/>
      <c r="R409" s="78"/>
      <c r="S409" s="81" t="s">
        <v>24</v>
      </c>
    </row>
    <row r="410" spans="1:19" ht="39" customHeight="1" outlineLevel="2" x14ac:dyDescent="0.25">
      <c r="A410" s="13" t="s">
        <v>1196</v>
      </c>
      <c r="B410" s="14">
        <v>410</v>
      </c>
      <c r="C410" s="15" t="s">
        <v>26</v>
      </c>
      <c r="D410" s="15" t="s">
        <v>46</v>
      </c>
      <c r="E410" s="82"/>
      <c r="F410" s="96" t="s">
        <v>1197</v>
      </c>
      <c r="G410" s="72" t="s">
        <v>54</v>
      </c>
      <c r="H410" s="97" t="s">
        <v>1198</v>
      </c>
      <c r="I410" s="19" t="s">
        <v>46</v>
      </c>
      <c r="J410" s="15" t="s">
        <v>24</v>
      </c>
      <c r="K410" s="20" t="s">
        <v>23</v>
      </c>
      <c r="L410" s="16"/>
      <c r="M410" s="20" t="str">
        <f t="shared" si="6"/>
        <v>Non concerné</v>
      </c>
      <c r="N410" s="22" t="s">
        <v>9</v>
      </c>
      <c r="O410" s="22" t="s">
        <v>9</v>
      </c>
      <c r="P410" s="80"/>
      <c r="Q410" s="20"/>
      <c r="R410" s="20"/>
      <c r="S410" s="23" t="s">
        <v>24</v>
      </c>
    </row>
    <row r="411" spans="1:19" ht="39" customHeight="1" outlineLevel="2" x14ac:dyDescent="0.25">
      <c r="A411" s="13" t="s">
        <v>1199</v>
      </c>
      <c r="B411" s="14">
        <v>411</v>
      </c>
      <c r="C411" s="15" t="s">
        <v>51</v>
      </c>
      <c r="D411" s="15" t="s">
        <v>1200</v>
      </c>
      <c r="E411" s="82"/>
      <c r="F411" s="96" t="s">
        <v>1201</v>
      </c>
      <c r="G411" s="72" t="s">
        <v>54</v>
      </c>
      <c r="H411" s="198" t="s">
        <v>1202</v>
      </c>
      <c r="I411" s="19" t="s">
        <v>1200</v>
      </c>
      <c r="J411" s="15" t="s">
        <v>24</v>
      </c>
      <c r="K411" s="20"/>
      <c r="L411" s="16"/>
      <c r="M411" s="20" t="str">
        <f t="shared" si="6"/>
        <v>Conforme au standard</v>
      </c>
      <c r="N411" s="22" t="s">
        <v>9</v>
      </c>
      <c r="O411" s="22" t="s">
        <v>9</v>
      </c>
      <c r="P411" s="80"/>
      <c r="Q411" s="20"/>
      <c r="R411" s="20"/>
      <c r="S411" s="23" t="s">
        <v>24</v>
      </c>
    </row>
    <row r="412" spans="1:19" ht="39" customHeight="1" outlineLevel="1" x14ac:dyDescent="0.25">
      <c r="A412" s="108" t="s">
        <v>1203</v>
      </c>
      <c r="B412" s="14">
        <v>412</v>
      </c>
      <c r="C412" s="98" t="s">
        <v>30</v>
      </c>
      <c r="D412" s="38" t="s">
        <v>24</v>
      </c>
      <c r="E412" s="16"/>
      <c r="F412" s="34" t="s">
        <v>1204</v>
      </c>
      <c r="G412" s="34"/>
      <c r="H412" s="34"/>
      <c r="I412" s="37" t="s">
        <v>24</v>
      </c>
      <c r="J412" s="34" t="s">
        <v>24</v>
      </c>
      <c r="K412" s="39"/>
      <c r="L412" s="16"/>
      <c r="M412" s="40" t="str">
        <f t="shared" si="6"/>
        <v/>
      </c>
      <c r="N412" s="39" t="s">
        <v>9</v>
      </c>
      <c r="O412" s="39" t="s">
        <v>9</v>
      </c>
      <c r="P412" s="16"/>
      <c r="Q412" s="39"/>
      <c r="R412" s="39"/>
      <c r="S412" s="41" t="s">
        <v>24</v>
      </c>
    </row>
    <row r="413" spans="1:19" ht="39" customHeight="1" outlineLevel="2" x14ac:dyDescent="0.25">
      <c r="A413" s="13" t="s">
        <v>1205</v>
      </c>
      <c r="B413" s="14">
        <v>413</v>
      </c>
      <c r="C413" s="15" t="s">
        <v>26</v>
      </c>
      <c r="D413" s="15" t="s">
        <v>1206</v>
      </c>
      <c r="E413" s="16"/>
      <c r="F413" s="88" t="s">
        <v>1207</v>
      </c>
      <c r="G413" s="73" t="s">
        <v>64</v>
      </c>
      <c r="H413" s="96" t="s">
        <v>1208</v>
      </c>
      <c r="I413" s="19" t="s">
        <v>1206</v>
      </c>
      <c r="J413" s="15" t="s">
        <v>22</v>
      </c>
      <c r="K413" s="20"/>
      <c r="L413" s="16"/>
      <c r="M413" s="20" t="str">
        <f t="shared" si="6"/>
        <v>Conforme au standard</v>
      </c>
      <c r="N413" s="92" t="s">
        <v>9</v>
      </c>
      <c r="O413" s="22" t="s">
        <v>9</v>
      </c>
      <c r="P413" s="16"/>
      <c r="Q413" s="20"/>
      <c r="R413" s="20"/>
      <c r="S413" s="23" t="s">
        <v>24</v>
      </c>
    </row>
    <row r="414" spans="1:19" ht="39" customHeight="1" outlineLevel="2" x14ac:dyDescent="0.25">
      <c r="A414" s="13" t="s">
        <v>1209</v>
      </c>
      <c r="B414" s="14">
        <v>414</v>
      </c>
      <c r="C414" s="74" t="s">
        <v>35</v>
      </c>
      <c r="D414" s="74" t="s">
        <v>24</v>
      </c>
      <c r="E414" s="16"/>
      <c r="F414" s="102" t="s">
        <v>1210</v>
      </c>
      <c r="G414" s="76" t="s">
        <v>37</v>
      </c>
      <c r="H414" s="76" t="s">
        <v>38</v>
      </c>
      <c r="I414" s="87" t="s">
        <v>24</v>
      </c>
      <c r="J414" s="74" t="s">
        <v>24</v>
      </c>
      <c r="K414" s="78"/>
      <c r="L414" s="16"/>
      <c r="M414" s="78" t="str">
        <f t="shared" si="6"/>
        <v>Renseigner la réponse DCO</v>
      </c>
      <c r="N414" s="79" t="s">
        <v>9</v>
      </c>
      <c r="O414" s="79" t="s">
        <v>9</v>
      </c>
      <c r="P414" s="80"/>
      <c r="Q414" s="78"/>
      <c r="R414" s="78"/>
      <c r="S414" s="81" t="s">
        <v>24</v>
      </c>
    </row>
    <row r="415" spans="1:19" ht="39" customHeight="1" outlineLevel="2" x14ac:dyDescent="0.25">
      <c r="A415" s="13" t="s">
        <v>1211</v>
      </c>
      <c r="B415" s="14">
        <v>415</v>
      </c>
      <c r="C415" s="74" t="s">
        <v>19</v>
      </c>
      <c r="D415" s="74" t="s">
        <v>46</v>
      </c>
      <c r="E415" s="16"/>
      <c r="F415" s="102" t="s">
        <v>1212</v>
      </c>
      <c r="G415" s="76" t="s">
        <v>64</v>
      </c>
      <c r="H415" s="76" t="s">
        <v>1213</v>
      </c>
      <c r="I415" s="87" t="s">
        <v>46</v>
      </c>
      <c r="J415" s="74" t="s">
        <v>24</v>
      </c>
      <c r="K415" s="78" t="s">
        <v>23</v>
      </c>
      <c r="L415" s="16"/>
      <c r="M415" s="78" t="str">
        <f t="shared" si="6"/>
        <v>Non concerné</v>
      </c>
      <c r="N415" s="79" t="s">
        <v>9</v>
      </c>
      <c r="O415" s="79" t="s">
        <v>9</v>
      </c>
      <c r="P415" s="80"/>
      <c r="Q415" s="78"/>
      <c r="R415" s="78"/>
      <c r="S415" s="81" t="s">
        <v>24</v>
      </c>
    </row>
    <row r="416" spans="1:19" ht="39" customHeight="1" outlineLevel="2" x14ac:dyDescent="0.25">
      <c r="A416" s="13" t="s">
        <v>1214</v>
      </c>
      <c r="B416" s="14">
        <v>416</v>
      </c>
      <c r="C416" s="15" t="s">
        <v>19</v>
      </c>
      <c r="D416" s="15" t="s">
        <v>46</v>
      </c>
      <c r="E416" s="16"/>
      <c r="F416" s="88" t="s">
        <v>1215</v>
      </c>
      <c r="G416" s="73" t="s">
        <v>64</v>
      </c>
      <c r="H416" s="96" t="s">
        <v>1216</v>
      </c>
      <c r="I416" s="19" t="s">
        <v>46</v>
      </c>
      <c r="J416" s="15" t="s">
        <v>22</v>
      </c>
      <c r="K416" s="20" t="s">
        <v>23</v>
      </c>
      <c r="L416" s="16"/>
      <c r="M416" s="20" t="str">
        <f t="shared" si="6"/>
        <v>Non concerné</v>
      </c>
      <c r="N416" s="92" t="s">
        <v>9</v>
      </c>
      <c r="O416" s="22" t="s">
        <v>9</v>
      </c>
      <c r="P416" s="16"/>
      <c r="Q416" s="20"/>
      <c r="R416" s="20"/>
      <c r="S416" s="23" t="s">
        <v>24</v>
      </c>
    </row>
    <row r="417" spans="1:19" ht="39" customHeight="1" outlineLevel="2" x14ac:dyDescent="0.25">
      <c r="A417" s="13" t="s">
        <v>1217</v>
      </c>
      <c r="B417" s="14">
        <v>417</v>
      </c>
      <c r="C417" s="15" t="s">
        <v>26</v>
      </c>
      <c r="D417" s="15" t="s">
        <v>1218</v>
      </c>
      <c r="E417" s="16"/>
      <c r="F417" s="88" t="s">
        <v>1219</v>
      </c>
      <c r="G417" s="73" t="s">
        <v>64</v>
      </c>
      <c r="H417" s="96" t="s">
        <v>1220</v>
      </c>
      <c r="I417" s="19" t="s">
        <v>1218</v>
      </c>
      <c r="J417" s="15" t="s">
        <v>24</v>
      </c>
      <c r="K417" s="20"/>
      <c r="L417" s="16"/>
      <c r="M417" s="20" t="str">
        <f t="shared" si="6"/>
        <v>Conforme au standard</v>
      </c>
      <c r="N417" s="92" t="s">
        <v>9</v>
      </c>
      <c r="O417" s="22" t="s">
        <v>9</v>
      </c>
      <c r="P417" s="16"/>
      <c r="Q417" s="20"/>
      <c r="R417" s="20"/>
      <c r="S417" s="23" t="s">
        <v>24</v>
      </c>
    </row>
    <row r="418" spans="1:19" ht="39" customHeight="1" outlineLevel="2" x14ac:dyDescent="0.25">
      <c r="A418" s="13" t="s">
        <v>1221</v>
      </c>
      <c r="B418" s="14">
        <v>418</v>
      </c>
      <c r="C418" s="15" t="s">
        <v>51</v>
      </c>
      <c r="D418" s="15" t="s">
        <v>1222</v>
      </c>
      <c r="E418" s="16"/>
      <c r="F418" s="88" t="s">
        <v>1223</v>
      </c>
      <c r="G418" s="73" t="s">
        <v>64</v>
      </c>
      <c r="H418" s="96" t="s">
        <v>1224</v>
      </c>
      <c r="I418" s="19" t="s">
        <v>1222</v>
      </c>
      <c r="J418" s="15" t="s">
        <v>24</v>
      </c>
      <c r="K418" s="20"/>
      <c r="L418" s="16"/>
      <c r="M418" s="20" t="str">
        <f t="shared" si="6"/>
        <v>Conforme au standard</v>
      </c>
      <c r="N418" s="92" t="s">
        <v>9</v>
      </c>
      <c r="O418" s="22" t="s">
        <v>9</v>
      </c>
      <c r="P418" s="16"/>
      <c r="Q418" s="20"/>
      <c r="R418" s="20"/>
      <c r="S418" s="23" t="s">
        <v>24</v>
      </c>
    </row>
    <row r="419" spans="1:19" ht="39" customHeight="1" outlineLevel="2" x14ac:dyDescent="0.25">
      <c r="A419" s="13" t="s">
        <v>1225</v>
      </c>
      <c r="B419" s="14">
        <v>419</v>
      </c>
      <c r="C419" s="15" t="s">
        <v>26</v>
      </c>
      <c r="D419" s="15" t="s">
        <v>1226</v>
      </c>
      <c r="E419" s="16"/>
      <c r="F419" s="88" t="s">
        <v>1227</v>
      </c>
      <c r="G419" s="134" t="s">
        <v>48</v>
      </c>
      <c r="H419" s="88" t="s">
        <v>1228</v>
      </c>
      <c r="I419" s="19" t="s">
        <v>1226</v>
      </c>
      <c r="J419" s="15" t="s">
        <v>24</v>
      </c>
      <c r="K419" s="20"/>
      <c r="L419" s="16"/>
      <c r="M419" s="20" t="str">
        <f t="shared" si="6"/>
        <v>Conforme au standard</v>
      </c>
      <c r="N419" s="92" t="s">
        <v>9</v>
      </c>
      <c r="O419" s="22" t="s">
        <v>9</v>
      </c>
      <c r="P419" s="16"/>
      <c r="Q419" s="20"/>
      <c r="R419" s="20"/>
      <c r="S419" s="23" t="s">
        <v>24</v>
      </c>
    </row>
    <row r="420" spans="1:19" ht="39" customHeight="1" x14ac:dyDescent="0.25">
      <c r="A420" s="24" t="s">
        <v>1229</v>
      </c>
      <c r="B420" s="14">
        <v>420</v>
      </c>
      <c r="C420" s="110" t="s">
        <v>30</v>
      </c>
      <c r="D420" s="27" t="s">
        <v>24</v>
      </c>
      <c r="E420" s="16"/>
      <c r="F420" s="18" t="s">
        <v>1230</v>
      </c>
      <c r="G420" s="18"/>
      <c r="H420" s="18"/>
      <c r="I420" s="26" t="s">
        <v>24</v>
      </c>
      <c r="J420" s="18" t="s">
        <v>24</v>
      </c>
      <c r="K420" s="113"/>
      <c r="L420" s="16"/>
      <c r="M420" s="113" t="str">
        <f t="shared" si="6"/>
        <v/>
      </c>
      <c r="N420" s="113" t="s">
        <v>9</v>
      </c>
      <c r="O420" s="113" t="s">
        <v>9</v>
      </c>
      <c r="P420" s="16"/>
      <c r="Q420" s="113"/>
      <c r="R420" s="113"/>
      <c r="S420" s="114" t="s">
        <v>24</v>
      </c>
    </row>
    <row r="421" spans="1:19" ht="39" customHeight="1" outlineLevel="1" x14ac:dyDescent="0.25">
      <c r="A421" s="108" t="s">
        <v>1231</v>
      </c>
      <c r="B421" s="14">
        <v>421</v>
      </c>
      <c r="C421" s="98" t="s">
        <v>30</v>
      </c>
      <c r="D421" s="38" t="s">
        <v>24</v>
      </c>
      <c r="E421" s="16"/>
      <c r="F421" s="34" t="s">
        <v>1232</v>
      </c>
      <c r="G421" s="34"/>
      <c r="H421" s="34"/>
      <c r="I421" s="37" t="s">
        <v>24</v>
      </c>
      <c r="J421" s="34" t="s">
        <v>24</v>
      </c>
      <c r="K421" s="39"/>
      <c r="L421" s="16"/>
      <c r="M421" s="40" t="str">
        <f t="shared" si="6"/>
        <v/>
      </c>
      <c r="N421" s="39" t="s">
        <v>9</v>
      </c>
      <c r="O421" s="39" t="s">
        <v>9</v>
      </c>
      <c r="P421" s="16"/>
      <c r="Q421" s="39"/>
      <c r="R421" s="39"/>
      <c r="S421" s="41" t="s">
        <v>24</v>
      </c>
    </row>
    <row r="422" spans="1:19" ht="39" customHeight="1" outlineLevel="2" x14ac:dyDescent="0.25">
      <c r="A422" s="123" t="s">
        <v>1233</v>
      </c>
      <c r="B422" s="14">
        <v>422</v>
      </c>
      <c r="C422" s="143" t="s">
        <v>30</v>
      </c>
      <c r="D422" s="144" t="s">
        <v>24</v>
      </c>
      <c r="E422" s="16"/>
      <c r="F422" s="166" t="s">
        <v>1234</v>
      </c>
      <c r="G422" s="166"/>
      <c r="H422" s="166"/>
      <c r="I422" s="148" t="s">
        <v>24</v>
      </c>
      <c r="J422" s="166" t="s">
        <v>24</v>
      </c>
      <c r="K422" s="130"/>
      <c r="L422" s="16"/>
      <c r="M422" s="130" t="str">
        <f t="shared" si="6"/>
        <v/>
      </c>
      <c r="N422" s="130" t="s">
        <v>9</v>
      </c>
      <c r="O422" s="130" t="s">
        <v>9</v>
      </c>
      <c r="P422" s="16"/>
      <c r="Q422" s="130"/>
      <c r="R422" s="130"/>
      <c r="S422" s="131" t="s">
        <v>24</v>
      </c>
    </row>
    <row r="423" spans="1:19" ht="39" customHeight="1" outlineLevel="2" x14ac:dyDescent="0.25">
      <c r="A423" s="13" t="s">
        <v>1235</v>
      </c>
      <c r="B423" s="14">
        <v>423</v>
      </c>
      <c r="C423" s="71" t="s">
        <v>51</v>
      </c>
      <c r="D423" s="71" t="s">
        <v>1236</v>
      </c>
      <c r="E423" s="16"/>
      <c r="F423" s="88" t="s">
        <v>1237</v>
      </c>
      <c r="G423" s="88" t="s">
        <v>64</v>
      </c>
      <c r="H423" s="199" t="s">
        <v>1238</v>
      </c>
      <c r="I423" s="19" t="s">
        <v>1236</v>
      </c>
      <c r="J423" s="15" t="s">
        <v>22</v>
      </c>
      <c r="K423" s="20"/>
      <c r="L423" s="16"/>
      <c r="M423" s="20" t="str">
        <f t="shared" si="6"/>
        <v>Conforme au standard</v>
      </c>
      <c r="N423" s="92" t="s">
        <v>9</v>
      </c>
      <c r="O423" s="22" t="s">
        <v>9</v>
      </c>
      <c r="P423" s="16"/>
      <c r="Q423" s="20"/>
      <c r="R423" s="20"/>
      <c r="S423" s="23" t="s">
        <v>24</v>
      </c>
    </row>
    <row r="424" spans="1:19" ht="39" customHeight="1" outlineLevel="2" x14ac:dyDescent="0.25">
      <c r="A424" s="13" t="s">
        <v>1239</v>
      </c>
      <c r="B424" s="14">
        <v>424</v>
      </c>
      <c r="C424" s="74" t="s">
        <v>35</v>
      </c>
      <c r="D424" s="160" t="s">
        <v>24</v>
      </c>
      <c r="E424" s="16"/>
      <c r="F424" s="102" t="s">
        <v>1240</v>
      </c>
      <c r="G424" s="102" t="s">
        <v>37</v>
      </c>
      <c r="H424" s="200" t="s">
        <v>37</v>
      </c>
      <c r="I424" s="87" t="s">
        <v>75</v>
      </c>
      <c r="J424" s="74" t="s">
        <v>24</v>
      </c>
      <c r="K424" s="78" t="s">
        <v>23</v>
      </c>
      <c r="L424" s="16"/>
      <c r="M424" s="78" t="str">
        <f t="shared" si="6"/>
        <v>Spécifique Offre</v>
      </c>
      <c r="N424" s="79" t="s">
        <v>9</v>
      </c>
      <c r="O424" s="79" t="s">
        <v>9</v>
      </c>
      <c r="P424" s="80"/>
      <c r="Q424" s="78"/>
      <c r="R424" s="78"/>
      <c r="S424" s="81" t="s">
        <v>24</v>
      </c>
    </row>
    <row r="425" spans="1:19" ht="39" customHeight="1" outlineLevel="2" x14ac:dyDescent="0.25">
      <c r="A425" s="123" t="s">
        <v>1241</v>
      </c>
      <c r="B425" s="14">
        <v>425</v>
      </c>
      <c r="C425" s="143" t="s">
        <v>30</v>
      </c>
      <c r="D425" s="144" t="s">
        <v>24</v>
      </c>
      <c r="E425" s="16"/>
      <c r="F425" s="186" t="s">
        <v>1242</v>
      </c>
      <c r="G425" s="166"/>
      <c r="H425" s="201"/>
      <c r="I425" s="202" t="s">
        <v>24</v>
      </c>
      <c r="J425" s="127" t="s">
        <v>24</v>
      </c>
      <c r="K425" s="130"/>
      <c r="L425" s="16"/>
      <c r="M425" s="130" t="str">
        <f t="shared" si="6"/>
        <v/>
      </c>
      <c r="N425" s="130" t="s">
        <v>9</v>
      </c>
      <c r="O425" s="130" t="s">
        <v>9</v>
      </c>
      <c r="P425" s="16"/>
      <c r="Q425" s="130"/>
      <c r="R425" s="130"/>
      <c r="S425" s="131" t="s">
        <v>24</v>
      </c>
    </row>
    <row r="426" spans="1:19" ht="39" customHeight="1" outlineLevel="2" x14ac:dyDescent="0.25">
      <c r="A426" s="13" t="s">
        <v>1243</v>
      </c>
      <c r="B426" s="14">
        <v>426</v>
      </c>
      <c r="C426" s="15" t="s">
        <v>51</v>
      </c>
      <c r="D426" s="15" t="s">
        <v>1244</v>
      </c>
      <c r="E426" s="16"/>
      <c r="F426" s="88" t="s">
        <v>1245</v>
      </c>
      <c r="G426" s="88" t="s">
        <v>64</v>
      </c>
      <c r="H426" s="203" t="s">
        <v>1246</v>
      </c>
      <c r="I426" s="19" t="s">
        <v>1244</v>
      </c>
      <c r="J426" s="15" t="s">
        <v>24</v>
      </c>
      <c r="K426" s="20"/>
      <c r="L426" s="16"/>
      <c r="M426" s="20" t="str">
        <f t="shared" si="6"/>
        <v>Conforme au standard</v>
      </c>
      <c r="N426" s="92" t="s">
        <v>9</v>
      </c>
      <c r="O426" s="22" t="s">
        <v>9</v>
      </c>
      <c r="P426" s="16"/>
      <c r="Q426" s="20"/>
      <c r="R426" s="20"/>
      <c r="S426" s="23" t="s">
        <v>24</v>
      </c>
    </row>
    <row r="427" spans="1:19" ht="39" customHeight="1" outlineLevel="2" x14ac:dyDescent="0.25">
      <c r="A427" s="13" t="s">
        <v>1247</v>
      </c>
      <c r="B427" s="14">
        <v>427</v>
      </c>
      <c r="C427" s="71" t="s">
        <v>19</v>
      </c>
      <c r="D427" s="71" t="s">
        <v>1248</v>
      </c>
      <c r="E427" s="16"/>
      <c r="F427" s="88" t="s">
        <v>1249</v>
      </c>
      <c r="G427" s="88" t="s">
        <v>64</v>
      </c>
      <c r="H427" s="199" t="s">
        <v>1250</v>
      </c>
      <c r="I427" s="19" t="s">
        <v>1248</v>
      </c>
      <c r="J427" s="15" t="s">
        <v>24</v>
      </c>
      <c r="K427" s="20"/>
      <c r="L427" s="16"/>
      <c r="M427" s="20" t="str">
        <f t="shared" si="6"/>
        <v>Conforme au standard</v>
      </c>
      <c r="N427" s="92" t="s">
        <v>9</v>
      </c>
      <c r="O427" s="22" t="s">
        <v>9</v>
      </c>
      <c r="P427" s="16"/>
      <c r="Q427" s="20"/>
      <c r="R427" s="20"/>
      <c r="S427" s="23" t="s">
        <v>24</v>
      </c>
    </row>
    <row r="428" spans="1:19" ht="39" customHeight="1" outlineLevel="2" x14ac:dyDescent="0.25">
      <c r="A428" s="123" t="s">
        <v>1251</v>
      </c>
      <c r="B428" s="14">
        <v>428</v>
      </c>
      <c r="C428" s="143" t="s">
        <v>30</v>
      </c>
      <c r="D428" s="144" t="s">
        <v>24</v>
      </c>
      <c r="E428" s="16"/>
      <c r="F428" s="186" t="s">
        <v>1252</v>
      </c>
      <c r="G428" s="166"/>
      <c r="H428" s="201"/>
      <c r="I428" s="202" t="s">
        <v>24</v>
      </c>
      <c r="J428" s="127" t="s">
        <v>24</v>
      </c>
      <c r="K428" s="130"/>
      <c r="L428" s="16"/>
      <c r="M428" s="130" t="str">
        <f t="shared" si="6"/>
        <v/>
      </c>
      <c r="N428" s="130" t="s">
        <v>9</v>
      </c>
      <c r="O428" s="130" t="s">
        <v>9</v>
      </c>
      <c r="P428" s="16"/>
      <c r="Q428" s="130"/>
      <c r="R428" s="130"/>
      <c r="S428" s="131" t="s">
        <v>24</v>
      </c>
    </row>
    <row r="429" spans="1:19" ht="39" customHeight="1" outlineLevel="2" x14ac:dyDescent="0.25">
      <c r="A429" s="13" t="s">
        <v>1253</v>
      </c>
      <c r="B429" s="14">
        <v>429</v>
      </c>
      <c r="C429" s="15" t="s">
        <v>19</v>
      </c>
      <c r="D429" s="15" t="s">
        <v>1254</v>
      </c>
      <c r="E429" s="16"/>
      <c r="F429" s="88" t="s">
        <v>1255</v>
      </c>
      <c r="G429" s="134" t="s">
        <v>48</v>
      </c>
      <c r="H429" s="199" t="s">
        <v>1256</v>
      </c>
      <c r="I429" s="91" t="s">
        <v>1254</v>
      </c>
      <c r="J429" s="15" t="s">
        <v>24</v>
      </c>
      <c r="K429" s="20"/>
      <c r="L429" s="16"/>
      <c r="M429" s="20" t="str">
        <f t="shared" si="6"/>
        <v>Conforme au standard</v>
      </c>
      <c r="N429" s="22" t="s">
        <v>9</v>
      </c>
      <c r="O429" s="22" t="s">
        <v>9</v>
      </c>
      <c r="P429" s="16"/>
      <c r="Q429" s="20"/>
      <c r="R429" s="20"/>
      <c r="S429" s="23" t="s">
        <v>44</v>
      </c>
    </row>
    <row r="430" spans="1:19" ht="39" customHeight="1" outlineLevel="2" x14ac:dyDescent="0.25">
      <c r="A430" s="13" t="s">
        <v>1257</v>
      </c>
      <c r="B430" s="14">
        <v>430</v>
      </c>
      <c r="C430" s="71" t="s">
        <v>19</v>
      </c>
      <c r="D430" s="71" t="s">
        <v>1258</v>
      </c>
      <c r="E430" s="16"/>
      <c r="F430" s="88" t="s">
        <v>1259</v>
      </c>
      <c r="G430" s="88" t="s">
        <v>64</v>
      </c>
      <c r="H430" s="203" t="s">
        <v>1260</v>
      </c>
      <c r="I430" s="19" t="s">
        <v>1258</v>
      </c>
      <c r="J430" s="15" t="s">
        <v>22</v>
      </c>
      <c r="K430" s="20"/>
      <c r="L430" s="16"/>
      <c r="M430" s="20" t="str">
        <f t="shared" si="6"/>
        <v>Conforme au standard</v>
      </c>
      <c r="N430" s="92" t="s">
        <v>9</v>
      </c>
      <c r="O430" s="22" t="s">
        <v>9</v>
      </c>
      <c r="P430" s="16"/>
      <c r="Q430" s="20"/>
      <c r="R430" s="20"/>
      <c r="S430" s="23" t="s">
        <v>24</v>
      </c>
    </row>
    <row r="431" spans="1:19" ht="39" customHeight="1" outlineLevel="2" x14ac:dyDescent="0.25">
      <c r="A431" s="13" t="s">
        <v>1261</v>
      </c>
      <c r="B431" s="14">
        <v>431</v>
      </c>
      <c r="C431" s="74" t="s">
        <v>35</v>
      </c>
      <c r="D431" s="74" t="s">
        <v>24</v>
      </c>
      <c r="E431" s="16"/>
      <c r="F431" s="102" t="s">
        <v>1262</v>
      </c>
      <c r="G431" s="102" t="s">
        <v>37</v>
      </c>
      <c r="H431" s="200" t="s">
        <v>38</v>
      </c>
      <c r="I431" s="87" t="s">
        <v>75</v>
      </c>
      <c r="J431" s="74" t="s">
        <v>24</v>
      </c>
      <c r="K431" s="78" t="s">
        <v>23</v>
      </c>
      <c r="L431" s="16"/>
      <c r="M431" s="78" t="str">
        <f t="shared" si="6"/>
        <v>Spécifique Offre</v>
      </c>
      <c r="N431" s="79" t="s">
        <v>9</v>
      </c>
      <c r="O431" s="79" t="s">
        <v>9</v>
      </c>
      <c r="P431" s="80"/>
      <c r="Q431" s="78"/>
      <c r="R431" s="78"/>
      <c r="S431" s="81" t="s">
        <v>24</v>
      </c>
    </row>
    <row r="432" spans="1:19" ht="39" customHeight="1" outlineLevel="2" x14ac:dyDescent="0.25">
      <c r="A432" s="123" t="s">
        <v>1263</v>
      </c>
      <c r="B432" s="14">
        <v>432</v>
      </c>
      <c r="C432" s="143" t="s">
        <v>30</v>
      </c>
      <c r="D432" s="144" t="s">
        <v>24</v>
      </c>
      <c r="E432" s="16"/>
      <c r="F432" s="186" t="s">
        <v>1264</v>
      </c>
      <c r="G432" s="166"/>
      <c r="H432" s="201"/>
      <c r="I432" s="202" t="s">
        <v>24</v>
      </c>
      <c r="J432" s="127" t="s">
        <v>24</v>
      </c>
      <c r="K432" s="130"/>
      <c r="L432" s="16"/>
      <c r="M432" s="130" t="str">
        <f t="shared" si="6"/>
        <v/>
      </c>
      <c r="N432" s="130" t="s">
        <v>9</v>
      </c>
      <c r="O432" s="130" t="s">
        <v>9</v>
      </c>
      <c r="P432" s="16"/>
      <c r="Q432" s="130"/>
      <c r="R432" s="130"/>
      <c r="S432" s="131" t="s">
        <v>24</v>
      </c>
    </row>
    <row r="433" spans="1:28" ht="39" customHeight="1" outlineLevel="2" x14ac:dyDescent="0.25">
      <c r="A433" s="13" t="s">
        <v>1265</v>
      </c>
      <c r="B433" s="14">
        <v>433</v>
      </c>
      <c r="C433" s="71" t="s">
        <v>51</v>
      </c>
      <c r="D433" s="71" t="s">
        <v>1266</v>
      </c>
      <c r="E433" s="16"/>
      <c r="F433" s="88" t="s">
        <v>1267</v>
      </c>
      <c r="G433" s="88" t="s">
        <v>64</v>
      </c>
      <c r="H433" s="88" t="s">
        <v>1268</v>
      </c>
      <c r="I433" s="19" t="s">
        <v>1266</v>
      </c>
      <c r="J433" s="15" t="s">
        <v>22</v>
      </c>
      <c r="K433" s="20"/>
      <c r="L433" s="16"/>
      <c r="M433" s="20" t="str">
        <f t="shared" si="6"/>
        <v>Conforme au standard</v>
      </c>
      <c r="N433" s="92" t="s">
        <v>9</v>
      </c>
      <c r="O433" s="22" t="s">
        <v>9</v>
      </c>
      <c r="P433" s="16"/>
      <c r="Q433" s="20"/>
      <c r="R433" s="20"/>
      <c r="S433" s="23" t="s">
        <v>24</v>
      </c>
    </row>
    <row r="434" spans="1:28" ht="39" customHeight="1" outlineLevel="2" x14ac:dyDescent="0.25">
      <c r="A434" s="13" t="s">
        <v>1269</v>
      </c>
      <c r="B434" s="14">
        <v>434</v>
      </c>
      <c r="C434" s="74" t="s">
        <v>35</v>
      </c>
      <c r="D434" s="74" t="s">
        <v>24</v>
      </c>
      <c r="E434" s="16"/>
      <c r="F434" s="102" t="s">
        <v>1270</v>
      </c>
      <c r="G434" s="93" t="s">
        <v>1271</v>
      </c>
      <c r="H434" s="204" t="s">
        <v>38</v>
      </c>
      <c r="I434" s="87" t="s">
        <v>75</v>
      </c>
      <c r="J434" s="74" t="s">
        <v>24</v>
      </c>
      <c r="K434" s="78" t="s">
        <v>23</v>
      </c>
      <c r="L434" s="16"/>
      <c r="M434" s="78" t="str">
        <f t="shared" si="6"/>
        <v>Spécifique Offre</v>
      </c>
      <c r="N434" s="79" t="s">
        <v>9</v>
      </c>
      <c r="O434" s="79" t="s">
        <v>9</v>
      </c>
      <c r="P434" s="80"/>
      <c r="Q434" s="78"/>
      <c r="R434" s="78"/>
      <c r="S434" s="81" t="s">
        <v>24</v>
      </c>
    </row>
    <row r="435" spans="1:28" ht="39" customHeight="1" outlineLevel="2" x14ac:dyDescent="0.25">
      <c r="A435" s="123" t="s">
        <v>1272</v>
      </c>
      <c r="B435" s="14">
        <v>435</v>
      </c>
      <c r="C435" s="143" t="s">
        <v>30</v>
      </c>
      <c r="D435" s="144" t="s">
        <v>24</v>
      </c>
      <c r="E435" s="16"/>
      <c r="F435" s="186" t="s">
        <v>1273</v>
      </c>
      <c r="G435" s="166"/>
      <c r="H435" s="201"/>
      <c r="I435" s="202" t="s">
        <v>24</v>
      </c>
      <c r="J435" s="127" t="s">
        <v>24</v>
      </c>
      <c r="K435" s="130"/>
      <c r="L435" s="16"/>
      <c r="M435" s="130" t="str">
        <f t="shared" si="6"/>
        <v/>
      </c>
      <c r="N435" s="130" t="s">
        <v>9</v>
      </c>
      <c r="O435" s="130" t="s">
        <v>9</v>
      </c>
      <c r="P435" s="16"/>
      <c r="Q435" s="130"/>
      <c r="R435" s="130"/>
      <c r="S435" s="131" t="s">
        <v>24</v>
      </c>
    </row>
    <row r="436" spans="1:28" ht="39" customHeight="1" outlineLevel="2" x14ac:dyDescent="0.25">
      <c r="A436" s="13" t="s">
        <v>1274</v>
      </c>
      <c r="B436" s="14">
        <v>436</v>
      </c>
      <c r="C436" s="15" t="s">
        <v>19</v>
      </c>
      <c r="D436" s="15" t="s">
        <v>46</v>
      </c>
      <c r="E436" s="16"/>
      <c r="F436" s="88" t="s">
        <v>1275</v>
      </c>
      <c r="G436" s="88" t="s">
        <v>64</v>
      </c>
      <c r="H436" s="96" t="s">
        <v>1276</v>
      </c>
      <c r="I436" s="19" t="s">
        <v>46</v>
      </c>
      <c r="J436" s="15" t="s">
        <v>22</v>
      </c>
      <c r="K436" s="20" t="s">
        <v>23</v>
      </c>
      <c r="L436" s="16"/>
      <c r="M436" s="20" t="str">
        <f t="shared" si="6"/>
        <v>Non concerné</v>
      </c>
      <c r="N436" s="92" t="s">
        <v>9</v>
      </c>
      <c r="O436" s="22" t="s">
        <v>9</v>
      </c>
      <c r="P436" s="16"/>
      <c r="Q436" s="20"/>
      <c r="R436" s="20"/>
      <c r="S436" s="23" t="s">
        <v>24</v>
      </c>
    </row>
    <row r="437" spans="1:28" ht="39" customHeight="1" outlineLevel="2" x14ac:dyDescent="0.25">
      <c r="A437" s="13" t="s">
        <v>1277</v>
      </c>
      <c r="B437" s="14">
        <v>437</v>
      </c>
      <c r="C437" s="74" t="s">
        <v>19</v>
      </c>
      <c r="D437" s="74" t="s">
        <v>46</v>
      </c>
      <c r="E437" s="16"/>
      <c r="F437" s="102" t="s">
        <v>1278</v>
      </c>
      <c r="G437" s="102" t="s">
        <v>64</v>
      </c>
      <c r="H437" s="102" t="s">
        <v>1279</v>
      </c>
      <c r="I437" s="87" t="s">
        <v>46</v>
      </c>
      <c r="J437" s="74" t="s">
        <v>24</v>
      </c>
      <c r="K437" s="78" t="s">
        <v>23</v>
      </c>
      <c r="L437" s="16"/>
      <c r="M437" s="78" t="str">
        <f t="shared" si="6"/>
        <v>Non concerné</v>
      </c>
      <c r="N437" s="79" t="s">
        <v>9</v>
      </c>
      <c r="O437" s="79" t="s">
        <v>9</v>
      </c>
      <c r="P437" s="80"/>
      <c r="Q437" s="78"/>
      <c r="R437" s="78"/>
      <c r="S437" s="81" t="s">
        <v>24</v>
      </c>
    </row>
    <row r="438" spans="1:28" ht="39" customHeight="1" outlineLevel="1" x14ac:dyDescent="0.25">
      <c r="A438" s="108" t="s">
        <v>1280</v>
      </c>
      <c r="B438" s="14">
        <v>438</v>
      </c>
      <c r="C438" s="98" t="s">
        <v>30</v>
      </c>
      <c r="D438" s="38" t="s">
        <v>24</v>
      </c>
      <c r="E438" s="16"/>
      <c r="F438" s="34" t="s">
        <v>1281</v>
      </c>
      <c r="G438" s="34"/>
      <c r="H438" s="34"/>
      <c r="I438" s="37" t="s">
        <v>24</v>
      </c>
      <c r="J438" s="34" t="s">
        <v>24</v>
      </c>
      <c r="K438" s="39"/>
      <c r="L438" s="16"/>
      <c r="M438" s="40" t="str">
        <f t="shared" si="6"/>
        <v/>
      </c>
      <c r="N438" s="39" t="s">
        <v>9</v>
      </c>
      <c r="O438" s="39" t="s">
        <v>9</v>
      </c>
      <c r="P438" s="16"/>
      <c r="Q438" s="39"/>
      <c r="R438" s="39"/>
      <c r="S438" s="41" t="s">
        <v>24</v>
      </c>
    </row>
    <row r="439" spans="1:28" ht="39" customHeight="1" outlineLevel="2" x14ac:dyDescent="0.25">
      <c r="A439" s="13" t="s">
        <v>1282</v>
      </c>
      <c r="B439" s="14">
        <v>439</v>
      </c>
      <c r="C439" s="15" t="s">
        <v>35</v>
      </c>
      <c r="D439" s="15" t="s">
        <v>24</v>
      </c>
      <c r="E439" s="16"/>
      <c r="F439" s="88" t="s">
        <v>1283</v>
      </c>
      <c r="G439" s="193" t="s">
        <v>1284</v>
      </c>
      <c r="H439" s="106" t="s">
        <v>1285</v>
      </c>
      <c r="I439" s="107" t="s">
        <v>1286</v>
      </c>
      <c r="J439" s="88" t="s">
        <v>24</v>
      </c>
      <c r="K439" s="20"/>
      <c r="L439" s="16"/>
      <c r="M439" s="20" t="str">
        <f t="shared" si="6"/>
        <v>Spécifique Offre</v>
      </c>
      <c r="N439" s="22" t="s">
        <v>117</v>
      </c>
      <c r="O439" s="205" t="s">
        <v>9</v>
      </c>
      <c r="P439" s="16"/>
      <c r="Q439" s="20"/>
      <c r="R439" s="20"/>
      <c r="S439" s="23" t="s">
        <v>24</v>
      </c>
    </row>
    <row r="440" spans="1:28" ht="39" customHeight="1" outlineLevel="1" x14ac:dyDescent="0.25">
      <c r="A440" s="108" t="s">
        <v>1287</v>
      </c>
      <c r="B440" s="14">
        <v>440</v>
      </c>
      <c r="C440" s="98" t="s">
        <v>30</v>
      </c>
      <c r="D440" s="38" t="s">
        <v>24</v>
      </c>
      <c r="E440" s="16"/>
      <c r="F440" s="34" t="s">
        <v>1288</v>
      </c>
      <c r="G440" s="34"/>
      <c r="H440" s="34"/>
      <c r="I440" s="37" t="s">
        <v>24</v>
      </c>
      <c r="J440" s="34" t="s">
        <v>24</v>
      </c>
      <c r="K440" s="39"/>
      <c r="L440" s="16"/>
      <c r="M440" s="40" t="str">
        <f t="shared" si="6"/>
        <v/>
      </c>
      <c r="N440" s="39" t="s">
        <v>9</v>
      </c>
      <c r="O440" s="39" t="s">
        <v>9</v>
      </c>
      <c r="P440" s="16"/>
      <c r="Q440" s="39"/>
      <c r="R440" s="39"/>
      <c r="S440" s="41" t="s">
        <v>24</v>
      </c>
    </row>
    <row r="441" spans="1:28" ht="39" customHeight="1" outlineLevel="2" x14ac:dyDescent="0.25">
      <c r="A441" s="13" t="s">
        <v>1289</v>
      </c>
      <c r="B441" s="14">
        <v>441</v>
      </c>
      <c r="C441" s="71" t="s">
        <v>26</v>
      </c>
      <c r="D441" s="71" t="s">
        <v>1290</v>
      </c>
      <c r="E441" s="16"/>
      <c r="F441" s="88" t="s">
        <v>1291</v>
      </c>
      <c r="G441" s="73" t="s">
        <v>64</v>
      </c>
      <c r="H441" s="96" t="s">
        <v>1292</v>
      </c>
      <c r="I441" s="19" t="s">
        <v>1290</v>
      </c>
      <c r="J441" s="15" t="s">
        <v>22</v>
      </c>
      <c r="K441" s="20"/>
      <c r="L441" s="16"/>
      <c r="M441" s="20" t="str">
        <f t="shared" si="6"/>
        <v>Conforme au standard</v>
      </c>
      <c r="N441" s="92" t="s">
        <v>9</v>
      </c>
      <c r="O441" s="22" t="s">
        <v>9</v>
      </c>
      <c r="P441" s="16"/>
      <c r="Q441" s="20"/>
      <c r="R441" s="20"/>
      <c r="S441" s="23" t="s">
        <v>24</v>
      </c>
    </row>
    <row r="442" spans="1:28" ht="39" customHeight="1" outlineLevel="2" x14ac:dyDescent="0.25">
      <c r="A442" s="13" t="s">
        <v>1293</v>
      </c>
      <c r="B442" s="14">
        <v>442</v>
      </c>
      <c r="C442" s="74" t="s">
        <v>35</v>
      </c>
      <c r="D442" s="74" t="s">
        <v>24</v>
      </c>
      <c r="E442" s="16"/>
      <c r="F442" s="102" t="s">
        <v>1294</v>
      </c>
      <c r="G442" s="76" t="s">
        <v>37</v>
      </c>
      <c r="H442" s="76" t="s">
        <v>38</v>
      </c>
      <c r="I442" s="87" t="s">
        <v>24</v>
      </c>
      <c r="J442" s="74" t="s">
        <v>24</v>
      </c>
      <c r="K442" s="78"/>
      <c r="L442" s="16"/>
      <c r="M442" s="78" t="str">
        <f t="shared" si="6"/>
        <v>Renseigner la réponse DCO</v>
      </c>
      <c r="N442" s="79" t="s">
        <v>9</v>
      </c>
      <c r="O442" s="79" t="s">
        <v>9</v>
      </c>
      <c r="P442" s="80"/>
      <c r="Q442" s="78"/>
      <c r="R442" s="78"/>
      <c r="S442" s="81" t="s">
        <v>24</v>
      </c>
      <c r="Z442" s="183"/>
      <c r="AA442" s="183"/>
      <c r="AB442" s="183"/>
    </row>
    <row r="443" spans="1:28" ht="39" customHeight="1" x14ac:dyDescent="0.25">
      <c r="A443" s="24" t="s">
        <v>1295</v>
      </c>
      <c r="B443" s="14">
        <v>443</v>
      </c>
      <c r="C443" s="110" t="s">
        <v>30</v>
      </c>
      <c r="D443" s="27" t="s">
        <v>24</v>
      </c>
      <c r="E443" s="16"/>
      <c r="F443" s="18" t="s">
        <v>1296</v>
      </c>
      <c r="G443" s="17"/>
      <c r="H443" s="17"/>
      <c r="I443" s="26" t="s">
        <v>24</v>
      </c>
      <c r="J443" s="17" t="s">
        <v>24</v>
      </c>
      <c r="K443" s="113"/>
      <c r="L443" s="16"/>
      <c r="M443" s="113" t="str">
        <f t="shared" si="6"/>
        <v/>
      </c>
      <c r="N443" s="113" t="s">
        <v>9</v>
      </c>
      <c r="O443" s="113" t="s">
        <v>9</v>
      </c>
      <c r="P443" s="16"/>
      <c r="Q443" s="113"/>
      <c r="R443" s="113"/>
      <c r="S443" s="114" t="s">
        <v>24</v>
      </c>
    </row>
    <row r="444" spans="1:28" ht="39" customHeight="1" outlineLevel="1" x14ac:dyDescent="0.25">
      <c r="A444" s="108" t="s">
        <v>1297</v>
      </c>
      <c r="B444" s="14">
        <v>444</v>
      </c>
      <c r="C444" s="98" t="s">
        <v>30</v>
      </c>
      <c r="D444" s="38" t="s">
        <v>24</v>
      </c>
      <c r="E444" s="16"/>
      <c r="F444" s="34" t="s">
        <v>1298</v>
      </c>
      <c r="G444" s="34"/>
      <c r="H444" s="34"/>
      <c r="I444" s="37" t="s">
        <v>24</v>
      </c>
      <c r="J444" s="34" t="s">
        <v>24</v>
      </c>
      <c r="K444" s="39"/>
      <c r="L444" s="16"/>
      <c r="M444" s="40" t="str">
        <f t="shared" si="6"/>
        <v/>
      </c>
      <c r="N444" s="39" t="s">
        <v>9</v>
      </c>
      <c r="O444" s="39" t="s">
        <v>9</v>
      </c>
      <c r="P444" s="16"/>
      <c r="Q444" s="39"/>
      <c r="R444" s="39"/>
      <c r="S444" s="41" t="s">
        <v>24</v>
      </c>
    </row>
    <row r="445" spans="1:28" ht="39" customHeight="1" outlineLevel="2" x14ac:dyDescent="0.25">
      <c r="A445" s="13" t="s">
        <v>101</v>
      </c>
      <c r="B445" s="14">
        <v>445</v>
      </c>
      <c r="C445" s="71" t="s">
        <v>35</v>
      </c>
      <c r="D445" s="71" t="s">
        <v>24</v>
      </c>
      <c r="E445" s="16"/>
      <c r="F445" s="88" t="s">
        <v>1299</v>
      </c>
      <c r="G445" s="73" t="s">
        <v>64</v>
      </c>
      <c r="H445" s="97" t="s">
        <v>1300</v>
      </c>
      <c r="I445" s="19" t="s">
        <v>24</v>
      </c>
      <c r="J445" s="15" t="s">
        <v>22</v>
      </c>
      <c r="K445" s="20"/>
      <c r="L445" s="16"/>
      <c r="M445" s="20" t="str">
        <f t="shared" si="6"/>
        <v>Renseigner la réponse DCO</v>
      </c>
      <c r="N445" s="92" t="s">
        <v>9</v>
      </c>
      <c r="O445" s="22" t="s">
        <v>9</v>
      </c>
      <c r="P445" s="16"/>
      <c r="Q445" s="20"/>
      <c r="R445" s="20"/>
      <c r="S445" s="23" t="s">
        <v>24</v>
      </c>
    </row>
    <row r="446" spans="1:28" ht="39" customHeight="1" outlineLevel="2" x14ac:dyDescent="0.25">
      <c r="A446" s="13" t="s">
        <v>1301</v>
      </c>
      <c r="B446" s="14">
        <v>446</v>
      </c>
      <c r="C446" s="15" t="s">
        <v>35</v>
      </c>
      <c r="D446" s="15" t="s">
        <v>24</v>
      </c>
      <c r="E446" s="16"/>
      <c r="F446" s="96" t="s">
        <v>1302</v>
      </c>
      <c r="G446" s="116" t="s">
        <v>1303</v>
      </c>
      <c r="H446" s="106" t="s">
        <v>1304</v>
      </c>
      <c r="I446" s="107" t="s">
        <v>1305</v>
      </c>
      <c r="J446" s="15" t="s">
        <v>24</v>
      </c>
      <c r="K446" s="20" t="s">
        <v>23</v>
      </c>
      <c r="L446" s="16"/>
      <c r="M446" s="20" t="str">
        <f t="shared" si="6"/>
        <v>Spécifique Offre</v>
      </c>
      <c r="N446" s="92" t="s">
        <v>117</v>
      </c>
      <c r="O446" s="22" t="s">
        <v>9</v>
      </c>
      <c r="P446" s="16"/>
      <c r="Q446" s="20"/>
      <c r="R446" s="20"/>
      <c r="S446" s="23" t="s">
        <v>24</v>
      </c>
    </row>
    <row r="447" spans="1:28" ht="39" customHeight="1" outlineLevel="2" x14ac:dyDescent="0.25">
      <c r="A447" s="13" t="s">
        <v>1306</v>
      </c>
      <c r="B447" s="14">
        <v>447</v>
      </c>
      <c r="C447" s="71" t="s">
        <v>35</v>
      </c>
      <c r="D447" s="71" t="s">
        <v>24</v>
      </c>
      <c r="E447" s="16"/>
      <c r="F447" s="88" t="s">
        <v>1307</v>
      </c>
      <c r="G447" s="73" t="s">
        <v>64</v>
      </c>
      <c r="H447" s="97" t="s">
        <v>1308</v>
      </c>
      <c r="I447" s="19" t="s">
        <v>24</v>
      </c>
      <c r="J447" s="15" t="s">
        <v>22</v>
      </c>
      <c r="K447" s="20"/>
      <c r="L447" s="16"/>
      <c r="M447" s="20" t="str">
        <f t="shared" si="6"/>
        <v>Renseigner la réponse DCO</v>
      </c>
      <c r="N447" s="92" t="s">
        <v>9</v>
      </c>
      <c r="O447" s="22" t="s">
        <v>9</v>
      </c>
      <c r="P447" s="16"/>
      <c r="Q447" s="20"/>
      <c r="R447" s="20"/>
      <c r="S447" s="23" t="s">
        <v>24</v>
      </c>
    </row>
    <row r="448" spans="1:28" ht="39" customHeight="1" outlineLevel="2" x14ac:dyDescent="0.25">
      <c r="A448" s="13" t="s">
        <v>1309</v>
      </c>
      <c r="B448" s="14">
        <v>448</v>
      </c>
      <c r="C448" s="74" t="s">
        <v>35</v>
      </c>
      <c r="D448" s="74" t="s">
        <v>24</v>
      </c>
      <c r="E448" s="85"/>
      <c r="F448" s="102" t="s">
        <v>1310</v>
      </c>
      <c r="G448" s="76" t="s">
        <v>37</v>
      </c>
      <c r="H448" s="76" t="s">
        <v>38</v>
      </c>
      <c r="I448" s="177" t="s">
        <v>75</v>
      </c>
      <c r="J448" s="74" t="s">
        <v>24</v>
      </c>
      <c r="K448" s="78" t="s">
        <v>23</v>
      </c>
      <c r="L448" s="16"/>
      <c r="M448" s="78" t="str">
        <f t="shared" si="6"/>
        <v>Spécifique Offre</v>
      </c>
      <c r="N448" s="103" t="s">
        <v>9</v>
      </c>
      <c r="O448" s="79" t="s">
        <v>9</v>
      </c>
      <c r="P448" s="16"/>
      <c r="Q448" s="78"/>
      <c r="R448" s="78"/>
      <c r="S448" s="81" t="s">
        <v>24</v>
      </c>
    </row>
    <row r="449" spans="1:19" ht="39" customHeight="1" outlineLevel="1" x14ac:dyDescent="0.25">
      <c r="A449" s="108" t="s">
        <v>1311</v>
      </c>
      <c r="B449" s="14">
        <v>449</v>
      </c>
      <c r="C449" s="98" t="s">
        <v>30</v>
      </c>
      <c r="D449" s="38" t="s">
        <v>24</v>
      </c>
      <c r="E449" s="16"/>
      <c r="F449" s="34" t="s">
        <v>1312</v>
      </c>
      <c r="G449" s="120"/>
      <c r="H449" s="120"/>
      <c r="I449" s="37" t="s">
        <v>24</v>
      </c>
      <c r="J449" s="38" t="s">
        <v>24</v>
      </c>
      <c r="K449" s="206"/>
      <c r="L449" s="16"/>
      <c r="M449" s="207" t="str">
        <f t="shared" ref="M449:M498" si="7">IF(OR(A449="",LEFT(A449,3)="ElT"),"",IF(AND(OR(C449="Titre",LEFT(I449,11)="Non concern",NOT(ISERROR(SEARCH("annex",G449,1)))),C449&lt;&gt;"Sp"),IF(D449="","Non concerné",IF(LEFT(D449,11)="non concern","Non concerné","Non conforme au standard")),IF(AND(C449="Sp",I449&lt;&gt;""),"Spécifique Offre",IF(AND(OR(C449="",D449=""),C449&lt;&gt;"Sp"),MessageStandardIncomplet,IF(I449="",ReponseNonSaisie,IF(S449="=",IF(I449=D449,"Conforme au standard",IF(I449=StandardNonApplicable,"Non concerné","Non conforme au standard")),IF(NOT(ISERROR(SEARCH(D449,I449,1))),"Conforme au standard",IF(I449=StandardNonApplicable,"Non concerné","Non conforme au standard"))))))))</f>
        <v/>
      </c>
      <c r="N449" s="206" t="s">
        <v>9</v>
      </c>
      <c r="O449" s="206" t="s">
        <v>9</v>
      </c>
      <c r="P449" s="16"/>
      <c r="Q449" s="206"/>
      <c r="R449" s="206"/>
      <c r="S449" s="208" t="s">
        <v>24</v>
      </c>
    </row>
    <row r="450" spans="1:19" ht="39" customHeight="1" outlineLevel="2" x14ac:dyDescent="0.25">
      <c r="A450" s="13" t="s">
        <v>1313</v>
      </c>
      <c r="B450" s="14">
        <v>450</v>
      </c>
      <c r="C450" s="71" t="s">
        <v>19</v>
      </c>
      <c r="D450" s="71" t="s">
        <v>1314</v>
      </c>
      <c r="E450" s="16"/>
      <c r="F450" s="157" t="s">
        <v>1315</v>
      </c>
      <c r="G450" s="89" t="s">
        <v>48</v>
      </c>
      <c r="H450" s="90" t="s">
        <v>1316</v>
      </c>
      <c r="I450" s="91" t="s">
        <v>1314</v>
      </c>
      <c r="J450" s="71" t="s">
        <v>24</v>
      </c>
      <c r="K450" s="209"/>
      <c r="L450" s="16"/>
      <c r="M450" s="209" t="str">
        <f t="shared" si="7"/>
        <v>Conforme au standard</v>
      </c>
      <c r="N450" s="92" t="s">
        <v>9</v>
      </c>
      <c r="O450" s="210" t="s">
        <v>9</v>
      </c>
      <c r="P450" s="16"/>
      <c r="Q450" s="209"/>
      <c r="R450" s="209"/>
      <c r="S450" s="211" t="s">
        <v>44</v>
      </c>
    </row>
    <row r="451" spans="1:19" ht="39" customHeight="1" outlineLevel="2" x14ac:dyDescent="0.25">
      <c r="A451" s="13" t="s">
        <v>1317</v>
      </c>
      <c r="B451" s="14">
        <v>451</v>
      </c>
      <c r="C451" s="71" t="s">
        <v>19</v>
      </c>
      <c r="D451" s="71" t="s">
        <v>1318</v>
      </c>
      <c r="E451" s="16"/>
      <c r="F451" s="88" t="s">
        <v>1319</v>
      </c>
      <c r="G451" s="73" t="s">
        <v>64</v>
      </c>
      <c r="H451" s="104" t="s">
        <v>1320</v>
      </c>
      <c r="I451" s="19" t="s">
        <v>1318</v>
      </c>
      <c r="J451" s="15" t="s">
        <v>22</v>
      </c>
      <c r="K451" s="20"/>
      <c r="L451" s="16"/>
      <c r="M451" s="20" t="str">
        <f t="shared" si="7"/>
        <v>Conforme au standard</v>
      </c>
      <c r="N451" s="92" t="s">
        <v>9</v>
      </c>
      <c r="O451" s="22" t="s">
        <v>9</v>
      </c>
      <c r="P451" s="16"/>
      <c r="Q451" s="20"/>
      <c r="R451" s="20"/>
      <c r="S451" s="23" t="s">
        <v>24</v>
      </c>
    </row>
    <row r="452" spans="1:19" ht="39" customHeight="1" outlineLevel="2" x14ac:dyDescent="0.25">
      <c r="A452" s="13" t="s">
        <v>1321</v>
      </c>
      <c r="B452" s="14">
        <v>452</v>
      </c>
      <c r="C452" s="74" t="s">
        <v>35</v>
      </c>
      <c r="D452" s="74" t="s">
        <v>24</v>
      </c>
      <c r="E452" s="16"/>
      <c r="F452" s="75" t="s">
        <v>1322</v>
      </c>
      <c r="G452" s="76" t="s">
        <v>37</v>
      </c>
      <c r="H452" s="76" t="s">
        <v>38</v>
      </c>
      <c r="I452" s="87" t="s">
        <v>75</v>
      </c>
      <c r="J452" s="74" t="s">
        <v>24</v>
      </c>
      <c r="K452" s="78" t="s">
        <v>23</v>
      </c>
      <c r="L452" s="16"/>
      <c r="M452" s="78" t="str">
        <f t="shared" si="7"/>
        <v>Spécifique Offre</v>
      </c>
      <c r="N452" s="79" t="s">
        <v>9</v>
      </c>
      <c r="O452" s="79" t="s">
        <v>9</v>
      </c>
      <c r="P452" s="80"/>
      <c r="Q452" s="78"/>
      <c r="R452" s="78"/>
      <c r="S452" s="81" t="s">
        <v>24</v>
      </c>
    </row>
    <row r="453" spans="1:19" ht="39" customHeight="1" outlineLevel="2" x14ac:dyDescent="0.25">
      <c r="A453" s="13" t="s">
        <v>1323</v>
      </c>
      <c r="B453" s="14">
        <v>453</v>
      </c>
      <c r="C453" s="71" t="s">
        <v>26</v>
      </c>
      <c r="D453" s="71" t="s">
        <v>1324</v>
      </c>
      <c r="E453" s="16"/>
      <c r="F453" s="88" t="s">
        <v>1325</v>
      </c>
      <c r="G453" s="73" t="s">
        <v>64</v>
      </c>
      <c r="H453" s="104" t="s">
        <v>1326</v>
      </c>
      <c r="I453" s="19" t="s">
        <v>1324</v>
      </c>
      <c r="J453" s="15" t="s">
        <v>22</v>
      </c>
      <c r="K453" s="20"/>
      <c r="L453" s="16"/>
      <c r="M453" s="20" t="str">
        <f t="shared" si="7"/>
        <v>Conforme au standard</v>
      </c>
      <c r="N453" s="92" t="s">
        <v>9</v>
      </c>
      <c r="O453" s="22" t="s">
        <v>9</v>
      </c>
      <c r="P453" s="16"/>
      <c r="Q453" s="20"/>
      <c r="R453" s="20"/>
      <c r="S453" s="23" t="s">
        <v>24</v>
      </c>
    </row>
    <row r="454" spans="1:19" ht="39" customHeight="1" outlineLevel="2" x14ac:dyDescent="0.25">
      <c r="A454" s="13" t="s">
        <v>1327</v>
      </c>
      <c r="B454" s="14">
        <v>454</v>
      </c>
      <c r="C454" s="74" t="s">
        <v>35</v>
      </c>
      <c r="D454" s="74" t="s">
        <v>24</v>
      </c>
      <c r="E454" s="16"/>
      <c r="F454" s="75" t="s">
        <v>1322</v>
      </c>
      <c r="G454" s="76" t="s">
        <v>37</v>
      </c>
      <c r="H454" s="76" t="s">
        <v>38</v>
      </c>
      <c r="I454" s="87" t="s">
        <v>75</v>
      </c>
      <c r="J454" s="74" t="s">
        <v>24</v>
      </c>
      <c r="K454" s="78" t="s">
        <v>23</v>
      </c>
      <c r="L454" s="16"/>
      <c r="M454" s="78" t="str">
        <f t="shared" si="7"/>
        <v>Spécifique Offre</v>
      </c>
      <c r="N454" s="79" t="s">
        <v>9</v>
      </c>
      <c r="O454" s="79" t="s">
        <v>9</v>
      </c>
      <c r="P454" s="80"/>
      <c r="Q454" s="78"/>
      <c r="R454" s="78"/>
      <c r="S454" s="81" t="s">
        <v>24</v>
      </c>
    </row>
    <row r="455" spans="1:19" ht="39" customHeight="1" outlineLevel="1" x14ac:dyDescent="0.25">
      <c r="A455" s="108" t="s">
        <v>1328</v>
      </c>
      <c r="B455" s="14">
        <v>455</v>
      </c>
      <c r="C455" s="98" t="s">
        <v>30</v>
      </c>
      <c r="D455" s="38" t="s">
        <v>24</v>
      </c>
      <c r="E455" s="16"/>
      <c r="F455" s="34" t="s">
        <v>1329</v>
      </c>
      <c r="G455" s="34"/>
      <c r="H455" s="34"/>
      <c r="I455" s="37" t="s">
        <v>24</v>
      </c>
      <c r="J455" s="34" t="s">
        <v>24</v>
      </c>
      <c r="K455" s="39"/>
      <c r="L455" s="16"/>
      <c r="M455" s="40" t="str">
        <f t="shared" si="7"/>
        <v/>
      </c>
      <c r="N455" s="39" t="s">
        <v>9</v>
      </c>
      <c r="O455" s="39" t="s">
        <v>9</v>
      </c>
      <c r="P455" s="16"/>
      <c r="Q455" s="39"/>
      <c r="R455" s="39"/>
      <c r="S455" s="41" t="s">
        <v>24</v>
      </c>
    </row>
    <row r="456" spans="1:19" ht="39" customHeight="1" outlineLevel="2" x14ac:dyDescent="0.25">
      <c r="A456" s="13" t="s">
        <v>1330</v>
      </c>
      <c r="B456" s="14">
        <v>456</v>
      </c>
      <c r="C456" s="71" t="s">
        <v>26</v>
      </c>
      <c r="D456" s="71" t="s">
        <v>1331</v>
      </c>
      <c r="E456" s="16"/>
      <c r="F456" s="187" t="s">
        <v>1332</v>
      </c>
      <c r="G456" s="73" t="s">
        <v>64</v>
      </c>
      <c r="H456" s="104" t="s">
        <v>1333</v>
      </c>
      <c r="I456" s="19" t="s">
        <v>1331</v>
      </c>
      <c r="J456" s="15" t="s">
        <v>22</v>
      </c>
      <c r="K456" s="20"/>
      <c r="L456" s="16"/>
      <c r="M456" s="20" t="str">
        <f t="shared" si="7"/>
        <v>Conforme au standard</v>
      </c>
      <c r="N456" s="92" t="s">
        <v>9</v>
      </c>
      <c r="O456" s="22" t="s">
        <v>9</v>
      </c>
      <c r="P456" s="16"/>
      <c r="Q456" s="20"/>
      <c r="R456" s="20"/>
      <c r="S456" s="23" t="s">
        <v>24</v>
      </c>
    </row>
    <row r="457" spans="1:19" ht="39" customHeight="1" outlineLevel="2" x14ac:dyDescent="0.25">
      <c r="A457" s="13" t="s">
        <v>1334</v>
      </c>
      <c r="B457" s="14">
        <v>457</v>
      </c>
      <c r="C457" s="74" t="s">
        <v>19</v>
      </c>
      <c r="D457" s="74" t="s">
        <v>1335</v>
      </c>
      <c r="E457" s="16"/>
      <c r="F457" s="93" t="s">
        <v>1336</v>
      </c>
      <c r="G457" s="76" t="s">
        <v>64</v>
      </c>
      <c r="H457" s="93" t="s">
        <v>1337</v>
      </c>
      <c r="I457" s="87" t="s">
        <v>179</v>
      </c>
      <c r="J457" s="74" t="s">
        <v>22</v>
      </c>
      <c r="K457" s="78" t="s">
        <v>23</v>
      </c>
      <c r="L457" s="16"/>
      <c r="M457" s="78" t="str">
        <f t="shared" si="7"/>
        <v>Non concerné</v>
      </c>
      <c r="N457" s="79" t="s">
        <v>9</v>
      </c>
      <c r="O457" s="79" t="s">
        <v>9</v>
      </c>
      <c r="P457" s="80"/>
      <c r="Q457" s="78"/>
      <c r="R457" s="78"/>
      <c r="S457" s="81" t="s">
        <v>24</v>
      </c>
    </row>
    <row r="458" spans="1:19" ht="39" customHeight="1" outlineLevel="2" x14ac:dyDescent="0.25">
      <c r="A458" s="13" t="s">
        <v>1338</v>
      </c>
      <c r="B458" s="14">
        <v>458</v>
      </c>
      <c r="C458" s="74" t="s">
        <v>35</v>
      </c>
      <c r="D458" s="74" t="s">
        <v>24</v>
      </c>
      <c r="E458" s="16"/>
      <c r="F458" s="93" t="s">
        <v>1339</v>
      </c>
      <c r="G458" s="76" t="s">
        <v>64</v>
      </c>
      <c r="H458" s="93" t="s">
        <v>1340</v>
      </c>
      <c r="I458" s="87" t="s">
        <v>75</v>
      </c>
      <c r="J458" s="74" t="s">
        <v>24</v>
      </c>
      <c r="K458" s="78" t="s">
        <v>23</v>
      </c>
      <c r="L458" s="16"/>
      <c r="M458" s="78" t="str">
        <f t="shared" si="7"/>
        <v>Spécifique Offre</v>
      </c>
      <c r="N458" s="79" t="s">
        <v>9</v>
      </c>
      <c r="O458" s="79" t="s">
        <v>9</v>
      </c>
      <c r="P458" s="80"/>
      <c r="Q458" s="78"/>
      <c r="R458" s="78"/>
      <c r="S458" s="81" t="s">
        <v>24</v>
      </c>
    </row>
    <row r="459" spans="1:19" ht="39" customHeight="1" outlineLevel="2" x14ac:dyDescent="0.25">
      <c r="A459" s="13" t="s">
        <v>1341</v>
      </c>
      <c r="B459" s="14">
        <v>459</v>
      </c>
      <c r="C459" s="15" t="s">
        <v>26</v>
      </c>
      <c r="D459" s="15" t="s">
        <v>1342</v>
      </c>
      <c r="E459" s="82"/>
      <c r="F459" s="104" t="s">
        <v>1343</v>
      </c>
      <c r="G459" s="97" t="s">
        <v>54</v>
      </c>
      <c r="H459" s="104" t="s">
        <v>1344</v>
      </c>
      <c r="I459" s="19" t="s">
        <v>1342</v>
      </c>
      <c r="J459" s="15" t="s">
        <v>22</v>
      </c>
      <c r="K459" s="20"/>
      <c r="L459" s="16"/>
      <c r="M459" s="20" t="str">
        <f t="shared" si="7"/>
        <v>Conforme au standard</v>
      </c>
      <c r="N459" s="22" t="s">
        <v>9</v>
      </c>
      <c r="O459" s="22" t="s">
        <v>9</v>
      </c>
      <c r="P459" s="80"/>
      <c r="Q459" s="20"/>
      <c r="R459" s="20"/>
      <c r="S459" s="23" t="s">
        <v>24</v>
      </c>
    </row>
    <row r="460" spans="1:19" ht="39" customHeight="1" outlineLevel="2" x14ac:dyDescent="0.25">
      <c r="A460" s="13" t="s">
        <v>1345</v>
      </c>
      <c r="B460" s="14">
        <v>460</v>
      </c>
      <c r="C460" s="74" t="s">
        <v>26</v>
      </c>
      <c r="D460" s="74" t="s">
        <v>46</v>
      </c>
      <c r="E460" s="16"/>
      <c r="F460" s="93" t="s">
        <v>1346</v>
      </c>
      <c r="G460" s="76" t="s">
        <v>64</v>
      </c>
      <c r="H460" s="75" t="s">
        <v>1347</v>
      </c>
      <c r="I460" s="87" t="s">
        <v>46</v>
      </c>
      <c r="J460" s="74" t="s">
        <v>24</v>
      </c>
      <c r="K460" s="78" t="s">
        <v>23</v>
      </c>
      <c r="L460" s="16"/>
      <c r="M460" s="78" t="str">
        <f t="shared" si="7"/>
        <v>Non concerné</v>
      </c>
      <c r="N460" s="79" t="s">
        <v>9</v>
      </c>
      <c r="O460" s="79" t="s">
        <v>9</v>
      </c>
      <c r="P460" s="80"/>
      <c r="Q460" s="78"/>
      <c r="R460" s="78"/>
      <c r="S460" s="81" t="s">
        <v>24</v>
      </c>
    </row>
    <row r="461" spans="1:19" ht="39" customHeight="1" outlineLevel="2" x14ac:dyDescent="0.25">
      <c r="A461" s="13" t="s">
        <v>1348</v>
      </c>
      <c r="B461" s="14">
        <v>461</v>
      </c>
      <c r="C461" s="74" t="s">
        <v>35</v>
      </c>
      <c r="D461" s="74" t="s">
        <v>24</v>
      </c>
      <c r="E461" s="16"/>
      <c r="F461" s="93" t="s">
        <v>1349</v>
      </c>
      <c r="G461" s="76" t="s">
        <v>64</v>
      </c>
      <c r="H461" s="93" t="s">
        <v>1350</v>
      </c>
      <c r="I461" s="87" t="s">
        <v>75</v>
      </c>
      <c r="J461" s="74" t="s">
        <v>22</v>
      </c>
      <c r="K461" s="78" t="s">
        <v>23</v>
      </c>
      <c r="L461" s="16"/>
      <c r="M461" s="78" t="str">
        <f t="shared" si="7"/>
        <v>Spécifique Offre</v>
      </c>
      <c r="N461" s="79" t="s">
        <v>9</v>
      </c>
      <c r="O461" s="79" t="s">
        <v>9</v>
      </c>
      <c r="P461" s="80"/>
      <c r="Q461" s="78"/>
      <c r="R461" s="78"/>
      <c r="S461" s="81" t="s">
        <v>24</v>
      </c>
    </row>
    <row r="462" spans="1:19" ht="39" customHeight="1" outlineLevel="2" x14ac:dyDescent="0.25">
      <c r="A462" s="13" t="s">
        <v>1351</v>
      </c>
      <c r="B462" s="14">
        <v>462</v>
      </c>
      <c r="C462" s="74" t="s">
        <v>35</v>
      </c>
      <c r="D462" s="74" t="s">
        <v>24</v>
      </c>
      <c r="E462" s="16"/>
      <c r="F462" s="93" t="s">
        <v>1352</v>
      </c>
      <c r="G462" s="76" t="s">
        <v>64</v>
      </c>
      <c r="H462" s="93" t="s">
        <v>1353</v>
      </c>
      <c r="I462" s="87" t="s">
        <v>75</v>
      </c>
      <c r="J462" s="74" t="s">
        <v>24</v>
      </c>
      <c r="K462" s="78" t="s">
        <v>23</v>
      </c>
      <c r="L462" s="16"/>
      <c r="M462" s="78" t="str">
        <f t="shared" si="7"/>
        <v>Spécifique Offre</v>
      </c>
      <c r="N462" s="79" t="s">
        <v>9</v>
      </c>
      <c r="O462" s="79" t="s">
        <v>9</v>
      </c>
      <c r="P462" s="80"/>
      <c r="Q462" s="78"/>
      <c r="R462" s="78"/>
      <c r="S462" s="81" t="s">
        <v>24</v>
      </c>
    </row>
    <row r="463" spans="1:19" ht="39" customHeight="1" outlineLevel="2" x14ac:dyDescent="0.25">
      <c r="A463" s="13" t="s">
        <v>1354</v>
      </c>
      <c r="B463" s="14">
        <v>463</v>
      </c>
      <c r="C463" s="74" t="s">
        <v>35</v>
      </c>
      <c r="D463" s="74" t="s">
        <v>24</v>
      </c>
      <c r="E463" s="16"/>
      <c r="F463" s="93" t="s">
        <v>1355</v>
      </c>
      <c r="G463" s="76" t="s">
        <v>64</v>
      </c>
      <c r="H463" s="93" t="s">
        <v>1356</v>
      </c>
      <c r="I463" s="87" t="s">
        <v>75</v>
      </c>
      <c r="J463" s="74" t="s">
        <v>24</v>
      </c>
      <c r="K463" s="78" t="s">
        <v>23</v>
      </c>
      <c r="L463" s="16"/>
      <c r="M463" s="78" t="str">
        <f t="shared" si="7"/>
        <v>Spécifique Offre</v>
      </c>
      <c r="N463" s="79" t="s">
        <v>9</v>
      </c>
      <c r="O463" s="79" t="s">
        <v>9</v>
      </c>
      <c r="P463" s="80"/>
      <c r="Q463" s="78"/>
      <c r="R463" s="78"/>
      <c r="S463" s="81" t="s">
        <v>24</v>
      </c>
    </row>
    <row r="464" spans="1:19" ht="39" customHeight="1" outlineLevel="2" x14ac:dyDescent="0.25">
      <c r="A464" s="70" t="s">
        <v>1357</v>
      </c>
      <c r="B464" s="14">
        <v>464</v>
      </c>
      <c r="C464" s="71" t="s">
        <v>26</v>
      </c>
      <c r="D464" s="71" t="s">
        <v>1358</v>
      </c>
      <c r="E464" s="16"/>
      <c r="F464" s="212" t="s">
        <v>1359</v>
      </c>
      <c r="G464" s="73" t="s">
        <v>64</v>
      </c>
      <c r="H464" s="73" t="s">
        <v>1360</v>
      </c>
      <c r="I464" s="19" t="s">
        <v>1358</v>
      </c>
      <c r="J464" s="15" t="s">
        <v>22</v>
      </c>
      <c r="K464" s="20"/>
      <c r="L464" s="16"/>
      <c r="M464" s="20" t="str">
        <f t="shared" si="7"/>
        <v>Conforme au standard</v>
      </c>
      <c r="N464" s="92" t="s">
        <v>9</v>
      </c>
      <c r="O464" s="22" t="s">
        <v>9</v>
      </c>
      <c r="P464" s="16"/>
      <c r="Q464" s="20"/>
      <c r="R464" s="20"/>
      <c r="S464" s="23" t="s">
        <v>24</v>
      </c>
    </row>
    <row r="465" spans="1:19" ht="39" customHeight="1" outlineLevel="2" x14ac:dyDescent="0.25">
      <c r="A465" s="13" t="s">
        <v>1361</v>
      </c>
      <c r="B465" s="14">
        <v>465</v>
      </c>
      <c r="C465" s="74" t="s">
        <v>35</v>
      </c>
      <c r="D465" s="74" t="s">
        <v>24</v>
      </c>
      <c r="E465" s="16"/>
      <c r="F465" s="93" t="s">
        <v>1362</v>
      </c>
      <c r="G465" s="76" t="s">
        <v>37</v>
      </c>
      <c r="H465" s="93" t="s">
        <v>38</v>
      </c>
      <c r="I465" s="87" t="s">
        <v>75</v>
      </c>
      <c r="J465" s="74" t="s">
        <v>24</v>
      </c>
      <c r="K465" s="78" t="s">
        <v>23</v>
      </c>
      <c r="L465" s="16"/>
      <c r="M465" s="78" t="str">
        <f t="shared" si="7"/>
        <v>Spécifique Offre</v>
      </c>
      <c r="N465" s="79" t="s">
        <v>9</v>
      </c>
      <c r="O465" s="79" t="s">
        <v>9</v>
      </c>
      <c r="P465" s="80"/>
      <c r="Q465" s="78"/>
      <c r="R465" s="78"/>
      <c r="S465" s="81" t="s">
        <v>24</v>
      </c>
    </row>
    <row r="466" spans="1:19" ht="39" customHeight="1" outlineLevel="2" x14ac:dyDescent="0.25">
      <c r="A466" s="13" t="s">
        <v>1363</v>
      </c>
      <c r="B466" s="14">
        <v>466</v>
      </c>
      <c r="C466" s="71" t="s">
        <v>26</v>
      </c>
      <c r="D466" s="71" t="s">
        <v>1364</v>
      </c>
      <c r="E466" s="16"/>
      <c r="F466" s="90" t="s">
        <v>1365</v>
      </c>
      <c r="G466" s="73" t="s">
        <v>64</v>
      </c>
      <c r="H466" s="104" t="s">
        <v>1366</v>
      </c>
      <c r="I466" s="19" t="s">
        <v>1364</v>
      </c>
      <c r="J466" s="15" t="s">
        <v>24</v>
      </c>
      <c r="K466" s="20"/>
      <c r="L466" s="16"/>
      <c r="M466" s="20" t="str">
        <f t="shared" si="7"/>
        <v>Conforme au standard</v>
      </c>
      <c r="N466" s="92" t="s">
        <v>9</v>
      </c>
      <c r="O466" s="22" t="s">
        <v>9</v>
      </c>
      <c r="P466" s="16"/>
      <c r="Q466" s="20"/>
      <c r="R466" s="20"/>
      <c r="S466" s="23" t="s">
        <v>24</v>
      </c>
    </row>
    <row r="467" spans="1:19" ht="39" customHeight="1" outlineLevel="2" x14ac:dyDescent="0.25">
      <c r="A467" s="13" t="s">
        <v>1367</v>
      </c>
      <c r="B467" s="14">
        <v>467</v>
      </c>
      <c r="C467" s="71" t="s">
        <v>19</v>
      </c>
      <c r="D467" s="71" t="s">
        <v>1368</v>
      </c>
      <c r="E467" s="16"/>
      <c r="F467" s="90" t="s">
        <v>1369</v>
      </c>
      <c r="G467" s="73" t="s">
        <v>64</v>
      </c>
      <c r="H467" s="104" t="s">
        <v>1370</v>
      </c>
      <c r="I467" s="19" t="s">
        <v>1368</v>
      </c>
      <c r="J467" s="15" t="s">
        <v>24</v>
      </c>
      <c r="K467" s="20"/>
      <c r="L467" s="16"/>
      <c r="M467" s="20" t="str">
        <f t="shared" si="7"/>
        <v>Conforme au standard</v>
      </c>
      <c r="N467" s="92" t="s">
        <v>9</v>
      </c>
      <c r="O467" s="22" t="s">
        <v>9</v>
      </c>
      <c r="P467" s="16"/>
      <c r="Q467" s="20"/>
      <c r="R467" s="20"/>
      <c r="S467" s="23" t="s">
        <v>24</v>
      </c>
    </row>
    <row r="468" spans="1:19" ht="39" customHeight="1" outlineLevel="2" x14ac:dyDescent="0.25">
      <c r="A468" s="13" t="s">
        <v>1371</v>
      </c>
      <c r="B468" s="14">
        <v>468</v>
      </c>
      <c r="C468" s="71" t="s">
        <v>26</v>
      </c>
      <c r="D468" s="71" t="s">
        <v>1372</v>
      </c>
      <c r="E468" s="16"/>
      <c r="F468" s="90" t="s">
        <v>1373</v>
      </c>
      <c r="G468" s="73" t="s">
        <v>64</v>
      </c>
      <c r="H468" s="104" t="s">
        <v>1374</v>
      </c>
      <c r="I468" s="19" t="s">
        <v>1372</v>
      </c>
      <c r="J468" s="15" t="s">
        <v>24</v>
      </c>
      <c r="K468" s="20"/>
      <c r="L468" s="16"/>
      <c r="M468" s="20" t="str">
        <f t="shared" si="7"/>
        <v>Conforme au standard</v>
      </c>
      <c r="N468" s="92" t="s">
        <v>9</v>
      </c>
      <c r="O468" s="22" t="s">
        <v>9</v>
      </c>
      <c r="P468" s="16"/>
      <c r="Q468" s="20"/>
      <c r="R468" s="20"/>
      <c r="S468" s="23" t="s">
        <v>24</v>
      </c>
    </row>
    <row r="469" spans="1:19" ht="39" customHeight="1" outlineLevel="1" x14ac:dyDescent="0.25">
      <c r="A469" s="108" t="s">
        <v>1375</v>
      </c>
      <c r="B469" s="14">
        <v>469</v>
      </c>
      <c r="C469" s="98" t="s">
        <v>30</v>
      </c>
      <c r="D469" s="38" t="s">
        <v>24</v>
      </c>
      <c r="E469" s="16"/>
      <c r="F469" s="34" t="s">
        <v>1376</v>
      </c>
      <c r="G469" s="34"/>
      <c r="H469" s="34"/>
      <c r="I469" s="37" t="s">
        <v>24</v>
      </c>
      <c r="J469" s="34" t="s">
        <v>24</v>
      </c>
      <c r="K469" s="39"/>
      <c r="L469" s="16"/>
      <c r="M469" s="40" t="str">
        <f t="shared" si="7"/>
        <v/>
      </c>
      <c r="N469" s="39" t="s">
        <v>9</v>
      </c>
      <c r="O469" s="39" t="s">
        <v>9</v>
      </c>
      <c r="P469" s="16"/>
      <c r="Q469" s="39"/>
      <c r="R469" s="39"/>
      <c r="S469" s="41" t="s">
        <v>24</v>
      </c>
    </row>
    <row r="470" spans="1:19" ht="39" customHeight="1" outlineLevel="2" x14ac:dyDescent="0.25">
      <c r="A470" s="13" t="s">
        <v>1377</v>
      </c>
      <c r="B470" s="14">
        <v>470</v>
      </c>
      <c r="C470" s="71" t="s">
        <v>26</v>
      </c>
      <c r="D470" s="71" t="s">
        <v>1378</v>
      </c>
      <c r="E470" s="16"/>
      <c r="F470" s="90" t="s">
        <v>1379</v>
      </c>
      <c r="G470" s="73" t="s">
        <v>64</v>
      </c>
      <c r="H470" s="104" t="s">
        <v>1380</v>
      </c>
      <c r="I470" s="19" t="s">
        <v>1378</v>
      </c>
      <c r="J470" s="15" t="s">
        <v>24</v>
      </c>
      <c r="K470" s="20"/>
      <c r="L470" s="16"/>
      <c r="M470" s="20" t="str">
        <f t="shared" si="7"/>
        <v>Conforme au standard</v>
      </c>
      <c r="N470" s="92" t="s">
        <v>9</v>
      </c>
      <c r="O470" s="22" t="s">
        <v>9</v>
      </c>
      <c r="P470" s="16"/>
      <c r="Q470" s="20"/>
      <c r="R470" s="20"/>
      <c r="S470" s="23" t="s">
        <v>24</v>
      </c>
    </row>
    <row r="471" spans="1:19" ht="39" customHeight="1" outlineLevel="2" x14ac:dyDescent="0.25">
      <c r="A471" s="13" t="s">
        <v>1381</v>
      </c>
      <c r="B471" s="14">
        <v>471</v>
      </c>
      <c r="C471" s="71" t="s">
        <v>26</v>
      </c>
      <c r="D471" s="71" t="s">
        <v>1382</v>
      </c>
      <c r="E471" s="16"/>
      <c r="F471" s="73" t="s">
        <v>1383</v>
      </c>
      <c r="G471" s="73" t="s">
        <v>64</v>
      </c>
      <c r="H471" s="84" t="s">
        <v>1384</v>
      </c>
      <c r="I471" s="19" t="s">
        <v>1382</v>
      </c>
      <c r="J471" s="15" t="s">
        <v>22</v>
      </c>
      <c r="K471" s="20"/>
      <c r="L471" s="16"/>
      <c r="M471" s="20" t="str">
        <f t="shared" si="7"/>
        <v>Conforme au standard</v>
      </c>
      <c r="N471" s="92" t="s">
        <v>9</v>
      </c>
      <c r="O471" s="22" t="s">
        <v>9</v>
      </c>
      <c r="P471" s="16"/>
      <c r="Q471" s="20"/>
      <c r="R471" s="20"/>
      <c r="S471" s="23" t="s">
        <v>24</v>
      </c>
    </row>
    <row r="472" spans="1:19" ht="39" customHeight="1" outlineLevel="2" x14ac:dyDescent="0.25">
      <c r="A472" s="13" t="s">
        <v>1385</v>
      </c>
      <c r="B472" s="14">
        <v>472</v>
      </c>
      <c r="C472" s="74" t="s">
        <v>35</v>
      </c>
      <c r="D472" s="74" t="s">
        <v>24</v>
      </c>
      <c r="E472" s="16"/>
      <c r="F472" s="76" t="s">
        <v>1386</v>
      </c>
      <c r="G472" s="76" t="s">
        <v>37</v>
      </c>
      <c r="H472" s="76" t="s">
        <v>38</v>
      </c>
      <c r="I472" s="87" t="s">
        <v>75</v>
      </c>
      <c r="J472" s="74" t="s">
        <v>24</v>
      </c>
      <c r="K472" s="78" t="s">
        <v>23</v>
      </c>
      <c r="L472" s="16"/>
      <c r="M472" s="78" t="str">
        <f t="shared" si="7"/>
        <v>Spécifique Offre</v>
      </c>
      <c r="N472" s="79" t="s">
        <v>9</v>
      </c>
      <c r="O472" s="79" t="s">
        <v>9</v>
      </c>
      <c r="P472" s="80"/>
      <c r="Q472" s="78"/>
      <c r="R472" s="78"/>
      <c r="S472" s="81" t="s">
        <v>24</v>
      </c>
    </row>
    <row r="473" spans="1:19" ht="39" customHeight="1" outlineLevel="1" x14ac:dyDescent="0.25">
      <c r="A473" s="108" t="s">
        <v>1387</v>
      </c>
      <c r="B473" s="14">
        <v>473</v>
      </c>
      <c r="C473" s="98" t="s">
        <v>30</v>
      </c>
      <c r="D473" s="38" t="s">
        <v>24</v>
      </c>
      <c r="E473" s="16"/>
      <c r="F473" s="34" t="s">
        <v>1388</v>
      </c>
      <c r="G473" s="213"/>
      <c r="H473" s="213"/>
      <c r="I473" s="37" t="s">
        <v>24</v>
      </c>
      <c r="J473" s="213" t="s">
        <v>24</v>
      </c>
      <c r="K473" s="39"/>
      <c r="L473" s="16"/>
      <c r="M473" s="40" t="str">
        <f t="shared" si="7"/>
        <v/>
      </c>
      <c r="N473" s="39" t="s">
        <v>9</v>
      </c>
      <c r="O473" s="39" t="s">
        <v>9</v>
      </c>
      <c r="P473" s="16"/>
      <c r="Q473" s="39"/>
      <c r="R473" s="39"/>
      <c r="S473" s="41" t="s">
        <v>24</v>
      </c>
    </row>
    <row r="474" spans="1:19" ht="39" customHeight="1" outlineLevel="2" x14ac:dyDescent="0.25">
      <c r="A474" s="13" t="s">
        <v>1389</v>
      </c>
      <c r="B474" s="14">
        <v>474</v>
      </c>
      <c r="C474" s="71" t="s">
        <v>19</v>
      </c>
      <c r="D474" s="71" t="s">
        <v>1390</v>
      </c>
      <c r="E474" s="16"/>
      <c r="F474" s="88" t="s">
        <v>1391</v>
      </c>
      <c r="G474" s="89" t="s">
        <v>48</v>
      </c>
      <c r="H474" s="88" t="s">
        <v>1392</v>
      </c>
      <c r="I474" s="91" t="s">
        <v>1390</v>
      </c>
      <c r="J474" s="15" t="s">
        <v>22</v>
      </c>
      <c r="K474" s="20"/>
      <c r="L474" s="16"/>
      <c r="M474" s="20" t="str">
        <f t="shared" si="7"/>
        <v>Conforme au standard</v>
      </c>
      <c r="N474" s="92" t="s">
        <v>9</v>
      </c>
      <c r="O474" s="22" t="s">
        <v>9</v>
      </c>
      <c r="P474" s="16"/>
      <c r="Q474" s="20"/>
      <c r="R474" s="20"/>
      <c r="S474" s="23" t="s">
        <v>44</v>
      </c>
    </row>
    <row r="475" spans="1:19" ht="39" customHeight="1" outlineLevel="2" x14ac:dyDescent="0.25">
      <c r="A475" s="13" t="s">
        <v>1393</v>
      </c>
      <c r="B475" s="14">
        <v>475</v>
      </c>
      <c r="C475" s="74" t="s">
        <v>35</v>
      </c>
      <c r="D475" s="74" t="s">
        <v>24</v>
      </c>
      <c r="E475" s="16"/>
      <c r="F475" s="214" t="s">
        <v>1394</v>
      </c>
      <c r="G475" s="76" t="s">
        <v>37</v>
      </c>
      <c r="H475" s="102" t="s">
        <v>1021</v>
      </c>
      <c r="I475" s="87" t="s">
        <v>75</v>
      </c>
      <c r="J475" s="74" t="s">
        <v>24</v>
      </c>
      <c r="K475" s="78" t="s">
        <v>23</v>
      </c>
      <c r="L475" s="16"/>
      <c r="M475" s="78" t="str">
        <f t="shared" si="7"/>
        <v>Spécifique Offre</v>
      </c>
      <c r="N475" s="79" t="s">
        <v>9</v>
      </c>
      <c r="O475" s="79" t="s">
        <v>9</v>
      </c>
      <c r="P475" s="80"/>
      <c r="Q475" s="78"/>
      <c r="R475" s="78"/>
      <c r="S475" s="81" t="s">
        <v>24</v>
      </c>
    </row>
    <row r="476" spans="1:19" ht="39" customHeight="1" outlineLevel="1" x14ac:dyDescent="0.25">
      <c r="A476" s="108" t="s">
        <v>1395</v>
      </c>
      <c r="B476" s="14">
        <v>476</v>
      </c>
      <c r="C476" s="98" t="s">
        <v>30</v>
      </c>
      <c r="D476" s="38" t="s">
        <v>24</v>
      </c>
      <c r="E476" s="16"/>
      <c r="F476" s="34" t="s">
        <v>1396</v>
      </c>
      <c r="G476" s="213"/>
      <c r="H476" s="213"/>
      <c r="I476" s="37" t="s">
        <v>24</v>
      </c>
      <c r="J476" s="213" t="s">
        <v>24</v>
      </c>
      <c r="K476" s="39"/>
      <c r="L476" s="16"/>
      <c r="M476" s="40" t="str">
        <f t="shared" si="7"/>
        <v/>
      </c>
      <c r="N476" s="39" t="s">
        <v>9</v>
      </c>
      <c r="O476" s="39" t="s">
        <v>9</v>
      </c>
      <c r="P476" s="16"/>
      <c r="Q476" s="39"/>
      <c r="R476" s="39"/>
      <c r="S476" s="41" t="s">
        <v>24</v>
      </c>
    </row>
    <row r="477" spans="1:19" ht="39" customHeight="1" outlineLevel="2" x14ac:dyDescent="0.25">
      <c r="A477" s="13" t="s">
        <v>1397</v>
      </c>
      <c r="B477" s="14">
        <v>477</v>
      </c>
      <c r="C477" s="71" t="s">
        <v>26</v>
      </c>
      <c r="D477" s="71" t="s">
        <v>1398</v>
      </c>
      <c r="E477" s="16"/>
      <c r="F477" s="90" t="s">
        <v>1399</v>
      </c>
      <c r="G477" s="73" t="s">
        <v>64</v>
      </c>
      <c r="H477" s="104" t="s">
        <v>1400</v>
      </c>
      <c r="I477" s="19" t="s">
        <v>1398</v>
      </c>
      <c r="J477" s="15" t="s">
        <v>22</v>
      </c>
      <c r="K477" s="20"/>
      <c r="L477" s="16"/>
      <c r="M477" s="20" t="str">
        <f t="shared" si="7"/>
        <v>Conforme au standard</v>
      </c>
      <c r="N477" s="92" t="s">
        <v>9</v>
      </c>
      <c r="O477" s="22" t="s">
        <v>9</v>
      </c>
      <c r="P477" s="16"/>
      <c r="Q477" s="20"/>
      <c r="R477" s="20"/>
      <c r="S477" s="23" t="s">
        <v>24</v>
      </c>
    </row>
    <row r="478" spans="1:19" ht="39" customHeight="1" outlineLevel="2" x14ac:dyDescent="0.25">
      <c r="A478" s="13" t="s">
        <v>1401</v>
      </c>
      <c r="B478" s="14">
        <v>478</v>
      </c>
      <c r="C478" s="74" t="s">
        <v>35</v>
      </c>
      <c r="D478" s="74" t="s">
        <v>24</v>
      </c>
      <c r="E478" s="16"/>
      <c r="F478" s="93" t="s">
        <v>1402</v>
      </c>
      <c r="G478" s="76" t="s">
        <v>37</v>
      </c>
      <c r="H478" s="76" t="s">
        <v>38</v>
      </c>
      <c r="I478" s="87" t="s">
        <v>24</v>
      </c>
      <c r="J478" s="74" t="s">
        <v>24</v>
      </c>
      <c r="K478" s="78"/>
      <c r="L478" s="16"/>
      <c r="M478" s="78" t="str">
        <f t="shared" si="7"/>
        <v>Renseigner la réponse DCO</v>
      </c>
      <c r="N478" s="79" t="s">
        <v>9</v>
      </c>
      <c r="O478" s="79" t="s">
        <v>9</v>
      </c>
      <c r="P478" s="80"/>
      <c r="Q478" s="78"/>
      <c r="R478" s="78"/>
      <c r="S478" s="81" t="s">
        <v>24</v>
      </c>
    </row>
    <row r="479" spans="1:19" ht="39" customHeight="1" outlineLevel="2" x14ac:dyDescent="0.25">
      <c r="A479" s="13" t="s">
        <v>1403</v>
      </c>
      <c r="B479" s="14">
        <v>479</v>
      </c>
      <c r="C479" s="74" t="s">
        <v>26</v>
      </c>
      <c r="D479" s="74" t="s">
        <v>1404</v>
      </c>
      <c r="E479" s="16"/>
      <c r="F479" s="93" t="s">
        <v>1405</v>
      </c>
      <c r="G479" s="89" t="s">
        <v>48</v>
      </c>
      <c r="H479" s="76" t="s">
        <v>1406</v>
      </c>
      <c r="I479" s="87" t="s">
        <v>1404</v>
      </c>
      <c r="J479" s="74"/>
      <c r="K479" s="78"/>
      <c r="L479" s="16"/>
      <c r="M479" s="78" t="str">
        <f t="shared" si="7"/>
        <v>Conforme au standard</v>
      </c>
      <c r="N479" s="79" t="s">
        <v>9</v>
      </c>
      <c r="O479" s="79" t="s">
        <v>9</v>
      </c>
      <c r="P479" s="80"/>
      <c r="Q479" s="78"/>
      <c r="R479" s="78"/>
      <c r="S479" s="81" t="s">
        <v>24</v>
      </c>
    </row>
    <row r="480" spans="1:19" ht="39" customHeight="1" outlineLevel="2" x14ac:dyDescent="0.25">
      <c r="A480" s="13" t="s">
        <v>1407</v>
      </c>
      <c r="B480" s="14">
        <v>480</v>
      </c>
      <c r="C480" s="71" t="s">
        <v>51</v>
      </c>
      <c r="D480" s="71" t="s">
        <v>1408</v>
      </c>
      <c r="E480" s="16"/>
      <c r="F480" s="90" t="s">
        <v>1409</v>
      </c>
      <c r="G480" s="73" t="s">
        <v>64</v>
      </c>
      <c r="H480" s="104" t="s">
        <v>1410</v>
      </c>
      <c r="I480" s="19" t="s">
        <v>1408</v>
      </c>
      <c r="J480" s="15"/>
      <c r="K480" s="20"/>
      <c r="L480" s="16"/>
      <c r="M480" s="20" t="str">
        <f t="shared" si="7"/>
        <v>Conforme au standard</v>
      </c>
      <c r="N480" s="92" t="s">
        <v>9</v>
      </c>
      <c r="O480" s="22" t="s">
        <v>9</v>
      </c>
      <c r="P480" s="16"/>
      <c r="Q480" s="20"/>
      <c r="R480" s="20"/>
      <c r="S480" s="23" t="s">
        <v>24</v>
      </c>
    </row>
    <row r="481" spans="1:19" ht="39" customHeight="1" outlineLevel="2" x14ac:dyDescent="0.25">
      <c r="A481" s="13" t="s">
        <v>1411</v>
      </c>
      <c r="B481" s="14">
        <v>481</v>
      </c>
      <c r="C481" s="15" t="s">
        <v>26</v>
      </c>
      <c r="D481" s="15" t="s">
        <v>1412</v>
      </c>
      <c r="E481" s="16"/>
      <c r="F481" s="88" t="s">
        <v>1413</v>
      </c>
      <c r="G481" s="73" t="s">
        <v>64</v>
      </c>
      <c r="H481" s="104" t="s">
        <v>1414</v>
      </c>
      <c r="I481" s="19" t="s">
        <v>1412</v>
      </c>
      <c r="J481" s="71" t="s">
        <v>22</v>
      </c>
      <c r="K481" s="20"/>
      <c r="L481" s="16"/>
      <c r="M481" s="20" t="str">
        <f t="shared" si="7"/>
        <v>Conforme au standard</v>
      </c>
      <c r="N481" s="22" t="s">
        <v>9</v>
      </c>
      <c r="O481" s="22" t="s">
        <v>9</v>
      </c>
      <c r="P481" s="16"/>
      <c r="Q481" s="20"/>
      <c r="R481" s="20"/>
      <c r="S481" s="23" t="s">
        <v>24</v>
      </c>
    </row>
    <row r="482" spans="1:19" ht="39" customHeight="1" outlineLevel="2" x14ac:dyDescent="0.25">
      <c r="A482" s="13" t="s">
        <v>1415</v>
      </c>
      <c r="B482" s="14">
        <v>482</v>
      </c>
      <c r="C482" s="74" t="s">
        <v>35</v>
      </c>
      <c r="D482" s="74" t="s">
        <v>24</v>
      </c>
      <c r="E482" s="16"/>
      <c r="F482" s="93" t="s">
        <v>1416</v>
      </c>
      <c r="G482" s="76" t="s">
        <v>37</v>
      </c>
      <c r="H482" s="76" t="s">
        <v>38</v>
      </c>
      <c r="I482" s="87" t="s">
        <v>75</v>
      </c>
      <c r="J482" s="74" t="s">
        <v>24</v>
      </c>
      <c r="K482" s="78" t="s">
        <v>23</v>
      </c>
      <c r="L482" s="16"/>
      <c r="M482" s="78" t="str">
        <f t="shared" si="7"/>
        <v>Spécifique Offre</v>
      </c>
      <c r="N482" s="79" t="s">
        <v>9</v>
      </c>
      <c r="O482" s="79" t="s">
        <v>9</v>
      </c>
      <c r="P482" s="80"/>
      <c r="Q482" s="78"/>
      <c r="R482" s="78"/>
      <c r="S482" s="81" t="s">
        <v>24</v>
      </c>
    </row>
    <row r="483" spans="1:19" ht="39" customHeight="1" outlineLevel="1" x14ac:dyDescent="0.25">
      <c r="A483" s="108" t="s">
        <v>1417</v>
      </c>
      <c r="B483" s="14">
        <v>483</v>
      </c>
      <c r="C483" s="98" t="s">
        <v>30</v>
      </c>
      <c r="D483" s="38" t="s">
        <v>24</v>
      </c>
      <c r="E483" s="16"/>
      <c r="F483" s="34" t="s">
        <v>1418</v>
      </c>
      <c r="G483" s="34"/>
      <c r="H483" s="34"/>
      <c r="I483" s="37" t="s">
        <v>24</v>
      </c>
      <c r="J483" s="213" t="s">
        <v>24</v>
      </c>
      <c r="K483" s="39"/>
      <c r="L483" s="16"/>
      <c r="M483" s="40" t="str">
        <f t="shared" si="7"/>
        <v/>
      </c>
      <c r="N483" s="39" t="s">
        <v>9</v>
      </c>
      <c r="O483" s="39" t="s">
        <v>9</v>
      </c>
      <c r="P483" s="16"/>
      <c r="Q483" s="39"/>
      <c r="R483" s="39"/>
      <c r="S483" s="41" t="s">
        <v>24</v>
      </c>
    </row>
    <row r="484" spans="1:19" ht="39" customHeight="1" outlineLevel="2" x14ac:dyDescent="0.25">
      <c r="A484" s="13" t="s">
        <v>1419</v>
      </c>
      <c r="B484" s="14">
        <v>484</v>
      </c>
      <c r="C484" s="15" t="s">
        <v>19</v>
      </c>
      <c r="D484" s="15" t="s">
        <v>1420</v>
      </c>
      <c r="E484" s="16"/>
      <c r="F484" s="96" t="s">
        <v>1421</v>
      </c>
      <c r="G484" s="89" t="s">
        <v>48</v>
      </c>
      <c r="H484" s="215" t="s">
        <v>1422</v>
      </c>
      <c r="I484" s="91" t="s">
        <v>1420</v>
      </c>
      <c r="J484" s="15" t="s">
        <v>22</v>
      </c>
      <c r="K484" s="20"/>
      <c r="L484" s="16"/>
      <c r="M484" s="20" t="str">
        <f t="shared" si="7"/>
        <v>Conforme au standard</v>
      </c>
      <c r="N484" s="92" t="s">
        <v>9</v>
      </c>
      <c r="O484" s="22" t="s">
        <v>9</v>
      </c>
      <c r="P484" s="16"/>
      <c r="Q484" s="20"/>
      <c r="R484" s="20"/>
      <c r="S484" s="23" t="s">
        <v>44</v>
      </c>
    </row>
    <row r="485" spans="1:19" ht="39" customHeight="1" outlineLevel="2" x14ac:dyDescent="0.25">
      <c r="A485" s="13" t="s">
        <v>1423</v>
      </c>
      <c r="B485" s="14">
        <v>485</v>
      </c>
      <c r="C485" s="74" t="s">
        <v>35</v>
      </c>
      <c r="D485" s="74" t="s">
        <v>24</v>
      </c>
      <c r="E485" s="16"/>
      <c r="F485" s="102" t="s">
        <v>1424</v>
      </c>
      <c r="G485" s="76" t="s">
        <v>37</v>
      </c>
      <c r="H485" s="76" t="s">
        <v>38</v>
      </c>
      <c r="I485" s="87" t="s">
        <v>75</v>
      </c>
      <c r="J485" s="74"/>
      <c r="K485" s="78" t="s">
        <v>23</v>
      </c>
      <c r="L485" s="16"/>
      <c r="M485" s="78" t="str">
        <f t="shared" si="7"/>
        <v>Spécifique Offre</v>
      </c>
      <c r="N485" s="79" t="s">
        <v>9</v>
      </c>
      <c r="O485" s="79" t="s">
        <v>9</v>
      </c>
      <c r="P485" s="16"/>
      <c r="Q485" s="78"/>
      <c r="R485" s="78"/>
      <c r="S485" s="81" t="s">
        <v>24</v>
      </c>
    </row>
    <row r="486" spans="1:19" ht="39" customHeight="1" outlineLevel="2" x14ac:dyDescent="0.25">
      <c r="A486" s="13" t="s">
        <v>1425</v>
      </c>
      <c r="B486" s="14">
        <v>486</v>
      </c>
      <c r="C486" s="15" t="s">
        <v>19</v>
      </c>
      <c r="D486" s="15" t="s">
        <v>1426</v>
      </c>
      <c r="E486" s="16"/>
      <c r="F486" s="96" t="s">
        <v>1427</v>
      </c>
      <c r="G486" s="89" t="s">
        <v>48</v>
      </c>
      <c r="H486" s="215" t="s">
        <v>1428</v>
      </c>
      <c r="I486" s="91" t="s">
        <v>1426</v>
      </c>
      <c r="J486" s="15" t="s">
        <v>22</v>
      </c>
      <c r="K486" s="20"/>
      <c r="L486" s="16"/>
      <c r="M486" s="20" t="str">
        <f t="shared" si="7"/>
        <v>Conforme au standard</v>
      </c>
      <c r="N486" s="92" t="s">
        <v>9</v>
      </c>
      <c r="O486" s="22" t="s">
        <v>9</v>
      </c>
      <c r="P486" s="16"/>
      <c r="Q486" s="20"/>
      <c r="R486" s="20"/>
      <c r="S486" s="23" t="s">
        <v>44</v>
      </c>
    </row>
    <row r="487" spans="1:19" ht="39" customHeight="1" outlineLevel="2" x14ac:dyDescent="0.25">
      <c r="A487" s="13" t="s">
        <v>1429</v>
      </c>
      <c r="B487" s="14">
        <v>487</v>
      </c>
      <c r="C487" s="74" t="s">
        <v>35</v>
      </c>
      <c r="D487" s="74" t="s">
        <v>24</v>
      </c>
      <c r="E487" s="16"/>
      <c r="F487" s="102" t="s">
        <v>1430</v>
      </c>
      <c r="G487" s="76" t="s">
        <v>37</v>
      </c>
      <c r="H487" s="76" t="s">
        <v>38</v>
      </c>
      <c r="I487" s="87" t="s">
        <v>75</v>
      </c>
      <c r="J487" s="74"/>
      <c r="K487" s="78" t="s">
        <v>23</v>
      </c>
      <c r="L487" s="16"/>
      <c r="M487" s="78" t="str">
        <f t="shared" si="7"/>
        <v>Spécifique Offre</v>
      </c>
      <c r="N487" s="79" t="s">
        <v>9</v>
      </c>
      <c r="O487" s="79" t="s">
        <v>9</v>
      </c>
      <c r="P487" s="16"/>
      <c r="Q487" s="78"/>
      <c r="R487" s="78"/>
      <c r="S487" s="81" t="s">
        <v>24</v>
      </c>
    </row>
    <row r="488" spans="1:19" ht="39" customHeight="1" outlineLevel="2" x14ac:dyDescent="0.25">
      <c r="A488" s="13" t="s">
        <v>1431</v>
      </c>
      <c r="B488" s="14">
        <v>488</v>
      </c>
      <c r="C488" s="74" t="s">
        <v>35</v>
      </c>
      <c r="D488" s="74" t="s">
        <v>24</v>
      </c>
      <c r="E488" s="16"/>
      <c r="F488" s="102" t="s">
        <v>1432</v>
      </c>
      <c r="G488" s="89" t="s">
        <v>48</v>
      </c>
      <c r="H488" s="158" t="s">
        <v>1428</v>
      </c>
      <c r="I488" s="87" t="s">
        <v>75</v>
      </c>
      <c r="J488" s="74" t="s">
        <v>24</v>
      </c>
      <c r="K488" s="78" t="s">
        <v>23</v>
      </c>
      <c r="L488" s="16"/>
      <c r="M488" s="78" t="str">
        <f t="shared" si="7"/>
        <v>Spécifique Offre</v>
      </c>
      <c r="N488" s="79" t="s">
        <v>9</v>
      </c>
      <c r="O488" s="79" t="s">
        <v>9</v>
      </c>
      <c r="P488" s="80"/>
      <c r="Q488" s="78"/>
      <c r="R488" s="78"/>
      <c r="S488" s="81" t="s">
        <v>44</v>
      </c>
    </row>
    <row r="489" spans="1:19" ht="39" customHeight="1" outlineLevel="2" x14ac:dyDescent="0.25">
      <c r="A489" s="13" t="s">
        <v>1433</v>
      </c>
      <c r="B489" s="14">
        <v>489</v>
      </c>
      <c r="C489" s="15" t="s">
        <v>51</v>
      </c>
      <c r="D489" s="15" t="s">
        <v>1434</v>
      </c>
      <c r="E489" s="16"/>
      <c r="F489" s="96" t="s">
        <v>1435</v>
      </c>
      <c r="G489" s="73" t="s">
        <v>64</v>
      </c>
      <c r="H489" s="104" t="s">
        <v>1436</v>
      </c>
      <c r="I489" s="19" t="s">
        <v>1434</v>
      </c>
      <c r="J489" s="15" t="s">
        <v>22</v>
      </c>
      <c r="K489" s="20"/>
      <c r="L489" s="16"/>
      <c r="M489" s="20" t="str">
        <f t="shared" si="7"/>
        <v>Conforme au standard</v>
      </c>
      <c r="N489" s="92" t="s">
        <v>9</v>
      </c>
      <c r="O489" s="22" t="s">
        <v>9</v>
      </c>
      <c r="P489" s="16"/>
      <c r="Q489" s="20"/>
      <c r="R489" s="20"/>
      <c r="S489" s="23" t="s">
        <v>24</v>
      </c>
    </row>
    <row r="490" spans="1:19" ht="39" customHeight="1" outlineLevel="2" x14ac:dyDescent="0.25">
      <c r="A490" s="13" t="s">
        <v>1437</v>
      </c>
      <c r="B490" s="14">
        <v>490</v>
      </c>
      <c r="C490" s="74" t="s">
        <v>35</v>
      </c>
      <c r="D490" s="74" t="s">
        <v>24</v>
      </c>
      <c r="E490" s="85"/>
      <c r="F490" s="102" t="s">
        <v>1438</v>
      </c>
      <c r="G490" s="76" t="s">
        <v>37</v>
      </c>
      <c r="H490" s="76" t="s">
        <v>38</v>
      </c>
      <c r="I490" s="87" t="s">
        <v>24</v>
      </c>
      <c r="J490" s="74" t="s">
        <v>24</v>
      </c>
      <c r="K490" s="78"/>
      <c r="L490" s="16"/>
      <c r="M490" s="78" t="str">
        <f t="shared" si="7"/>
        <v>Renseigner la réponse DCO</v>
      </c>
      <c r="N490" s="103" t="s">
        <v>9</v>
      </c>
      <c r="O490" s="79" t="s">
        <v>9</v>
      </c>
      <c r="P490" s="16"/>
      <c r="Q490" s="78"/>
      <c r="R490" s="78"/>
      <c r="S490" s="23" t="s">
        <v>24</v>
      </c>
    </row>
    <row r="491" spans="1:19" ht="39" customHeight="1" outlineLevel="2" x14ac:dyDescent="0.25">
      <c r="A491" s="13" t="s">
        <v>1439</v>
      </c>
      <c r="B491" s="14">
        <v>491</v>
      </c>
      <c r="C491" s="74" t="s">
        <v>35</v>
      </c>
      <c r="D491" s="74" t="s">
        <v>24</v>
      </c>
      <c r="E491" s="85"/>
      <c r="F491" s="102" t="s">
        <v>1440</v>
      </c>
      <c r="G491" s="76" t="s">
        <v>64</v>
      </c>
      <c r="H491" s="76" t="s">
        <v>1441</v>
      </c>
      <c r="I491" s="87" t="s">
        <v>75</v>
      </c>
      <c r="J491" s="74" t="s">
        <v>24</v>
      </c>
      <c r="K491" s="78" t="s">
        <v>23</v>
      </c>
      <c r="L491" s="16"/>
      <c r="M491" s="78" t="str">
        <f t="shared" si="7"/>
        <v>Spécifique Offre</v>
      </c>
      <c r="N491" s="103" t="s">
        <v>9</v>
      </c>
      <c r="O491" s="79" t="s">
        <v>9</v>
      </c>
      <c r="P491" s="16"/>
      <c r="Q491" s="78"/>
      <c r="R491" s="78"/>
      <c r="S491" s="23" t="s">
        <v>24</v>
      </c>
    </row>
    <row r="492" spans="1:19" ht="39" customHeight="1" outlineLevel="2" x14ac:dyDescent="0.25">
      <c r="A492" s="13" t="s">
        <v>1442</v>
      </c>
      <c r="B492" s="14">
        <v>492</v>
      </c>
      <c r="C492" s="15" t="s">
        <v>35</v>
      </c>
      <c r="D492" s="15" t="s">
        <v>24</v>
      </c>
      <c r="E492" s="16"/>
      <c r="F492" s="96" t="s">
        <v>1443</v>
      </c>
      <c r="G492" s="216" t="s">
        <v>1444</v>
      </c>
      <c r="H492" s="106" t="s">
        <v>1444</v>
      </c>
      <c r="I492" s="107" t="s">
        <v>1445</v>
      </c>
      <c r="J492" s="15" t="s">
        <v>24</v>
      </c>
      <c r="K492" s="20"/>
      <c r="L492" s="16"/>
      <c r="M492" s="20" t="str">
        <f t="shared" si="7"/>
        <v>Spécifique Offre</v>
      </c>
      <c r="N492" s="92" t="s">
        <v>117</v>
      </c>
      <c r="O492" s="22" t="s">
        <v>9</v>
      </c>
      <c r="P492" s="16"/>
      <c r="Q492" s="20"/>
      <c r="R492" s="20"/>
      <c r="S492" s="23" t="s">
        <v>24</v>
      </c>
    </row>
    <row r="493" spans="1:19" ht="48" customHeight="1" outlineLevel="2" x14ac:dyDescent="0.25">
      <c r="A493" s="13" t="s">
        <v>1446</v>
      </c>
      <c r="B493" s="14">
        <v>493</v>
      </c>
      <c r="C493" s="15" t="s">
        <v>35</v>
      </c>
      <c r="D493" s="15" t="s">
        <v>24</v>
      </c>
      <c r="E493" s="16"/>
      <c r="F493" s="96" t="s">
        <v>1447</v>
      </c>
      <c r="G493" s="89" t="s">
        <v>48</v>
      </c>
      <c r="H493" s="90" t="s">
        <v>1448</v>
      </c>
      <c r="I493" s="19" t="s">
        <v>24</v>
      </c>
      <c r="J493" s="15" t="s">
        <v>22</v>
      </c>
      <c r="K493" s="20"/>
      <c r="L493" s="16"/>
      <c r="M493" s="20" t="str">
        <f t="shared" si="7"/>
        <v>Renseigner la réponse DCO</v>
      </c>
      <c r="N493" s="92" t="s">
        <v>9</v>
      </c>
      <c r="O493" s="22" t="s">
        <v>9</v>
      </c>
      <c r="P493" s="16"/>
      <c r="Q493" s="20"/>
      <c r="R493" s="20"/>
      <c r="S493" s="23" t="s">
        <v>24</v>
      </c>
    </row>
    <row r="494" spans="1:19" ht="39" customHeight="1" outlineLevel="2" x14ac:dyDescent="0.25">
      <c r="A494" s="13" t="s">
        <v>1449</v>
      </c>
      <c r="B494" s="14">
        <v>494</v>
      </c>
      <c r="C494" s="74" t="s">
        <v>35</v>
      </c>
      <c r="D494" s="74" t="s">
        <v>24</v>
      </c>
      <c r="E494" s="16"/>
      <c r="F494" s="102" t="s">
        <v>1450</v>
      </c>
      <c r="G494" s="89" t="s">
        <v>48</v>
      </c>
      <c r="H494" s="158" t="s">
        <v>1451</v>
      </c>
      <c r="I494" s="87" t="s">
        <v>75</v>
      </c>
      <c r="J494" s="74" t="s">
        <v>24</v>
      </c>
      <c r="K494" s="78" t="s">
        <v>23</v>
      </c>
      <c r="L494" s="16"/>
      <c r="M494" s="78" t="str">
        <f t="shared" si="7"/>
        <v>Spécifique Offre</v>
      </c>
      <c r="N494" s="79" t="s">
        <v>9</v>
      </c>
      <c r="O494" s="79" t="s">
        <v>9</v>
      </c>
      <c r="P494" s="80"/>
      <c r="Q494" s="78"/>
      <c r="R494" s="78"/>
      <c r="S494" s="81" t="s">
        <v>24</v>
      </c>
    </row>
    <row r="495" spans="1:19" ht="39" customHeight="1" outlineLevel="1" x14ac:dyDescent="0.25">
      <c r="A495" s="108" t="s">
        <v>1452</v>
      </c>
      <c r="B495" s="14">
        <v>495</v>
      </c>
      <c r="C495" s="98" t="s">
        <v>30</v>
      </c>
      <c r="D495" s="38" t="s">
        <v>24</v>
      </c>
      <c r="E495" s="16"/>
      <c r="F495" s="34" t="s">
        <v>1453</v>
      </c>
      <c r="G495" s="34"/>
      <c r="H495" s="34"/>
      <c r="I495" s="37" t="s">
        <v>24</v>
      </c>
      <c r="J495" s="34" t="s">
        <v>24</v>
      </c>
      <c r="K495" s="39"/>
      <c r="L495" s="16"/>
      <c r="M495" s="40" t="str">
        <f t="shared" si="7"/>
        <v/>
      </c>
      <c r="N495" s="39" t="s">
        <v>9</v>
      </c>
      <c r="O495" s="39" t="s">
        <v>9</v>
      </c>
      <c r="P495" s="16"/>
      <c r="Q495" s="39"/>
      <c r="R495" s="39"/>
      <c r="S495" s="41" t="s">
        <v>24</v>
      </c>
    </row>
    <row r="496" spans="1:19" ht="39" customHeight="1" outlineLevel="2" x14ac:dyDescent="0.25">
      <c r="A496" s="13" t="s">
        <v>1454</v>
      </c>
      <c r="B496" s="14">
        <v>496</v>
      </c>
      <c r="C496" s="15" t="s">
        <v>35</v>
      </c>
      <c r="D496" s="15" t="s">
        <v>24</v>
      </c>
      <c r="E496" s="16"/>
      <c r="F496" s="217" t="s">
        <v>1455</v>
      </c>
      <c r="G496" s="89" t="s">
        <v>48</v>
      </c>
      <c r="H496" s="73" t="s">
        <v>1456</v>
      </c>
      <c r="I496" s="91" t="s">
        <v>24</v>
      </c>
      <c r="J496" s="15" t="s">
        <v>24</v>
      </c>
      <c r="K496" s="20"/>
      <c r="L496" s="16"/>
      <c r="M496" s="20" t="str">
        <f t="shared" si="7"/>
        <v>Renseigner la réponse DCO</v>
      </c>
      <c r="N496" s="92" t="s">
        <v>9</v>
      </c>
      <c r="O496" s="22" t="s">
        <v>9</v>
      </c>
      <c r="P496" s="16"/>
      <c r="Q496" s="20"/>
      <c r="R496" s="20"/>
      <c r="S496" s="23" t="s">
        <v>44</v>
      </c>
    </row>
    <row r="497" spans="1:19" ht="39" customHeight="1" outlineLevel="2" x14ac:dyDescent="0.25">
      <c r="A497" s="13" t="s">
        <v>1457</v>
      </c>
      <c r="B497" s="14">
        <v>497</v>
      </c>
      <c r="C497" s="15" t="s">
        <v>35</v>
      </c>
      <c r="D497" s="15" t="s">
        <v>24</v>
      </c>
      <c r="E497" s="16"/>
      <c r="F497" s="217" t="s">
        <v>1458</v>
      </c>
      <c r="G497" s="89" t="s">
        <v>48</v>
      </c>
      <c r="H497" s="73" t="s">
        <v>1459</v>
      </c>
      <c r="I497" s="91" t="s">
        <v>24</v>
      </c>
      <c r="J497" s="15" t="s">
        <v>24</v>
      </c>
      <c r="K497" s="20"/>
      <c r="L497" s="16"/>
      <c r="M497" s="20" t="str">
        <f t="shared" si="7"/>
        <v>Renseigner la réponse DCO</v>
      </c>
      <c r="N497" s="92" t="s">
        <v>9</v>
      </c>
      <c r="O497" s="22" t="s">
        <v>9</v>
      </c>
      <c r="P497" s="16"/>
      <c r="Q497" s="20"/>
      <c r="R497" s="20"/>
      <c r="S497" s="23" t="s">
        <v>44</v>
      </c>
    </row>
    <row r="498" spans="1:19" ht="39" customHeight="1" outlineLevel="2" x14ac:dyDescent="0.25">
      <c r="A498" s="13" t="s">
        <v>1460</v>
      </c>
      <c r="B498" s="14">
        <v>498</v>
      </c>
      <c r="C498" s="15" t="s">
        <v>35</v>
      </c>
      <c r="D498" s="15" t="s">
        <v>24</v>
      </c>
      <c r="E498" s="16"/>
      <c r="F498" s="217" t="s">
        <v>1461</v>
      </c>
      <c r="G498" s="218" t="s">
        <v>48</v>
      </c>
      <c r="H498" s="73" t="s">
        <v>1462</v>
      </c>
      <c r="I498" s="91" t="s">
        <v>24</v>
      </c>
      <c r="J498" s="15" t="s">
        <v>24</v>
      </c>
      <c r="K498" s="20"/>
      <c r="L498" s="16"/>
      <c r="M498" s="20" t="str">
        <f t="shared" si="7"/>
        <v>Renseigner la réponse DCO</v>
      </c>
      <c r="N498" s="92" t="s">
        <v>9</v>
      </c>
      <c r="O498" s="22" t="s">
        <v>9</v>
      </c>
      <c r="P498" s="16"/>
      <c r="Q498" s="20"/>
      <c r="R498" s="20"/>
      <c r="S498" s="23" t="s">
        <v>44</v>
      </c>
    </row>
    <row r="499" spans="1:19" ht="39" customHeight="1" x14ac:dyDescent="0.25">
      <c r="B499" s="14">
        <v>499</v>
      </c>
      <c r="K499" s="221"/>
      <c r="M499" s="221"/>
      <c r="N499" s="221"/>
      <c r="O499" s="221"/>
      <c r="Q499" s="221"/>
      <c r="R499" s="221"/>
      <c r="S499" s="222"/>
    </row>
    <row r="500" spans="1:19" x14ac:dyDescent="0.25">
      <c r="B500" s="14">
        <v>500</v>
      </c>
      <c r="K500" s="221"/>
      <c r="M500" s="221"/>
      <c r="N500" s="221"/>
      <c r="O500" s="221"/>
      <c r="Q500" s="221"/>
      <c r="R500" s="221"/>
      <c r="S500" s="222"/>
    </row>
    <row r="501" spans="1:19" x14ac:dyDescent="0.25">
      <c r="B501" s="14">
        <v>501</v>
      </c>
      <c r="K501" s="221"/>
      <c r="M501" s="221"/>
      <c r="N501" s="221"/>
      <c r="O501" s="221"/>
      <c r="Q501" s="221"/>
      <c r="R501" s="221"/>
      <c r="S501" s="222"/>
    </row>
    <row r="502" spans="1:19" x14ac:dyDescent="0.25">
      <c r="B502" s="14">
        <v>502</v>
      </c>
      <c r="K502" s="221"/>
      <c r="M502" s="221"/>
      <c r="N502" s="221"/>
      <c r="O502" s="221"/>
      <c r="Q502" s="221"/>
      <c r="R502" s="221"/>
      <c r="S502" s="222"/>
    </row>
    <row r="503" spans="1:19" x14ac:dyDescent="0.25">
      <c r="B503" s="14">
        <v>503</v>
      </c>
      <c r="K503" s="221"/>
      <c r="M503" s="221"/>
      <c r="N503" s="221"/>
      <c r="O503" s="221"/>
      <c r="Q503" s="221"/>
      <c r="R503" s="221"/>
      <c r="S503" s="222"/>
    </row>
    <row r="504" spans="1:19" x14ac:dyDescent="0.25">
      <c r="B504" s="14">
        <v>504</v>
      </c>
      <c r="K504" s="221"/>
      <c r="M504" s="221"/>
      <c r="N504" s="221"/>
      <c r="O504" s="221"/>
      <c r="Q504" s="221"/>
      <c r="R504" s="221"/>
      <c r="S504" s="222"/>
    </row>
    <row r="505" spans="1:19" x14ac:dyDescent="0.25">
      <c r="B505" s="14">
        <v>505</v>
      </c>
      <c r="K505" s="221"/>
      <c r="M505" s="221"/>
      <c r="N505" s="221"/>
      <c r="O505" s="221"/>
      <c r="Q505" s="221"/>
      <c r="R505" s="221"/>
      <c r="S505" s="222"/>
    </row>
    <row r="506" spans="1:19" x14ac:dyDescent="0.25">
      <c r="B506" s="14">
        <v>506</v>
      </c>
      <c r="K506" s="221"/>
      <c r="M506" s="221"/>
      <c r="N506" s="221"/>
      <c r="O506" s="221"/>
      <c r="Q506" s="221"/>
      <c r="R506" s="221"/>
      <c r="S506" s="222"/>
    </row>
    <row r="507" spans="1:19" x14ac:dyDescent="0.25">
      <c r="B507" s="14">
        <v>507</v>
      </c>
      <c r="K507" s="221"/>
      <c r="M507" s="221"/>
      <c r="N507" s="221"/>
      <c r="O507" s="221"/>
      <c r="Q507" s="221"/>
      <c r="R507" s="221"/>
      <c r="S507" s="222"/>
    </row>
    <row r="508" spans="1:19" x14ac:dyDescent="0.25">
      <c r="B508" s="14">
        <v>508</v>
      </c>
      <c r="K508" s="221"/>
      <c r="M508" s="221"/>
      <c r="N508" s="221"/>
      <c r="O508" s="221"/>
      <c r="Q508" s="221"/>
      <c r="R508" s="221"/>
      <c r="S508" s="222"/>
    </row>
    <row r="509" spans="1:19" x14ac:dyDescent="0.25">
      <c r="B509" s="14">
        <v>509</v>
      </c>
      <c r="K509" s="221"/>
      <c r="M509" s="221"/>
      <c r="N509" s="221"/>
      <c r="O509" s="221"/>
      <c r="Q509" s="221"/>
      <c r="R509" s="221"/>
      <c r="S509" s="222"/>
    </row>
    <row r="510" spans="1:19" x14ac:dyDescent="0.25">
      <c r="B510" s="14">
        <v>510</v>
      </c>
      <c r="K510" s="221"/>
      <c r="M510" s="221"/>
      <c r="N510" s="221"/>
      <c r="O510" s="221"/>
      <c r="Q510" s="221"/>
      <c r="R510" s="221"/>
      <c r="S510" s="222"/>
    </row>
    <row r="511" spans="1:19" x14ac:dyDescent="0.25">
      <c r="B511" s="14">
        <v>511</v>
      </c>
      <c r="K511" s="221"/>
      <c r="M511" s="221"/>
      <c r="N511" s="221"/>
      <c r="O511" s="221"/>
      <c r="Q511" s="221"/>
      <c r="R511" s="221"/>
      <c r="S511" s="222"/>
    </row>
    <row r="512" spans="1:19" x14ac:dyDescent="0.25">
      <c r="B512" s="14">
        <v>512</v>
      </c>
      <c r="K512" s="221"/>
      <c r="M512" s="221"/>
      <c r="N512" s="221"/>
      <c r="O512" s="221"/>
      <c r="Q512" s="221"/>
      <c r="R512" s="221"/>
      <c r="S512" s="222"/>
    </row>
    <row r="513" spans="2:19" x14ac:dyDescent="0.25">
      <c r="B513" s="14">
        <v>513</v>
      </c>
      <c r="K513" s="221"/>
      <c r="M513" s="221"/>
      <c r="N513" s="221"/>
      <c r="O513" s="221"/>
      <c r="Q513" s="221"/>
      <c r="R513" s="221"/>
      <c r="S513" s="222"/>
    </row>
    <row r="514" spans="2:19" x14ac:dyDescent="0.25">
      <c r="B514" s="14">
        <v>514</v>
      </c>
      <c r="K514" s="221"/>
      <c r="M514" s="221"/>
      <c r="N514" s="221"/>
      <c r="O514" s="221"/>
      <c r="Q514" s="221"/>
      <c r="R514" s="221"/>
      <c r="S514" s="222"/>
    </row>
    <row r="515" spans="2:19" x14ac:dyDescent="0.25">
      <c r="B515" s="14">
        <v>515</v>
      </c>
      <c r="K515" s="221"/>
      <c r="M515" s="221"/>
      <c r="N515" s="221"/>
      <c r="O515" s="221"/>
      <c r="Q515" s="221"/>
      <c r="R515" s="221"/>
      <c r="S515" s="222"/>
    </row>
    <row r="516" spans="2:19" x14ac:dyDescent="0.25">
      <c r="B516" s="14">
        <v>516</v>
      </c>
      <c r="K516" s="221"/>
      <c r="M516" s="221"/>
      <c r="N516" s="221"/>
      <c r="O516" s="221"/>
      <c r="Q516" s="221"/>
      <c r="R516" s="221"/>
      <c r="S516" s="222"/>
    </row>
    <row r="517" spans="2:19" x14ac:dyDescent="0.25">
      <c r="B517" s="14">
        <v>517</v>
      </c>
      <c r="K517" s="221"/>
      <c r="M517" s="221"/>
      <c r="N517" s="221"/>
      <c r="O517" s="221"/>
      <c r="Q517" s="221"/>
      <c r="R517" s="221"/>
      <c r="S517" s="222"/>
    </row>
    <row r="518" spans="2:19" x14ac:dyDescent="0.25">
      <c r="B518" s="14">
        <v>518</v>
      </c>
      <c r="K518" s="221"/>
      <c r="M518" s="221"/>
      <c r="N518" s="221"/>
      <c r="O518" s="221"/>
      <c r="Q518" s="221"/>
      <c r="R518" s="221"/>
      <c r="S518" s="222"/>
    </row>
    <row r="519" spans="2:19" x14ac:dyDescent="0.25">
      <c r="B519" s="14">
        <v>519</v>
      </c>
      <c r="K519" s="221"/>
      <c r="M519" s="221"/>
      <c r="N519" s="221"/>
      <c r="O519" s="221"/>
      <c r="Q519" s="221"/>
      <c r="R519" s="221"/>
      <c r="S519" s="222"/>
    </row>
    <row r="520" spans="2:19" x14ac:dyDescent="0.25">
      <c r="B520" s="14">
        <v>520</v>
      </c>
      <c r="K520" s="221"/>
      <c r="M520" s="221"/>
      <c r="N520" s="221"/>
      <c r="O520" s="221"/>
      <c r="Q520" s="221"/>
      <c r="R520" s="221"/>
      <c r="S520" s="222"/>
    </row>
    <row r="521" spans="2:19" x14ac:dyDescent="0.25">
      <c r="B521" s="14">
        <v>521</v>
      </c>
      <c r="K521" s="221"/>
      <c r="M521" s="221"/>
      <c r="N521" s="221"/>
      <c r="O521" s="221"/>
      <c r="Q521" s="221"/>
      <c r="R521" s="221"/>
      <c r="S521" s="222"/>
    </row>
    <row r="522" spans="2:19" x14ac:dyDescent="0.25">
      <c r="B522" s="14">
        <v>522</v>
      </c>
      <c r="K522" s="221"/>
      <c r="M522" s="221"/>
      <c r="N522" s="221"/>
      <c r="O522" s="221"/>
      <c r="Q522" s="221"/>
      <c r="R522" s="221"/>
      <c r="S522" s="222"/>
    </row>
    <row r="523" spans="2:19" x14ac:dyDescent="0.25">
      <c r="B523" s="14">
        <v>523</v>
      </c>
      <c r="K523" s="221"/>
      <c r="M523" s="221"/>
      <c r="N523" s="221"/>
      <c r="O523" s="221"/>
      <c r="Q523" s="221"/>
      <c r="R523" s="221"/>
      <c r="S523" s="222"/>
    </row>
    <row r="524" spans="2:19" x14ac:dyDescent="0.25">
      <c r="B524" s="14">
        <v>524</v>
      </c>
      <c r="K524" s="221"/>
      <c r="M524" s="221"/>
      <c r="N524" s="221"/>
      <c r="O524" s="221"/>
      <c r="Q524" s="221"/>
      <c r="R524" s="221"/>
      <c r="S524" s="222"/>
    </row>
    <row r="525" spans="2:19" x14ac:dyDescent="0.25">
      <c r="B525" s="14">
        <v>525</v>
      </c>
      <c r="K525" s="221"/>
      <c r="M525" s="221"/>
      <c r="N525" s="221"/>
      <c r="O525" s="221"/>
      <c r="Q525" s="221"/>
      <c r="R525" s="221"/>
      <c r="S525" s="222"/>
    </row>
    <row r="526" spans="2:19" x14ac:dyDescent="0.25">
      <c r="B526" s="14">
        <v>526</v>
      </c>
      <c r="K526" s="221"/>
      <c r="M526" s="221"/>
      <c r="N526" s="221"/>
      <c r="O526" s="221"/>
      <c r="Q526" s="221"/>
      <c r="R526" s="221"/>
      <c r="S526" s="222"/>
    </row>
    <row r="527" spans="2:19" x14ac:dyDescent="0.25">
      <c r="B527" s="14">
        <v>527</v>
      </c>
      <c r="K527" s="221"/>
      <c r="M527" s="221"/>
      <c r="N527" s="221"/>
      <c r="O527" s="221"/>
      <c r="Q527" s="221"/>
      <c r="R527" s="221"/>
      <c r="S527" s="222"/>
    </row>
    <row r="528" spans="2:19" x14ac:dyDescent="0.25">
      <c r="B528" s="14">
        <v>528</v>
      </c>
      <c r="K528" s="221"/>
      <c r="M528" s="221"/>
      <c r="N528" s="221"/>
      <c r="O528" s="221"/>
      <c r="Q528" s="221"/>
      <c r="R528" s="221"/>
      <c r="S528" s="222"/>
    </row>
    <row r="529" spans="2:19" x14ac:dyDescent="0.25">
      <c r="B529" s="14">
        <v>529</v>
      </c>
      <c r="K529" s="221"/>
      <c r="M529" s="221"/>
      <c r="N529" s="221"/>
      <c r="O529" s="221"/>
      <c r="Q529" s="221"/>
      <c r="R529" s="221"/>
      <c r="S529" s="222"/>
    </row>
    <row r="530" spans="2:19" x14ac:dyDescent="0.25">
      <c r="B530" s="14">
        <v>530</v>
      </c>
      <c r="K530" s="221"/>
      <c r="M530" s="221"/>
      <c r="N530" s="221"/>
      <c r="O530" s="221"/>
      <c r="Q530" s="221"/>
      <c r="R530" s="221"/>
      <c r="S530" s="222"/>
    </row>
    <row r="531" spans="2:19" x14ac:dyDescent="0.25">
      <c r="B531" s="14">
        <v>531</v>
      </c>
      <c r="K531" s="221"/>
      <c r="M531" s="221"/>
      <c r="N531" s="221"/>
      <c r="O531" s="221"/>
      <c r="Q531" s="221"/>
      <c r="R531" s="221"/>
      <c r="S531" s="222"/>
    </row>
    <row r="532" spans="2:19" x14ac:dyDescent="0.25">
      <c r="B532" s="14">
        <v>532</v>
      </c>
      <c r="K532" s="221"/>
      <c r="M532" s="221"/>
      <c r="N532" s="221"/>
      <c r="O532" s="221"/>
      <c r="Q532" s="221"/>
      <c r="R532" s="221"/>
      <c r="S532" s="222"/>
    </row>
    <row r="533" spans="2:19" x14ac:dyDescent="0.25">
      <c r="B533" s="14">
        <v>533</v>
      </c>
      <c r="K533" s="221"/>
      <c r="M533" s="221"/>
      <c r="N533" s="221"/>
      <c r="O533" s="221"/>
      <c r="Q533" s="221"/>
      <c r="R533" s="221"/>
      <c r="S533" s="222"/>
    </row>
    <row r="534" spans="2:19" x14ac:dyDescent="0.25">
      <c r="B534" s="14">
        <v>534</v>
      </c>
      <c r="K534" s="221"/>
      <c r="M534" s="221"/>
      <c r="N534" s="221"/>
      <c r="O534" s="221"/>
      <c r="Q534" s="221"/>
      <c r="R534" s="221"/>
      <c r="S534" s="222"/>
    </row>
    <row r="535" spans="2:19" x14ac:dyDescent="0.25">
      <c r="B535" s="14">
        <v>535</v>
      </c>
      <c r="K535" s="221"/>
      <c r="M535" s="221"/>
      <c r="N535" s="221"/>
      <c r="O535" s="221"/>
      <c r="Q535" s="221"/>
      <c r="R535" s="221"/>
      <c r="S535" s="222"/>
    </row>
    <row r="536" spans="2:19" x14ac:dyDescent="0.25">
      <c r="B536" s="14">
        <v>536</v>
      </c>
      <c r="K536" s="221"/>
      <c r="M536" s="221"/>
      <c r="N536" s="221"/>
      <c r="O536" s="221"/>
      <c r="Q536" s="221"/>
      <c r="R536" s="221"/>
      <c r="S536" s="222"/>
    </row>
    <row r="537" spans="2:19" x14ac:dyDescent="0.25">
      <c r="B537" s="14">
        <v>537</v>
      </c>
      <c r="K537" s="221"/>
      <c r="M537" s="221"/>
      <c r="N537" s="221"/>
      <c r="O537" s="221"/>
      <c r="Q537" s="221"/>
      <c r="R537" s="221"/>
      <c r="S537" s="222"/>
    </row>
    <row r="538" spans="2:19" x14ac:dyDescent="0.25">
      <c r="B538" s="14">
        <v>538</v>
      </c>
      <c r="K538" s="221"/>
      <c r="M538" s="221"/>
      <c r="N538" s="221"/>
      <c r="O538" s="221"/>
      <c r="Q538" s="221"/>
      <c r="R538" s="221"/>
      <c r="S538" s="222"/>
    </row>
    <row r="539" spans="2:19" x14ac:dyDescent="0.25">
      <c r="B539" s="14">
        <v>539</v>
      </c>
      <c r="K539" s="221"/>
      <c r="M539" s="221"/>
      <c r="N539" s="221"/>
      <c r="O539" s="221"/>
      <c r="Q539" s="221"/>
      <c r="R539" s="221"/>
      <c r="S539" s="222"/>
    </row>
    <row r="540" spans="2:19" x14ac:dyDescent="0.25">
      <c r="B540" s="14">
        <v>540</v>
      </c>
      <c r="K540" s="221"/>
      <c r="M540" s="221"/>
      <c r="N540" s="221"/>
      <c r="O540" s="221"/>
      <c r="Q540" s="221"/>
      <c r="R540" s="221"/>
      <c r="S540" s="222"/>
    </row>
    <row r="541" spans="2:19" x14ac:dyDescent="0.25">
      <c r="B541" s="14">
        <v>541</v>
      </c>
      <c r="K541" s="221"/>
      <c r="M541" s="221"/>
      <c r="N541" s="221"/>
      <c r="O541" s="221"/>
      <c r="Q541" s="221"/>
      <c r="R541" s="221"/>
      <c r="S541" s="222"/>
    </row>
    <row r="542" spans="2:19" x14ac:dyDescent="0.25">
      <c r="B542" s="14">
        <v>542</v>
      </c>
      <c r="K542" s="221"/>
      <c r="M542" s="221"/>
      <c r="N542" s="221"/>
      <c r="O542" s="221"/>
      <c r="Q542" s="221"/>
      <c r="R542" s="221"/>
      <c r="S542" s="222"/>
    </row>
    <row r="543" spans="2:19" x14ac:dyDescent="0.25">
      <c r="B543" s="14">
        <v>543</v>
      </c>
      <c r="K543" s="221"/>
      <c r="M543" s="221"/>
      <c r="N543" s="221"/>
      <c r="O543" s="221"/>
      <c r="Q543" s="221"/>
      <c r="R543" s="221"/>
      <c r="S543" s="222"/>
    </row>
    <row r="544" spans="2:19" x14ac:dyDescent="0.25">
      <c r="B544" s="14">
        <v>544</v>
      </c>
      <c r="K544" s="221"/>
      <c r="M544" s="221"/>
      <c r="N544" s="221"/>
      <c r="O544" s="221"/>
      <c r="Q544" s="221"/>
      <c r="R544" s="221"/>
      <c r="S544" s="222"/>
    </row>
    <row r="545" spans="2:19" x14ac:dyDescent="0.25">
      <c r="B545" s="14">
        <v>545</v>
      </c>
      <c r="K545" s="221"/>
      <c r="M545" s="221"/>
      <c r="N545" s="221"/>
      <c r="O545" s="221"/>
      <c r="Q545" s="221"/>
      <c r="R545" s="221"/>
      <c r="S545" s="222"/>
    </row>
    <row r="546" spans="2:19" x14ac:dyDescent="0.25">
      <c r="B546" s="14">
        <v>546</v>
      </c>
      <c r="K546" s="221"/>
      <c r="M546" s="221"/>
      <c r="N546" s="221"/>
      <c r="O546" s="221"/>
      <c r="Q546" s="221"/>
      <c r="R546" s="221"/>
      <c r="S546" s="222"/>
    </row>
    <row r="547" spans="2:19" x14ac:dyDescent="0.25">
      <c r="B547" s="14">
        <v>547</v>
      </c>
      <c r="K547" s="221"/>
      <c r="M547" s="221"/>
      <c r="N547" s="221"/>
      <c r="O547" s="221"/>
      <c r="Q547" s="221"/>
      <c r="R547" s="221"/>
      <c r="S547" s="222"/>
    </row>
    <row r="548" spans="2:19" x14ac:dyDescent="0.25">
      <c r="B548" s="14">
        <v>548</v>
      </c>
      <c r="K548" s="221"/>
      <c r="M548" s="221"/>
      <c r="N548" s="221"/>
      <c r="O548" s="221"/>
      <c r="Q548" s="221"/>
      <c r="R548" s="221"/>
      <c r="S548" s="222"/>
    </row>
    <row r="549" spans="2:19" x14ac:dyDescent="0.25">
      <c r="B549" s="14">
        <v>549</v>
      </c>
      <c r="K549" s="221"/>
      <c r="M549" s="221"/>
      <c r="N549" s="221"/>
      <c r="O549" s="221"/>
      <c r="Q549" s="221"/>
      <c r="R549" s="221"/>
      <c r="S549" s="222"/>
    </row>
    <row r="550" spans="2:19" x14ac:dyDescent="0.25">
      <c r="B550" s="14">
        <v>550</v>
      </c>
      <c r="K550" s="221"/>
      <c r="M550" s="221"/>
      <c r="N550" s="221"/>
      <c r="O550" s="221"/>
      <c r="Q550" s="221"/>
      <c r="R550" s="221"/>
      <c r="S550" s="222"/>
    </row>
    <row r="551" spans="2:19" x14ac:dyDescent="0.25">
      <c r="B551" s="14">
        <v>551</v>
      </c>
      <c r="K551" s="221"/>
      <c r="M551" s="221"/>
      <c r="N551" s="221"/>
      <c r="O551" s="221"/>
      <c r="Q551" s="221"/>
      <c r="R551" s="221"/>
      <c r="S551" s="222"/>
    </row>
    <row r="552" spans="2:19" x14ac:dyDescent="0.25">
      <c r="B552" s="14">
        <v>552</v>
      </c>
      <c r="K552" s="221"/>
      <c r="M552" s="221"/>
      <c r="N552" s="221"/>
      <c r="O552" s="221"/>
      <c r="Q552" s="221"/>
      <c r="R552" s="221"/>
      <c r="S552" s="222"/>
    </row>
    <row r="553" spans="2:19" x14ac:dyDescent="0.25">
      <c r="B553" s="14">
        <v>553</v>
      </c>
      <c r="K553" s="221"/>
      <c r="M553" s="221"/>
      <c r="N553" s="221"/>
      <c r="O553" s="221"/>
      <c r="Q553" s="221"/>
      <c r="R553" s="221"/>
      <c r="S553" s="222"/>
    </row>
    <row r="554" spans="2:19" x14ac:dyDescent="0.25">
      <c r="B554" s="14">
        <v>554</v>
      </c>
      <c r="K554" s="221"/>
      <c r="M554" s="221"/>
      <c r="N554" s="221"/>
      <c r="O554" s="221"/>
      <c r="Q554" s="221"/>
      <c r="R554" s="221"/>
      <c r="S554" s="222"/>
    </row>
    <row r="555" spans="2:19" x14ac:dyDescent="0.25">
      <c r="B555" s="14">
        <v>555</v>
      </c>
      <c r="K555" s="221"/>
      <c r="M555" s="221"/>
      <c r="N555" s="221"/>
      <c r="O555" s="221"/>
      <c r="Q555" s="221"/>
      <c r="R555" s="221"/>
      <c r="S555" s="222"/>
    </row>
    <row r="556" spans="2:19" x14ac:dyDescent="0.25">
      <c r="B556" s="14">
        <v>556</v>
      </c>
      <c r="K556" s="221"/>
      <c r="M556" s="221"/>
      <c r="N556" s="221"/>
      <c r="O556" s="221"/>
      <c r="Q556" s="221"/>
      <c r="R556" s="221"/>
      <c r="S556" s="222"/>
    </row>
    <row r="557" spans="2:19" x14ac:dyDescent="0.25">
      <c r="B557" s="14">
        <v>557</v>
      </c>
      <c r="K557" s="221"/>
      <c r="M557" s="221"/>
      <c r="N557" s="221"/>
      <c r="O557" s="221"/>
      <c r="Q557" s="221"/>
      <c r="R557" s="221"/>
      <c r="S557" s="222"/>
    </row>
    <row r="558" spans="2:19" x14ac:dyDescent="0.25">
      <c r="B558" s="14">
        <v>558</v>
      </c>
      <c r="K558" s="221"/>
      <c r="M558" s="221"/>
      <c r="N558" s="221"/>
      <c r="O558" s="221"/>
      <c r="Q558" s="221"/>
      <c r="R558" s="221"/>
      <c r="S558" s="222"/>
    </row>
    <row r="559" spans="2:19" x14ac:dyDescent="0.25">
      <c r="B559" s="14">
        <v>559</v>
      </c>
      <c r="K559" s="221"/>
      <c r="M559" s="221"/>
      <c r="N559" s="221"/>
      <c r="O559" s="221"/>
      <c r="Q559" s="221"/>
      <c r="R559" s="221"/>
      <c r="S559" s="222"/>
    </row>
    <row r="560" spans="2:19" x14ac:dyDescent="0.25">
      <c r="B560" s="14">
        <v>560</v>
      </c>
      <c r="K560" s="221"/>
      <c r="M560" s="221"/>
      <c r="N560" s="221"/>
      <c r="O560" s="221"/>
      <c r="Q560" s="221"/>
      <c r="R560" s="221"/>
      <c r="S560" s="222"/>
    </row>
    <row r="561" spans="2:19" x14ac:dyDescent="0.25">
      <c r="B561" s="14">
        <v>561</v>
      </c>
      <c r="K561" s="221"/>
      <c r="M561" s="221"/>
      <c r="N561" s="221"/>
      <c r="O561" s="221"/>
      <c r="Q561" s="221"/>
      <c r="R561" s="221"/>
      <c r="S561" s="222"/>
    </row>
    <row r="562" spans="2:19" x14ac:dyDescent="0.25">
      <c r="B562" s="14">
        <v>562</v>
      </c>
      <c r="K562" s="221"/>
      <c r="M562" s="221"/>
      <c r="N562" s="221"/>
      <c r="O562" s="221"/>
      <c r="Q562" s="221"/>
      <c r="R562" s="221"/>
      <c r="S562" s="222"/>
    </row>
    <row r="563" spans="2:19" x14ac:dyDescent="0.25">
      <c r="B563" s="14">
        <v>563</v>
      </c>
      <c r="K563" s="221"/>
      <c r="M563" s="221"/>
      <c r="N563" s="221"/>
      <c r="O563" s="221"/>
      <c r="Q563" s="221"/>
      <c r="R563" s="221"/>
      <c r="S563" s="222"/>
    </row>
    <row r="564" spans="2:19" x14ac:dyDescent="0.25">
      <c r="B564" s="14">
        <v>564</v>
      </c>
      <c r="K564" s="221"/>
      <c r="M564" s="221"/>
      <c r="N564" s="221"/>
      <c r="O564" s="221"/>
      <c r="Q564" s="221"/>
      <c r="R564" s="221"/>
      <c r="S564" s="222"/>
    </row>
    <row r="565" spans="2:19" x14ac:dyDescent="0.25">
      <c r="B565" s="14">
        <v>565</v>
      </c>
      <c r="K565" s="221"/>
      <c r="M565" s="221"/>
      <c r="N565" s="221"/>
      <c r="O565" s="221"/>
      <c r="Q565" s="221"/>
      <c r="R565" s="221"/>
      <c r="S565" s="222"/>
    </row>
    <row r="566" spans="2:19" x14ac:dyDescent="0.25">
      <c r="B566" s="14">
        <v>566</v>
      </c>
      <c r="K566" s="221"/>
      <c r="M566" s="221"/>
      <c r="N566" s="221"/>
      <c r="O566" s="221"/>
      <c r="Q566" s="221"/>
      <c r="R566" s="221"/>
      <c r="S566" s="222"/>
    </row>
    <row r="567" spans="2:19" x14ac:dyDescent="0.25">
      <c r="B567" s="14">
        <v>567</v>
      </c>
      <c r="K567" s="221"/>
      <c r="M567" s="221"/>
      <c r="N567" s="221"/>
      <c r="O567" s="221"/>
      <c r="Q567" s="221"/>
      <c r="R567" s="221"/>
      <c r="S567" s="222"/>
    </row>
    <row r="568" spans="2:19" x14ac:dyDescent="0.25">
      <c r="B568" s="14">
        <v>568</v>
      </c>
      <c r="K568" s="221"/>
      <c r="M568" s="221"/>
      <c r="N568" s="221"/>
      <c r="O568" s="221"/>
      <c r="Q568" s="221"/>
      <c r="R568" s="221"/>
      <c r="S568" s="222"/>
    </row>
    <row r="569" spans="2:19" x14ac:dyDescent="0.25">
      <c r="B569" s="14">
        <v>569</v>
      </c>
      <c r="K569" s="221"/>
      <c r="M569" s="221"/>
      <c r="N569" s="221"/>
      <c r="O569" s="221"/>
      <c r="Q569" s="221"/>
      <c r="R569" s="221"/>
      <c r="S569" s="222"/>
    </row>
    <row r="570" spans="2:19" x14ac:dyDescent="0.25">
      <c r="B570" s="14">
        <v>570</v>
      </c>
      <c r="K570" s="221"/>
      <c r="M570" s="221"/>
      <c r="N570" s="221"/>
      <c r="O570" s="221"/>
      <c r="Q570" s="221"/>
      <c r="R570" s="221"/>
      <c r="S570" s="222"/>
    </row>
    <row r="571" spans="2:19" x14ac:dyDescent="0.25">
      <c r="B571" s="14">
        <v>571</v>
      </c>
      <c r="K571" s="221"/>
      <c r="M571" s="221"/>
      <c r="N571" s="221"/>
      <c r="O571" s="221"/>
      <c r="Q571" s="221"/>
      <c r="R571" s="221"/>
      <c r="S571" s="222"/>
    </row>
    <row r="572" spans="2:19" x14ac:dyDescent="0.25">
      <c r="B572" s="14">
        <v>572</v>
      </c>
      <c r="K572" s="221"/>
      <c r="M572" s="221"/>
      <c r="N572" s="221"/>
      <c r="O572" s="221"/>
      <c r="Q572" s="221"/>
      <c r="R572" s="221"/>
      <c r="S572" s="222"/>
    </row>
    <row r="573" spans="2:19" x14ac:dyDescent="0.25">
      <c r="B573" s="14">
        <v>573</v>
      </c>
      <c r="K573" s="221"/>
      <c r="M573" s="221"/>
      <c r="N573" s="221"/>
      <c r="O573" s="221"/>
      <c r="Q573" s="221"/>
      <c r="R573" s="221"/>
      <c r="S573" s="222"/>
    </row>
    <row r="574" spans="2:19" x14ac:dyDescent="0.25">
      <c r="B574" s="14">
        <v>574</v>
      </c>
      <c r="K574" s="221"/>
      <c r="M574" s="221"/>
      <c r="N574" s="221"/>
      <c r="O574" s="221"/>
      <c r="Q574" s="221"/>
      <c r="R574" s="221"/>
      <c r="S574" s="222"/>
    </row>
    <row r="575" spans="2:19" x14ac:dyDescent="0.25">
      <c r="B575" s="14">
        <v>575</v>
      </c>
      <c r="K575" s="221"/>
      <c r="M575" s="221"/>
      <c r="N575" s="221"/>
      <c r="O575" s="221"/>
      <c r="Q575" s="221"/>
      <c r="R575" s="221"/>
      <c r="S575" s="222"/>
    </row>
    <row r="576" spans="2:19" x14ac:dyDescent="0.25">
      <c r="B576" s="14">
        <v>576</v>
      </c>
      <c r="K576" s="221"/>
      <c r="M576" s="221"/>
      <c r="N576" s="221"/>
      <c r="O576" s="221"/>
      <c r="Q576" s="221"/>
      <c r="R576" s="221"/>
      <c r="S576" s="222"/>
    </row>
    <row r="577" spans="2:19" x14ac:dyDescent="0.25">
      <c r="B577" s="14">
        <v>577</v>
      </c>
      <c r="K577" s="221"/>
      <c r="M577" s="221"/>
      <c r="N577" s="221"/>
      <c r="O577" s="221"/>
      <c r="Q577" s="221"/>
      <c r="R577" s="221"/>
      <c r="S577" s="222"/>
    </row>
    <row r="578" spans="2:19" x14ac:dyDescent="0.25">
      <c r="B578" s="14">
        <v>578</v>
      </c>
      <c r="K578" s="221"/>
      <c r="M578" s="221"/>
      <c r="N578" s="221"/>
      <c r="O578" s="221"/>
      <c r="Q578" s="221"/>
      <c r="R578" s="221"/>
      <c r="S578" s="222"/>
    </row>
    <row r="579" spans="2:19" x14ac:dyDescent="0.25">
      <c r="B579" s="14">
        <v>579</v>
      </c>
      <c r="K579" s="221"/>
      <c r="M579" s="221"/>
      <c r="N579" s="221"/>
      <c r="O579" s="221"/>
      <c r="Q579" s="221"/>
      <c r="R579" s="221"/>
      <c r="S579" s="222"/>
    </row>
    <row r="580" spans="2:19" x14ac:dyDescent="0.25">
      <c r="B580" s="14">
        <v>580</v>
      </c>
      <c r="K580" s="221"/>
      <c r="M580" s="221"/>
      <c r="N580" s="221"/>
      <c r="O580" s="221"/>
      <c r="Q580" s="221"/>
      <c r="R580" s="221"/>
      <c r="S580" s="222"/>
    </row>
    <row r="581" spans="2:19" x14ac:dyDescent="0.25">
      <c r="B581" s="14">
        <v>581</v>
      </c>
      <c r="K581" s="221"/>
      <c r="M581" s="221"/>
      <c r="N581" s="221"/>
      <c r="O581" s="221"/>
      <c r="Q581" s="221"/>
      <c r="R581" s="221"/>
      <c r="S581" s="222"/>
    </row>
    <row r="582" spans="2:19" x14ac:dyDescent="0.25">
      <c r="B582" s="14">
        <v>582</v>
      </c>
      <c r="K582" s="221"/>
      <c r="M582" s="221"/>
      <c r="N582" s="221"/>
      <c r="O582" s="221"/>
      <c r="Q582" s="221"/>
      <c r="R582" s="221"/>
      <c r="S582" s="222"/>
    </row>
    <row r="583" spans="2:19" x14ac:dyDescent="0.25">
      <c r="B583" s="14">
        <v>583</v>
      </c>
      <c r="K583" s="221"/>
      <c r="M583" s="221"/>
      <c r="N583" s="221"/>
      <c r="O583" s="221"/>
      <c r="Q583" s="221"/>
      <c r="R583" s="221"/>
      <c r="S583" s="222"/>
    </row>
    <row r="584" spans="2:19" x14ac:dyDescent="0.25">
      <c r="B584" s="14">
        <v>584</v>
      </c>
      <c r="K584" s="221"/>
      <c r="M584" s="221"/>
      <c r="N584" s="221"/>
      <c r="O584" s="221"/>
      <c r="Q584" s="221"/>
      <c r="R584" s="221"/>
      <c r="S584" s="222"/>
    </row>
    <row r="585" spans="2:19" x14ac:dyDescent="0.25">
      <c r="B585" s="14">
        <v>585</v>
      </c>
      <c r="K585" s="221"/>
      <c r="M585" s="221"/>
      <c r="N585" s="221"/>
      <c r="O585" s="221"/>
      <c r="Q585" s="221"/>
      <c r="R585" s="221"/>
      <c r="S585" s="222"/>
    </row>
    <row r="586" spans="2:19" x14ac:dyDescent="0.25">
      <c r="B586" s="14">
        <v>586</v>
      </c>
      <c r="K586" s="221"/>
      <c r="M586" s="221"/>
      <c r="N586" s="221"/>
      <c r="O586" s="221"/>
      <c r="Q586" s="221"/>
      <c r="R586" s="221"/>
      <c r="S586" s="222"/>
    </row>
    <row r="587" spans="2:19" x14ac:dyDescent="0.25">
      <c r="B587" s="14">
        <v>587</v>
      </c>
      <c r="K587" s="221"/>
      <c r="M587" s="221"/>
      <c r="N587" s="221"/>
      <c r="O587" s="221"/>
      <c r="Q587" s="221"/>
      <c r="R587" s="221"/>
      <c r="S587" s="222"/>
    </row>
    <row r="588" spans="2:19" x14ac:dyDescent="0.25">
      <c r="B588" s="14">
        <v>588</v>
      </c>
      <c r="K588" s="221"/>
      <c r="M588" s="221"/>
      <c r="N588" s="221"/>
      <c r="O588" s="221"/>
      <c r="Q588" s="221"/>
      <c r="R588" s="221"/>
      <c r="S588" s="222"/>
    </row>
    <row r="589" spans="2:19" x14ac:dyDescent="0.25">
      <c r="B589" s="14">
        <v>589</v>
      </c>
      <c r="K589" s="221"/>
      <c r="M589" s="221"/>
      <c r="N589" s="221"/>
      <c r="O589" s="221"/>
      <c r="Q589" s="221"/>
      <c r="R589" s="221"/>
      <c r="S589" s="222"/>
    </row>
    <row r="590" spans="2:19" x14ac:dyDescent="0.25">
      <c r="B590" s="14">
        <v>590</v>
      </c>
      <c r="K590" s="221"/>
      <c r="M590" s="221"/>
      <c r="N590" s="221"/>
      <c r="O590" s="221"/>
      <c r="Q590" s="221"/>
      <c r="R590" s="221"/>
      <c r="S590" s="222"/>
    </row>
    <row r="591" spans="2:19" x14ac:dyDescent="0.25">
      <c r="B591" s="14">
        <v>591</v>
      </c>
      <c r="K591" s="221"/>
      <c r="M591" s="221"/>
      <c r="N591" s="221"/>
      <c r="O591" s="221"/>
      <c r="Q591" s="221"/>
      <c r="R591" s="221"/>
      <c r="S591" s="222"/>
    </row>
    <row r="592" spans="2:19" x14ac:dyDescent="0.25">
      <c r="B592" s="14">
        <v>592</v>
      </c>
      <c r="K592" s="221"/>
      <c r="M592" s="221"/>
      <c r="N592" s="221"/>
      <c r="O592" s="221"/>
      <c r="Q592" s="221"/>
      <c r="R592" s="221"/>
      <c r="S592" s="222"/>
    </row>
    <row r="593" spans="2:19" x14ac:dyDescent="0.25">
      <c r="B593" s="14">
        <v>593</v>
      </c>
      <c r="K593" s="221"/>
      <c r="M593" s="221"/>
      <c r="N593" s="221"/>
      <c r="O593" s="221"/>
      <c r="Q593" s="221"/>
      <c r="R593" s="221"/>
      <c r="S593" s="222"/>
    </row>
    <row r="594" spans="2:19" x14ac:dyDescent="0.25">
      <c r="B594" s="14">
        <v>594</v>
      </c>
      <c r="K594" s="221"/>
      <c r="M594" s="221"/>
      <c r="N594" s="221"/>
      <c r="O594" s="221"/>
      <c r="Q594" s="221"/>
      <c r="R594" s="221"/>
      <c r="S594" s="222"/>
    </row>
    <row r="595" spans="2:19" x14ac:dyDescent="0.25">
      <c r="B595" s="14">
        <v>595</v>
      </c>
      <c r="K595" s="221"/>
      <c r="M595" s="221"/>
      <c r="N595" s="221"/>
      <c r="O595" s="221"/>
      <c r="Q595" s="221"/>
      <c r="R595" s="221"/>
      <c r="S595" s="222"/>
    </row>
    <row r="596" spans="2:19" x14ac:dyDescent="0.25">
      <c r="B596" s="14">
        <v>596</v>
      </c>
      <c r="K596" s="221"/>
      <c r="M596" s="221"/>
      <c r="N596" s="221"/>
      <c r="O596" s="221"/>
      <c r="Q596" s="221"/>
      <c r="R596" s="221"/>
      <c r="S596" s="222"/>
    </row>
    <row r="597" spans="2:19" x14ac:dyDescent="0.25">
      <c r="B597" s="14">
        <v>597</v>
      </c>
      <c r="K597" s="221"/>
      <c r="M597" s="221"/>
      <c r="N597" s="221"/>
      <c r="O597" s="221"/>
      <c r="Q597" s="221"/>
      <c r="R597" s="221"/>
      <c r="S597" s="222"/>
    </row>
    <row r="598" spans="2:19" x14ac:dyDescent="0.25">
      <c r="B598" s="14">
        <v>598</v>
      </c>
      <c r="K598" s="221"/>
      <c r="M598" s="221"/>
      <c r="N598" s="221"/>
      <c r="O598" s="221"/>
      <c r="Q598" s="221"/>
      <c r="R598" s="221"/>
      <c r="S598" s="222"/>
    </row>
    <row r="599" spans="2:19" x14ac:dyDescent="0.25">
      <c r="B599" s="14">
        <v>599</v>
      </c>
      <c r="K599" s="221"/>
      <c r="M599" s="221"/>
      <c r="N599" s="221"/>
      <c r="O599" s="221"/>
      <c r="Q599" s="221"/>
      <c r="R599" s="221"/>
      <c r="S599" s="222"/>
    </row>
    <row r="600" spans="2:19" x14ac:dyDescent="0.25">
      <c r="B600" s="14">
        <v>600</v>
      </c>
      <c r="K600" s="221"/>
      <c r="M600" s="221"/>
      <c r="N600" s="221"/>
      <c r="O600" s="221"/>
      <c r="Q600" s="221"/>
      <c r="R600" s="221"/>
      <c r="S600" s="222"/>
    </row>
    <row r="601" spans="2:19" x14ac:dyDescent="0.25">
      <c r="B601" s="14">
        <v>601</v>
      </c>
      <c r="K601" s="221"/>
      <c r="M601" s="221"/>
      <c r="N601" s="221"/>
      <c r="O601" s="221"/>
      <c r="Q601" s="221"/>
      <c r="R601" s="221"/>
      <c r="S601" s="222"/>
    </row>
    <row r="602" spans="2:19" x14ac:dyDescent="0.25">
      <c r="B602" s="14">
        <v>602</v>
      </c>
      <c r="K602" s="221"/>
      <c r="M602" s="221"/>
      <c r="N602" s="221"/>
      <c r="O602" s="221"/>
      <c r="Q602" s="221"/>
      <c r="R602" s="221"/>
      <c r="S602" s="222"/>
    </row>
    <row r="603" spans="2:19" x14ac:dyDescent="0.25">
      <c r="B603" s="14">
        <v>603</v>
      </c>
      <c r="K603" s="221"/>
      <c r="M603" s="221"/>
      <c r="N603" s="221"/>
      <c r="O603" s="221"/>
      <c r="Q603" s="221"/>
      <c r="R603" s="221"/>
      <c r="S603" s="222"/>
    </row>
    <row r="604" spans="2:19" x14ac:dyDescent="0.25">
      <c r="B604" s="14">
        <v>604</v>
      </c>
      <c r="K604" s="221"/>
      <c r="M604" s="221"/>
      <c r="N604" s="221"/>
      <c r="O604" s="221"/>
      <c r="Q604" s="221"/>
      <c r="R604" s="221"/>
      <c r="S604" s="222"/>
    </row>
    <row r="605" spans="2:19" x14ac:dyDescent="0.25">
      <c r="B605" s="14">
        <v>605</v>
      </c>
      <c r="K605" s="221"/>
      <c r="M605" s="221"/>
      <c r="N605" s="221"/>
      <c r="O605" s="221"/>
      <c r="Q605" s="221"/>
      <c r="R605" s="221"/>
      <c r="S605" s="222"/>
    </row>
    <row r="606" spans="2:19" x14ac:dyDescent="0.25">
      <c r="B606" s="14">
        <v>606</v>
      </c>
      <c r="K606" s="221"/>
      <c r="M606" s="221"/>
      <c r="N606" s="221"/>
      <c r="O606" s="221"/>
      <c r="Q606" s="221"/>
      <c r="R606" s="221"/>
      <c r="S606" s="222"/>
    </row>
    <row r="607" spans="2:19" x14ac:dyDescent="0.25">
      <c r="B607" s="14">
        <v>607</v>
      </c>
      <c r="K607" s="221"/>
      <c r="M607" s="221"/>
      <c r="N607" s="221"/>
      <c r="O607" s="221"/>
      <c r="Q607" s="221"/>
      <c r="R607" s="221"/>
      <c r="S607" s="222"/>
    </row>
    <row r="608" spans="2:19" x14ac:dyDescent="0.25">
      <c r="B608" s="14">
        <v>608</v>
      </c>
      <c r="K608" s="221"/>
      <c r="M608" s="221"/>
      <c r="N608" s="221"/>
      <c r="O608" s="221"/>
      <c r="Q608" s="221"/>
      <c r="R608" s="221"/>
      <c r="S608" s="222"/>
    </row>
    <row r="609" spans="2:19" x14ac:dyDescent="0.25">
      <c r="B609" s="14">
        <v>609</v>
      </c>
      <c r="K609" s="221"/>
      <c r="M609" s="221"/>
      <c r="N609" s="221"/>
      <c r="O609" s="221"/>
      <c r="Q609" s="221"/>
      <c r="R609" s="221"/>
      <c r="S609" s="222"/>
    </row>
    <row r="610" spans="2:19" x14ac:dyDescent="0.25">
      <c r="B610" s="14">
        <v>610</v>
      </c>
      <c r="K610" s="221"/>
      <c r="M610" s="221"/>
      <c r="N610" s="221"/>
      <c r="O610" s="221"/>
      <c r="Q610" s="221"/>
      <c r="R610" s="221"/>
      <c r="S610" s="222"/>
    </row>
    <row r="611" spans="2:19" x14ac:dyDescent="0.25">
      <c r="B611" s="14">
        <v>611</v>
      </c>
      <c r="K611" s="221"/>
      <c r="M611" s="221"/>
      <c r="N611" s="221"/>
      <c r="O611" s="221"/>
      <c r="Q611" s="221"/>
      <c r="R611" s="221"/>
      <c r="S611" s="222"/>
    </row>
    <row r="612" spans="2:19" x14ac:dyDescent="0.25">
      <c r="B612" s="14">
        <v>612</v>
      </c>
      <c r="K612" s="221"/>
      <c r="M612" s="221"/>
      <c r="N612" s="221"/>
      <c r="O612" s="221"/>
      <c r="Q612" s="221"/>
      <c r="R612" s="221"/>
      <c r="S612" s="222"/>
    </row>
    <row r="613" spans="2:19" x14ac:dyDescent="0.25">
      <c r="B613" s="14">
        <v>613</v>
      </c>
      <c r="K613" s="221"/>
      <c r="M613" s="221"/>
      <c r="N613" s="221"/>
      <c r="O613" s="221"/>
      <c r="Q613" s="221"/>
      <c r="R613" s="221"/>
      <c r="S613" s="222"/>
    </row>
    <row r="614" spans="2:19" x14ac:dyDescent="0.25">
      <c r="B614" s="14">
        <v>614</v>
      </c>
      <c r="K614" s="221"/>
      <c r="M614" s="221"/>
      <c r="N614" s="221"/>
      <c r="O614" s="221"/>
      <c r="Q614" s="221"/>
      <c r="R614" s="221"/>
      <c r="S614" s="222"/>
    </row>
    <row r="615" spans="2:19" x14ac:dyDescent="0.25">
      <c r="B615" s="14">
        <v>615</v>
      </c>
      <c r="K615" s="221"/>
      <c r="M615" s="221"/>
      <c r="N615" s="221"/>
      <c r="O615" s="221"/>
      <c r="Q615" s="221"/>
      <c r="R615" s="221"/>
      <c r="S615" s="222"/>
    </row>
    <row r="616" spans="2:19" x14ac:dyDescent="0.25">
      <c r="B616" s="14">
        <v>616</v>
      </c>
      <c r="K616" s="221"/>
      <c r="M616" s="221"/>
      <c r="N616" s="221"/>
      <c r="O616" s="221"/>
      <c r="Q616" s="221"/>
      <c r="R616" s="221"/>
      <c r="S616" s="222"/>
    </row>
    <row r="617" spans="2:19" x14ac:dyDescent="0.25">
      <c r="B617" s="14">
        <v>617</v>
      </c>
      <c r="K617" s="221"/>
      <c r="M617" s="221"/>
      <c r="N617" s="221"/>
      <c r="O617" s="221"/>
      <c r="Q617" s="221"/>
      <c r="R617" s="221"/>
      <c r="S617" s="222"/>
    </row>
    <row r="618" spans="2:19" x14ac:dyDescent="0.25">
      <c r="B618" s="14">
        <v>618</v>
      </c>
      <c r="K618" s="221"/>
      <c r="M618" s="221"/>
      <c r="N618" s="221"/>
      <c r="O618" s="221"/>
      <c r="Q618" s="221"/>
      <c r="R618" s="221"/>
      <c r="S618" s="222"/>
    </row>
    <row r="619" spans="2:19" x14ac:dyDescent="0.25">
      <c r="B619" s="14">
        <v>619</v>
      </c>
      <c r="K619" s="221"/>
      <c r="M619" s="221"/>
      <c r="N619" s="221"/>
      <c r="O619" s="221"/>
      <c r="Q619" s="221"/>
      <c r="R619" s="221"/>
      <c r="S619" s="222"/>
    </row>
    <row r="620" spans="2:19" x14ac:dyDescent="0.25">
      <c r="B620" s="14">
        <v>620</v>
      </c>
      <c r="K620" s="221"/>
      <c r="M620" s="221"/>
      <c r="N620" s="221"/>
      <c r="O620" s="221"/>
      <c r="Q620" s="221"/>
      <c r="R620" s="221"/>
      <c r="S620" s="222"/>
    </row>
    <row r="621" spans="2:19" x14ac:dyDescent="0.25">
      <c r="B621" s="14">
        <v>621</v>
      </c>
      <c r="K621" s="221"/>
      <c r="M621" s="221"/>
      <c r="N621" s="221"/>
      <c r="O621" s="221"/>
      <c r="Q621" s="221"/>
      <c r="R621" s="221"/>
      <c r="S621" s="222"/>
    </row>
    <row r="622" spans="2:19" x14ac:dyDescent="0.25">
      <c r="B622" s="14">
        <v>622</v>
      </c>
      <c r="K622" s="221"/>
      <c r="M622" s="221"/>
      <c r="N622" s="221"/>
      <c r="O622" s="221"/>
      <c r="Q622" s="221"/>
      <c r="R622" s="221"/>
      <c r="S622" s="222"/>
    </row>
    <row r="623" spans="2:19" x14ac:dyDescent="0.25">
      <c r="B623" s="14">
        <v>623</v>
      </c>
      <c r="K623" s="221"/>
      <c r="M623" s="221"/>
      <c r="N623" s="221"/>
      <c r="O623" s="221"/>
      <c r="Q623" s="221"/>
      <c r="R623" s="221"/>
      <c r="S623" s="222"/>
    </row>
    <row r="624" spans="2:19" x14ac:dyDescent="0.25">
      <c r="B624" s="14">
        <v>624</v>
      </c>
      <c r="K624" s="221"/>
      <c r="M624" s="221"/>
      <c r="N624" s="221"/>
      <c r="O624" s="221"/>
      <c r="Q624" s="221"/>
      <c r="R624" s="221"/>
      <c r="S624" s="222"/>
    </row>
    <row r="625" spans="2:19" x14ac:dyDescent="0.25">
      <c r="B625" s="14">
        <v>625</v>
      </c>
      <c r="K625" s="221"/>
      <c r="M625" s="221"/>
      <c r="N625" s="221"/>
      <c r="O625" s="221"/>
      <c r="Q625" s="221"/>
      <c r="R625" s="221"/>
      <c r="S625" s="222"/>
    </row>
    <row r="626" spans="2:19" x14ac:dyDescent="0.25">
      <c r="B626" s="14">
        <v>626</v>
      </c>
      <c r="K626" s="221"/>
      <c r="M626" s="221"/>
      <c r="N626" s="221"/>
      <c r="O626" s="221"/>
      <c r="Q626" s="221"/>
      <c r="R626" s="221"/>
      <c r="S626" s="222"/>
    </row>
    <row r="627" spans="2:19" x14ac:dyDescent="0.25">
      <c r="B627" s="14">
        <v>627</v>
      </c>
      <c r="K627" s="221"/>
      <c r="M627" s="221"/>
      <c r="N627" s="221"/>
      <c r="O627" s="221"/>
      <c r="Q627" s="221"/>
      <c r="R627" s="221"/>
      <c r="S627" s="222"/>
    </row>
    <row r="628" spans="2:19" x14ac:dyDescent="0.25">
      <c r="B628" s="14">
        <v>628</v>
      </c>
      <c r="K628" s="221"/>
      <c r="M628" s="221"/>
      <c r="N628" s="221"/>
      <c r="O628" s="221"/>
      <c r="Q628" s="221"/>
      <c r="R628" s="221"/>
      <c r="S628" s="222"/>
    </row>
    <row r="629" spans="2:19" x14ac:dyDescent="0.25">
      <c r="B629" s="14">
        <v>629</v>
      </c>
      <c r="K629" s="221"/>
      <c r="M629" s="221"/>
      <c r="N629" s="221"/>
      <c r="O629" s="221"/>
      <c r="Q629" s="221"/>
      <c r="R629" s="221"/>
      <c r="S629" s="222"/>
    </row>
    <row r="630" spans="2:19" x14ac:dyDescent="0.25">
      <c r="B630" s="14">
        <v>630</v>
      </c>
      <c r="K630" s="221"/>
      <c r="M630" s="221"/>
      <c r="N630" s="221"/>
      <c r="O630" s="221"/>
      <c r="Q630" s="221"/>
      <c r="R630" s="221"/>
      <c r="S630" s="222"/>
    </row>
    <row r="631" spans="2:19" x14ac:dyDescent="0.25">
      <c r="B631" s="14">
        <v>631</v>
      </c>
      <c r="K631" s="221"/>
      <c r="M631" s="221"/>
      <c r="N631" s="221"/>
      <c r="O631" s="221"/>
      <c r="Q631" s="221"/>
      <c r="R631" s="221"/>
      <c r="S631" s="222"/>
    </row>
    <row r="632" spans="2:19" x14ac:dyDescent="0.25">
      <c r="B632" s="14">
        <v>632</v>
      </c>
      <c r="K632" s="221"/>
      <c r="M632" s="221"/>
      <c r="N632" s="221"/>
      <c r="O632" s="221"/>
      <c r="Q632" s="221"/>
      <c r="R632" s="221"/>
      <c r="S632" s="222"/>
    </row>
    <row r="633" spans="2:19" x14ac:dyDescent="0.25">
      <c r="B633" s="14">
        <v>633</v>
      </c>
      <c r="K633" s="221"/>
      <c r="M633" s="221"/>
      <c r="N633" s="221"/>
      <c r="O633" s="221"/>
      <c r="Q633" s="221"/>
      <c r="R633" s="221"/>
      <c r="S633" s="222"/>
    </row>
    <row r="634" spans="2:19" x14ac:dyDescent="0.25">
      <c r="B634" s="14">
        <v>634</v>
      </c>
      <c r="K634" s="221"/>
      <c r="M634" s="221"/>
      <c r="N634" s="221"/>
      <c r="O634" s="221"/>
      <c r="Q634" s="221"/>
      <c r="R634" s="221"/>
      <c r="S634" s="222"/>
    </row>
    <row r="635" spans="2:19" x14ac:dyDescent="0.25">
      <c r="B635" s="14">
        <v>635</v>
      </c>
      <c r="K635" s="221"/>
      <c r="M635" s="221"/>
      <c r="N635" s="221"/>
      <c r="O635" s="221"/>
      <c r="Q635" s="221"/>
      <c r="R635" s="221"/>
      <c r="S635" s="222"/>
    </row>
    <row r="636" spans="2:19" x14ac:dyDescent="0.25">
      <c r="B636" s="14">
        <v>636</v>
      </c>
      <c r="K636" s="221"/>
      <c r="M636" s="221"/>
      <c r="N636" s="221"/>
      <c r="O636" s="221"/>
      <c r="Q636" s="221"/>
      <c r="R636" s="221"/>
      <c r="S636" s="222"/>
    </row>
    <row r="637" spans="2:19" x14ac:dyDescent="0.25">
      <c r="B637" s="14">
        <v>637</v>
      </c>
      <c r="K637" s="221"/>
      <c r="M637" s="221"/>
      <c r="N637" s="221"/>
      <c r="O637" s="221"/>
      <c r="Q637" s="221"/>
      <c r="R637" s="221"/>
      <c r="S637" s="222"/>
    </row>
    <row r="638" spans="2:19" x14ac:dyDescent="0.25">
      <c r="B638" s="14">
        <v>638</v>
      </c>
      <c r="K638" s="221"/>
      <c r="M638" s="221"/>
      <c r="N638" s="221"/>
      <c r="O638" s="221"/>
      <c r="Q638" s="221"/>
      <c r="R638" s="221"/>
      <c r="S638" s="222"/>
    </row>
    <row r="639" spans="2:19" x14ac:dyDescent="0.25">
      <c r="B639" s="14">
        <v>639</v>
      </c>
      <c r="K639" s="221"/>
      <c r="M639" s="221"/>
      <c r="N639" s="221"/>
      <c r="O639" s="221"/>
      <c r="Q639" s="221"/>
      <c r="R639" s="221"/>
      <c r="S639" s="222"/>
    </row>
    <row r="640" spans="2:19" x14ac:dyDescent="0.25">
      <c r="B640" s="14">
        <v>640</v>
      </c>
      <c r="K640" s="221"/>
      <c r="M640" s="221"/>
      <c r="N640" s="221"/>
      <c r="O640" s="221"/>
      <c r="Q640" s="221"/>
      <c r="R640" s="221"/>
      <c r="S640" s="222"/>
    </row>
    <row r="641" spans="2:19" x14ac:dyDescent="0.25">
      <c r="B641" s="14">
        <v>641</v>
      </c>
      <c r="K641" s="221"/>
      <c r="M641" s="221"/>
      <c r="N641" s="221"/>
      <c r="O641" s="221"/>
      <c r="Q641" s="221"/>
      <c r="R641" s="221"/>
      <c r="S641" s="222"/>
    </row>
    <row r="642" spans="2:19" x14ac:dyDescent="0.25">
      <c r="B642" s="14">
        <v>642</v>
      </c>
      <c r="K642" s="221"/>
      <c r="M642" s="221"/>
      <c r="N642" s="221"/>
      <c r="O642" s="221"/>
      <c r="Q642" s="221"/>
      <c r="R642" s="221"/>
      <c r="S642" s="222"/>
    </row>
    <row r="643" spans="2:19" x14ac:dyDescent="0.25">
      <c r="B643" s="14">
        <v>643</v>
      </c>
      <c r="K643" s="221"/>
      <c r="M643" s="221"/>
      <c r="N643" s="221"/>
      <c r="O643" s="221"/>
      <c r="Q643" s="221"/>
      <c r="R643" s="221"/>
      <c r="S643" s="222"/>
    </row>
    <row r="644" spans="2:19" x14ac:dyDescent="0.25">
      <c r="B644" s="14">
        <v>644</v>
      </c>
      <c r="K644" s="221"/>
      <c r="M644" s="221"/>
      <c r="N644" s="221"/>
      <c r="O644" s="221"/>
      <c r="Q644" s="221"/>
      <c r="R644" s="221"/>
      <c r="S644" s="222"/>
    </row>
    <row r="645" spans="2:19" x14ac:dyDescent="0.25">
      <c r="B645" s="14">
        <v>645</v>
      </c>
      <c r="K645" s="221"/>
      <c r="M645" s="221"/>
      <c r="N645" s="221"/>
      <c r="O645" s="221"/>
      <c r="Q645" s="221"/>
      <c r="R645" s="221"/>
      <c r="S645" s="222"/>
    </row>
    <row r="646" spans="2:19" x14ac:dyDescent="0.25">
      <c r="B646" s="14">
        <v>646</v>
      </c>
      <c r="K646" s="221"/>
      <c r="M646" s="221"/>
      <c r="N646" s="221"/>
      <c r="O646" s="221"/>
      <c r="Q646" s="221"/>
      <c r="R646" s="221"/>
      <c r="S646" s="222"/>
    </row>
    <row r="647" spans="2:19" x14ac:dyDescent="0.25">
      <c r="B647" s="14">
        <v>647</v>
      </c>
      <c r="K647" s="221"/>
      <c r="M647" s="221"/>
      <c r="N647" s="221"/>
      <c r="O647" s="221"/>
      <c r="Q647" s="221"/>
      <c r="R647" s="221"/>
      <c r="S647" s="222"/>
    </row>
    <row r="648" spans="2:19" x14ac:dyDescent="0.25">
      <c r="B648" s="14">
        <v>648</v>
      </c>
      <c r="K648" s="221"/>
      <c r="M648" s="221"/>
      <c r="N648" s="221"/>
      <c r="O648" s="221"/>
      <c r="Q648" s="221"/>
      <c r="R648" s="221"/>
      <c r="S648" s="222"/>
    </row>
    <row r="649" spans="2:19" x14ac:dyDescent="0.25">
      <c r="B649" s="14">
        <v>649</v>
      </c>
      <c r="K649" s="221"/>
      <c r="M649" s="221"/>
      <c r="N649" s="221"/>
      <c r="O649" s="221"/>
      <c r="Q649" s="221"/>
      <c r="R649" s="221"/>
      <c r="S649" s="222"/>
    </row>
    <row r="650" spans="2:19" x14ac:dyDescent="0.25">
      <c r="B650" s="14">
        <v>650</v>
      </c>
      <c r="K650" s="221"/>
      <c r="M650" s="221"/>
      <c r="N650" s="221"/>
      <c r="O650" s="221"/>
      <c r="Q650" s="221"/>
      <c r="R650" s="221"/>
      <c r="S650" s="222"/>
    </row>
    <row r="651" spans="2:19" x14ac:dyDescent="0.25">
      <c r="B651" s="14">
        <v>651</v>
      </c>
      <c r="K651" s="221"/>
      <c r="M651" s="221"/>
      <c r="N651" s="221"/>
      <c r="O651" s="221"/>
      <c r="Q651" s="221"/>
      <c r="R651" s="221"/>
      <c r="S651" s="222"/>
    </row>
    <row r="652" spans="2:19" x14ac:dyDescent="0.25">
      <c r="B652" s="14">
        <v>652</v>
      </c>
      <c r="K652" s="221"/>
      <c r="M652" s="221"/>
      <c r="N652" s="221"/>
      <c r="O652" s="221"/>
      <c r="Q652" s="221"/>
      <c r="R652" s="221"/>
      <c r="S652" s="222"/>
    </row>
    <row r="653" spans="2:19" x14ac:dyDescent="0.25">
      <c r="B653" s="14">
        <v>653</v>
      </c>
      <c r="K653" s="221"/>
      <c r="M653" s="221"/>
      <c r="N653" s="221"/>
      <c r="O653" s="221"/>
      <c r="Q653" s="221"/>
      <c r="R653" s="221"/>
      <c r="S653" s="222"/>
    </row>
    <row r="654" spans="2:19" x14ac:dyDescent="0.25">
      <c r="B654" s="14">
        <v>654</v>
      </c>
      <c r="K654" s="221"/>
      <c r="M654" s="221"/>
      <c r="N654" s="221"/>
      <c r="O654" s="221"/>
      <c r="Q654" s="221"/>
      <c r="R654" s="221"/>
      <c r="S654" s="222"/>
    </row>
    <row r="655" spans="2:19" x14ac:dyDescent="0.25">
      <c r="B655" s="14">
        <v>655</v>
      </c>
      <c r="K655" s="221"/>
      <c r="M655" s="221"/>
      <c r="N655" s="221"/>
      <c r="O655" s="221"/>
      <c r="Q655" s="221"/>
      <c r="R655" s="221"/>
      <c r="S655" s="222"/>
    </row>
    <row r="656" spans="2:19" x14ac:dyDescent="0.25">
      <c r="B656" s="14">
        <v>656</v>
      </c>
      <c r="K656" s="221"/>
      <c r="M656" s="221"/>
      <c r="N656" s="221"/>
      <c r="O656" s="221"/>
      <c r="Q656" s="221"/>
      <c r="R656" s="221"/>
      <c r="S656" s="222"/>
    </row>
    <row r="657" spans="2:19" x14ac:dyDescent="0.25">
      <c r="B657" s="14">
        <v>657</v>
      </c>
      <c r="K657" s="221"/>
      <c r="M657" s="221"/>
      <c r="N657" s="221"/>
      <c r="O657" s="221"/>
      <c r="Q657" s="221"/>
      <c r="R657" s="221"/>
      <c r="S657" s="222"/>
    </row>
    <row r="658" spans="2:19" x14ac:dyDescent="0.25">
      <c r="B658" s="14">
        <v>658</v>
      </c>
      <c r="K658" s="221"/>
      <c r="M658" s="221"/>
      <c r="N658" s="221"/>
      <c r="O658" s="221"/>
      <c r="Q658" s="221"/>
      <c r="R658" s="221"/>
      <c r="S658" s="222"/>
    </row>
    <row r="659" spans="2:19" x14ac:dyDescent="0.25">
      <c r="B659" s="14">
        <v>659</v>
      </c>
      <c r="K659" s="221"/>
      <c r="M659" s="221"/>
      <c r="N659" s="221"/>
      <c r="O659" s="221"/>
      <c r="Q659" s="221"/>
      <c r="R659" s="221"/>
      <c r="S659" s="222"/>
    </row>
    <row r="660" spans="2:19" x14ac:dyDescent="0.25">
      <c r="B660" s="14">
        <v>660</v>
      </c>
      <c r="K660" s="221"/>
      <c r="M660" s="221"/>
      <c r="N660" s="221"/>
      <c r="O660" s="221"/>
      <c r="Q660" s="221"/>
      <c r="R660" s="221"/>
      <c r="S660" s="222"/>
    </row>
    <row r="661" spans="2:19" x14ac:dyDescent="0.25">
      <c r="B661" s="14">
        <v>661</v>
      </c>
      <c r="K661" s="221"/>
      <c r="M661" s="221"/>
      <c r="N661" s="221"/>
      <c r="O661" s="221"/>
      <c r="Q661" s="221"/>
      <c r="R661" s="221"/>
      <c r="S661" s="222"/>
    </row>
    <row r="662" spans="2:19" x14ac:dyDescent="0.25">
      <c r="B662" s="14">
        <v>662</v>
      </c>
      <c r="K662" s="221"/>
      <c r="M662" s="221"/>
      <c r="N662" s="221"/>
      <c r="O662" s="221"/>
      <c r="Q662" s="221"/>
      <c r="R662" s="221"/>
      <c r="S662" s="222"/>
    </row>
    <row r="663" spans="2:19" x14ac:dyDescent="0.25">
      <c r="B663" s="14">
        <v>663</v>
      </c>
      <c r="K663" s="221"/>
      <c r="M663" s="221"/>
      <c r="N663" s="221"/>
      <c r="O663" s="221"/>
      <c r="Q663" s="221"/>
      <c r="R663" s="221"/>
      <c r="S663" s="222"/>
    </row>
    <row r="664" spans="2:19" x14ac:dyDescent="0.25">
      <c r="B664" s="14">
        <v>664</v>
      </c>
      <c r="K664" s="221"/>
      <c r="M664" s="221"/>
      <c r="N664" s="221"/>
      <c r="O664" s="221"/>
      <c r="Q664" s="221"/>
      <c r="R664" s="221"/>
      <c r="S664" s="222"/>
    </row>
    <row r="665" spans="2:19" x14ac:dyDescent="0.25">
      <c r="B665" s="14">
        <v>665</v>
      </c>
      <c r="K665" s="221"/>
      <c r="M665" s="221"/>
      <c r="N665" s="221"/>
      <c r="O665" s="221"/>
      <c r="Q665" s="221"/>
      <c r="R665" s="221"/>
      <c r="S665" s="222"/>
    </row>
    <row r="666" spans="2:19" x14ac:dyDescent="0.25">
      <c r="B666" s="14">
        <v>666</v>
      </c>
      <c r="K666" s="221"/>
      <c r="M666" s="221"/>
      <c r="N666" s="221"/>
      <c r="O666" s="221"/>
      <c r="Q666" s="221"/>
      <c r="R666" s="221"/>
      <c r="S666" s="222"/>
    </row>
    <row r="667" spans="2:19" x14ac:dyDescent="0.25">
      <c r="B667" s="14">
        <v>667</v>
      </c>
      <c r="K667" s="221"/>
      <c r="M667" s="221"/>
      <c r="N667" s="221"/>
      <c r="O667" s="221"/>
      <c r="Q667" s="221"/>
      <c r="R667" s="221"/>
      <c r="S667" s="222"/>
    </row>
    <row r="668" spans="2:19" x14ac:dyDescent="0.25">
      <c r="B668" s="14">
        <v>668</v>
      </c>
      <c r="K668" s="221"/>
      <c r="M668" s="221"/>
      <c r="N668" s="221"/>
      <c r="O668" s="221"/>
      <c r="Q668" s="221"/>
      <c r="R668" s="221"/>
      <c r="S668" s="222"/>
    </row>
    <row r="669" spans="2:19" x14ac:dyDescent="0.25">
      <c r="B669" s="14">
        <v>669</v>
      </c>
      <c r="K669" s="221"/>
      <c r="M669" s="221"/>
      <c r="N669" s="221"/>
      <c r="O669" s="221"/>
      <c r="Q669" s="221"/>
      <c r="R669" s="221"/>
      <c r="S669" s="222"/>
    </row>
    <row r="670" spans="2:19" x14ac:dyDescent="0.25">
      <c r="B670" s="14">
        <v>670</v>
      </c>
      <c r="K670" s="221"/>
      <c r="M670" s="221"/>
      <c r="N670" s="221"/>
      <c r="O670" s="221"/>
      <c r="Q670" s="221"/>
      <c r="R670" s="221"/>
      <c r="S670" s="222"/>
    </row>
    <row r="671" spans="2:19" x14ac:dyDescent="0.25">
      <c r="B671" s="14">
        <v>671</v>
      </c>
      <c r="K671" s="221"/>
      <c r="M671" s="221"/>
      <c r="N671" s="221"/>
      <c r="O671" s="221"/>
      <c r="Q671" s="221"/>
      <c r="R671" s="221"/>
      <c r="S671" s="222"/>
    </row>
    <row r="672" spans="2:19" x14ac:dyDescent="0.25">
      <c r="B672" s="14">
        <v>672</v>
      </c>
      <c r="K672" s="221"/>
      <c r="M672" s="221"/>
      <c r="N672" s="221"/>
      <c r="O672" s="221"/>
      <c r="Q672" s="221"/>
      <c r="R672" s="221"/>
      <c r="S672" s="222"/>
    </row>
    <row r="673" spans="2:19" x14ac:dyDescent="0.25">
      <c r="B673" s="14">
        <v>673</v>
      </c>
      <c r="K673" s="221"/>
      <c r="M673" s="221"/>
      <c r="N673" s="221"/>
      <c r="O673" s="221"/>
      <c r="Q673" s="221"/>
      <c r="R673" s="221"/>
      <c r="S673" s="222"/>
    </row>
    <row r="674" spans="2:19" x14ac:dyDescent="0.25">
      <c r="B674" s="14">
        <v>674</v>
      </c>
      <c r="K674" s="221"/>
      <c r="M674" s="221"/>
      <c r="N674" s="221"/>
      <c r="O674" s="221"/>
      <c r="Q674" s="221"/>
      <c r="R674" s="221"/>
      <c r="S674" s="222"/>
    </row>
    <row r="675" spans="2:19" x14ac:dyDescent="0.25">
      <c r="B675" s="14">
        <v>675</v>
      </c>
      <c r="K675" s="221"/>
      <c r="M675" s="221"/>
      <c r="N675" s="221"/>
      <c r="O675" s="221"/>
      <c r="Q675" s="221"/>
      <c r="R675" s="221"/>
      <c r="S675" s="222"/>
    </row>
    <row r="676" spans="2:19" x14ac:dyDescent="0.25">
      <c r="B676" s="14">
        <v>676</v>
      </c>
      <c r="K676" s="221"/>
      <c r="M676" s="221"/>
      <c r="N676" s="221"/>
      <c r="O676" s="221"/>
      <c r="Q676" s="221"/>
      <c r="R676" s="221"/>
      <c r="S676" s="222"/>
    </row>
    <row r="677" spans="2:19" x14ac:dyDescent="0.25">
      <c r="B677" s="14">
        <v>677</v>
      </c>
      <c r="K677" s="221"/>
      <c r="M677" s="221"/>
      <c r="N677" s="221"/>
      <c r="O677" s="221"/>
      <c r="Q677" s="221"/>
      <c r="R677" s="221"/>
      <c r="S677" s="222"/>
    </row>
    <row r="678" spans="2:19" x14ac:dyDescent="0.25">
      <c r="B678" s="14">
        <v>678</v>
      </c>
      <c r="K678" s="221"/>
      <c r="M678" s="221"/>
      <c r="N678" s="221"/>
      <c r="O678" s="221"/>
      <c r="Q678" s="221"/>
      <c r="R678" s="221"/>
      <c r="S678" s="222"/>
    </row>
    <row r="679" spans="2:19" x14ac:dyDescent="0.25">
      <c r="B679" s="14">
        <v>679</v>
      </c>
      <c r="K679" s="221"/>
      <c r="M679" s="221"/>
      <c r="N679" s="221"/>
      <c r="O679" s="221"/>
      <c r="Q679" s="221"/>
      <c r="R679" s="221"/>
      <c r="S679" s="222"/>
    </row>
    <row r="680" spans="2:19" x14ac:dyDescent="0.25">
      <c r="B680" s="14">
        <v>680</v>
      </c>
      <c r="K680" s="221"/>
      <c r="M680" s="221"/>
      <c r="N680" s="221"/>
      <c r="O680" s="221"/>
      <c r="Q680" s="221"/>
      <c r="R680" s="221"/>
      <c r="S680" s="222"/>
    </row>
    <row r="681" spans="2:19" x14ac:dyDescent="0.25">
      <c r="B681" s="14">
        <v>681</v>
      </c>
      <c r="K681" s="221"/>
      <c r="M681" s="221"/>
      <c r="N681" s="221"/>
      <c r="O681" s="221"/>
      <c r="Q681" s="221"/>
      <c r="R681" s="221"/>
      <c r="S681" s="222"/>
    </row>
    <row r="682" spans="2:19" x14ac:dyDescent="0.25">
      <c r="B682" s="14">
        <v>682</v>
      </c>
      <c r="K682" s="221"/>
      <c r="M682" s="221"/>
      <c r="N682" s="221"/>
      <c r="O682" s="221"/>
      <c r="Q682" s="221"/>
      <c r="R682" s="221"/>
      <c r="S682" s="222"/>
    </row>
    <row r="683" spans="2:19" x14ac:dyDescent="0.25">
      <c r="B683" s="14">
        <v>683</v>
      </c>
      <c r="K683" s="221"/>
      <c r="M683" s="221"/>
      <c r="N683" s="221"/>
      <c r="O683" s="221"/>
      <c r="Q683" s="221"/>
      <c r="R683" s="221"/>
      <c r="S683" s="222"/>
    </row>
    <row r="684" spans="2:19" x14ac:dyDescent="0.25">
      <c r="B684" s="14">
        <v>684</v>
      </c>
      <c r="K684" s="221"/>
      <c r="M684" s="221"/>
      <c r="N684" s="221"/>
      <c r="O684" s="221"/>
      <c r="Q684" s="221"/>
      <c r="R684" s="221"/>
      <c r="S684" s="222"/>
    </row>
    <row r="685" spans="2:19" x14ac:dyDescent="0.25">
      <c r="B685" s="14">
        <v>685</v>
      </c>
      <c r="K685" s="221"/>
      <c r="M685" s="221"/>
      <c r="N685" s="221"/>
      <c r="O685" s="221"/>
      <c r="Q685" s="221"/>
      <c r="R685" s="221"/>
      <c r="S685" s="222"/>
    </row>
    <row r="686" spans="2:19" x14ac:dyDescent="0.25">
      <c r="B686" s="14">
        <v>686</v>
      </c>
      <c r="K686" s="221"/>
      <c r="M686" s="221"/>
      <c r="N686" s="221"/>
      <c r="O686" s="221"/>
      <c r="Q686" s="221"/>
      <c r="R686" s="221"/>
      <c r="S686" s="222"/>
    </row>
    <row r="687" spans="2:19" x14ac:dyDescent="0.25">
      <c r="B687" s="14">
        <v>687</v>
      </c>
      <c r="K687" s="221"/>
      <c r="M687" s="221"/>
      <c r="N687" s="221"/>
      <c r="O687" s="221"/>
      <c r="Q687" s="221"/>
      <c r="R687" s="221"/>
      <c r="S687" s="222"/>
    </row>
    <row r="688" spans="2:19" x14ac:dyDescent="0.25">
      <c r="B688" s="14">
        <v>688</v>
      </c>
      <c r="K688" s="221"/>
      <c r="M688" s="221"/>
      <c r="N688" s="221"/>
      <c r="O688" s="221"/>
      <c r="Q688" s="221"/>
      <c r="R688" s="221"/>
      <c r="S688" s="222"/>
    </row>
    <row r="689" spans="2:19" x14ac:dyDescent="0.25">
      <c r="B689" s="14">
        <v>689</v>
      </c>
      <c r="K689" s="221"/>
      <c r="M689" s="221"/>
      <c r="N689" s="221"/>
      <c r="O689" s="221"/>
      <c r="Q689" s="221"/>
      <c r="R689" s="221"/>
      <c r="S689" s="222"/>
    </row>
    <row r="690" spans="2:19" x14ac:dyDescent="0.25">
      <c r="B690" s="14">
        <v>690</v>
      </c>
      <c r="K690" s="221"/>
      <c r="M690" s="221"/>
      <c r="N690" s="221"/>
      <c r="O690" s="221"/>
      <c r="Q690" s="221"/>
      <c r="R690" s="221"/>
      <c r="S690" s="222"/>
    </row>
    <row r="691" spans="2:19" x14ac:dyDescent="0.25">
      <c r="B691" s="14">
        <v>691</v>
      </c>
      <c r="K691" s="221"/>
      <c r="M691" s="221"/>
      <c r="N691" s="221"/>
      <c r="O691" s="221"/>
      <c r="Q691" s="221"/>
      <c r="R691" s="221"/>
      <c r="S691" s="222"/>
    </row>
    <row r="692" spans="2:19" x14ac:dyDescent="0.25">
      <c r="B692" s="14">
        <v>692</v>
      </c>
      <c r="K692" s="221"/>
      <c r="M692" s="221"/>
      <c r="N692" s="221"/>
      <c r="O692" s="221"/>
      <c r="Q692" s="221"/>
      <c r="R692" s="221"/>
      <c r="S692" s="222"/>
    </row>
    <row r="693" spans="2:19" x14ac:dyDescent="0.25">
      <c r="B693" s="14">
        <v>693</v>
      </c>
      <c r="K693" s="221"/>
      <c r="M693" s="221"/>
      <c r="N693" s="221"/>
      <c r="O693" s="221"/>
      <c r="Q693" s="221"/>
      <c r="R693" s="221"/>
      <c r="S693" s="222"/>
    </row>
    <row r="694" spans="2:19" x14ac:dyDescent="0.25">
      <c r="B694" s="14">
        <v>694</v>
      </c>
      <c r="K694" s="221"/>
      <c r="M694" s="221"/>
      <c r="N694" s="221"/>
      <c r="O694" s="221"/>
      <c r="Q694" s="221"/>
      <c r="R694" s="221"/>
      <c r="S694" s="222"/>
    </row>
    <row r="695" spans="2:19" x14ac:dyDescent="0.25">
      <c r="B695" s="14">
        <v>695</v>
      </c>
      <c r="K695" s="221"/>
      <c r="M695" s="221"/>
      <c r="N695" s="221"/>
      <c r="O695" s="221"/>
      <c r="Q695" s="221"/>
      <c r="R695" s="221"/>
      <c r="S695" s="222"/>
    </row>
    <row r="696" spans="2:19" x14ac:dyDescent="0.25">
      <c r="B696" s="14">
        <v>696</v>
      </c>
      <c r="K696" s="221"/>
      <c r="M696" s="221"/>
      <c r="N696" s="221"/>
      <c r="O696" s="221"/>
      <c r="Q696" s="221"/>
      <c r="R696" s="221"/>
      <c r="S696" s="222"/>
    </row>
    <row r="697" spans="2:19" x14ac:dyDescent="0.25">
      <c r="B697" s="14">
        <v>697</v>
      </c>
      <c r="K697" s="221"/>
      <c r="M697" s="221"/>
      <c r="N697" s="221"/>
      <c r="O697" s="221"/>
      <c r="Q697" s="221"/>
      <c r="R697" s="221"/>
      <c r="S697" s="222"/>
    </row>
    <row r="698" spans="2:19" x14ac:dyDescent="0.25">
      <c r="B698" s="14">
        <v>698</v>
      </c>
      <c r="K698" s="221"/>
      <c r="M698" s="221"/>
      <c r="N698" s="221"/>
      <c r="O698" s="221"/>
      <c r="Q698" s="221"/>
      <c r="R698" s="221"/>
      <c r="S698" s="222"/>
    </row>
    <row r="699" spans="2:19" x14ac:dyDescent="0.25">
      <c r="B699" s="14">
        <v>699</v>
      </c>
      <c r="K699" s="221"/>
      <c r="M699" s="221"/>
      <c r="N699" s="221"/>
      <c r="O699" s="221"/>
      <c r="Q699" s="221"/>
      <c r="R699" s="221"/>
      <c r="S699" s="222"/>
    </row>
    <row r="700" spans="2:19" x14ac:dyDescent="0.25">
      <c r="B700" s="14">
        <v>700</v>
      </c>
      <c r="K700" s="221"/>
      <c r="M700" s="221"/>
      <c r="N700" s="221"/>
      <c r="O700" s="221"/>
      <c r="Q700" s="221"/>
      <c r="R700" s="221"/>
      <c r="S700" s="222"/>
    </row>
    <row r="701" spans="2:19" x14ac:dyDescent="0.25">
      <c r="B701" s="14">
        <v>701</v>
      </c>
      <c r="K701" s="221"/>
      <c r="M701" s="221"/>
      <c r="N701" s="221"/>
      <c r="O701" s="221"/>
      <c r="Q701" s="221"/>
      <c r="R701" s="221"/>
      <c r="S701" s="222"/>
    </row>
    <row r="702" spans="2:19" x14ac:dyDescent="0.25">
      <c r="B702" s="14">
        <v>702</v>
      </c>
      <c r="K702" s="221"/>
      <c r="M702" s="221"/>
      <c r="N702" s="221"/>
      <c r="O702" s="221"/>
      <c r="Q702" s="221"/>
      <c r="R702" s="221"/>
      <c r="S702" s="222"/>
    </row>
    <row r="703" spans="2:19" x14ac:dyDescent="0.25">
      <c r="B703" s="14">
        <v>703</v>
      </c>
      <c r="K703" s="221"/>
      <c r="M703" s="221"/>
      <c r="N703" s="221"/>
      <c r="O703" s="221"/>
      <c r="Q703" s="221"/>
      <c r="R703" s="221"/>
      <c r="S703" s="222"/>
    </row>
    <row r="704" spans="2:19" x14ac:dyDescent="0.25">
      <c r="B704" s="14">
        <v>704</v>
      </c>
      <c r="K704" s="221"/>
      <c r="M704" s="221"/>
      <c r="N704" s="221"/>
      <c r="O704" s="221"/>
      <c r="Q704" s="221"/>
      <c r="R704" s="221"/>
      <c r="S704" s="222"/>
    </row>
    <row r="705" spans="2:19" x14ac:dyDescent="0.25">
      <c r="B705" s="14">
        <v>705</v>
      </c>
      <c r="K705" s="221"/>
      <c r="M705" s="221"/>
      <c r="N705" s="221"/>
      <c r="O705" s="221"/>
      <c r="Q705" s="221"/>
      <c r="R705" s="221"/>
      <c r="S705" s="222"/>
    </row>
    <row r="706" spans="2:19" x14ac:dyDescent="0.25">
      <c r="B706" s="14">
        <v>706</v>
      </c>
      <c r="K706" s="221"/>
      <c r="M706" s="221"/>
      <c r="N706" s="221"/>
      <c r="O706" s="221"/>
      <c r="Q706" s="221"/>
      <c r="R706" s="221"/>
      <c r="S706" s="222"/>
    </row>
    <row r="707" spans="2:19" x14ac:dyDescent="0.25">
      <c r="B707" s="14">
        <v>707</v>
      </c>
      <c r="K707" s="221"/>
      <c r="M707" s="221"/>
      <c r="N707" s="221"/>
      <c r="O707" s="221"/>
      <c r="Q707" s="221"/>
      <c r="R707" s="221"/>
      <c r="S707" s="222"/>
    </row>
    <row r="708" spans="2:19" x14ac:dyDescent="0.25">
      <c r="B708" s="14">
        <v>708</v>
      </c>
      <c r="K708" s="221"/>
      <c r="M708" s="221"/>
      <c r="N708" s="221"/>
      <c r="O708" s="221"/>
      <c r="Q708" s="221"/>
      <c r="R708" s="221"/>
      <c r="S708" s="222"/>
    </row>
    <row r="709" spans="2:19" x14ac:dyDescent="0.25">
      <c r="B709" s="14">
        <v>709</v>
      </c>
      <c r="K709" s="221"/>
      <c r="M709" s="221"/>
      <c r="N709" s="221"/>
      <c r="O709" s="221"/>
      <c r="Q709" s="221"/>
      <c r="R709" s="221"/>
      <c r="S709" s="222"/>
    </row>
    <row r="710" spans="2:19" x14ac:dyDescent="0.25">
      <c r="B710" s="14">
        <v>710</v>
      </c>
      <c r="K710" s="221"/>
      <c r="M710" s="221"/>
      <c r="N710" s="221"/>
      <c r="O710" s="221"/>
      <c r="Q710" s="221"/>
      <c r="R710" s="221"/>
      <c r="S710" s="222"/>
    </row>
    <row r="711" spans="2:19" x14ac:dyDescent="0.25">
      <c r="B711" s="14">
        <v>711</v>
      </c>
      <c r="K711" s="221"/>
      <c r="M711" s="221"/>
      <c r="N711" s="221"/>
      <c r="O711" s="221"/>
      <c r="Q711" s="221"/>
      <c r="R711" s="221"/>
      <c r="S711" s="222"/>
    </row>
    <row r="712" spans="2:19" x14ac:dyDescent="0.25">
      <c r="B712" s="14">
        <v>712</v>
      </c>
      <c r="K712" s="221"/>
      <c r="M712" s="221"/>
      <c r="N712" s="221"/>
      <c r="O712" s="221"/>
      <c r="Q712" s="221"/>
      <c r="R712" s="221"/>
      <c r="S712" s="222"/>
    </row>
    <row r="713" spans="2:19" x14ac:dyDescent="0.25">
      <c r="B713" s="14">
        <v>713</v>
      </c>
      <c r="K713" s="221"/>
      <c r="M713" s="221"/>
      <c r="N713" s="221"/>
      <c r="O713" s="221"/>
      <c r="Q713" s="221"/>
      <c r="R713" s="221"/>
      <c r="S713" s="222"/>
    </row>
    <row r="714" spans="2:19" x14ac:dyDescent="0.25">
      <c r="B714" s="14">
        <v>714</v>
      </c>
      <c r="K714" s="221"/>
      <c r="M714" s="221"/>
      <c r="N714" s="221"/>
      <c r="O714" s="221"/>
      <c r="Q714" s="221"/>
      <c r="R714" s="221"/>
      <c r="S714" s="222"/>
    </row>
    <row r="715" spans="2:19" x14ac:dyDescent="0.25">
      <c r="B715" s="14">
        <v>715</v>
      </c>
      <c r="K715" s="221"/>
      <c r="M715" s="221"/>
      <c r="N715" s="221"/>
      <c r="O715" s="221"/>
      <c r="Q715" s="221"/>
      <c r="R715" s="221"/>
      <c r="S715" s="222"/>
    </row>
    <row r="716" spans="2:19" x14ac:dyDescent="0.25">
      <c r="B716" s="14">
        <v>716</v>
      </c>
      <c r="K716" s="221"/>
      <c r="M716" s="221"/>
      <c r="N716" s="221"/>
      <c r="O716" s="221"/>
      <c r="Q716" s="221"/>
      <c r="R716" s="221"/>
      <c r="S716" s="222"/>
    </row>
    <row r="717" spans="2:19" x14ac:dyDescent="0.25">
      <c r="B717" s="14">
        <v>717</v>
      </c>
      <c r="K717" s="221"/>
      <c r="M717" s="221"/>
      <c r="N717" s="221"/>
      <c r="O717" s="221"/>
      <c r="Q717" s="221"/>
      <c r="R717" s="221"/>
      <c r="S717" s="222"/>
    </row>
    <row r="718" spans="2:19" x14ac:dyDescent="0.25">
      <c r="B718" s="14">
        <v>718</v>
      </c>
      <c r="K718" s="221"/>
      <c r="M718" s="221"/>
      <c r="N718" s="221"/>
      <c r="O718" s="221"/>
      <c r="Q718" s="221"/>
      <c r="R718" s="221"/>
      <c r="S718" s="222"/>
    </row>
    <row r="719" spans="2:19" x14ac:dyDescent="0.25">
      <c r="B719" s="14">
        <v>719</v>
      </c>
      <c r="K719" s="221"/>
      <c r="M719" s="221"/>
      <c r="N719" s="221"/>
      <c r="O719" s="221"/>
      <c r="Q719" s="221"/>
      <c r="R719" s="221"/>
      <c r="S719" s="222"/>
    </row>
    <row r="720" spans="2:19" x14ac:dyDescent="0.25">
      <c r="B720" s="14">
        <v>720</v>
      </c>
      <c r="K720" s="221"/>
      <c r="M720" s="221"/>
      <c r="N720" s="221"/>
      <c r="O720" s="221"/>
      <c r="Q720" s="221"/>
      <c r="R720" s="221"/>
      <c r="S720" s="222"/>
    </row>
    <row r="721" spans="2:19" x14ac:dyDescent="0.25">
      <c r="B721" s="14">
        <v>721</v>
      </c>
      <c r="K721" s="221"/>
      <c r="M721" s="221"/>
      <c r="N721" s="221"/>
      <c r="O721" s="221"/>
      <c r="Q721" s="221"/>
      <c r="R721" s="221"/>
      <c r="S721" s="222"/>
    </row>
    <row r="722" spans="2:19" x14ac:dyDescent="0.25">
      <c r="B722" s="14">
        <v>722</v>
      </c>
      <c r="K722" s="221"/>
      <c r="M722" s="221"/>
      <c r="N722" s="221"/>
      <c r="O722" s="221"/>
      <c r="Q722" s="221"/>
      <c r="R722" s="221"/>
      <c r="S722" s="222"/>
    </row>
    <row r="723" spans="2:19" x14ac:dyDescent="0.25">
      <c r="B723" s="14">
        <v>723</v>
      </c>
      <c r="K723" s="221"/>
      <c r="M723" s="221"/>
      <c r="N723" s="221"/>
      <c r="O723" s="221"/>
      <c r="Q723" s="221"/>
      <c r="R723" s="221"/>
      <c r="S723" s="222"/>
    </row>
    <row r="724" spans="2:19" x14ac:dyDescent="0.25">
      <c r="B724" s="14">
        <v>724</v>
      </c>
      <c r="K724" s="221"/>
      <c r="M724" s="221"/>
      <c r="N724" s="221"/>
      <c r="O724" s="221"/>
      <c r="Q724" s="221"/>
      <c r="R724" s="221"/>
      <c r="S724" s="222"/>
    </row>
    <row r="725" spans="2:19" x14ac:dyDescent="0.25">
      <c r="B725" s="14">
        <v>725</v>
      </c>
      <c r="K725" s="221"/>
      <c r="M725" s="221"/>
      <c r="N725" s="221"/>
      <c r="O725" s="221"/>
      <c r="Q725" s="221"/>
      <c r="R725" s="221"/>
      <c r="S725" s="222"/>
    </row>
    <row r="726" spans="2:19" x14ac:dyDescent="0.25">
      <c r="B726" s="14">
        <v>726</v>
      </c>
      <c r="K726" s="221"/>
      <c r="M726" s="221"/>
      <c r="N726" s="221"/>
      <c r="O726" s="221"/>
      <c r="Q726" s="221"/>
      <c r="R726" s="221"/>
      <c r="S726" s="222"/>
    </row>
    <row r="727" spans="2:19" x14ac:dyDescent="0.25">
      <c r="B727" s="14">
        <v>727</v>
      </c>
      <c r="K727" s="221"/>
      <c r="M727" s="221"/>
      <c r="N727" s="221"/>
      <c r="O727" s="221"/>
      <c r="Q727" s="221"/>
      <c r="R727" s="221"/>
      <c r="S727" s="222"/>
    </row>
    <row r="728" spans="2:19" x14ac:dyDescent="0.25">
      <c r="B728" s="14">
        <v>728</v>
      </c>
      <c r="K728" s="221"/>
      <c r="M728" s="221"/>
      <c r="N728" s="221"/>
      <c r="O728" s="221"/>
      <c r="Q728" s="221"/>
      <c r="R728" s="221"/>
      <c r="S728" s="222"/>
    </row>
    <row r="729" spans="2:19" x14ac:dyDescent="0.25">
      <c r="B729" s="14">
        <v>729</v>
      </c>
      <c r="K729" s="221"/>
      <c r="M729" s="221"/>
      <c r="N729" s="221"/>
      <c r="O729" s="221"/>
      <c r="Q729" s="221"/>
      <c r="R729" s="221"/>
      <c r="S729" s="222"/>
    </row>
    <row r="730" spans="2:19" x14ac:dyDescent="0.25">
      <c r="B730" s="14">
        <v>730</v>
      </c>
      <c r="K730" s="221"/>
      <c r="M730" s="221"/>
      <c r="N730" s="221"/>
      <c r="O730" s="221"/>
      <c r="Q730" s="221"/>
      <c r="R730" s="221"/>
      <c r="S730" s="222"/>
    </row>
    <row r="731" spans="2:19" x14ac:dyDescent="0.25">
      <c r="B731" s="14">
        <v>731</v>
      </c>
      <c r="K731" s="221"/>
      <c r="M731" s="221"/>
      <c r="N731" s="221"/>
      <c r="O731" s="221"/>
      <c r="Q731" s="221"/>
      <c r="R731" s="221"/>
      <c r="S731" s="222"/>
    </row>
    <row r="732" spans="2:19" x14ac:dyDescent="0.25">
      <c r="B732" s="14">
        <v>732</v>
      </c>
      <c r="K732" s="221"/>
      <c r="M732" s="221"/>
      <c r="N732" s="221"/>
      <c r="O732" s="221"/>
      <c r="Q732" s="221"/>
      <c r="R732" s="221"/>
      <c r="S732" s="222"/>
    </row>
    <row r="733" spans="2:19" x14ac:dyDescent="0.25">
      <c r="B733" s="14">
        <v>733</v>
      </c>
      <c r="K733" s="221"/>
      <c r="M733" s="221"/>
      <c r="N733" s="221"/>
      <c r="O733" s="221"/>
      <c r="Q733" s="221"/>
      <c r="R733" s="221"/>
      <c r="S733" s="222"/>
    </row>
    <row r="734" spans="2:19" x14ac:dyDescent="0.25">
      <c r="B734" s="14">
        <v>734</v>
      </c>
      <c r="K734" s="221"/>
      <c r="M734" s="221"/>
      <c r="N734" s="221"/>
      <c r="O734" s="221"/>
      <c r="Q734" s="221"/>
      <c r="R734" s="221"/>
      <c r="S734" s="222"/>
    </row>
    <row r="735" spans="2:19" x14ac:dyDescent="0.25">
      <c r="B735" s="14">
        <v>735</v>
      </c>
      <c r="K735" s="221"/>
      <c r="M735" s="221"/>
      <c r="N735" s="221"/>
      <c r="O735" s="221"/>
      <c r="Q735" s="221"/>
      <c r="R735" s="221"/>
      <c r="S735" s="222"/>
    </row>
    <row r="736" spans="2:19" x14ac:dyDescent="0.25">
      <c r="B736" s="14">
        <v>736</v>
      </c>
      <c r="K736" s="221"/>
      <c r="M736" s="221"/>
      <c r="N736" s="221"/>
      <c r="O736" s="221"/>
      <c r="Q736" s="221"/>
      <c r="R736" s="221"/>
      <c r="S736" s="222"/>
    </row>
    <row r="737" spans="2:19" x14ac:dyDescent="0.25">
      <c r="B737" s="14">
        <v>737</v>
      </c>
      <c r="K737" s="221"/>
      <c r="M737" s="221"/>
      <c r="N737" s="221"/>
      <c r="O737" s="221"/>
      <c r="Q737" s="221"/>
      <c r="R737" s="221"/>
      <c r="S737" s="222"/>
    </row>
    <row r="738" spans="2:19" x14ac:dyDescent="0.25">
      <c r="B738" s="14">
        <v>738</v>
      </c>
      <c r="K738" s="221"/>
      <c r="M738" s="221"/>
      <c r="N738" s="221"/>
      <c r="O738" s="221"/>
      <c r="Q738" s="221"/>
      <c r="R738" s="221"/>
      <c r="S738" s="222"/>
    </row>
    <row r="739" spans="2:19" x14ac:dyDescent="0.25">
      <c r="B739" s="14">
        <v>739</v>
      </c>
      <c r="K739" s="221"/>
      <c r="M739" s="221"/>
      <c r="N739" s="221"/>
      <c r="O739" s="221"/>
      <c r="Q739" s="221"/>
      <c r="R739" s="221"/>
      <c r="S739" s="222"/>
    </row>
    <row r="740" spans="2:19" x14ac:dyDescent="0.25">
      <c r="B740" s="14">
        <v>740</v>
      </c>
      <c r="K740" s="221"/>
      <c r="M740" s="221"/>
      <c r="N740" s="221"/>
      <c r="O740" s="221"/>
      <c r="Q740" s="221"/>
      <c r="R740" s="221"/>
      <c r="S740" s="222"/>
    </row>
    <row r="741" spans="2:19" x14ac:dyDescent="0.25">
      <c r="B741" s="14">
        <v>741</v>
      </c>
      <c r="K741" s="221"/>
      <c r="M741" s="221"/>
      <c r="N741" s="221"/>
      <c r="O741" s="221"/>
      <c r="Q741" s="221"/>
      <c r="R741" s="221"/>
      <c r="S741" s="222"/>
    </row>
    <row r="742" spans="2:19" x14ac:dyDescent="0.25">
      <c r="B742" s="14">
        <v>742</v>
      </c>
      <c r="K742" s="221"/>
      <c r="M742" s="221"/>
      <c r="N742" s="221"/>
      <c r="O742" s="221"/>
      <c r="Q742" s="221"/>
      <c r="R742" s="221"/>
      <c r="S742" s="222"/>
    </row>
    <row r="743" spans="2:19" x14ac:dyDescent="0.25">
      <c r="B743" s="14">
        <v>743</v>
      </c>
      <c r="K743" s="221"/>
      <c r="M743" s="221"/>
      <c r="N743" s="221"/>
      <c r="O743" s="221"/>
      <c r="Q743" s="221"/>
      <c r="R743" s="221"/>
      <c r="S743" s="222"/>
    </row>
    <row r="744" spans="2:19" x14ac:dyDescent="0.25">
      <c r="B744" s="14">
        <v>744</v>
      </c>
      <c r="K744" s="221"/>
      <c r="M744" s="221"/>
      <c r="N744" s="221"/>
      <c r="O744" s="221"/>
      <c r="Q744" s="221"/>
      <c r="R744" s="221"/>
      <c r="S744" s="222"/>
    </row>
    <row r="745" spans="2:19" x14ac:dyDescent="0.25">
      <c r="B745" s="14">
        <v>745</v>
      </c>
      <c r="K745" s="221"/>
      <c r="M745" s="221"/>
      <c r="N745" s="221"/>
      <c r="O745" s="221"/>
      <c r="Q745" s="221"/>
      <c r="R745" s="221"/>
      <c r="S745" s="222"/>
    </row>
    <row r="746" spans="2:19" x14ac:dyDescent="0.25">
      <c r="B746" s="14">
        <v>746</v>
      </c>
      <c r="K746" s="221"/>
      <c r="M746" s="221"/>
      <c r="N746" s="221"/>
      <c r="O746" s="221"/>
      <c r="Q746" s="221"/>
      <c r="R746" s="221"/>
      <c r="S746" s="222"/>
    </row>
    <row r="747" spans="2:19" x14ac:dyDescent="0.25">
      <c r="B747" s="14">
        <v>747</v>
      </c>
      <c r="K747" s="221"/>
      <c r="M747" s="221"/>
      <c r="N747" s="221"/>
      <c r="O747" s="221"/>
      <c r="Q747" s="221"/>
      <c r="R747" s="221"/>
      <c r="S747" s="222"/>
    </row>
    <row r="748" spans="2:19" x14ac:dyDescent="0.25">
      <c r="B748" s="14">
        <v>748</v>
      </c>
      <c r="K748" s="221"/>
      <c r="M748" s="221"/>
      <c r="N748" s="221"/>
      <c r="O748" s="221"/>
      <c r="Q748" s="221"/>
      <c r="R748" s="221"/>
      <c r="S748" s="222"/>
    </row>
    <row r="749" spans="2:19" x14ac:dyDescent="0.25">
      <c r="B749" s="14">
        <v>749</v>
      </c>
      <c r="K749" s="221"/>
      <c r="M749" s="221"/>
      <c r="N749" s="221"/>
      <c r="O749" s="221"/>
      <c r="Q749" s="221"/>
      <c r="R749" s="221"/>
      <c r="S749" s="222"/>
    </row>
    <row r="750" spans="2:19" x14ac:dyDescent="0.25">
      <c r="B750" s="14">
        <v>750</v>
      </c>
      <c r="K750" s="221"/>
      <c r="M750" s="221"/>
      <c r="N750" s="221"/>
      <c r="O750" s="221"/>
      <c r="Q750" s="221"/>
      <c r="R750" s="221"/>
      <c r="S750" s="222"/>
    </row>
    <row r="751" spans="2:19" x14ac:dyDescent="0.25">
      <c r="B751" s="14">
        <v>751</v>
      </c>
      <c r="K751" s="221"/>
      <c r="M751" s="221"/>
      <c r="N751" s="221"/>
      <c r="O751" s="221"/>
      <c r="Q751" s="221"/>
      <c r="R751" s="221"/>
      <c r="S751" s="222"/>
    </row>
    <row r="752" spans="2:19" x14ac:dyDescent="0.25">
      <c r="B752" s="14">
        <v>752</v>
      </c>
      <c r="K752" s="221"/>
      <c r="M752" s="221"/>
      <c r="N752" s="221"/>
      <c r="O752" s="221"/>
      <c r="Q752" s="221"/>
      <c r="R752" s="221"/>
      <c r="S752" s="222"/>
    </row>
    <row r="753" spans="2:19" x14ac:dyDescent="0.25">
      <c r="B753" s="14">
        <v>753</v>
      </c>
      <c r="K753" s="221"/>
      <c r="M753" s="221"/>
      <c r="N753" s="221"/>
      <c r="O753" s="221"/>
      <c r="Q753" s="221"/>
      <c r="R753" s="221"/>
      <c r="S753" s="222"/>
    </row>
    <row r="754" spans="2:19" x14ac:dyDescent="0.25">
      <c r="B754" s="14">
        <v>754</v>
      </c>
      <c r="K754" s="221"/>
      <c r="M754" s="221"/>
      <c r="N754" s="221"/>
      <c r="O754" s="221"/>
      <c r="Q754" s="221"/>
      <c r="R754" s="221"/>
      <c r="S754" s="222"/>
    </row>
    <row r="755" spans="2:19" x14ac:dyDescent="0.25">
      <c r="B755" s="14">
        <v>755</v>
      </c>
      <c r="K755" s="221"/>
      <c r="M755" s="221"/>
      <c r="N755" s="221"/>
      <c r="O755" s="221"/>
      <c r="Q755" s="221"/>
      <c r="R755" s="221"/>
      <c r="S755" s="222"/>
    </row>
    <row r="756" spans="2:19" x14ac:dyDescent="0.25">
      <c r="B756" s="14">
        <v>756</v>
      </c>
      <c r="K756" s="221"/>
      <c r="M756" s="221"/>
      <c r="N756" s="221"/>
      <c r="O756" s="221"/>
      <c r="Q756" s="221"/>
      <c r="R756" s="221"/>
      <c r="S756" s="222"/>
    </row>
    <row r="757" spans="2:19" x14ac:dyDescent="0.25">
      <c r="B757" s="14">
        <v>757</v>
      </c>
      <c r="K757" s="221"/>
      <c r="M757" s="221"/>
      <c r="N757" s="221"/>
      <c r="O757" s="221"/>
      <c r="Q757" s="221"/>
      <c r="R757" s="221"/>
      <c r="S757" s="222"/>
    </row>
    <row r="758" spans="2:19" x14ac:dyDescent="0.25">
      <c r="B758" s="14">
        <v>758</v>
      </c>
      <c r="K758" s="221"/>
      <c r="M758" s="221"/>
      <c r="N758" s="221"/>
      <c r="O758" s="221"/>
      <c r="Q758" s="221"/>
      <c r="R758" s="221"/>
      <c r="S758" s="222"/>
    </row>
    <row r="759" spans="2:19" x14ac:dyDescent="0.25">
      <c r="B759" s="14">
        <v>759</v>
      </c>
      <c r="K759" s="221"/>
      <c r="M759" s="221"/>
      <c r="N759" s="221"/>
      <c r="O759" s="221"/>
      <c r="Q759" s="221"/>
      <c r="R759" s="221"/>
      <c r="S759" s="222"/>
    </row>
    <row r="760" spans="2:19" x14ac:dyDescent="0.25">
      <c r="B760" s="14">
        <v>760</v>
      </c>
      <c r="K760" s="221"/>
      <c r="M760" s="221"/>
      <c r="N760" s="221"/>
      <c r="O760" s="221"/>
      <c r="Q760" s="221"/>
      <c r="R760" s="221"/>
      <c r="S760" s="222"/>
    </row>
    <row r="761" spans="2:19" x14ac:dyDescent="0.25">
      <c r="B761" s="14">
        <v>761</v>
      </c>
      <c r="K761" s="221"/>
      <c r="M761" s="221"/>
      <c r="N761" s="221"/>
      <c r="O761" s="221"/>
      <c r="Q761" s="221"/>
      <c r="R761" s="221"/>
      <c r="S761" s="222"/>
    </row>
    <row r="762" spans="2:19" x14ac:dyDescent="0.25">
      <c r="B762" s="14">
        <v>762</v>
      </c>
      <c r="K762" s="221"/>
      <c r="M762" s="221"/>
      <c r="N762" s="221"/>
      <c r="O762" s="221"/>
      <c r="Q762" s="221"/>
      <c r="R762" s="221"/>
      <c r="S762" s="222"/>
    </row>
    <row r="763" spans="2:19" x14ac:dyDescent="0.25">
      <c r="B763" s="14">
        <v>763</v>
      </c>
      <c r="K763" s="221"/>
      <c r="M763" s="221"/>
      <c r="N763" s="221"/>
      <c r="O763" s="221"/>
      <c r="Q763" s="221"/>
      <c r="R763" s="221"/>
      <c r="S763" s="222"/>
    </row>
    <row r="764" spans="2:19" x14ac:dyDescent="0.25">
      <c r="B764" s="14">
        <v>764</v>
      </c>
      <c r="K764" s="221"/>
      <c r="M764" s="221"/>
      <c r="N764" s="221"/>
      <c r="O764" s="221"/>
      <c r="Q764" s="221"/>
      <c r="R764" s="221"/>
      <c r="S764" s="222"/>
    </row>
    <row r="765" spans="2:19" x14ac:dyDescent="0.25">
      <c r="B765" s="14">
        <v>765</v>
      </c>
      <c r="K765" s="221"/>
      <c r="M765" s="221"/>
      <c r="N765" s="221"/>
      <c r="O765" s="221"/>
      <c r="Q765" s="221"/>
      <c r="R765" s="221"/>
      <c r="S765" s="222"/>
    </row>
    <row r="766" spans="2:19" x14ac:dyDescent="0.25">
      <c r="B766" s="14">
        <v>766</v>
      </c>
      <c r="K766" s="221"/>
      <c r="M766" s="221"/>
      <c r="N766" s="221"/>
      <c r="O766" s="221"/>
      <c r="Q766" s="221"/>
      <c r="R766" s="221"/>
      <c r="S766" s="222"/>
    </row>
    <row r="767" spans="2:19" x14ac:dyDescent="0.25">
      <c r="B767" s="14">
        <v>767</v>
      </c>
      <c r="K767" s="221"/>
      <c r="M767" s="221"/>
      <c r="N767" s="221"/>
      <c r="O767" s="221"/>
      <c r="Q767" s="221"/>
      <c r="R767" s="221"/>
      <c r="S767" s="222"/>
    </row>
    <row r="768" spans="2:19" x14ac:dyDescent="0.25">
      <c r="B768" s="14">
        <v>768</v>
      </c>
      <c r="K768" s="221"/>
      <c r="M768" s="221"/>
      <c r="N768" s="221"/>
      <c r="O768" s="221"/>
      <c r="Q768" s="221"/>
      <c r="R768" s="221"/>
      <c r="S768" s="222"/>
    </row>
    <row r="769" spans="2:19" x14ac:dyDescent="0.25">
      <c r="B769" s="14">
        <v>769</v>
      </c>
      <c r="K769" s="221"/>
      <c r="M769" s="221"/>
      <c r="N769" s="221"/>
      <c r="O769" s="221"/>
      <c r="Q769" s="221"/>
      <c r="R769" s="221"/>
      <c r="S769" s="222"/>
    </row>
    <row r="770" spans="2:19" x14ac:dyDescent="0.25">
      <c r="B770" s="14">
        <v>770</v>
      </c>
      <c r="K770" s="221"/>
      <c r="M770" s="221"/>
      <c r="N770" s="221"/>
      <c r="O770" s="221"/>
      <c r="Q770" s="221"/>
      <c r="R770" s="221"/>
      <c r="S770" s="222"/>
    </row>
    <row r="771" spans="2:19" x14ac:dyDescent="0.25">
      <c r="B771" s="14">
        <v>771</v>
      </c>
      <c r="K771" s="221"/>
      <c r="M771" s="221"/>
      <c r="N771" s="221"/>
      <c r="O771" s="221"/>
      <c r="Q771" s="221"/>
      <c r="R771" s="221"/>
      <c r="S771" s="222"/>
    </row>
    <row r="772" spans="2:19" x14ac:dyDescent="0.25">
      <c r="B772" s="14">
        <v>772</v>
      </c>
      <c r="K772" s="221"/>
      <c r="M772" s="221"/>
      <c r="N772" s="221"/>
      <c r="O772" s="221"/>
      <c r="Q772" s="221"/>
      <c r="R772" s="221"/>
      <c r="S772" s="222"/>
    </row>
    <row r="773" spans="2:19" x14ac:dyDescent="0.25">
      <c r="B773" s="14">
        <v>773</v>
      </c>
      <c r="K773" s="221"/>
      <c r="M773" s="221"/>
      <c r="N773" s="221"/>
      <c r="O773" s="221"/>
      <c r="Q773" s="221"/>
      <c r="R773" s="221"/>
      <c r="S773" s="222"/>
    </row>
    <row r="774" spans="2:19" x14ac:dyDescent="0.25">
      <c r="B774" s="14">
        <v>774</v>
      </c>
      <c r="K774" s="221"/>
      <c r="M774" s="221"/>
      <c r="N774" s="221"/>
      <c r="O774" s="221"/>
      <c r="Q774" s="221"/>
      <c r="R774" s="221"/>
      <c r="S774" s="222"/>
    </row>
    <row r="775" spans="2:19" x14ac:dyDescent="0.25">
      <c r="B775" s="14">
        <v>775</v>
      </c>
      <c r="K775" s="221"/>
      <c r="M775" s="221"/>
      <c r="N775" s="221"/>
      <c r="O775" s="221"/>
      <c r="Q775" s="221"/>
      <c r="R775" s="221"/>
      <c r="S775" s="222"/>
    </row>
    <row r="776" spans="2:19" x14ac:dyDescent="0.25">
      <c r="B776" s="14">
        <v>776</v>
      </c>
      <c r="K776" s="221"/>
      <c r="M776" s="221"/>
      <c r="N776" s="221"/>
      <c r="O776" s="221"/>
      <c r="Q776" s="221"/>
      <c r="R776" s="221"/>
      <c r="S776" s="222"/>
    </row>
    <row r="777" spans="2:19" x14ac:dyDescent="0.25">
      <c r="B777" s="14">
        <v>777</v>
      </c>
      <c r="K777" s="221"/>
      <c r="M777" s="221"/>
      <c r="N777" s="221"/>
      <c r="O777" s="221"/>
      <c r="Q777" s="221"/>
      <c r="R777" s="221"/>
      <c r="S777" s="222"/>
    </row>
    <row r="778" spans="2:19" x14ac:dyDescent="0.25">
      <c r="B778" s="14">
        <v>778</v>
      </c>
      <c r="K778" s="221"/>
      <c r="M778" s="221"/>
      <c r="N778" s="221"/>
      <c r="O778" s="221"/>
      <c r="Q778" s="221"/>
      <c r="R778" s="221"/>
      <c r="S778" s="222"/>
    </row>
    <row r="779" spans="2:19" x14ac:dyDescent="0.25">
      <c r="B779" s="14">
        <v>779</v>
      </c>
      <c r="K779" s="221"/>
      <c r="M779" s="221"/>
      <c r="N779" s="221"/>
      <c r="O779" s="221"/>
      <c r="Q779" s="221"/>
      <c r="R779" s="221"/>
      <c r="S779" s="222"/>
    </row>
    <row r="780" spans="2:19" x14ac:dyDescent="0.25">
      <c r="B780" s="14">
        <v>780</v>
      </c>
      <c r="K780" s="221"/>
      <c r="M780" s="221"/>
      <c r="N780" s="221"/>
      <c r="O780" s="221"/>
      <c r="Q780" s="221"/>
      <c r="R780" s="221"/>
      <c r="S780" s="222"/>
    </row>
    <row r="781" spans="2:19" x14ac:dyDescent="0.25">
      <c r="B781" s="14">
        <v>781</v>
      </c>
      <c r="K781" s="221"/>
      <c r="M781" s="221"/>
      <c r="N781" s="221"/>
      <c r="O781" s="221"/>
      <c r="Q781" s="221"/>
      <c r="R781" s="221"/>
      <c r="S781" s="222"/>
    </row>
    <row r="782" spans="2:19" x14ac:dyDescent="0.25">
      <c r="B782" s="14">
        <v>782</v>
      </c>
      <c r="K782" s="221"/>
      <c r="M782" s="221"/>
      <c r="N782" s="221"/>
      <c r="O782" s="221"/>
      <c r="Q782" s="221"/>
      <c r="R782" s="221"/>
      <c r="S782" s="222"/>
    </row>
    <row r="783" spans="2:19" x14ac:dyDescent="0.25">
      <c r="B783" s="14">
        <v>783</v>
      </c>
      <c r="K783" s="221"/>
      <c r="M783" s="221"/>
      <c r="N783" s="221"/>
      <c r="O783" s="221"/>
      <c r="Q783" s="221"/>
      <c r="R783" s="221"/>
      <c r="S783" s="222"/>
    </row>
    <row r="784" spans="2:19" x14ac:dyDescent="0.25">
      <c r="B784" s="14">
        <v>784</v>
      </c>
      <c r="K784" s="221"/>
      <c r="M784" s="221"/>
      <c r="N784" s="221"/>
      <c r="O784" s="221"/>
      <c r="Q784" s="221"/>
      <c r="R784" s="221"/>
      <c r="S784" s="222"/>
    </row>
    <row r="785" spans="2:19" x14ac:dyDescent="0.25">
      <c r="B785" s="14">
        <v>785</v>
      </c>
      <c r="K785" s="221"/>
      <c r="M785" s="221"/>
      <c r="N785" s="221"/>
      <c r="O785" s="221"/>
      <c r="Q785" s="221"/>
      <c r="R785" s="221"/>
      <c r="S785" s="222"/>
    </row>
    <row r="786" spans="2:19" x14ac:dyDescent="0.25">
      <c r="B786" s="14">
        <v>786</v>
      </c>
      <c r="K786" s="221"/>
      <c r="M786" s="221"/>
      <c r="N786" s="221"/>
      <c r="O786" s="221"/>
      <c r="Q786" s="221"/>
      <c r="R786" s="221"/>
      <c r="S786" s="222"/>
    </row>
    <row r="787" spans="2:19" x14ac:dyDescent="0.25">
      <c r="B787" s="14">
        <v>787</v>
      </c>
      <c r="K787" s="221"/>
      <c r="M787" s="221"/>
      <c r="N787" s="221"/>
      <c r="O787" s="221"/>
      <c r="Q787" s="221"/>
      <c r="R787" s="221"/>
      <c r="S787" s="222"/>
    </row>
    <row r="788" spans="2:19" x14ac:dyDescent="0.25">
      <c r="B788" s="14">
        <v>788</v>
      </c>
      <c r="K788" s="221"/>
      <c r="M788" s="221"/>
      <c r="N788" s="221"/>
      <c r="O788" s="221"/>
      <c r="Q788" s="221"/>
      <c r="R788" s="221"/>
      <c r="S788" s="222"/>
    </row>
    <row r="789" spans="2:19" x14ac:dyDescent="0.25">
      <c r="B789" s="14">
        <v>789</v>
      </c>
      <c r="K789" s="221"/>
      <c r="M789" s="221"/>
      <c r="N789" s="221"/>
      <c r="O789" s="221"/>
      <c r="Q789" s="221"/>
      <c r="R789" s="221"/>
      <c r="S789" s="222"/>
    </row>
    <row r="790" spans="2:19" x14ac:dyDescent="0.25">
      <c r="B790" s="14">
        <v>790</v>
      </c>
      <c r="K790" s="221"/>
      <c r="M790" s="221"/>
      <c r="N790" s="221"/>
      <c r="O790" s="221"/>
      <c r="Q790" s="221"/>
      <c r="R790" s="221"/>
      <c r="S790" s="222"/>
    </row>
    <row r="791" spans="2:19" x14ac:dyDescent="0.25">
      <c r="B791" s="14">
        <v>791</v>
      </c>
      <c r="K791" s="221"/>
      <c r="M791" s="221"/>
      <c r="N791" s="221"/>
      <c r="O791" s="221"/>
      <c r="Q791" s="221"/>
      <c r="R791" s="221"/>
      <c r="S791" s="222"/>
    </row>
    <row r="792" spans="2:19" x14ac:dyDescent="0.25">
      <c r="B792" s="14">
        <v>792</v>
      </c>
      <c r="K792" s="221"/>
      <c r="M792" s="221"/>
      <c r="N792" s="221"/>
      <c r="O792" s="221"/>
      <c r="Q792" s="221"/>
      <c r="R792" s="221"/>
      <c r="S792" s="222"/>
    </row>
    <row r="793" spans="2:19" x14ac:dyDescent="0.25">
      <c r="B793" s="14">
        <v>793</v>
      </c>
      <c r="K793" s="221"/>
      <c r="M793" s="221"/>
      <c r="N793" s="221"/>
      <c r="O793" s="221"/>
      <c r="Q793" s="221"/>
      <c r="R793" s="221"/>
      <c r="S793" s="222"/>
    </row>
    <row r="794" spans="2:19" x14ac:dyDescent="0.25">
      <c r="B794" s="14">
        <v>794</v>
      </c>
      <c r="K794" s="221"/>
      <c r="M794" s="221"/>
      <c r="N794" s="221"/>
      <c r="O794" s="221"/>
      <c r="Q794" s="221"/>
      <c r="R794" s="221"/>
      <c r="S794" s="222"/>
    </row>
    <row r="795" spans="2:19" x14ac:dyDescent="0.25">
      <c r="B795" s="14">
        <v>795</v>
      </c>
      <c r="K795" s="221"/>
      <c r="M795" s="221"/>
      <c r="N795" s="221"/>
      <c r="O795" s="221"/>
      <c r="Q795" s="221"/>
      <c r="R795" s="221"/>
      <c r="S795" s="222"/>
    </row>
    <row r="796" spans="2:19" x14ac:dyDescent="0.25">
      <c r="B796" s="14">
        <v>796</v>
      </c>
      <c r="K796" s="221"/>
      <c r="M796" s="221"/>
      <c r="N796" s="221"/>
      <c r="O796" s="221"/>
      <c r="Q796" s="221"/>
      <c r="R796" s="221"/>
      <c r="S796" s="222"/>
    </row>
    <row r="797" spans="2:19" x14ac:dyDescent="0.25">
      <c r="B797" s="14">
        <v>797</v>
      </c>
      <c r="K797" s="221"/>
      <c r="M797" s="221"/>
      <c r="N797" s="221"/>
      <c r="O797" s="221"/>
      <c r="Q797" s="221"/>
      <c r="R797" s="221"/>
      <c r="S797" s="222"/>
    </row>
    <row r="798" spans="2:19" x14ac:dyDescent="0.25">
      <c r="B798" s="14">
        <v>798</v>
      </c>
      <c r="K798" s="221"/>
      <c r="M798" s="221"/>
      <c r="N798" s="221"/>
      <c r="O798" s="221"/>
      <c r="Q798" s="221"/>
      <c r="R798" s="221"/>
      <c r="S798" s="222"/>
    </row>
    <row r="799" spans="2:19" x14ac:dyDescent="0.25">
      <c r="B799" s="14">
        <v>799</v>
      </c>
      <c r="K799" s="221"/>
      <c r="M799" s="221"/>
      <c r="N799" s="221"/>
      <c r="O799" s="221"/>
      <c r="Q799" s="221"/>
      <c r="R799" s="221"/>
      <c r="S799" s="222"/>
    </row>
    <row r="800" spans="2:19" x14ac:dyDescent="0.25">
      <c r="B800" s="14">
        <v>800</v>
      </c>
      <c r="K800" s="221"/>
      <c r="M800" s="221"/>
      <c r="N800" s="221"/>
      <c r="O800" s="221"/>
      <c r="Q800" s="221"/>
      <c r="R800" s="221"/>
      <c r="S800" s="222"/>
    </row>
    <row r="801" spans="2:19" x14ac:dyDescent="0.25">
      <c r="B801" s="14">
        <v>801</v>
      </c>
      <c r="K801" s="221"/>
      <c r="M801" s="221"/>
      <c r="N801" s="221"/>
      <c r="O801" s="221"/>
      <c r="Q801" s="221"/>
      <c r="R801" s="221"/>
      <c r="S801" s="222"/>
    </row>
    <row r="802" spans="2:19" x14ac:dyDescent="0.25">
      <c r="B802" s="14">
        <v>802</v>
      </c>
      <c r="K802" s="221"/>
      <c r="M802" s="221"/>
      <c r="N802" s="221"/>
      <c r="O802" s="221"/>
      <c r="Q802" s="221"/>
      <c r="R802" s="221"/>
      <c r="S802" s="222"/>
    </row>
    <row r="803" spans="2:19" x14ac:dyDescent="0.25">
      <c r="B803" s="14">
        <v>803</v>
      </c>
      <c r="K803" s="221"/>
      <c r="M803" s="221"/>
      <c r="N803" s="221"/>
      <c r="O803" s="221"/>
      <c r="Q803" s="221"/>
      <c r="R803" s="221"/>
      <c r="S803" s="222"/>
    </row>
    <row r="804" spans="2:19" x14ac:dyDescent="0.25">
      <c r="B804" s="14">
        <v>804</v>
      </c>
      <c r="K804" s="221"/>
      <c r="M804" s="221"/>
      <c r="N804" s="221"/>
      <c r="O804" s="221"/>
      <c r="Q804" s="221"/>
      <c r="R804" s="221"/>
      <c r="S804" s="222"/>
    </row>
    <row r="805" spans="2:19" x14ac:dyDescent="0.25">
      <c r="B805" s="14">
        <v>805</v>
      </c>
      <c r="K805" s="221"/>
      <c r="M805" s="221"/>
      <c r="N805" s="221"/>
      <c r="O805" s="221"/>
      <c r="Q805" s="221"/>
      <c r="R805" s="221"/>
      <c r="S805" s="222"/>
    </row>
    <row r="806" spans="2:19" x14ac:dyDescent="0.25">
      <c r="B806" s="14">
        <v>806</v>
      </c>
      <c r="K806" s="221"/>
      <c r="M806" s="221"/>
      <c r="N806" s="221"/>
      <c r="O806" s="221"/>
      <c r="Q806" s="221"/>
      <c r="R806" s="221"/>
      <c r="S806" s="222"/>
    </row>
    <row r="807" spans="2:19" x14ac:dyDescent="0.25">
      <c r="B807" s="14">
        <v>807</v>
      </c>
      <c r="K807" s="221"/>
      <c r="M807" s="221"/>
      <c r="N807" s="221"/>
      <c r="O807" s="221"/>
      <c r="Q807" s="221"/>
      <c r="R807" s="221"/>
      <c r="S807" s="222"/>
    </row>
    <row r="808" spans="2:19" x14ac:dyDescent="0.25">
      <c r="B808" s="14">
        <v>808</v>
      </c>
      <c r="K808" s="221"/>
      <c r="M808" s="221"/>
      <c r="N808" s="221"/>
      <c r="O808" s="221"/>
      <c r="Q808" s="221"/>
      <c r="R808" s="221"/>
      <c r="S808" s="222"/>
    </row>
    <row r="809" spans="2:19" x14ac:dyDescent="0.25">
      <c r="B809" s="14">
        <v>809</v>
      </c>
      <c r="K809" s="221"/>
      <c r="M809" s="221"/>
      <c r="N809" s="221"/>
      <c r="O809" s="221"/>
      <c r="Q809" s="221"/>
      <c r="R809" s="221"/>
      <c r="S809" s="222"/>
    </row>
    <row r="810" spans="2:19" x14ac:dyDescent="0.25">
      <c r="B810" s="14">
        <v>810</v>
      </c>
      <c r="K810" s="221"/>
      <c r="M810" s="221"/>
      <c r="N810" s="221"/>
      <c r="O810" s="221"/>
      <c r="Q810" s="221"/>
      <c r="R810" s="221"/>
      <c r="S810" s="222"/>
    </row>
    <row r="811" spans="2:19" x14ac:dyDescent="0.25">
      <c r="B811" s="14">
        <v>811</v>
      </c>
      <c r="K811" s="221"/>
      <c r="M811" s="221"/>
      <c r="N811" s="221"/>
      <c r="O811" s="221"/>
      <c r="Q811" s="221"/>
      <c r="R811" s="221"/>
      <c r="S811" s="222"/>
    </row>
    <row r="812" spans="2:19" x14ac:dyDescent="0.25">
      <c r="B812" s="14">
        <v>812</v>
      </c>
      <c r="K812" s="221"/>
      <c r="M812" s="221"/>
      <c r="N812" s="221"/>
      <c r="O812" s="221"/>
      <c r="Q812" s="221"/>
      <c r="R812" s="221"/>
      <c r="S812" s="222"/>
    </row>
    <row r="813" spans="2:19" x14ac:dyDescent="0.25">
      <c r="B813" s="14">
        <v>813</v>
      </c>
      <c r="K813" s="221"/>
      <c r="M813" s="221"/>
      <c r="N813" s="221"/>
      <c r="O813" s="221"/>
      <c r="Q813" s="221"/>
      <c r="R813" s="221"/>
      <c r="S813" s="222"/>
    </row>
    <row r="814" spans="2:19" x14ac:dyDescent="0.25">
      <c r="B814" s="14">
        <v>814</v>
      </c>
      <c r="K814" s="221"/>
      <c r="M814" s="221"/>
      <c r="N814" s="221"/>
      <c r="O814" s="221"/>
      <c r="Q814" s="221"/>
      <c r="R814" s="221"/>
      <c r="S814" s="222"/>
    </row>
    <row r="815" spans="2:19" x14ac:dyDescent="0.25">
      <c r="B815" s="14">
        <v>815</v>
      </c>
      <c r="K815" s="221"/>
      <c r="M815" s="221"/>
      <c r="N815" s="221"/>
      <c r="O815" s="221"/>
      <c r="Q815" s="221"/>
      <c r="R815" s="221"/>
      <c r="S815" s="222"/>
    </row>
    <row r="816" spans="2:19" x14ac:dyDescent="0.25">
      <c r="B816" s="14">
        <v>816</v>
      </c>
      <c r="K816" s="221"/>
      <c r="M816" s="221"/>
      <c r="N816" s="221"/>
      <c r="O816" s="221"/>
      <c r="Q816" s="221"/>
      <c r="R816" s="221"/>
      <c r="S816" s="222"/>
    </row>
    <row r="817" spans="2:19" x14ac:dyDescent="0.25">
      <c r="B817" s="14">
        <v>817</v>
      </c>
      <c r="K817" s="221"/>
      <c r="M817" s="221"/>
      <c r="N817" s="221"/>
      <c r="O817" s="221"/>
      <c r="Q817" s="221"/>
      <c r="R817" s="221"/>
      <c r="S817" s="222"/>
    </row>
    <row r="818" spans="2:19" x14ac:dyDescent="0.25">
      <c r="B818" s="14">
        <v>818</v>
      </c>
      <c r="K818" s="221"/>
      <c r="M818" s="221"/>
      <c r="N818" s="221"/>
      <c r="O818" s="221"/>
      <c r="Q818" s="221"/>
      <c r="R818" s="221"/>
      <c r="S818" s="222"/>
    </row>
    <row r="819" spans="2:19" x14ac:dyDescent="0.25">
      <c r="B819" s="14">
        <v>819</v>
      </c>
      <c r="K819" s="221"/>
      <c r="M819" s="221"/>
      <c r="N819" s="221"/>
      <c r="O819" s="221"/>
      <c r="Q819" s="221"/>
      <c r="R819" s="221"/>
      <c r="S819" s="222"/>
    </row>
    <row r="820" spans="2:19" x14ac:dyDescent="0.25">
      <c r="B820" s="14">
        <v>820</v>
      </c>
      <c r="K820" s="221"/>
      <c r="M820" s="221"/>
      <c r="N820" s="221"/>
      <c r="O820" s="221"/>
      <c r="Q820" s="221"/>
      <c r="R820" s="221"/>
      <c r="S820" s="222"/>
    </row>
    <row r="821" spans="2:19" x14ac:dyDescent="0.25">
      <c r="B821" s="14">
        <v>821</v>
      </c>
      <c r="K821" s="221"/>
      <c r="M821" s="221"/>
      <c r="N821" s="221"/>
      <c r="O821" s="221"/>
      <c r="Q821" s="221"/>
      <c r="R821" s="221"/>
      <c r="S821" s="222"/>
    </row>
    <row r="822" spans="2:19" x14ac:dyDescent="0.25">
      <c r="B822" s="14">
        <v>822</v>
      </c>
      <c r="K822" s="221"/>
      <c r="M822" s="221"/>
      <c r="N822" s="221"/>
      <c r="O822" s="221"/>
      <c r="Q822" s="221"/>
      <c r="R822" s="221"/>
      <c r="S822" s="222"/>
    </row>
    <row r="823" spans="2:19" x14ac:dyDescent="0.25">
      <c r="B823" s="14">
        <v>823</v>
      </c>
      <c r="K823" s="221"/>
      <c r="M823" s="221"/>
      <c r="N823" s="221"/>
      <c r="O823" s="221"/>
      <c r="Q823" s="221"/>
      <c r="R823" s="221"/>
      <c r="S823" s="222"/>
    </row>
    <row r="824" spans="2:19" x14ac:dyDescent="0.25">
      <c r="B824" s="14">
        <v>824</v>
      </c>
      <c r="K824" s="221"/>
      <c r="M824" s="221"/>
      <c r="N824" s="221"/>
      <c r="O824" s="221"/>
      <c r="Q824" s="221"/>
      <c r="R824" s="221"/>
      <c r="S824" s="222"/>
    </row>
    <row r="825" spans="2:19" x14ac:dyDescent="0.25">
      <c r="B825" s="14">
        <v>825</v>
      </c>
      <c r="K825" s="221"/>
      <c r="M825" s="221"/>
      <c r="N825" s="221"/>
      <c r="O825" s="221"/>
      <c r="Q825" s="221"/>
      <c r="R825" s="221"/>
      <c r="S825" s="222"/>
    </row>
    <row r="826" spans="2:19" x14ac:dyDescent="0.25">
      <c r="B826" s="14">
        <v>826</v>
      </c>
      <c r="K826" s="221"/>
      <c r="M826" s="221"/>
      <c r="N826" s="221"/>
      <c r="O826" s="221"/>
      <c r="Q826" s="221"/>
      <c r="R826" s="221"/>
      <c r="S826" s="222"/>
    </row>
    <row r="827" spans="2:19" x14ac:dyDescent="0.25">
      <c r="B827" s="14">
        <v>827</v>
      </c>
      <c r="K827" s="221"/>
      <c r="M827" s="221"/>
      <c r="N827" s="221"/>
      <c r="O827" s="221"/>
      <c r="Q827" s="221"/>
      <c r="R827" s="221"/>
      <c r="S827" s="222"/>
    </row>
    <row r="828" spans="2:19" x14ac:dyDescent="0.25">
      <c r="B828" s="14">
        <v>828</v>
      </c>
      <c r="K828" s="221"/>
      <c r="M828" s="221"/>
      <c r="N828" s="221"/>
      <c r="O828" s="221"/>
      <c r="Q828" s="221"/>
      <c r="R828" s="221"/>
      <c r="S828" s="222"/>
    </row>
    <row r="829" spans="2:19" x14ac:dyDescent="0.25">
      <c r="B829" s="14">
        <v>829</v>
      </c>
      <c r="K829" s="221"/>
      <c r="M829" s="221"/>
      <c r="N829" s="221"/>
      <c r="O829" s="221"/>
      <c r="Q829" s="221"/>
      <c r="R829" s="221"/>
      <c r="S829" s="222"/>
    </row>
    <row r="830" spans="2:19" x14ac:dyDescent="0.25">
      <c r="B830" s="14">
        <v>830</v>
      </c>
      <c r="K830" s="221"/>
      <c r="M830" s="221"/>
      <c r="N830" s="221"/>
      <c r="O830" s="221"/>
      <c r="Q830" s="221"/>
      <c r="R830" s="221"/>
      <c r="S830" s="222"/>
    </row>
    <row r="831" spans="2:19" x14ac:dyDescent="0.25">
      <c r="B831" s="14">
        <v>831</v>
      </c>
      <c r="K831" s="221"/>
      <c r="M831" s="221"/>
      <c r="N831" s="221"/>
      <c r="O831" s="221"/>
      <c r="Q831" s="221"/>
      <c r="R831" s="221"/>
      <c r="S831" s="222"/>
    </row>
    <row r="832" spans="2:19" x14ac:dyDescent="0.25">
      <c r="B832" s="14">
        <v>832</v>
      </c>
      <c r="K832" s="221"/>
      <c r="M832" s="221"/>
      <c r="N832" s="221"/>
      <c r="O832" s="221"/>
      <c r="Q832" s="221"/>
      <c r="R832" s="221"/>
      <c r="S832" s="222"/>
    </row>
    <row r="833" spans="2:19" x14ac:dyDescent="0.25">
      <c r="B833" s="14">
        <v>833</v>
      </c>
      <c r="K833" s="221"/>
      <c r="M833" s="221"/>
      <c r="N833" s="221"/>
      <c r="O833" s="221"/>
      <c r="Q833" s="221"/>
      <c r="R833" s="221"/>
      <c r="S833" s="222"/>
    </row>
    <row r="834" spans="2:19" x14ac:dyDescent="0.25">
      <c r="B834" s="14">
        <v>834</v>
      </c>
      <c r="K834" s="221"/>
      <c r="M834" s="221"/>
      <c r="N834" s="221"/>
      <c r="O834" s="221"/>
      <c r="Q834" s="221"/>
      <c r="R834" s="221"/>
      <c r="S834" s="222"/>
    </row>
    <row r="835" spans="2:19" x14ac:dyDescent="0.25">
      <c r="B835" s="14">
        <v>835</v>
      </c>
      <c r="K835" s="221"/>
      <c r="M835" s="221"/>
      <c r="N835" s="221"/>
      <c r="O835" s="221"/>
      <c r="Q835" s="221"/>
      <c r="R835" s="221"/>
      <c r="S835" s="222"/>
    </row>
    <row r="836" spans="2:19" x14ac:dyDescent="0.25">
      <c r="B836" s="14">
        <v>836</v>
      </c>
      <c r="K836" s="221"/>
      <c r="M836" s="221"/>
      <c r="N836" s="221"/>
      <c r="O836" s="221"/>
      <c r="Q836" s="221"/>
      <c r="R836" s="221"/>
      <c r="S836" s="222"/>
    </row>
    <row r="837" spans="2:19" x14ac:dyDescent="0.25">
      <c r="B837" s="14">
        <v>837</v>
      </c>
      <c r="K837" s="221"/>
      <c r="M837" s="221"/>
      <c r="N837" s="221"/>
      <c r="O837" s="221"/>
      <c r="Q837" s="221"/>
      <c r="R837" s="221"/>
      <c r="S837" s="222"/>
    </row>
    <row r="838" spans="2:19" x14ac:dyDescent="0.25">
      <c r="B838" s="14">
        <v>838</v>
      </c>
      <c r="K838" s="221"/>
      <c r="M838" s="221"/>
      <c r="N838" s="221"/>
      <c r="O838" s="221"/>
      <c r="Q838" s="221"/>
      <c r="R838" s="221"/>
      <c r="S838" s="222"/>
    </row>
    <row r="839" spans="2:19" x14ac:dyDescent="0.25">
      <c r="B839" s="14">
        <v>839</v>
      </c>
      <c r="K839" s="221"/>
      <c r="M839" s="221"/>
      <c r="N839" s="221"/>
      <c r="O839" s="221"/>
      <c r="Q839" s="221"/>
      <c r="R839" s="221"/>
      <c r="S839" s="222"/>
    </row>
    <row r="840" spans="2:19" x14ac:dyDescent="0.25">
      <c r="B840" s="14">
        <v>840</v>
      </c>
      <c r="K840" s="221"/>
      <c r="M840" s="221"/>
      <c r="N840" s="221"/>
      <c r="O840" s="221"/>
      <c r="Q840" s="221"/>
      <c r="R840" s="221"/>
      <c r="S840" s="222"/>
    </row>
    <row r="841" spans="2:19" x14ac:dyDescent="0.25">
      <c r="B841" s="14">
        <v>841</v>
      </c>
      <c r="K841" s="221"/>
      <c r="M841" s="221"/>
      <c r="N841" s="221"/>
      <c r="O841" s="221"/>
      <c r="Q841" s="221"/>
      <c r="R841" s="221"/>
      <c r="S841" s="222"/>
    </row>
    <row r="842" spans="2:19" x14ac:dyDescent="0.25">
      <c r="B842" s="14">
        <v>842</v>
      </c>
      <c r="K842" s="221"/>
      <c r="M842" s="221"/>
      <c r="N842" s="221"/>
      <c r="O842" s="221"/>
      <c r="Q842" s="221"/>
      <c r="R842" s="221"/>
      <c r="S842" s="222"/>
    </row>
    <row r="843" spans="2:19" x14ac:dyDescent="0.25">
      <c r="B843" s="14">
        <v>843</v>
      </c>
      <c r="K843" s="221"/>
      <c r="M843" s="221"/>
      <c r="N843" s="221"/>
      <c r="O843" s="221"/>
      <c r="Q843" s="221"/>
      <c r="R843" s="221"/>
      <c r="S843" s="222"/>
    </row>
    <row r="844" spans="2:19" x14ac:dyDescent="0.25">
      <c r="B844" s="14">
        <v>844</v>
      </c>
      <c r="K844" s="221"/>
      <c r="M844" s="221"/>
      <c r="N844" s="221"/>
      <c r="O844" s="221"/>
      <c r="Q844" s="221"/>
      <c r="R844" s="221"/>
      <c r="S844" s="222"/>
    </row>
    <row r="845" spans="2:19" x14ac:dyDescent="0.25">
      <c r="B845" s="14">
        <v>845</v>
      </c>
      <c r="K845" s="221"/>
      <c r="M845" s="221"/>
      <c r="N845" s="221"/>
      <c r="O845" s="221"/>
      <c r="Q845" s="221"/>
      <c r="R845" s="221"/>
      <c r="S845" s="222"/>
    </row>
    <row r="846" spans="2:19" x14ac:dyDescent="0.25">
      <c r="B846" s="14">
        <v>846</v>
      </c>
      <c r="K846" s="221"/>
      <c r="M846" s="221"/>
      <c r="N846" s="221"/>
      <c r="O846" s="221"/>
      <c r="Q846" s="221"/>
      <c r="R846" s="221"/>
      <c r="S846" s="222"/>
    </row>
    <row r="847" spans="2:19" x14ac:dyDescent="0.25">
      <c r="B847" s="14">
        <v>847</v>
      </c>
      <c r="K847" s="221"/>
      <c r="M847" s="221"/>
      <c r="N847" s="221"/>
      <c r="O847" s="221"/>
      <c r="Q847" s="221"/>
      <c r="R847" s="221"/>
      <c r="S847" s="222"/>
    </row>
    <row r="848" spans="2:19" x14ac:dyDescent="0.25">
      <c r="B848" s="14">
        <v>848</v>
      </c>
      <c r="K848" s="221"/>
      <c r="M848" s="221"/>
      <c r="N848" s="221"/>
      <c r="O848" s="221"/>
      <c r="Q848" s="221"/>
      <c r="R848" s="221"/>
      <c r="S848" s="222"/>
    </row>
    <row r="849" spans="2:19" x14ac:dyDescent="0.25">
      <c r="B849" s="14">
        <v>849</v>
      </c>
      <c r="K849" s="221"/>
      <c r="M849" s="221"/>
      <c r="N849" s="221"/>
      <c r="O849" s="221"/>
      <c r="Q849" s="221"/>
      <c r="R849" s="221"/>
      <c r="S849" s="222"/>
    </row>
    <row r="850" spans="2:19" x14ac:dyDescent="0.25">
      <c r="B850" s="14">
        <v>850</v>
      </c>
      <c r="K850" s="221"/>
      <c r="M850" s="221"/>
      <c r="N850" s="221"/>
      <c r="O850" s="221"/>
      <c r="Q850" s="221"/>
      <c r="R850" s="221"/>
      <c r="S850" s="222"/>
    </row>
    <row r="851" spans="2:19" x14ac:dyDescent="0.25">
      <c r="B851" s="14">
        <v>851</v>
      </c>
      <c r="K851" s="221"/>
      <c r="M851" s="221"/>
      <c r="N851" s="221"/>
      <c r="O851" s="221"/>
      <c r="Q851" s="221"/>
      <c r="R851" s="221"/>
      <c r="S851" s="222"/>
    </row>
    <row r="852" spans="2:19" x14ac:dyDescent="0.25">
      <c r="B852" s="14">
        <v>852</v>
      </c>
      <c r="K852" s="221"/>
      <c r="M852" s="221"/>
      <c r="N852" s="221"/>
      <c r="O852" s="221"/>
      <c r="Q852" s="221"/>
      <c r="R852" s="221"/>
      <c r="S852" s="222"/>
    </row>
    <row r="853" spans="2:19" x14ac:dyDescent="0.25">
      <c r="B853" s="14">
        <v>853</v>
      </c>
      <c r="K853" s="221"/>
      <c r="M853" s="221"/>
      <c r="N853" s="221"/>
      <c r="O853" s="221"/>
      <c r="Q853" s="221"/>
      <c r="R853" s="221"/>
      <c r="S853" s="222"/>
    </row>
    <row r="854" spans="2:19" x14ac:dyDescent="0.25">
      <c r="B854" s="14">
        <v>854</v>
      </c>
      <c r="K854" s="221"/>
      <c r="M854" s="221"/>
      <c r="N854" s="221"/>
      <c r="O854" s="221"/>
      <c r="Q854" s="221"/>
      <c r="R854" s="221"/>
      <c r="S854" s="222"/>
    </row>
    <row r="855" spans="2:19" x14ac:dyDescent="0.25">
      <c r="B855" s="14">
        <v>855</v>
      </c>
      <c r="K855" s="221"/>
      <c r="M855" s="221"/>
      <c r="N855" s="221"/>
      <c r="O855" s="221"/>
      <c r="Q855" s="221"/>
      <c r="R855" s="221"/>
      <c r="S855" s="222"/>
    </row>
    <row r="856" spans="2:19" x14ac:dyDescent="0.25">
      <c r="B856" s="14">
        <v>856</v>
      </c>
      <c r="K856" s="221"/>
      <c r="M856" s="221"/>
      <c r="N856" s="221"/>
      <c r="O856" s="221"/>
      <c r="Q856" s="221"/>
      <c r="R856" s="221"/>
      <c r="S856" s="222"/>
    </row>
    <row r="857" spans="2:19" x14ac:dyDescent="0.25">
      <c r="B857" s="14">
        <v>857</v>
      </c>
      <c r="K857" s="221"/>
      <c r="M857" s="221"/>
      <c r="N857" s="221"/>
      <c r="O857" s="221"/>
      <c r="Q857" s="221"/>
      <c r="R857" s="221"/>
      <c r="S857" s="222"/>
    </row>
    <row r="858" spans="2:19" x14ac:dyDescent="0.25">
      <c r="B858" s="14">
        <v>858</v>
      </c>
      <c r="K858" s="221"/>
      <c r="M858" s="221"/>
      <c r="N858" s="221"/>
      <c r="O858" s="221"/>
      <c r="Q858" s="221"/>
      <c r="R858" s="221"/>
      <c r="S858" s="222"/>
    </row>
    <row r="859" spans="2:19" x14ac:dyDescent="0.25">
      <c r="B859" s="14">
        <v>859</v>
      </c>
      <c r="K859" s="221"/>
      <c r="M859" s="221"/>
      <c r="N859" s="221"/>
      <c r="O859" s="221"/>
      <c r="Q859" s="221"/>
      <c r="R859" s="221"/>
      <c r="S859" s="222"/>
    </row>
    <row r="860" spans="2:19" x14ac:dyDescent="0.25">
      <c r="B860" s="14">
        <v>860</v>
      </c>
      <c r="K860" s="221"/>
      <c r="M860" s="221"/>
      <c r="N860" s="221"/>
      <c r="O860" s="221"/>
      <c r="Q860" s="221"/>
      <c r="R860" s="221"/>
      <c r="S860" s="222"/>
    </row>
    <row r="861" spans="2:19" x14ac:dyDescent="0.25">
      <c r="B861" s="14">
        <v>861</v>
      </c>
      <c r="K861" s="221"/>
      <c r="M861" s="221"/>
      <c r="N861" s="221"/>
      <c r="O861" s="221"/>
      <c r="Q861" s="221"/>
      <c r="R861" s="221"/>
      <c r="S861" s="222"/>
    </row>
    <row r="862" spans="2:19" x14ac:dyDescent="0.25">
      <c r="B862" s="14">
        <v>862</v>
      </c>
      <c r="K862" s="221"/>
      <c r="M862" s="221"/>
      <c r="N862" s="221"/>
      <c r="O862" s="221"/>
      <c r="Q862" s="221"/>
      <c r="R862" s="221"/>
      <c r="S862" s="222"/>
    </row>
    <row r="863" spans="2:19" x14ac:dyDescent="0.25">
      <c r="B863" s="14">
        <v>863</v>
      </c>
      <c r="K863" s="221"/>
      <c r="M863" s="221"/>
      <c r="N863" s="221"/>
      <c r="O863" s="221"/>
      <c r="Q863" s="221"/>
      <c r="R863" s="221"/>
      <c r="S863" s="222"/>
    </row>
    <row r="864" spans="2:19" x14ac:dyDescent="0.25">
      <c r="B864" s="14">
        <v>864</v>
      </c>
      <c r="K864" s="221"/>
      <c r="M864" s="221"/>
      <c r="N864" s="221"/>
      <c r="O864" s="221"/>
      <c r="Q864" s="221"/>
      <c r="R864" s="221"/>
      <c r="S864" s="222"/>
    </row>
    <row r="865" spans="2:19" x14ac:dyDescent="0.25">
      <c r="B865" s="14">
        <v>865</v>
      </c>
      <c r="K865" s="221"/>
      <c r="M865" s="221"/>
      <c r="N865" s="221"/>
      <c r="O865" s="221"/>
      <c r="Q865" s="221"/>
      <c r="R865" s="221"/>
      <c r="S865" s="222"/>
    </row>
    <row r="866" spans="2:19" x14ac:dyDescent="0.25">
      <c r="B866" s="14">
        <v>866</v>
      </c>
      <c r="K866" s="221"/>
      <c r="M866" s="221"/>
      <c r="N866" s="221"/>
      <c r="O866" s="221"/>
      <c r="Q866" s="221"/>
      <c r="R866" s="221"/>
      <c r="S866" s="222"/>
    </row>
    <row r="867" spans="2:19" x14ac:dyDescent="0.25">
      <c r="B867" s="14">
        <v>867</v>
      </c>
      <c r="K867" s="221"/>
      <c r="M867" s="221"/>
      <c r="N867" s="221"/>
      <c r="O867" s="221"/>
      <c r="Q867" s="221"/>
      <c r="R867" s="221"/>
      <c r="S867" s="222"/>
    </row>
    <row r="868" spans="2:19" x14ac:dyDescent="0.25">
      <c r="B868" s="14">
        <v>868</v>
      </c>
      <c r="K868" s="221"/>
      <c r="M868" s="221"/>
      <c r="N868" s="221"/>
      <c r="O868" s="221"/>
      <c r="Q868" s="221"/>
      <c r="R868" s="221"/>
      <c r="S868" s="222"/>
    </row>
    <row r="869" spans="2:19" x14ac:dyDescent="0.25">
      <c r="B869" s="14">
        <v>869</v>
      </c>
      <c r="K869" s="221"/>
      <c r="M869" s="221"/>
      <c r="N869" s="221"/>
      <c r="O869" s="221"/>
      <c r="Q869" s="221"/>
      <c r="R869" s="221"/>
      <c r="S869" s="222"/>
    </row>
    <row r="870" spans="2:19" x14ac:dyDescent="0.25">
      <c r="B870" s="14">
        <v>870</v>
      </c>
      <c r="K870" s="221"/>
      <c r="M870" s="221"/>
      <c r="N870" s="221"/>
      <c r="O870" s="221"/>
      <c r="Q870" s="221"/>
      <c r="R870" s="221"/>
      <c r="S870" s="222"/>
    </row>
    <row r="871" spans="2:19" x14ac:dyDescent="0.25">
      <c r="B871" s="14">
        <v>871</v>
      </c>
      <c r="K871" s="221"/>
      <c r="M871" s="221"/>
      <c r="N871" s="221"/>
      <c r="O871" s="221"/>
      <c r="Q871" s="221"/>
      <c r="R871" s="221"/>
      <c r="S871" s="222"/>
    </row>
    <row r="872" spans="2:19" x14ac:dyDescent="0.25">
      <c r="B872" s="14">
        <v>872</v>
      </c>
      <c r="K872" s="221"/>
      <c r="M872" s="221"/>
      <c r="N872" s="221"/>
      <c r="O872" s="221"/>
      <c r="Q872" s="221"/>
      <c r="R872" s="221"/>
      <c r="S872" s="222"/>
    </row>
    <row r="873" spans="2:19" x14ac:dyDescent="0.25">
      <c r="B873" s="14">
        <v>873</v>
      </c>
      <c r="K873" s="221"/>
      <c r="M873" s="221"/>
      <c r="N873" s="221"/>
      <c r="O873" s="221"/>
      <c r="Q873" s="221"/>
      <c r="R873" s="221"/>
      <c r="S873" s="222"/>
    </row>
    <row r="874" spans="2:19" x14ac:dyDescent="0.25">
      <c r="B874" s="14">
        <v>874</v>
      </c>
      <c r="K874" s="221"/>
      <c r="M874" s="221"/>
      <c r="N874" s="221"/>
      <c r="O874" s="221"/>
      <c r="Q874" s="221"/>
      <c r="R874" s="221"/>
      <c r="S874" s="222"/>
    </row>
    <row r="875" spans="2:19" x14ac:dyDescent="0.25">
      <c r="B875" s="14">
        <v>875</v>
      </c>
      <c r="K875" s="221"/>
      <c r="M875" s="221"/>
      <c r="N875" s="221"/>
      <c r="O875" s="221"/>
      <c r="Q875" s="221"/>
      <c r="R875" s="221"/>
      <c r="S875" s="222"/>
    </row>
    <row r="876" spans="2:19" x14ac:dyDescent="0.25">
      <c r="B876" s="14">
        <v>876</v>
      </c>
      <c r="K876" s="221"/>
      <c r="M876" s="221"/>
      <c r="N876" s="221"/>
      <c r="O876" s="221"/>
      <c r="Q876" s="221"/>
      <c r="R876" s="221"/>
      <c r="S876" s="222"/>
    </row>
    <row r="877" spans="2:19" x14ac:dyDescent="0.25">
      <c r="B877" s="14">
        <v>877</v>
      </c>
      <c r="K877" s="221"/>
      <c r="M877" s="221"/>
      <c r="N877" s="221"/>
      <c r="O877" s="221"/>
      <c r="Q877" s="221"/>
      <c r="R877" s="221"/>
      <c r="S877" s="222"/>
    </row>
    <row r="878" spans="2:19" x14ac:dyDescent="0.25">
      <c r="B878" s="14">
        <v>878</v>
      </c>
      <c r="K878" s="221"/>
      <c r="M878" s="221"/>
      <c r="N878" s="221"/>
      <c r="O878" s="221"/>
      <c r="Q878" s="221"/>
      <c r="R878" s="221"/>
      <c r="S878" s="222"/>
    </row>
    <row r="879" spans="2:19" x14ac:dyDescent="0.25">
      <c r="B879" s="14">
        <v>879</v>
      </c>
      <c r="K879" s="221"/>
      <c r="M879" s="221"/>
      <c r="N879" s="221"/>
      <c r="O879" s="221"/>
      <c r="Q879" s="221"/>
      <c r="R879" s="221"/>
      <c r="S879" s="222"/>
    </row>
    <row r="880" spans="2:19" x14ac:dyDescent="0.25">
      <c r="B880" s="14">
        <v>880</v>
      </c>
      <c r="K880" s="221"/>
      <c r="M880" s="221"/>
      <c r="N880" s="221"/>
      <c r="O880" s="221"/>
      <c r="Q880" s="221"/>
      <c r="R880" s="221"/>
      <c r="S880" s="222"/>
    </row>
    <row r="881" spans="2:19" x14ac:dyDescent="0.25">
      <c r="B881" s="14">
        <v>881</v>
      </c>
      <c r="K881" s="221"/>
      <c r="M881" s="221"/>
      <c r="N881" s="221"/>
      <c r="O881" s="221"/>
      <c r="Q881" s="221"/>
      <c r="R881" s="221"/>
      <c r="S881" s="222"/>
    </row>
    <row r="882" spans="2:19" x14ac:dyDescent="0.25">
      <c r="B882" s="14">
        <v>882</v>
      </c>
      <c r="K882" s="221"/>
      <c r="M882" s="221"/>
      <c r="N882" s="221"/>
      <c r="O882" s="221"/>
      <c r="Q882" s="221"/>
      <c r="R882" s="221"/>
      <c r="S882" s="222"/>
    </row>
    <row r="883" spans="2:19" x14ac:dyDescent="0.25">
      <c r="B883" s="14">
        <v>883</v>
      </c>
      <c r="K883" s="221"/>
      <c r="M883" s="221"/>
      <c r="N883" s="221"/>
      <c r="O883" s="221"/>
      <c r="Q883" s="221"/>
      <c r="R883" s="221"/>
      <c r="S883" s="222"/>
    </row>
    <row r="884" spans="2:19" x14ac:dyDescent="0.25">
      <c r="B884" s="14">
        <v>884</v>
      </c>
      <c r="K884" s="221"/>
      <c r="M884" s="221"/>
      <c r="N884" s="221"/>
      <c r="O884" s="221"/>
      <c r="Q884" s="221"/>
      <c r="R884" s="221"/>
      <c r="S884" s="222"/>
    </row>
    <row r="885" spans="2:19" x14ac:dyDescent="0.25">
      <c r="B885" s="14">
        <v>885</v>
      </c>
      <c r="K885" s="221"/>
      <c r="M885" s="221"/>
      <c r="N885" s="221"/>
      <c r="O885" s="221"/>
      <c r="Q885" s="221"/>
      <c r="R885" s="221"/>
      <c r="S885" s="222"/>
    </row>
    <row r="886" spans="2:19" x14ac:dyDescent="0.25">
      <c r="B886" s="14">
        <v>886</v>
      </c>
      <c r="K886" s="221"/>
      <c r="M886" s="221"/>
      <c r="N886" s="221"/>
      <c r="O886" s="221"/>
      <c r="Q886" s="221"/>
      <c r="R886" s="221"/>
      <c r="S886" s="222"/>
    </row>
    <row r="887" spans="2:19" x14ac:dyDescent="0.25">
      <c r="B887" s="14">
        <v>887</v>
      </c>
      <c r="K887" s="221"/>
      <c r="M887" s="221"/>
      <c r="N887" s="221"/>
      <c r="O887" s="221"/>
      <c r="Q887" s="221"/>
      <c r="R887" s="221"/>
      <c r="S887" s="222"/>
    </row>
    <row r="888" spans="2:19" x14ac:dyDescent="0.25">
      <c r="B888" s="14">
        <v>888</v>
      </c>
      <c r="K888" s="221"/>
      <c r="M888" s="221"/>
      <c r="N888" s="221"/>
      <c r="O888" s="221"/>
      <c r="Q888" s="221"/>
      <c r="R888" s="221"/>
      <c r="S888" s="222"/>
    </row>
    <row r="889" spans="2:19" x14ac:dyDescent="0.25">
      <c r="B889" s="14">
        <v>889</v>
      </c>
      <c r="K889" s="221"/>
      <c r="M889" s="221"/>
      <c r="N889" s="221"/>
      <c r="O889" s="221"/>
      <c r="Q889" s="221"/>
      <c r="R889" s="221"/>
      <c r="S889" s="222"/>
    </row>
    <row r="890" spans="2:19" x14ac:dyDescent="0.25">
      <c r="B890" s="14">
        <v>890</v>
      </c>
      <c r="K890" s="221"/>
      <c r="M890" s="221"/>
      <c r="N890" s="221"/>
      <c r="O890" s="221"/>
      <c r="Q890" s="221"/>
      <c r="R890" s="221"/>
      <c r="S890" s="222"/>
    </row>
    <row r="891" spans="2:19" x14ac:dyDescent="0.25">
      <c r="B891" s="14">
        <v>891</v>
      </c>
      <c r="K891" s="221"/>
      <c r="M891" s="221"/>
      <c r="N891" s="221"/>
      <c r="O891" s="221"/>
      <c r="Q891" s="221"/>
      <c r="R891" s="221"/>
      <c r="S891" s="222"/>
    </row>
    <row r="892" spans="2:19" x14ac:dyDescent="0.25">
      <c r="B892" s="14">
        <v>892</v>
      </c>
      <c r="K892" s="221"/>
      <c r="M892" s="221"/>
      <c r="N892" s="221"/>
      <c r="O892" s="221"/>
      <c r="Q892" s="221"/>
      <c r="R892" s="221"/>
      <c r="S892" s="222"/>
    </row>
    <row r="893" spans="2:19" x14ac:dyDescent="0.25">
      <c r="B893" s="14">
        <v>893</v>
      </c>
      <c r="K893" s="221"/>
      <c r="M893" s="221"/>
      <c r="N893" s="221"/>
      <c r="O893" s="221"/>
      <c r="Q893" s="221"/>
      <c r="R893" s="221"/>
      <c r="S893" s="222"/>
    </row>
    <row r="894" spans="2:19" x14ac:dyDescent="0.25">
      <c r="B894" s="14">
        <v>894</v>
      </c>
      <c r="K894" s="221"/>
      <c r="M894" s="221"/>
      <c r="N894" s="221"/>
      <c r="O894" s="221"/>
      <c r="Q894" s="221"/>
      <c r="R894" s="221"/>
      <c r="S894" s="222"/>
    </row>
    <row r="895" spans="2:19" x14ac:dyDescent="0.25">
      <c r="B895" s="14">
        <v>895</v>
      </c>
      <c r="K895" s="221"/>
      <c r="M895" s="221"/>
      <c r="N895" s="221"/>
      <c r="O895" s="221"/>
      <c r="Q895" s="221"/>
      <c r="R895" s="221"/>
      <c r="S895" s="222"/>
    </row>
    <row r="896" spans="2:19" x14ac:dyDescent="0.25">
      <c r="B896" s="14">
        <v>896</v>
      </c>
      <c r="K896" s="221"/>
      <c r="M896" s="221"/>
      <c r="N896" s="221"/>
      <c r="O896" s="221"/>
      <c r="Q896" s="221"/>
      <c r="R896" s="221"/>
      <c r="S896" s="222"/>
    </row>
    <row r="897" spans="2:19" x14ac:dyDescent="0.25">
      <c r="B897" s="14">
        <v>897</v>
      </c>
      <c r="K897" s="221"/>
      <c r="M897" s="221"/>
      <c r="N897" s="221"/>
      <c r="O897" s="221"/>
      <c r="Q897" s="221"/>
      <c r="R897" s="221"/>
      <c r="S897" s="222"/>
    </row>
    <row r="898" spans="2:19" x14ac:dyDescent="0.25">
      <c r="B898" s="14">
        <v>898</v>
      </c>
      <c r="K898" s="221"/>
      <c r="M898" s="221"/>
      <c r="N898" s="221"/>
      <c r="O898" s="221"/>
      <c r="Q898" s="221"/>
      <c r="R898" s="221"/>
      <c r="S898" s="222"/>
    </row>
    <row r="899" spans="2:19" x14ac:dyDescent="0.25">
      <c r="B899" s="14">
        <v>899</v>
      </c>
      <c r="K899" s="221"/>
      <c r="M899" s="221"/>
      <c r="N899" s="221"/>
      <c r="O899" s="221"/>
      <c r="Q899" s="221"/>
      <c r="R899" s="221"/>
      <c r="S899" s="222"/>
    </row>
    <row r="900" spans="2:19" x14ac:dyDescent="0.25">
      <c r="B900" s="14">
        <v>900</v>
      </c>
      <c r="K900" s="221"/>
      <c r="M900" s="221"/>
      <c r="N900" s="221"/>
      <c r="O900" s="221"/>
      <c r="Q900" s="221"/>
      <c r="R900" s="221"/>
      <c r="S900" s="222"/>
    </row>
    <row r="901" spans="2:19" x14ac:dyDescent="0.25">
      <c r="B901" s="14">
        <v>901</v>
      </c>
      <c r="K901" s="221"/>
      <c r="M901" s="221"/>
      <c r="N901" s="221"/>
      <c r="O901" s="221"/>
      <c r="Q901" s="221"/>
      <c r="R901" s="221"/>
      <c r="S901" s="222"/>
    </row>
    <row r="902" spans="2:19" x14ac:dyDescent="0.25">
      <c r="B902" s="14">
        <v>902</v>
      </c>
      <c r="K902" s="221"/>
      <c r="M902" s="221"/>
      <c r="N902" s="221"/>
      <c r="O902" s="221"/>
      <c r="Q902" s="221"/>
      <c r="R902" s="221"/>
      <c r="S902" s="222"/>
    </row>
    <row r="903" spans="2:19" x14ac:dyDescent="0.25">
      <c r="B903" s="14">
        <v>903</v>
      </c>
      <c r="K903" s="221"/>
      <c r="M903" s="221"/>
      <c r="N903" s="221"/>
      <c r="O903" s="221"/>
      <c r="Q903" s="221"/>
      <c r="R903" s="221"/>
      <c r="S903" s="222"/>
    </row>
    <row r="904" spans="2:19" x14ac:dyDescent="0.25">
      <c r="B904" s="14">
        <v>904</v>
      </c>
      <c r="K904" s="221"/>
      <c r="M904" s="221"/>
      <c r="N904" s="221"/>
      <c r="O904" s="221"/>
      <c r="Q904" s="221"/>
      <c r="R904" s="221"/>
      <c r="S904" s="222"/>
    </row>
    <row r="905" spans="2:19" x14ac:dyDescent="0.25">
      <c r="B905" s="14">
        <v>905</v>
      </c>
      <c r="K905" s="221"/>
      <c r="M905" s="221"/>
      <c r="N905" s="221"/>
      <c r="O905" s="221"/>
      <c r="Q905" s="221"/>
      <c r="R905" s="221"/>
      <c r="S905" s="222"/>
    </row>
    <row r="906" spans="2:19" x14ac:dyDescent="0.25">
      <c r="B906" s="14">
        <v>906</v>
      </c>
      <c r="K906" s="221"/>
      <c r="M906" s="221"/>
      <c r="N906" s="221"/>
      <c r="O906" s="221"/>
      <c r="Q906" s="221"/>
      <c r="R906" s="221"/>
      <c r="S906" s="222"/>
    </row>
    <row r="907" spans="2:19" x14ac:dyDescent="0.25">
      <c r="B907" s="14">
        <v>907</v>
      </c>
      <c r="K907" s="221"/>
      <c r="M907" s="221"/>
      <c r="N907" s="221"/>
      <c r="O907" s="221"/>
      <c r="Q907" s="221"/>
      <c r="R907" s="221"/>
      <c r="S907" s="222"/>
    </row>
    <row r="908" spans="2:19" x14ac:dyDescent="0.25">
      <c r="B908" s="14">
        <v>908</v>
      </c>
      <c r="K908" s="221"/>
      <c r="M908" s="221"/>
      <c r="N908" s="221"/>
      <c r="O908" s="221"/>
      <c r="Q908" s="221"/>
      <c r="R908" s="221"/>
      <c r="S908" s="222"/>
    </row>
    <row r="909" spans="2:19" x14ac:dyDescent="0.25">
      <c r="B909" s="14">
        <v>909</v>
      </c>
      <c r="K909" s="221"/>
      <c r="M909" s="221"/>
      <c r="N909" s="221"/>
      <c r="O909" s="221"/>
      <c r="Q909" s="221"/>
      <c r="R909" s="221"/>
      <c r="S909" s="222"/>
    </row>
    <row r="910" spans="2:19" x14ac:dyDescent="0.25">
      <c r="B910" s="14">
        <v>910</v>
      </c>
      <c r="K910" s="221"/>
      <c r="M910" s="221"/>
      <c r="N910" s="221"/>
      <c r="O910" s="221"/>
      <c r="Q910" s="221"/>
      <c r="R910" s="221"/>
      <c r="S910" s="222"/>
    </row>
    <row r="911" spans="2:19" x14ac:dyDescent="0.25">
      <c r="B911" s="14">
        <v>911</v>
      </c>
      <c r="K911" s="221"/>
      <c r="M911" s="221"/>
      <c r="N911" s="221"/>
      <c r="O911" s="221"/>
      <c r="Q911" s="221"/>
      <c r="R911" s="221"/>
      <c r="S911" s="222"/>
    </row>
    <row r="912" spans="2:19" x14ac:dyDescent="0.25">
      <c r="B912" s="14">
        <v>912</v>
      </c>
      <c r="K912" s="221"/>
      <c r="M912" s="221"/>
      <c r="N912" s="221"/>
      <c r="O912" s="221"/>
      <c r="Q912" s="221"/>
      <c r="R912" s="221"/>
      <c r="S912" s="222"/>
    </row>
    <row r="913" spans="2:19" x14ac:dyDescent="0.25">
      <c r="B913" s="14">
        <v>913</v>
      </c>
      <c r="K913" s="221"/>
      <c r="M913" s="221"/>
      <c r="N913" s="221"/>
      <c r="O913" s="221"/>
      <c r="Q913" s="221"/>
      <c r="R913" s="221"/>
      <c r="S913" s="222"/>
    </row>
    <row r="914" spans="2:19" x14ac:dyDescent="0.25">
      <c r="B914" s="14">
        <v>914</v>
      </c>
      <c r="K914" s="221"/>
      <c r="M914" s="221"/>
      <c r="N914" s="221"/>
      <c r="O914" s="221"/>
      <c r="Q914" s="221"/>
      <c r="R914" s="221"/>
      <c r="S914" s="222"/>
    </row>
    <row r="915" spans="2:19" x14ac:dyDescent="0.25">
      <c r="B915" s="14">
        <v>915</v>
      </c>
      <c r="K915" s="221"/>
      <c r="M915" s="221"/>
      <c r="N915" s="221"/>
      <c r="O915" s="221"/>
      <c r="Q915" s="221"/>
      <c r="R915" s="221"/>
      <c r="S915" s="222"/>
    </row>
    <row r="916" spans="2:19" x14ac:dyDescent="0.25">
      <c r="B916" s="14">
        <v>916</v>
      </c>
      <c r="K916" s="221"/>
      <c r="M916" s="221"/>
      <c r="N916" s="221"/>
      <c r="O916" s="221"/>
      <c r="Q916" s="221"/>
      <c r="R916" s="221"/>
      <c r="S916" s="222"/>
    </row>
    <row r="917" spans="2:19" x14ac:dyDescent="0.25">
      <c r="B917" s="14">
        <v>917</v>
      </c>
      <c r="K917" s="221"/>
      <c r="M917" s="221"/>
      <c r="N917" s="221"/>
      <c r="O917" s="221"/>
      <c r="Q917" s="221"/>
      <c r="R917" s="221"/>
      <c r="S917" s="222"/>
    </row>
    <row r="918" spans="2:19" x14ac:dyDescent="0.25">
      <c r="B918" s="14">
        <v>918</v>
      </c>
      <c r="K918" s="221"/>
      <c r="M918" s="221"/>
      <c r="N918" s="221"/>
      <c r="O918" s="221"/>
      <c r="Q918" s="221"/>
      <c r="R918" s="221"/>
      <c r="S918" s="222"/>
    </row>
    <row r="919" spans="2:19" x14ac:dyDescent="0.25">
      <c r="B919" s="14">
        <v>919</v>
      </c>
      <c r="K919" s="221"/>
      <c r="M919" s="221"/>
      <c r="N919" s="221"/>
      <c r="O919" s="221"/>
      <c r="Q919" s="221"/>
      <c r="R919" s="221"/>
      <c r="S919" s="222"/>
    </row>
    <row r="920" spans="2:19" x14ac:dyDescent="0.25">
      <c r="B920" s="14">
        <v>920</v>
      </c>
      <c r="K920" s="221"/>
      <c r="M920" s="221"/>
      <c r="N920" s="221"/>
      <c r="O920" s="221"/>
      <c r="Q920" s="221"/>
      <c r="R920" s="221"/>
      <c r="S920" s="222"/>
    </row>
    <row r="921" spans="2:19" x14ac:dyDescent="0.25">
      <c r="B921" s="14">
        <v>921</v>
      </c>
      <c r="K921" s="221"/>
      <c r="M921" s="221"/>
      <c r="N921" s="221"/>
      <c r="O921" s="221"/>
      <c r="Q921" s="221"/>
      <c r="R921" s="221"/>
      <c r="S921" s="222"/>
    </row>
    <row r="922" spans="2:19" x14ac:dyDescent="0.25">
      <c r="B922" s="14">
        <v>922</v>
      </c>
      <c r="K922" s="221"/>
      <c r="M922" s="221"/>
      <c r="N922" s="221"/>
      <c r="O922" s="221"/>
      <c r="Q922" s="221"/>
      <c r="R922" s="221"/>
      <c r="S922" s="222"/>
    </row>
    <row r="923" spans="2:19" x14ac:dyDescent="0.25">
      <c r="B923" s="14">
        <v>923</v>
      </c>
      <c r="K923" s="221"/>
      <c r="M923" s="221"/>
      <c r="N923" s="221"/>
      <c r="O923" s="221"/>
      <c r="Q923" s="221"/>
      <c r="R923" s="221"/>
      <c r="S923" s="222"/>
    </row>
    <row r="924" spans="2:19" x14ac:dyDescent="0.25">
      <c r="B924" s="14">
        <v>924</v>
      </c>
      <c r="K924" s="221"/>
      <c r="M924" s="221"/>
      <c r="N924" s="221"/>
      <c r="O924" s="221"/>
      <c r="Q924" s="221"/>
      <c r="R924" s="221"/>
      <c r="S924" s="222"/>
    </row>
    <row r="925" spans="2:19" x14ac:dyDescent="0.25">
      <c r="B925" s="14">
        <v>925</v>
      </c>
      <c r="K925" s="221"/>
      <c r="M925" s="221"/>
      <c r="N925" s="221"/>
      <c r="O925" s="221"/>
      <c r="Q925" s="221"/>
      <c r="R925" s="221"/>
      <c r="S925" s="222"/>
    </row>
    <row r="926" spans="2:19" x14ac:dyDescent="0.25">
      <c r="B926" s="14">
        <v>926</v>
      </c>
      <c r="K926" s="221"/>
      <c r="M926" s="221"/>
      <c r="N926" s="221"/>
      <c r="O926" s="221"/>
      <c r="Q926" s="221"/>
      <c r="R926" s="221"/>
      <c r="S926" s="222"/>
    </row>
    <row r="927" spans="2:19" x14ac:dyDescent="0.25">
      <c r="B927" s="14">
        <v>927</v>
      </c>
      <c r="K927" s="221"/>
      <c r="M927" s="221"/>
      <c r="N927" s="221"/>
      <c r="O927" s="221"/>
      <c r="Q927" s="221"/>
      <c r="R927" s="221"/>
      <c r="S927" s="222"/>
    </row>
    <row r="928" spans="2:19" x14ac:dyDescent="0.25">
      <c r="B928" s="14">
        <v>928</v>
      </c>
      <c r="K928" s="221"/>
      <c r="M928" s="221"/>
      <c r="N928" s="221"/>
      <c r="O928" s="221"/>
      <c r="Q928" s="221"/>
      <c r="R928" s="221"/>
      <c r="S928" s="222"/>
    </row>
    <row r="929" spans="2:19" x14ac:dyDescent="0.25">
      <c r="B929" s="14">
        <v>929</v>
      </c>
      <c r="K929" s="221"/>
      <c r="M929" s="221"/>
      <c r="N929" s="221"/>
      <c r="O929" s="221"/>
      <c r="Q929" s="221"/>
      <c r="R929" s="221"/>
      <c r="S929" s="222"/>
    </row>
    <row r="930" spans="2:19" x14ac:dyDescent="0.25">
      <c r="B930" s="14">
        <v>930</v>
      </c>
      <c r="K930" s="221"/>
      <c r="M930" s="221"/>
      <c r="N930" s="221"/>
      <c r="O930" s="221"/>
      <c r="Q930" s="221"/>
      <c r="R930" s="221"/>
      <c r="S930" s="222"/>
    </row>
    <row r="931" spans="2:19" x14ac:dyDescent="0.25">
      <c r="B931" s="14">
        <v>931</v>
      </c>
      <c r="K931" s="221"/>
      <c r="M931" s="221"/>
      <c r="N931" s="221"/>
      <c r="O931" s="221"/>
      <c r="Q931" s="221"/>
      <c r="R931" s="221"/>
      <c r="S931" s="222"/>
    </row>
    <row r="932" spans="2:19" x14ac:dyDescent="0.25">
      <c r="B932" s="14">
        <v>932</v>
      </c>
      <c r="K932" s="221"/>
      <c r="M932" s="221"/>
      <c r="N932" s="221"/>
      <c r="O932" s="221"/>
      <c r="Q932" s="221"/>
      <c r="R932" s="221"/>
      <c r="S932" s="222"/>
    </row>
    <row r="933" spans="2:19" x14ac:dyDescent="0.25">
      <c r="B933" s="14">
        <v>933</v>
      </c>
      <c r="K933" s="221"/>
      <c r="M933" s="221"/>
      <c r="N933" s="221"/>
      <c r="O933" s="221"/>
      <c r="Q933" s="221"/>
      <c r="R933" s="221"/>
      <c r="S933" s="222"/>
    </row>
    <row r="934" spans="2:19" x14ac:dyDescent="0.25">
      <c r="B934" s="14">
        <v>934</v>
      </c>
      <c r="K934" s="221"/>
      <c r="M934" s="221"/>
      <c r="N934" s="221"/>
      <c r="O934" s="221"/>
      <c r="Q934" s="221"/>
      <c r="R934" s="221"/>
      <c r="S934" s="222"/>
    </row>
    <row r="935" spans="2:19" x14ac:dyDescent="0.25">
      <c r="B935" s="14">
        <v>935</v>
      </c>
      <c r="K935" s="221"/>
      <c r="M935" s="221"/>
      <c r="N935" s="221"/>
      <c r="O935" s="221"/>
      <c r="Q935" s="221"/>
      <c r="R935" s="221"/>
      <c r="S935" s="222"/>
    </row>
    <row r="936" spans="2:19" x14ac:dyDescent="0.25">
      <c r="B936" s="14">
        <v>936</v>
      </c>
      <c r="K936" s="221"/>
      <c r="M936" s="221"/>
      <c r="N936" s="221"/>
      <c r="O936" s="221"/>
      <c r="Q936" s="221"/>
      <c r="R936" s="221"/>
      <c r="S936" s="222"/>
    </row>
    <row r="937" spans="2:19" x14ac:dyDescent="0.25">
      <c r="B937" s="14">
        <v>937</v>
      </c>
      <c r="K937" s="221"/>
      <c r="M937" s="221"/>
      <c r="N937" s="221"/>
      <c r="O937" s="221"/>
      <c r="Q937" s="221"/>
      <c r="R937" s="221"/>
      <c r="S937" s="222"/>
    </row>
    <row r="938" spans="2:19" x14ac:dyDescent="0.25">
      <c r="B938" s="14">
        <v>938</v>
      </c>
      <c r="K938" s="221"/>
      <c r="M938" s="221"/>
      <c r="N938" s="221"/>
      <c r="O938" s="221"/>
      <c r="Q938" s="221"/>
      <c r="R938" s="221"/>
      <c r="S938" s="222"/>
    </row>
    <row r="939" spans="2:19" x14ac:dyDescent="0.25">
      <c r="B939" s="14">
        <v>939</v>
      </c>
      <c r="K939" s="221"/>
      <c r="M939" s="221"/>
      <c r="N939" s="221"/>
      <c r="O939" s="221"/>
      <c r="Q939" s="221"/>
      <c r="R939" s="221"/>
      <c r="S939" s="222"/>
    </row>
    <row r="940" spans="2:19" x14ac:dyDescent="0.25">
      <c r="B940" s="14">
        <v>940</v>
      </c>
      <c r="K940" s="221"/>
      <c r="M940" s="221"/>
      <c r="N940" s="221"/>
      <c r="O940" s="221"/>
      <c r="Q940" s="221"/>
      <c r="R940" s="221"/>
      <c r="S940" s="222"/>
    </row>
    <row r="941" spans="2:19" x14ac:dyDescent="0.25">
      <c r="B941" s="14">
        <v>941</v>
      </c>
      <c r="K941" s="221"/>
      <c r="M941" s="221"/>
      <c r="N941" s="221"/>
      <c r="O941" s="221"/>
      <c r="Q941" s="221"/>
      <c r="R941" s="221"/>
      <c r="S941" s="222"/>
    </row>
    <row r="942" spans="2:19" x14ac:dyDescent="0.25">
      <c r="B942" s="14">
        <v>942</v>
      </c>
      <c r="K942" s="221"/>
      <c r="M942" s="221"/>
      <c r="N942" s="221"/>
      <c r="O942" s="221"/>
      <c r="Q942" s="221"/>
      <c r="R942" s="221"/>
      <c r="S942" s="222"/>
    </row>
    <row r="943" spans="2:19" x14ac:dyDescent="0.25">
      <c r="B943" s="14">
        <v>943</v>
      </c>
      <c r="K943" s="221"/>
      <c r="M943" s="221"/>
      <c r="N943" s="221"/>
      <c r="O943" s="221"/>
      <c r="Q943" s="221"/>
      <c r="R943" s="221"/>
      <c r="S943" s="222"/>
    </row>
    <row r="944" spans="2:19" x14ac:dyDescent="0.25">
      <c r="B944" s="14">
        <v>944</v>
      </c>
      <c r="K944" s="221"/>
      <c r="M944" s="221"/>
      <c r="N944" s="221"/>
      <c r="O944" s="221"/>
      <c r="Q944" s="221"/>
      <c r="R944" s="221"/>
      <c r="S944" s="222"/>
    </row>
    <row r="945" spans="2:19" x14ac:dyDescent="0.25">
      <c r="B945" s="14">
        <v>945</v>
      </c>
      <c r="K945" s="221"/>
      <c r="M945" s="221"/>
      <c r="N945" s="221"/>
      <c r="O945" s="221"/>
      <c r="Q945" s="221"/>
      <c r="R945" s="221"/>
      <c r="S945" s="222"/>
    </row>
    <row r="946" spans="2:19" x14ac:dyDescent="0.25">
      <c r="B946" s="14">
        <v>946</v>
      </c>
      <c r="K946" s="221"/>
      <c r="M946" s="221"/>
      <c r="N946" s="221"/>
      <c r="O946" s="221"/>
      <c r="Q946" s="221"/>
      <c r="R946" s="221"/>
      <c r="S946" s="222"/>
    </row>
    <row r="947" spans="2:19" x14ac:dyDescent="0.25">
      <c r="B947" s="14">
        <v>947</v>
      </c>
      <c r="K947" s="221"/>
      <c r="M947" s="221"/>
      <c r="N947" s="221"/>
      <c r="O947" s="221"/>
      <c r="Q947" s="221"/>
      <c r="R947" s="221"/>
      <c r="S947" s="222"/>
    </row>
    <row r="948" spans="2:19" x14ac:dyDescent="0.25">
      <c r="B948" s="14">
        <v>948</v>
      </c>
      <c r="K948" s="221"/>
      <c r="M948" s="221"/>
      <c r="N948" s="221"/>
      <c r="O948" s="221"/>
      <c r="Q948" s="221"/>
      <c r="R948" s="221"/>
      <c r="S948" s="222"/>
    </row>
    <row r="949" spans="2:19" x14ac:dyDescent="0.25">
      <c r="B949" s="14">
        <v>949</v>
      </c>
      <c r="K949" s="221"/>
      <c r="M949" s="221"/>
      <c r="N949" s="221"/>
      <c r="O949" s="221"/>
      <c r="Q949" s="221"/>
      <c r="R949" s="221"/>
      <c r="S949" s="222"/>
    </row>
    <row r="950" spans="2:19" x14ac:dyDescent="0.25">
      <c r="B950" s="14">
        <v>950</v>
      </c>
      <c r="K950" s="221"/>
      <c r="M950" s="221"/>
      <c r="N950" s="221"/>
      <c r="O950" s="221"/>
      <c r="Q950" s="221"/>
      <c r="R950" s="221"/>
      <c r="S950" s="222"/>
    </row>
    <row r="951" spans="2:19" x14ac:dyDescent="0.25">
      <c r="B951" s="14">
        <v>951</v>
      </c>
      <c r="K951" s="221"/>
      <c r="M951" s="221"/>
      <c r="N951" s="221"/>
      <c r="O951" s="221"/>
      <c r="Q951" s="221"/>
      <c r="R951" s="221"/>
      <c r="S951" s="222"/>
    </row>
    <row r="952" spans="2:19" x14ac:dyDescent="0.25">
      <c r="B952" s="14">
        <v>952</v>
      </c>
      <c r="K952" s="221"/>
      <c r="M952" s="221"/>
      <c r="N952" s="221"/>
      <c r="O952" s="221"/>
      <c r="Q952" s="221"/>
      <c r="R952" s="221"/>
      <c r="S952" s="222"/>
    </row>
    <row r="953" spans="2:19" x14ac:dyDescent="0.25">
      <c r="B953" s="14">
        <v>953</v>
      </c>
      <c r="K953" s="221"/>
      <c r="M953" s="221"/>
      <c r="N953" s="221"/>
      <c r="O953" s="221"/>
      <c r="Q953" s="221"/>
      <c r="R953" s="221"/>
      <c r="S953" s="222"/>
    </row>
    <row r="954" spans="2:19" x14ac:dyDescent="0.25">
      <c r="B954" s="14">
        <v>954</v>
      </c>
      <c r="K954" s="221"/>
      <c r="M954" s="221"/>
      <c r="N954" s="221"/>
      <c r="O954" s="221"/>
      <c r="Q954" s="221"/>
      <c r="R954" s="221"/>
      <c r="S954" s="222"/>
    </row>
    <row r="955" spans="2:19" x14ac:dyDescent="0.25">
      <c r="B955" s="14">
        <v>955</v>
      </c>
      <c r="K955" s="221"/>
      <c r="M955" s="221"/>
      <c r="N955" s="221"/>
      <c r="O955" s="221"/>
      <c r="Q955" s="221"/>
      <c r="R955" s="221"/>
      <c r="S955" s="222"/>
    </row>
    <row r="956" spans="2:19" x14ac:dyDescent="0.25">
      <c r="B956" s="14">
        <v>956</v>
      </c>
      <c r="K956" s="221"/>
      <c r="M956" s="221"/>
      <c r="N956" s="221"/>
      <c r="O956" s="221"/>
      <c r="Q956" s="221"/>
      <c r="R956" s="221"/>
      <c r="S956" s="222"/>
    </row>
    <row r="957" spans="2:19" x14ac:dyDescent="0.25">
      <c r="B957" s="14">
        <v>957</v>
      </c>
      <c r="K957" s="221"/>
      <c r="M957" s="221"/>
      <c r="N957" s="221"/>
      <c r="O957" s="221"/>
      <c r="Q957" s="221"/>
      <c r="R957" s="221"/>
      <c r="S957" s="222"/>
    </row>
    <row r="958" spans="2:19" x14ac:dyDescent="0.25">
      <c r="B958" s="14">
        <v>958</v>
      </c>
      <c r="K958" s="221"/>
      <c r="M958" s="221"/>
      <c r="N958" s="221"/>
      <c r="O958" s="221"/>
      <c r="Q958" s="221"/>
      <c r="R958" s="221"/>
      <c r="S958" s="222"/>
    </row>
    <row r="959" spans="2:19" x14ac:dyDescent="0.25">
      <c r="B959" s="14">
        <v>959</v>
      </c>
      <c r="K959" s="221"/>
      <c r="M959" s="221"/>
      <c r="N959" s="221"/>
      <c r="O959" s="221"/>
      <c r="Q959" s="221"/>
      <c r="R959" s="221"/>
      <c r="S959" s="222"/>
    </row>
    <row r="960" spans="2:19" x14ac:dyDescent="0.25">
      <c r="B960" s="14">
        <v>960</v>
      </c>
      <c r="K960" s="221"/>
      <c r="M960" s="221"/>
      <c r="N960" s="221"/>
      <c r="O960" s="221"/>
      <c r="Q960" s="221"/>
      <c r="R960" s="221"/>
      <c r="S960" s="222"/>
    </row>
    <row r="961" spans="2:19" x14ac:dyDescent="0.25">
      <c r="B961" s="14">
        <v>961</v>
      </c>
      <c r="K961" s="221"/>
      <c r="M961" s="221"/>
      <c r="N961" s="221"/>
      <c r="O961" s="221"/>
      <c r="Q961" s="221"/>
      <c r="R961" s="221"/>
      <c r="S961" s="222"/>
    </row>
    <row r="962" spans="2:19" x14ac:dyDescent="0.25">
      <c r="B962" s="14">
        <v>962</v>
      </c>
      <c r="K962" s="221"/>
      <c r="M962" s="221"/>
      <c r="N962" s="221"/>
      <c r="O962" s="221"/>
      <c r="Q962" s="221"/>
      <c r="R962" s="221"/>
      <c r="S962" s="222"/>
    </row>
    <row r="963" spans="2:19" x14ac:dyDescent="0.25">
      <c r="B963" s="14">
        <v>963</v>
      </c>
      <c r="K963" s="221"/>
      <c r="M963" s="221"/>
      <c r="N963" s="221"/>
      <c r="O963" s="221"/>
      <c r="Q963" s="221"/>
      <c r="R963" s="221"/>
      <c r="S963" s="222"/>
    </row>
    <row r="964" spans="2:19" x14ac:dyDescent="0.25">
      <c r="B964" s="14">
        <v>964</v>
      </c>
      <c r="K964" s="221"/>
      <c r="M964" s="221"/>
      <c r="N964" s="221"/>
      <c r="O964" s="221"/>
      <c r="Q964" s="221"/>
      <c r="R964" s="221"/>
      <c r="S964" s="222"/>
    </row>
    <row r="965" spans="2:19" x14ac:dyDescent="0.25">
      <c r="B965" s="14">
        <v>965</v>
      </c>
      <c r="K965" s="221"/>
      <c r="M965" s="221"/>
      <c r="N965" s="221"/>
      <c r="O965" s="221"/>
      <c r="Q965" s="221"/>
      <c r="R965" s="221"/>
      <c r="S965" s="222"/>
    </row>
    <row r="966" spans="2:19" x14ac:dyDescent="0.25">
      <c r="B966" s="14">
        <v>966</v>
      </c>
      <c r="K966" s="221"/>
      <c r="M966" s="221"/>
      <c r="N966" s="221"/>
      <c r="O966" s="221"/>
      <c r="Q966" s="221"/>
      <c r="R966" s="221"/>
      <c r="S966" s="222"/>
    </row>
    <row r="967" spans="2:19" x14ac:dyDescent="0.25">
      <c r="B967" s="14">
        <v>967</v>
      </c>
      <c r="K967" s="221"/>
      <c r="M967" s="221"/>
      <c r="N967" s="221"/>
      <c r="O967" s="221"/>
      <c r="Q967" s="221"/>
      <c r="R967" s="221"/>
      <c r="S967" s="222"/>
    </row>
    <row r="968" spans="2:19" x14ac:dyDescent="0.25">
      <c r="B968" s="14">
        <v>968</v>
      </c>
      <c r="K968" s="221"/>
      <c r="M968" s="221"/>
      <c r="N968" s="221"/>
      <c r="O968" s="221"/>
      <c r="Q968" s="221"/>
      <c r="R968" s="221"/>
      <c r="S968" s="222"/>
    </row>
    <row r="969" spans="2:19" x14ac:dyDescent="0.25">
      <c r="B969" s="14">
        <v>969</v>
      </c>
      <c r="K969" s="221"/>
      <c r="M969" s="221"/>
      <c r="N969" s="221"/>
      <c r="O969" s="221"/>
      <c r="Q969" s="221"/>
      <c r="R969" s="221"/>
      <c r="S969" s="222"/>
    </row>
    <row r="970" spans="2:19" x14ac:dyDescent="0.25">
      <c r="B970" s="14">
        <v>970</v>
      </c>
      <c r="K970" s="221"/>
      <c r="M970" s="221"/>
      <c r="N970" s="221"/>
      <c r="O970" s="221"/>
      <c r="Q970" s="221"/>
      <c r="R970" s="221"/>
      <c r="S970" s="222"/>
    </row>
    <row r="971" spans="2:19" x14ac:dyDescent="0.25">
      <c r="B971" s="14">
        <v>971</v>
      </c>
      <c r="K971" s="221"/>
      <c r="M971" s="221"/>
      <c r="N971" s="221"/>
      <c r="O971" s="221"/>
      <c r="Q971" s="221"/>
      <c r="R971" s="221"/>
      <c r="S971" s="222"/>
    </row>
    <row r="972" spans="2:19" x14ac:dyDescent="0.25">
      <c r="B972" s="14">
        <v>972</v>
      </c>
      <c r="K972" s="221"/>
      <c r="M972" s="221"/>
      <c r="N972" s="221"/>
      <c r="O972" s="221"/>
      <c r="Q972" s="221"/>
      <c r="R972" s="221"/>
      <c r="S972" s="222"/>
    </row>
    <row r="973" spans="2:19" x14ac:dyDescent="0.25">
      <c r="B973" s="14">
        <v>973</v>
      </c>
      <c r="K973" s="221"/>
      <c r="M973" s="221"/>
      <c r="N973" s="221"/>
      <c r="O973" s="221"/>
      <c r="Q973" s="221"/>
      <c r="R973" s="221"/>
      <c r="S973" s="222"/>
    </row>
    <row r="974" spans="2:19" x14ac:dyDescent="0.25">
      <c r="B974" s="14">
        <v>974</v>
      </c>
      <c r="K974" s="221"/>
      <c r="M974" s="221"/>
      <c r="N974" s="221"/>
      <c r="O974" s="221"/>
      <c r="Q974" s="221"/>
      <c r="R974" s="221"/>
      <c r="S974" s="222"/>
    </row>
    <row r="975" spans="2:19" x14ac:dyDescent="0.25">
      <c r="B975" s="14">
        <v>975</v>
      </c>
      <c r="K975" s="221"/>
      <c r="M975" s="221"/>
      <c r="N975" s="221"/>
      <c r="O975" s="221"/>
      <c r="Q975" s="221"/>
      <c r="R975" s="221"/>
      <c r="S975" s="222"/>
    </row>
    <row r="976" spans="2:19" x14ac:dyDescent="0.25">
      <c r="B976" s="14">
        <v>976</v>
      </c>
      <c r="K976" s="221"/>
      <c r="M976" s="221"/>
      <c r="N976" s="221"/>
      <c r="O976" s="221"/>
      <c r="Q976" s="221"/>
      <c r="R976" s="221"/>
      <c r="S976" s="222"/>
    </row>
    <row r="977" spans="2:19" x14ac:dyDescent="0.25">
      <c r="B977" s="14">
        <v>977</v>
      </c>
      <c r="K977" s="221"/>
      <c r="M977" s="221"/>
      <c r="N977" s="221"/>
      <c r="O977" s="221"/>
      <c r="Q977" s="221"/>
      <c r="R977" s="221"/>
      <c r="S977" s="222"/>
    </row>
    <row r="978" spans="2:19" x14ac:dyDescent="0.25">
      <c r="B978" s="14">
        <v>978</v>
      </c>
      <c r="K978" s="221"/>
      <c r="M978" s="221"/>
      <c r="N978" s="221"/>
      <c r="O978" s="221"/>
      <c r="Q978" s="221"/>
      <c r="R978" s="221"/>
      <c r="S978" s="222"/>
    </row>
    <row r="979" spans="2:19" x14ac:dyDescent="0.25">
      <c r="B979" s="14">
        <v>979</v>
      </c>
      <c r="K979" s="221"/>
      <c r="M979" s="221"/>
      <c r="N979" s="221"/>
      <c r="O979" s="221"/>
      <c r="Q979" s="221"/>
      <c r="R979" s="221"/>
      <c r="S979" s="222"/>
    </row>
    <row r="980" spans="2:19" x14ac:dyDescent="0.25">
      <c r="B980" s="14">
        <v>980</v>
      </c>
      <c r="K980" s="221"/>
      <c r="M980" s="221"/>
      <c r="N980" s="221"/>
      <c r="O980" s="221"/>
      <c r="Q980" s="221"/>
      <c r="R980" s="221"/>
      <c r="S980" s="222"/>
    </row>
    <row r="981" spans="2:19" x14ac:dyDescent="0.25">
      <c r="B981" s="14">
        <v>981</v>
      </c>
      <c r="K981" s="221"/>
      <c r="M981" s="221"/>
      <c r="N981" s="221"/>
      <c r="O981" s="221"/>
      <c r="Q981" s="221"/>
      <c r="R981" s="221"/>
      <c r="S981" s="222"/>
    </row>
    <row r="982" spans="2:19" x14ac:dyDescent="0.25">
      <c r="B982" s="14">
        <v>982</v>
      </c>
      <c r="K982" s="221"/>
      <c r="M982" s="221"/>
      <c r="N982" s="221"/>
      <c r="O982" s="221"/>
      <c r="Q982" s="221"/>
      <c r="R982" s="221"/>
      <c r="S982" s="222"/>
    </row>
    <row r="983" spans="2:19" x14ac:dyDescent="0.25">
      <c r="B983" s="14">
        <v>983</v>
      </c>
      <c r="K983" s="221"/>
      <c r="M983" s="221"/>
      <c r="N983" s="221"/>
      <c r="O983" s="221"/>
      <c r="Q983" s="221"/>
      <c r="R983" s="221"/>
      <c r="S983" s="222"/>
    </row>
    <row r="984" spans="2:19" x14ac:dyDescent="0.25">
      <c r="B984" s="14">
        <v>984</v>
      </c>
      <c r="K984" s="221"/>
      <c r="M984" s="221"/>
      <c r="N984" s="221"/>
      <c r="O984" s="221"/>
      <c r="Q984" s="221"/>
      <c r="R984" s="221"/>
      <c r="S984" s="222"/>
    </row>
    <row r="985" spans="2:19" x14ac:dyDescent="0.25">
      <c r="B985" s="14">
        <v>985</v>
      </c>
      <c r="K985" s="221"/>
      <c r="M985" s="221"/>
      <c r="N985" s="221"/>
      <c r="O985" s="221"/>
      <c r="Q985" s="221"/>
      <c r="R985" s="221"/>
      <c r="S985" s="222"/>
    </row>
    <row r="986" spans="2:19" x14ac:dyDescent="0.25">
      <c r="B986" s="14">
        <v>986</v>
      </c>
      <c r="K986" s="221"/>
      <c r="M986" s="221"/>
      <c r="N986" s="221"/>
      <c r="O986" s="221"/>
      <c r="Q986" s="221"/>
      <c r="R986" s="221"/>
      <c r="S986" s="222"/>
    </row>
    <row r="987" spans="2:19" x14ac:dyDescent="0.25">
      <c r="B987" s="14">
        <v>987</v>
      </c>
      <c r="K987" s="221"/>
      <c r="M987" s="221"/>
      <c r="N987" s="221"/>
      <c r="O987" s="221"/>
      <c r="Q987" s="221"/>
      <c r="R987" s="221"/>
      <c r="S987" s="222"/>
    </row>
    <row r="988" spans="2:19" x14ac:dyDescent="0.25">
      <c r="B988" s="14">
        <v>988</v>
      </c>
      <c r="K988" s="221"/>
      <c r="M988" s="221"/>
      <c r="N988" s="221"/>
      <c r="O988" s="221"/>
      <c r="Q988" s="221"/>
      <c r="R988" s="221"/>
      <c r="S988" s="222"/>
    </row>
    <row r="989" spans="2:19" x14ac:dyDescent="0.25">
      <c r="B989" s="14">
        <v>989</v>
      </c>
      <c r="K989" s="221"/>
      <c r="M989" s="221"/>
      <c r="N989" s="221"/>
      <c r="O989" s="221"/>
      <c r="Q989" s="221"/>
      <c r="R989" s="221"/>
      <c r="S989" s="222"/>
    </row>
    <row r="990" spans="2:19" x14ac:dyDescent="0.25">
      <c r="B990" s="14">
        <v>990</v>
      </c>
      <c r="K990" s="221"/>
      <c r="M990" s="221"/>
      <c r="N990" s="221"/>
      <c r="O990" s="221"/>
      <c r="Q990" s="221"/>
      <c r="R990" s="221"/>
      <c r="S990" s="222"/>
    </row>
    <row r="991" spans="2:19" x14ac:dyDescent="0.25">
      <c r="B991" s="14">
        <v>991</v>
      </c>
      <c r="K991" s="221"/>
      <c r="M991" s="221"/>
      <c r="N991" s="221"/>
      <c r="O991" s="221"/>
      <c r="Q991" s="221"/>
      <c r="R991" s="221"/>
      <c r="S991" s="222"/>
    </row>
    <row r="992" spans="2:19" x14ac:dyDescent="0.25">
      <c r="B992" s="14">
        <v>992</v>
      </c>
      <c r="K992" s="221"/>
      <c r="M992" s="221"/>
      <c r="N992" s="221"/>
      <c r="O992" s="221"/>
      <c r="Q992" s="221"/>
      <c r="R992" s="221"/>
      <c r="S992" s="222"/>
    </row>
    <row r="993" spans="2:19" x14ac:dyDescent="0.25">
      <c r="B993" s="14">
        <v>993</v>
      </c>
      <c r="K993" s="221"/>
      <c r="M993" s="221"/>
      <c r="N993" s="221"/>
      <c r="O993" s="221"/>
      <c r="Q993" s="221"/>
      <c r="R993" s="221"/>
      <c r="S993" s="222"/>
    </row>
    <row r="994" spans="2:19" x14ac:dyDescent="0.25">
      <c r="B994" s="14">
        <v>994</v>
      </c>
      <c r="K994" s="221"/>
      <c r="M994" s="221"/>
      <c r="N994" s="221"/>
      <c r="O994" s="221"/>
      <c r="Q994" s="221"/>
      <c r="R994" s="221"/>
      <c r="S994" s="222"/>
    </row>
    <row r="995" spans="2:19" x14ac:dyDescent="0.25">
      <c r="B995" s="14">
        <v>995</v>
      </c>
      <c r="K995" s="221"/>
      <c r="M995" s="221"/>
      <c r="N995" s="221"/>
      <c r="O995" s="221"/>
      <c r="Q995" s="221"/>
      <c r="R995" s="221"/>
      <c r="S995" s="222"/>
    </row>
    <row r="996" spans="2:19" x14ac:dyDescent="0.25">
      <c r="B996" s="14">
        <v>996</v>
      </c>
      <c r="K996" s="221"/>
      <c r="M996" s="221"/>
      <c r="N996" s="221"/>
      <c r="O996" s="221"/>
      <c r="Q996" s="221"/>
      <c r="R996" s="221"/>
      <c r="S996" s="222"/>
    </row>
    <row r="997" spans="2:19" x14ac:dyDescent="0.25">
      <c r="B997" s="14">
        <v>997</v>
      </c>
      <c r="K997" s="221"/>
      <c r="M997" s="221"/>
      <c r="N997" s="221"/>
      <c r="O997" s="221"/>
      <c r="Q997" s="221"/>
      <c r="R997" s="221"/>
      <c r="S997" s="222"/>
    </row>
    <row r="998" spans="2:19" x14ac:dyDescent="0.25">
      <c r="B998" s="14">
        <v>998</v>
      </c>
      <c r="K998" s="221"/>
      <c r="M998" s="221"/>
      <c r="N998" s="221"/>
      <c r="O998" s="221"/>
      <c r="Q998" s="221"/>
      <c r="R998" s="221"/>
      <c r="S998" s="222"/>
    </row>
    <row r="999" spans="2:19" x14ac:dyDescent="0.25">
      <c r="B999" s="14">
        <v>999</v>
      </c>
      <c r="K999" s="221"/>
      <c r="M999" s="221"/>
      <c r="N999" s="221"/>
      <c r="O999" s="221"/>
      <c r="Q999" s="221"/>
      <c r="R999" s="221"/>
      <c r="S999" s="222"/>
    </row>
    <row r="1000" spans="2:19" x14ac:dyDescent="0.25">
      <c r="B1000" s="14">
        <v>1000</v>
      </c>
      <c r="K1000" s="221"/>
      <c r="M1000" s="221"/>
      <c r="N1000" s="221"/>
      <c r="O1000" s="221"/>
      <c r="Q1000" s="221"/>
      <c r="R1000" s="221"/>
      <c r="S1000" s="222"/>
    </row>
    <row r="1001" spans="2:19" x14ac:dyDescent="0.25">
      <c r="B1001" s="14">
        <v>1001</v>
      </c>
      <c r="K1001" s="221"/>
      <c r="M1001" s="221"/>
      <c r="N1001" s="221"/>
      <c r="O1001" s="221"/>
      <c r="Q1001" s="221"/>
      <c r="R1001" s="221"/>
      <c r="S1001" s="222"/>
    </row>
    <row r="1002" spans="2:19" x14ac:dyDescent="0.25">
      <c r="B1002" s="14">
        <v>1002</v>
      </c>
      <c r="K1002" s="221"/>
      <c r="M1002" s="221"/>
      <c r="N1002" s="221"/>
      <c r="O1002" s="221"/>
      <c r="Q1002" s="221"/>
      <c r="R1002" s="221"/>
      <c r="S1002" s="222"/>
    </row>
    <row r="1003" spans="2:19" x14ac:dyDescent="0.25">
      <c r="B1003" s="14">
        <v>1003</v>
      </c>
      <c r="K1003" s="221"/>
      <c r="M1003" s="221"/>
      <c r="N1003" s="221"/>
      <c r="O1003" s="221"/>
      <c r="Q1003" s="221"/>
      <c r="R1003" s="221"/>
      <c r="S1003" s="222"/>
    </row>
    <row r="1004" spans="2:19" x14ac:dyDescent="0.25">
      <c r="B1004" s="14">
        <v>1004</v>
      </c>
      <c r="K1004" s="221"/>
      <c r="M1004" s="221"/>
      <c r="N1004" s="221"/>
      <c r="O1004" s="221"/>
      <c r="Q1004" s="221"/>
      <c r="R1004" s="221"/>
      <c r="S1004" s="222"/>
    </row>
    <row r="1005" spans="2:19" x14ac:dyDescent="0.25">
      <c r="B1005" s="14">
        <v>1005</v>
      </c>
      <c r="K1005" s="221"/>
      <c r="M1005" s="221"/>
      <c r="N1005" s="221"/>
      <c r="O1005" s="221"/>
      <c r="Q1005" s="221"/>
      <c r="R1005" s="221"/>
      <c r="S1005" s="222"/>
    </row>
    <row r="1006" spans="2:19" x14ac:dyDescent="0.25">
      <c r="B1006" s="14">
        <v>1006</v>
      </c>
      <c r="K1006" s="221"/>
      <c r="M1006" s="221"/>
      <c r="N1006" s="221"/>
      <c r="O1006" s="221"/>
      <c r="Q1006" s="221"/>
      <c r="R1006" s="221"/>
      <c r="S1006" s="222"/>
    </row>
    <row r="1007" spans="2:19" x14ac:dyDescent="0.25">
      <c r="B1007" s="14">
        <v>1007</v>
      </c>
      <c r="K1007" s="221"/>
      <c r="M1007" s="221"/>
      <c r="N1007" s="221"/>
      <c r="O1007" s="221"/>
      <c r="Q1007" s="221"/>
      <c r="R1007" s="221"/>
      <c r="S1007" s="222"/>
    </row>
    <row r="1008" spans="2:19" x14ac:dyDescent="0.25">
      <c r="B1008" s="14">
        <v>1008</v>
      </c>
      <c r="K1008" s="221"/>
      <c r="M1008" s="221"/>
      <c r="N1008" s="221"/>
      <c r="O1008" s="221"/>
      <c r="Q1008" s="221"/>
      <c r="R1008" s="221"/>
      <c r="S1008" s="222"/>
    </row>
    <row r="1009" spans="2:19" x14ac:dyDescent="0.25">
      <c r="B1009" s="14">
        <v>1009</v>
      </c>
      <c r="K1009" s="221"/>
      <c r="M1009" s="221"/>
      <c r="N1009" s="221"/>
      <c r="O1009" s="221"/>
      <c r="Q1009" s="221"/>
      <c r="R1009" s="221"/>
      <c r="S1009" s="222"/>
    </row>
    <row r="1010" spans="2:19" x14ac:dyDescent="0.25">
      <c r="B1010" s="14">
        <v>1010</v>
      </c>
      <c r="K1010" s="221"/>
      <c r="M1010" s="221"/>
      <c r="N1010" s="221"/>
      <c r="O1010" s="221"/>
      <c r="Q1010" s="221"/>
      <c r="R1010" s="221"/>
      <c r="S1010" s="222"/>
    </row>
    <row r="1011" spans="2:19" x14ac:dyDescent="0.25">
      <c r="B1011" s="14">
        <v>1011</v>
      </c>
      <c r="K1011" s="221"/>
      <c r="M1011" s="221"/>
      <c r="N1011" s="221"/>
      <c r="O1011" s="221"/>
      <c r="Q1011" s="221"/>
      <c r="R1011" s="221"/>
      <c r="S1011" s="222"/>
    </row>
    <row r="1012" spans="2:19" x14ac:dyDescent="0.25">
      <c r="B1012" s="14">
        <v>1012</v>
      </c>
      <c r="K1012" s="221"/>
      <c r="M1012" s="221"/>
      <c r="N1012" s="221"/>
      <c r="O1012" s="221"/>
      <c r="Q1012" s="221"/>
      <c r="R1012" s="221"/>
      <c r="S1012" s="222"/>
    </row>
    <row r="1013" spans="2:19" x14ac:dyDescent="0.25">
      <c r="B1013" s="14">
        <v>1013</v>
      </c>
      <c r="K1013" s="221"/>
      <c r="M1013" s="221"/>
      <c r="N1013" s="221"/>
      <c r="O1013" s="221"/>
      <c r="Q1013" s="221"/>
      <c r="R1013" s="221"/>
      <c r="S1013" s="222"/>
    </row>
    <row r="1014" spans="2:19" x14ac:dyDescent="0.25">
      <c r="B1014" s="14">
        <v>1014</v>
      </c>
      <c r="K1014" s="221"/>
      <c r="M1014" s="221"/>
      <c r="N1014" s="221"/>
      <c r="O1014" s="221"/>
      <c r="Q1014" s="221"/>
      <c r="R1014" s="221"/>
      <c r="S1014" s="222"/>
    </row>
    <row r="1015" spans="2:19" x14ac:dyDescent="0.25">
      <c r="B1015" s="14">
        <v>1015</v>
      </c>
    </row>
    <row r="1016" spans="2:19" x14ac:dyDescent="0.25">
      <c r="B1016" s="14">
        <v>1016</v>
      </c>
    </row>
    <row r="1017" spans="2:19" ht="54" customHeight="1" x14ac:dyDescent="0.25">
      <c r="B1017" s="14">
        <v>1017</v>
      </c>
      <c r="G1017" s="223"/>
    </row>
  </sheetData>
  <sheetProtection formatCells="0" formatColumns="0" formatRows="0" autoFilter="0"/>
  <autoFilter ref="A1:Y1017" xr:uid="{1FA45F79-D6B0-49FB-AFE0-E144D796F2A0}"/>
  <conditionalFormatting sqref="I27">
    <cfRule type="expression" dxfId="21" priority="1">
      <formula>NOT(ISNUMBER(I27))</formula>
    </cfRule>
  </conditionalFormatting>
  <conditionalFormatting sqref="M2:O5039">
    <cfRule type="containsText" dxfId="20" priority="2" operator="containsText" text="DCO">
      <formula>NOT(ISERROR(SEARCH("DCO",M2)))</formula>
    </cfRule>
    <cfRule type="containsBlanks" priority="3" stopIfTrue="1">
      <formula>LEN(TRIM(M2))=0</formula>
    </cfRule>
    <cfRule type="containsText" dxfId="19" priority="4" operator="containsText" text="non conf">
      <formula>NOT(ISERROR(SEARCH("non conf",M2)))</formula>
    </cfRule>
    <cfRule type="containsText" dxfId="18" priority="5" operator="containsText" text="non concern">
      <formula>NOT(ISERROR(SEARCH("non concern",M2)))</formula>
    </cfRule>
    <cfRule type="containsText" dxfId="17" priority="6" operator="containsText" text="justif">
      <formula>NOT(ISERROR(SEARCH("justif",M2)))</formula>
    </cfRule>
  </conditionalFormatting>
  <dataValidations count="237">
    <dataValidation type="list" allowBlank="1" showInputMessage="1" showErrorMessage="1" sqref="I24" xr:uid="{E795EBB8-E3FD-43F1-8C69-908A278B6209}">
      <formula1>"Oui , Non"</formula1>
    </dataValidation>
    <dataValidation type="list" allowBlank="1" showInputMessage="1" showErrorMessage="1" sqref="I294" xr:uid="{6599ADC2-0326-4318-B6E8-AB506BFD6ED4}">
      <formula1>ListeEl308g</formula1>
    </dataValidation>
    <dataValidation type="list" allowBlank="1" showInputMessage="1" showErrorMessage="1" sqref="I153" xr:uid="{EEDDE7F5-7AEE-4720-8BB0-F052046CC53C}">
      <formula1>ListeEl445</formula1>
    </dataValidation>
    <dataValidation type="list" allowBlank="1" showInputMessage="1" showErrorMessage="1" sqref="I100" xr:uid="{2B63B4C3-0837-4137-B384-1E358FEB9442}">
      <formula1>ListeEl87b</formula1>
    </dataValidation>
    <dataValidation type="list" allowBlank="1" showInputMessage="1" showErrorMessage="1" sqref="I96" xr:uid="{989F07F8-7182-4C5C-8805-793465FE19E9}">
      <formula1>ListeEl84d</formula1>
    </dataValidation>
    <dataValidation type="list" allowBlank="1" showInputMessage="1" showErrorMessage="1" sqref="I130" xr:uid="{3C48B0EA-3213-4A91-930A-A8D03099E0AE}">
      <formula1>ListeEl507</formula1>
    </dataValidation>
    <dataValidation type="list" allowBlank="1" showInputMessage="1" showErrorMessage="1" sqref="I347" xr:uid="{96E14CD7-8032-491C-974B-0F6A7F317B4B}">
      <formula1>ListeEl326</formula1>
    </dataValidation>
    <dataValidation type="list" allowBlank="1" showInputMessage="1" showErrorMessage="1" sqref="I271" xr:uid="{733EE096-A6DE-4D58-882D-A664943E952B}">
      <formula1>ListeEl199b</formula1>
    </dataValidation>
    <dataValidation type="list" allowBlank="1" showInputMessage="1" showErrorMessage="1" sqref="I396" xr:uid="{6AE15AE3-283B-495A-A466-B481A4A3A189}">
      <formula1>ListeEl258d</formula1>
    </dataValidation>
    <dataValidation type="list" allowBlank="1" showInputMessage="1" showErrorMessage="1" sqref="I395" xr:uid="{81E591A9-ABA1-49BD-974F-C81EC2C9646B}">
      <formula1>ListeEl258c</formula1>
    </dataValidation>
    <dataValidation type="list" allowBlank="1" showInputMessage="1" sqref="I326" xr:uid="{E7236407-E013-47C8-B2B2-BFA12384D8AB}">
      <formula1>"le 1er avril,le 1er septembre,le 1er février,Autre date"</formula1>
    </dataValidation>
    <dataValidation type="list" allowBlank="1" showInputMessage="1" showErrorMessage="1" sqref="I321" xr:uid="{2B8285F3-3C22-4676-97F1-D30DEA9A8B9B}">
      <formula1>"six (6) mois glissants,douze (12) mois glissants,Autre rythme de révision"</formula1>
    </dataValidation>
    <dataValidation type="list" allowBlank="1" showInputMessage="1" showErrorMessage="1" sqref="I332" xr:uid="{D428124E-F901-4033-9935-FB8EBB0041A7}">
      <formula1>ListeEl317a</formula1>
    </dataValidation>
    <dataValidation type="list" allowBlank="1" showInputMessage="1" showErrorMessage="1" sqref="I171" xr:uid="{583EA293-4F41-4798-8749-2AA040FE7458}">
      <formula1>ListeEl183l</formula1>
    </dataValidation>
    <dataValidation type="list" allowBlank="1" showInputMessage="1" showErrorMessage="1" sqref="I329" xr:uid="{6F5B1485-0B31-4312-AF29-37164BEB202D}">
      <formula1>"avant le 31 octobre à minuit de l’année précédente, pour une révision au 1er février,avant le 30 juin à minuit de la même année, pour une révision au 1er septembre,autre date butoir"</formula1>
    </dataValidation>
    <dataValidation type="list" allowBlank="1" showInputMessage="1" sqref="I328" xr:uid="{EE2CE5EE-1558-466A-A843-837FED8F5CFC}">
      <formula1>"la date de notification,la date de départ de la durée initiale du marché"</formula1>
    </dataValidation>
    <dataValidation type="list" allowBlank="1" showInputMessage="1" showErrorMessage="1" sqref="I323" xr:uid="{A360802A-1C47-4EE5-823D-97DE38D0EEC7}">
      <formula1>"date acceptée ou fixée par l’UGAP dans le courrier adressé au titulaire,trente (30) jours calendaires à compter de la validation de l’UGAP"</formula1>
    </dataValidation>
    <dataValidation type="list" allowBlank="1" showInputMessage="1" sqref="I323" xr:uid="{6D018BDD-1AA2-4264-A531-6A0D83863CD6}">
      <formula1>"date acceptée ou fixée par l’UGAP dans le courrier adressé au titulaire,trente (30) jours calendaires à compter de la validation de l’UGAP"</formula1>
    </dataValidation>
    <dataValidation type="list" allowBlank="1" showInputMessage="1" sqref="I321 I327" xr:uid="{C1CE1980-F33A-4C69-89CD-BD31C5D80AAC}">
      <formula1>"six (6) mois glissants,douze (12) mois glissants,Autre rythme de révision"</formula1>
    </dataValidation>
    <dataValidation type="list" allowBlank="1" showInputMessage="1" sqref="I320" xr:uid="{676E3528-D51F-475E-8AEE-DD90F3E3875F}">
      <formula1>"date de notification du présent contrat,date de départ de la durée initiale du contrat figurant dans l’ordre de service"</formula1>
    </dataValidation>
    <dataValidation type="list" allowBlank="1" showInputMessage="1" showErrorMessage="1" sqref="I223" xr:uid="{9FA7DBC4-8D0F-40C6-8193-E2A2F9DAD85C}">
      <formula1>ListeEl150</formula1>
    </dataValidation>
    <dataValidation type="list" allowBlank="1" showInputMessage="1" sqref="I183" xr:uid="{25228924-3538-4B0A-98D8-704917EB3264}">
      <formula1>"Oui, une extension de garantie doit être mise en place, Non, absence d'extension de garantie"</formula1>
    </dataValidation>
    <dataValidation type="list" allowBlank="1" showInputMessage="1" showErrorMessage="1" sqref="I491" xr:uid="{49FFED7E-4FE1-4B82-9780-F3D450E73D9F}">
      <formula1>ListeEl335f</formula1>
    </dataValidation>
    <dataValidation type="list" allowBlank="1" showInputMessage="1" showErrorMessage="1" sqref="I67" xr:uid="{1E2B30ED-E77E-42E6-9965-75F817A35F52}">
      <formula1>ListeEl73e</formula1>
    </dataValidation>
    <dataValidation type="list" allowBlank="1" showInputMessage="1" showErrorMessage="1" sqref="I301" xr:uid="{AFE45EAE-0570-437B-88C4-72BDB3E77140}">
      <formula1>ListeEl224b</formula1>
    </dataValidation>
    <dataValidation type="list" allowBlank="1" showInputMessage="1" showErrorMessage="1" sqref="I22" xr:uid="{B094C742-B24B-4AD5-B399-4B58EDBD672D}">
      <formula1>ListeEl303</formula1>
    </dataValidation>
    <dataValidation type="list" allowBlank="1" showInputMessage="1" showErrorMessage="1" sqref="I445" xr:uid="{79C48B20-D0BC-472E-8C1D-BE1CD3DDB49A}">
      <formula1>ListeEl509</formula1>
    </dataValidation>
    <dataValidation type="list" allowBlank="1" showInputMessage="1" showErrorMessage="1" sqref="I183" xr:uid="{E58C334A-CFA1-41A4-8ADB-F12C7EF04F86}">
      <formula1>ListeEl184</formula1>
    </dataValidation>
    <dataValidation type="list" allowBlank="1" showInputMessage="1" showErrorMessage="1" sqref="I169" xr:uid="{7147DAFF-AD86-46B0-AA3C-628D57B4CBE8}">
      <formula1>ListeEl191</formula1>
    </dataValidation>
    <dataValidation type="list" allowBlank="1" showInputMessage="1" showErrorMessage="1" sqref="I155" xr:uid="{3009F02C-1B8D-4C6A-8EAF-9B6E8570D896}">
      <formula1>ListeEl177</formula1>
    </dataValidation>
    <dataValidation type="list" allowBlank="1" showInputMessage="1" showErrorMessage="1" sqref="I480" xr:uid="{E4FC93E2-19E2-40D4-B163-061110B0D30F}">
      <formula1>ListeEl118</formula1>
    </dataValidation>
    <dataValidation type="list" allowBlank="1" showInputMessage="1" showErrorMessage="1" sqref="I477" xr:uid="{2EE39C2E-4A78-416F-89A5-DE910A63E904}">
      <formula1>ListeEl116</formula1>
    </dataValidation>
    <dataValidation type="list" allowBlank="1" showInputMessage="1" showErrorMessage="1" sqref="I470" xr:uid="{B39CF032-9DF9-48EF-A3F7-CB172866D31B}">
      <formula1>ListeEl62</formula1>
    </dataValidation>
    <dataValidation type="list" allowBlank="1" showInputMessage="1" showErrorMessage="1" sqref="I468" xr:uid="{AA6DF37F-C69E-47C7-9F01-7CDD7CF507CA}">
      <formula1>ListeEl49</formula1>
    </dataValidation>
    <dataValidation type="list" allowBlank="1" showInputMessage="1" showErrorMessage="1" sqref="I467" xr:uid="{2E3F8040-353A-47F8-A90D-69ED58F3C1EE}">
      <formula1>ListeEl48</formula1>
    </dataValidation>
    <dataValidation type="list" allowBlank="1" showInputMessage="1" showErrorMessage="1" sqref="I466" xr:uid="{8D346A6A-9080-412F-B6A9-A2B31EF5D4C0}">
      <formula1>ListeEl47</formula1>
    </dataValidation>
    <dataValidation type="list" allowBlank="1" showInputMessage="1" showErrorMessage="1" sqref="I456" xr:uid="{8F9AE09B-EACA-4DEF-9528-F3EF8691E244}">
      <formula1>ListeEl40</formula1>
    </dataValidation>
    <dataValidation type="list" allowBlank="1" showInputMessage="1" showErrorMessage="1" sqref="I451" xr:uid="{4AD86D27-952B-4B33-BD5F-BA086898FD4D}">
      <formula1>ListeEl36</formula1>
    </dataValidation>
    <dataValidation type="list" allowBlank="1" showInputMessage="1" showErrorMessage="1" sqref="I354" xr:uid="{B76425D2-5E3A-4CD5-98EC-8207EFD2C90A}">
      <formula1>ListeEl164a</formula1>
    </dataValidation>
    <dataValidation type="list" allowBlank="1" showInputMessage="1" showErrorMessage="1" sqref="I231" xr:uid="{19140FA3-3375-446B-BCE8-AC77052CFAF5}">
      <formula1>ListeEl153</formula1>
    </dataValidation>
    <dataValidation type="list" allowBlank="1" showInputMessage="1" showErrorMessage="1" sqref="I221" xr:uid="{C6B3F20A-F997-483C-8BE3-FF506197A1F0}">
      <formula1>ListeEl148</formula1>
    </dataValidation>
    <dataValidation type="list" allowBlank="1" showInputMessage="1" showErrorMessage="1" sqref="I214" xr:uid="{BDFF31E7-A0A1-49ED-9D13-858C82D3989F}">
      <formula1>ListeEl143</formula1>
    </dataValidation>
    <dataValidation type="list" allowBlank="1" showInputMessage="1" showErrorMessage="1" sqref="I210" xr:uid="{1A3381DE-12FD-4B88-B7E1-8087C7049E38}">
      <formula1>ListeEl102</formula1>
    </dataValidation>
    <dataValidation type="list" allowBlank="1" showInputMessage="1" showErrorMessage="1" sqref="I208" xr:uid="{5938869C-D86C-4305-91C7-79597A3FC663}">
      <formula1>ListeEl99</formula1>
    </dataValidation>
    <dataValidation type="list" allowBlank="1" showInputMessage="1" showErrorMessage="1" sqref="I206" xr:uid="{51D4DFA8-19CA-499F-BFA9-7BEF25E9885D}">
      <formula1>ListeEl97</formula1>
    </dataValidation>
    <dataValidation type="list" allowBlank="1" showInputMessage="1" showErrorMessage="1" sqref="I131" xr:uid="{698901C7-1A8C-4C48-B679-E4EB79EA9D81}">
      <formula1>ListeEl122</formula1>
    </dataValidation>
    <dataValidation type="list" allowBlank="1" showInputMessage="1" showErrorMessage="1" sqref="I122" xr:uid="{1B7883D0-4118-4227-8011-DCBAB9F830C2}">
      <formula1>ListeEl113</formula1>
    </dataValidation>
    <dataValidation type="list" allowBlank="1" showInputMessage="1" showErrorMessage="1" sqref="I117" xr:uid="{96E77A4F-48FC-46A3-BC11-F50AC1C25730}">
      <formula1>ListeEl110</formula1>
    </dataValidation>
    <dataValidation type="list" allowBlank="1" showInputMessage="1" showErrorMessage="1" sqref="I111" xr:uid="{1FEEFDE4-AF25-4ED3-AF69-3F16D9576129}">
      <formula1>ListeEl269</formula1>
    </dataValidation>
    <dataValidation type="list" allowBlank="1" showInputMessage="1" showErrorMessage="1" sqref="I98" xr:uid="{D00EE98E-A85C-4915-B5B6-D4FE22AA2900}">
      <formula1>ListeEl86</formula1>
    </dataValidation>
    <dataValidation type="list" allowBlank="1" showInputMessage="1" showErrorMessage="1" sqref="I88" xr:uid="{5DA5E569-AF27-4BDE-AF2C-A718E007EA34}">
      <formula1>ListeEl80</formula1>
    </dataValidation>
    <dataValidation type="list" allowBlank="1" showInputMessage="1" showErrorMessage="1" sqref="I58" xr:uid="{EBF1E9AB-1E57-4958-983E-539A3614D692}">
      <formula1>ListeEl69</formula1>
    </dataValidation>
    <dataValidation type="list" allowBlank="1" showInputMessage="1" showErrorMessage="1" sqref="I48" xr:uid="{73A2BC8B-1A89-4334-9714-B9BC3CE77122}">
      <formula1>ListeEl25</formula1>
    </dataValidation>
    <dataValidation type="list" allowBlank="1" showInputMessage="1" showErrorMessage="1" sqref="I47" xr:uid="{71816917-5C3B-41A1-9D3E-6A8665A39B00}">
      <formula1>ListeEl24</formula1>
    </dataValidation>
    <dataValidation type="list" allowBlank="1" showInputMessage="1" showErrorMessage="1" sqref="I32" xr:uid="{924ADD9B-45C9-4CF5-A08B-89BC6BAC59EA}">
      <formula1>ListeEl94</formula1>
    </dataValidation>
    <dataValidation type="list" allowBlank="1" showInputMessage="1" showErrorMessage="1" sqref="I26" xr:uid="{F6F46DCD-0AFA-4771-BB9A-4F6EC27D4C92}">
      <formula1>ListeEl88</formula1>
    </dataValidation>
    <dataValidation type="list" allowBlank="1" showInputMessage="1" showErrorMessage="1" sqref="I21" xr:uid="{650553F0-DAFB-4216-A012-8D4D81A104D6}">
      <formula1>ListeEl302</formula1>
    </dataValidation>
    <dataValidation type="list" allowBlank="1" showInputMessage="1" showErrorMessage="1" sqref="I188" xr:uid="{7BEAD5FD-7BB2-4F34-B8FE-8B3D4AD1BF16}">
      <formula1>ListeEl4</formula1>
    </dataValidation>
    <dataValidation type="list" allowBlank="1" showInputMessage="1" showErrorMessage="1" sqref="I125" xr:uid="{C585D4F7-4CCE-4147-A9F4-67FC97510E1D}">
      <formula1>ListeEl112b</formula1>
    </dataValidation>
    <dataValidation type="list" allowBlank="1" showInputMessage="1" showErrorMessage="1" sqref="I430" xr:uid="{9521AA5C-D776-40F3-AADB-469012F20AF4}">
      <formula1>ListeEl353</formula1>
    </dataValidation>
    <dataValidation type="list" allowBlank="1" showInputMessage="1" showErrorMessage="1" sqref="I366" xr:uid="{AA36681F-C4A3-4671-B516-93769F585411}">
      <formula1>ListeEl271b</formula1>
    </dataValidation>
    <dataValidation type="list" allowBlank="1" showInputMessage="1" showErrorMessage="1" sqref="I230" xr:uid="{AAD76AE6-828E-4D63-8B38-0365290B99B0}">
      <formula1>ListeEl495</formula1>
    </dataValidation>
    <dataValidation type="list" allowBlank="1" showInputMessage="1" showErrorMessage="1" sqref="I19" xr:uid="{4011F2DF-BC82-4529-A301-33218A7219CB}">
      <formula1>ListeEl30b</formula1>
    </dataValidation>
    <dataValidation type="list" allowBlank="1" showInputMessage="1" showErrorMessage="1" sqref="I138" xr:uid="{195C7D46-3EA8-41C2-82F1-01641792DDA0}">
      <formula1>ListeEl142</formula1>
    </dataValidation>
    <dataValidation type="list" allowBlank="1" showInputMessage="1" showErrorMessage="1" sqref="I148" xr:uid="{6594A7A6-E742-4FBF-B649-DF9C0BD76EC7}">
      <formula1>ListeEl136</formula1>
    </dataValidation>
    <dataValidation type="list" allowBlank="1" showInputMessage="1" showErrorMessage="1" sqref="I150" xr:uid="{AA79D537-0337-4833-973A-9F25E0ECB87C}">
      <formula1>ListeEl138</formula1>
    </dataValidation>
    <dataValidation type="list" allowBlank="1" showInputMessage="1" showErrorMessage="1" sqref="I249" xr:uid="{3AC0ABDC-0169-4CD6-B3F2-CDE3ECD3AA90}">
      <formula1>ListeEl163c</formula1>
    </dataValidation>
    <dataValidation type="list" allowBlank="1" showInputMessage="1" showErrorMessage="1" sqref="I166" xr:uid="{BBF3317C-40FF-43AC-B4B3-156289B97AA5}">
      <formula1>ListeEl189</formula1>
    </dataValidation>
    <dataValidation type="list" allowBlank="1" showInputMessage="1" showErrorMessage="1" sqref="I256" xr:uid="{0F469C2B-7F50-455A-84E2-62B1C4ECBD38}">
      <formula1>ListeEl205a</formula1>
    </dataValidation>
    <dataValidation type="list" allowBlank="1" showInputMessage="1" showErrorMessage="1" sqref="I263" xr:uid="{967F1CAE-EB1C-486B-896B-AB46D0DD42A4}">
      <formula1>ListeEl208</formula1>
    </dataValidation>
    <dataValidation type="list" allowBlank="1" showInputMessage="1" showErrorMessage="1" sqref="I265" xr:uid="{86F1AF44-D14E-4369-A278-A63375A6E558}">
      <formula1>ListeEl210</formula1>
    </dataValidation>
    <dataValidation type="list" allowBlank="1" showInputMessage="1" showErrorMessage="1" sqref="I274" xr:uid="{1D6A49BE-9B1D-4311-A43F-0D306B6E50F2}">
      <formula1>ListeEl200</formula1>
    </dataValidation>
    <dataValidation type="list" allowBlank="1" showInputMessage="1" showErrorMessage="1" sqref="I299" xr:uid="{9489BDB8-CDDF-402A-A961-2E06D78127B3}">
      <formula1>ListeEl223</formula1>
    </dataValidation>
    <dataValidation type="list" allowBlank="1" showInputMessage="1" showErrorMessage="1" sqref="I341" xr:uid="{041EBEA8-5069-407A-BD63-7AEA6E31709E}">
      <formula1>ListeEl223d</formula1>
    </dataValidation>
    <dataValidation type="list" allowBlank="1" showInputMessage="1" showErrorMessage="1" sqref="I346" xr:uid="{66983E1D-9242-4472-A516-F0C709D0D6B0}">
      <formula1>"Oui, application d'une clause de sauvegarde,Non, absence de clause de sauvegarde"</formula1>
    </dataValidation>
    <dataValidation type="list" allowBlank="1" showInputMessage="1" showErrorMessage="1" sqref="I378" xr:uid="{C98E064C-3BD9-4888-A41E-04040FFA2334}">
      <formula1>ListeEl330</formula1>
    </dataValidation>
    <dataValidation type="list" allowBlank="1" showInputMessage="1" showErrorMessage="1" sqref="I113" xr:uid="{E215246B-674F-4C47-94D2-CD5CFDF11DCF}">
      <formula1>ListeEl391</formula1>
    </dataValidation>
    <dataValidation type="list" allowBlank="1" showInputMessage="1" showErrorMessage="1" sqref="I224" xr:uid="{7DB0F979-AE5C-4055-9C21-C641E77863C8}">
      <formula1>ListeEl151</formula1>
    </dataValidation>
    <dataValidation type="list" allowBlank="1" showInputMessage="1" showErrorMessage="1" sqref="I168" xr:uid="{4F05D3F6-E13D-42D6-8C80-8B0D63591E3E}">
      <formula1>ListeEl192</formula1>
    </dataValidation>
    <dataValidation type="list" allowBlank="1" showInputMessage="1" showErrorMessage="1" sqref="I170" xr:uid="{43BF85E4-070C-494B-BA89-FE9F9115B0B3}">
      <formula1>ListeEl183</formula1>
    </dataValidation>
    <dataValidation type="list" allowBlank="1" showInputMessage="1" showErrorMessage="1" sqref="I331" xr:uid="{B8B03411-9B8B-4A38-B610-CF3304F8C444}">
      <formula1>ListeEl317</formula1>
    </dataValidation>
    <dataValidation type="list" allowBlank="1" showInputMessage="1" showErrorMessage="1" sqref="I337" xr:uid="{42D577A1-C864-466D-8D65-4D881FD8D1B5}">
      <formula1>ListeEl320</formula1>
    </dataValidation>
    <dataValidation type="list" allowBlank="1" showInputMessage="1" showErrorMessage="1" sqref="I461" xr:uid="{F3DA5896-4163-4B4F-A068-B68A5D62757F}">
      <formula1>ListeEl44</formula1>
    </dataValidation>
    <dataValidation type="list" allowBlank="1" showInputMessage="1" showErrorMessage="1" sqref="I462" xr:uid="{1788EB62-B025-49AD-98C4-DBB1D180D098}">
      <formula1>ListeEl45</formula1>
    </dataValidation>
    <dataValidation type="list" allowBlank="1" showInputMessage="1" showErrorMessage="1" sqref="I463" xr:uid="{331E61A8-8C75-4E55-B3D3-73B17EBB8755}">
      <formula1>ListeEl46</formula1>
    </dataValidation>
    <dataValidation type="list" allowBlank="1" showInputMessage="1" showErrorMessage="1" sqref="I385" xr:uid="{395EFBDD-5C5B-45C6-92D0-58F350765B4A}">
      <formula1>ListeEl342</formula1>
    </dataValidation>
    <dataValidation type="list" allowBlank="1" showInputMessage="1" showErrorMessage="1" sqref="I388" xr:uid="{ACD2C943-D5A7-4B47-9FD6-9279F66B3EA6}">
      <formula1>ListeEl344</formula1>
    </dataValidation>
    <dataValidation type="list" allowBlank="1" showInputMessage="1" showErrorMessage="1" sqref="I390" xr:uid="{A089D4C6-B86B-4AD5-8F89-18C09BD830A2}">
      <formula1>ListeEl346</formula1>
    </dataValidation>
    <dataValidation type="list" allowBlank="1" showInputMessage="1" showErrorMessage="1" sqref="I393" xr:uid="{504F3C5C-194E-4A17-946A-23FD3E3A50D0}">
      <formula1>ListeEl258</formula1>
    </dataValidation>
    <dataValidation type="list" allowBlank="1" showInputMessage="1" showErrorMessage="1" sqref="I413" xr:uid="{3FC4DEEF-0642-4373-AFF4-A481CFB9D0FB}">
      <formula1>ListeEl336</formula1>
    </dataValidation>
    <dataValidation type="list" allowBlank="1" showInputMessage="1" showErrorMessage="1" sqref="I415" xr:uid="{0BB6EBD6-10D0-4478-B739-BE36429833C5}">
      <formula1>ListeEl337b</formula1>
    </dataValidation>
    <dataValidation type="list" allowBlank="1" showInputMessage="1" showErrorMessage="1" sqref="I416" xr:uid="{56EE0581-38E6-4D71-A499-9E8BBC0BFBC9}">
      <formula1>ListeEl338</formula1>
    </dataValidation>
    <dataValidation type="list" allowBlank="1" showInputMessage="1" showErrorMessage="1" sqref="I436" xr:uid="{890F38BA-A5AB-411C-9E2A-D830D231251E}">
      <formula1>ListeEl358</formula1>
    </dataValidation>
    <dataValidation type="list" allowBlank="1" showInputMessage="1" showErrorMessage="1" sqref="I441" xr:uid="{6062B412-65BC-4943-BE0C-9F31AC9A7EBF}">
      <formula1>ListeEl285</formula1>
    </dataValidation>
    <dataValidation type="list" allowBlank="1" showInputMessage="1" showErrorMessage="1" sqref="I447" xr:uid="{DDD9250E-AF3F-4AC4-9B27-29FC39CE97CA}">
      <formula1>ListeEl217</formula1>
    </dataValidation>
    <dataValidation type="list" allowBlank="1" showInputMessage="1" showErrorMessage="1" sqref="I85" xr:uid="{1218AF67-12AE-457E-9850-6D2DF8550C21}">
      <formula1>ListeEl78m</formula1>
    </dataValidation>
    <dataValidation type="list" allowBlank="1" showInputMessage="1" showErrorMessage="1" sqref="I144" xr:uid="{08436B10-AC29-47B0-A87A-F48A7398393C}">
      <formula1>"A la survenance du besoin, A échéance (mensuelle, trimestrielle, annuelle), autre ou mixte"</formula1>
    </dataValidation>
    <dataValidation type="list" allowBlank="1" showInputMessage="1" showErrorMessage="1" sqref="I197" xr:uid="{6C12508B-AF1D-41F5-B160-6BC04A3388E7}">
      <formula1>ListeEl380</formula1>
    </dataValidation>
    <dataValidation type="list" allowBlank="1" showInputMessage="1" showErrorMessage="1" sqref="I198" xr:uid="{E196844E-5C34-4482-A52C-472F8939661A}">
      <formula1>ListeEl381</formula1>
    </dataValidation>
    <dataValidation type="list" allowBlank="1" showInputMessage="1" showErrorMessage="1" sqref="I239" xr:uid="{779A358E-9118-4371-A927-4581E80B1040}">
      <formula1>"Absence de système DDP, Présence de système DDP"</formula1>
    </dataValidation>
    <dataValidation type="list" allowBlank="1" showInputMessage="1" showErrorMessage="1" sqref="I173" xr:uid="{54DC3401-5954-4746-A24C-30740BC6D35C}">
      <formula1>ListeEl183b</formula1>
    </dataValidation>
    <dataValidation type="list" allowBlank="1" showInputMessage="1" showErrorMessage="1" sqref="I177" xr:uid="{7673F524-77B3-4415-A938-FAE3A8EA6DB0}">
      <formula1>ListeEl183g</formula1>
    </dataValidation>
    <dataValidation type="list" allowBlank="1" showInputMessage="1" showErrorMessage="1" sqref="I407" xr:uid="{215AD012-C396-4A7B-AC94-37B48C3BC85B}">
      <formula1>ListeEl260e</formula1>
    </dataValidation>
    <dataValidation type="list" allowBlank="1" showInputMessage="1" showErrorMessage="1" sqref="I235" xr:uid="{25D199CE-79A5-49BC-A17F-54E63A0FF015}">
      <formula1>ListeEl156</formula1>
    </dataValidation>
    <dataValidation type="list" allowBlank="1" showInputMessage="1" showErrorMessage="1" sqref="I246" xr:uid="{2BC2C62E-BCEA-4064-BB6F-E868FCF96F15}">
      <formula1>ListeEl162</formula1>
    </dataValidation>
    <dataValidation type="list" allowBlank="1" showInputMessage="1" showErrorMessage="1" sqref="I247" xr:uid="{AF5A2BA4-028D-40BE-8545-47446B6C0C96}">
      <formula1>"Acompte conforme au standard dont le montant est supérieur à 50 000 euros, dont le délai de prestation est supérieur à 90 jours, Maximum 40%, Garantie à première demande, Acompte non conforme au standard"</formula1>
    </dataValidation>
    <dataValidation type="list" allowBlank="1" showInputMessage="1" showErrorMessage="1" sqref="I29" xr:uid="{97F49527-515A-4F9C-BC5F-F2B2E83783FF}">
      <formula1>ListeEl91</formula1>
    </dataValidation>
    <dataValidation type="list" allowBlank="1" showInputMessage="1" showErrorMessage="1" sqref="I40" xr:uid="{799FA929-22D4-4C81-8DC8-31288DC084F1}">
      <formula1>ListeEl60</formula1>
    </dataValidation>
    <dataValidation type="list" allowBlank="1" showInputMessage="1" showErrorMessage="1" sqref="I49" xr:uid="{32B71869-DCAC-464F-BC32-17FA976F5535}">
      <formula1>ListeEl26</formula1>
    </dataValidation>
    <dataValidation type="list" allowBlank="1" showInputMessage="1" showErrorMessage="1" sqref="I73" xr:uid="{2A53D959-31F6-450A-A4CA-4E4C84C179DF}">
      <formula1>ListeEl78f</formula1>
    </dataValidation>
    <dataValidation type="list" allowBlank="1" showInputMessage="1" showErrorMessage="1" sqref="I74" xr:uid="{C4E0C020-24EC-4D80-B2E8-BC75220FF94F}">
      <formula1>ListeEl78b</formula1>
    </dataValidation>
    <dataValidation type="list" allowBlank="1" showInputMessage="1" showErrorMessage="1" sqref="I102" xr:uid="{AB6C5584-A816-49F2-A30A-92A4A6562BFE}">
      <formula1>ListeEl82</formula1>
    </dataValidation>
    <dataValidation type="list" allowBlank="1" showInputMessage="1" showErrorMessage="1" sqref="I193" xr:uid="{D75AB2BB-D6FA-458C-BA71-DF76A030ADBD}">
      <formula1>ListeEl376</formula1>
    </dataValidation>
    <dataValidation type="list" allowBlank="1" showInputMessage="1" showErrorMessage="1" sqref="I216" xr:uid="{B7BAE484-93A3-458A-A9B6-F8903B223AD3}">
      <formula1>ListeEl146</formula1>
    </dataValidation>
    <dataValidation type="list" allowBlank="1" showInputMessage="1" showErrorMessage="1" sqref="I243" xr:uid="{BC89D775-F2A7-42C1-AEBA-8D19A152248B}">
      <formula1>ListeEl161</formula1>
    </dataValidation>
    <dataValidation type="list" allowBlank="1" showInputMessage="1" showErrorMessage="1" sqref="I185" xr:uid="{11DC1198-8CB1-4806-9C84-6AC85446F614}">
      <formula1>"Oui, Extension de garantie contrôlée,Non, absence d'extension de garantie contrôlée"</formula1>
    </dataValidation>
    <dataValidation type="list" allowBlank="1" showInputMessage="1" showErrorMessage="1" sqref="I184" xr:uid="{6A26735D-18A3-4991-BF8B-2D4BFCA415D9}">
      <formula1>ListeEl185</formula1>
    </dataValidation>
    <dataValidation type="list" allowBlank="1" showInputMessage="1" showErrorMessage="1" sqref="I276" xr:uid="{3BA0BDD4-FA77-467A-9CBE-DE03CA35E04C}">
      <formula1>ListeEl263</formula1>
    </dataValidation>
    <dataValidation type="list" allowBlank="1" showInputMessage="1" showErrorMessage="1" sqref="I278" xr:uid="{B6BA9AE7-9F78-4B41-BEFD-B814F1A9E823}">
      <formula1>ListeEl490</formula1>
    </dataValidation>
    <dataValidation type="list" allowBlank="1" showInputMessage="1" sqref="I280" xr:uid="{69003CB2-E956-4E70-ABEE-E3EA8428D2BA}">
      <formula1>"Oui, une analyse d’impact relative à la protection des données est requise par le RGPD,Non, absence d'analyse d'impact par le RGPD"</formula1>
    </dataValidation>
    <dataValidation type="list" allowBlank="1" showInputMessage="1" showErrorMessage="1" sqref="I287" xr:uid="{1E899099-7730-4E0A-969B-B1EC96791F0B}">
      <formula1>ListeEl309</formula1>
    </dataValidation>
    <dataValidation type="list" allowBlank="1" showInputMessage="1" showErrorMessage="1" sqref="I295" xr:uid="{1BEE905A-50E3-460C-92AA-8984EA1C6EE2}">
      <formula1>ListeEl308h</formula1>
    </dataValidation>
    <dataValidation type="list" allowBlank="1" showInputMessage="1" showErrorMessage="1" sqref="I305" xr:uid="{C3BA9478-ACA0-4D1F-8F06-62DD5C6C5048}">
      <formula1>ListeEl311</formula1>
    </dataValidation>
    <dataValidation type="list" allowBlank="1" showInputMessage="1" showErrorMessage="1" sqref="I308" xr:uid="{9801E12C-2280-4A45-9D01-305610E9B49C}">
      <formula1>ListeEl313</formula1>
    </dataValidation>
    <dataValidation type="list" allowBlank="1" showInputMessage="1" showErrorMessage="1" sqref="I310" xr:uid="{DA1716C9-C5E4-4BE8-8E6C-C07186A93747}">
      <formula1>ListeEl313b</formula1>
    </dataValidation>
    <dataValidation type="list" allowBlank="1" showInputMessage="1" showErrorMessage="1" sqref="I312" xr:uid="{3767BE3F-17DA-4605-A543-3D82CCE74F2D}">
      <formula1>ListeEl315</formula1>
    </dataValidation>
    <dataValidation type="list" allowBlank="1" showInputMessage="1" showErrorMessage="1" sqref="I313" xr:uid="{B7E5CB03-B4AA-479F-942F-C9D46F877E1B}">
      <formula1>ListeEl315b</formula1>
    </dataValidation>
    <dataValidation type="list" allowBlank="1" showInputMessage="1" showErrorMessage="1" sqref="I334" xr:uid="{CACCD560-AF28-44D0-B5A0-F7B5BDBE2F67}">
      <formula1>ListeEl318a</formula1>
    </dataValidation>
    <dataValidation type="list" allowBlank="1" showInputMessage="1" showErrorMessage="1" sqref="I355" xr:uid="{985E7B67-7026-49DF-9C1B-321F93878F6C}">
      <formula1>ListeEl164</formula1>
    </dataValidation>
    <dataValidation type="list" allowBlank="1" showInputMessage="1" showErrorMessage="1" sqref="I359" xr:uid="{5C1F010E-C18F-42C1-AD76-96ED849651E0}">
      <formula1>ListeEl168</formula1>
    </dataValidation>
    <dataValidation type="list" allowBlank="1" showInputMessage="1" showErrorMessage="1" sqref="I363" xr:uid="{B3D10861-86A8-441F-8791-BD16D4942B3F}">
      <formula1>ListeEl174</formula1>
    </dataValidation>
    <dataValidation type="list" allowBlank="1" showInputMessage="1" showErrorMessage="1" sqref="I364" xr:uid="{DD2EED35-9E1E-47F4-A4B1-0212C65F370D}">
      <formula1>"Oui, l'offre antérieure affiche un stock fournisseur,Non, l'offre antérieure n'affiche pas de stock fournisseur"</formula1>
    </dataValidation>
    <dataValidation type="list" allowBlank="1" showInputMessage="1" showErrorMessage="1" sqref="I376" xr:uid="{E0426107-2F3C-4DD3-BD53-4B4381FA3F57}">
      <formula1>ListeEl173b</formula1>
    </dataValidation>
    <dataValidation type="list" allowBlank="1" showInputMessage="1" showErrorMessage="1" sqref="I403" xr:uid="{440635A4-E4B2-43A6-BBAD-C34709ECA309}">
      <formula1>ListeEl260b</formula1>
    </dataValidation>
    <dataValidation type="list" allowBlank="1" showInputMessage="1" showErrorMessage="1" sqref="I404" xr:uid="{DAC944A5-FEE2-4ADB-9CC3-6133C7DEDD31}">
      <formula1>ListeEl260c</formula1>
    </dataValidation>
    <dataValidation type="list" allowBlank="1" showInputMessage="1" showErrorMessage="1" sqref="I417" xr:uid="{017A187B-1AAE-401C-AEE5-1A5698F3A592}">
      <formula1>ListeEl339b</formula1>
    </dataValidation>
    <dataValidation type="list" allowBlank="1" showInputMessage="1" showErrorMessage="1" sqref="I418" xr:uid="{87C3637F-7BFD-44F3-A093-584B3AC4BDC0}">
      <formula1>ListeEl339c</formula1>
    </dataValidation>
    <dataValidation type="list" allowBlank="1" showInputMessage="1" showErrorMessage="1" sqref="I453" xr:uid="{466CAC82-FD0E-4B64-82EE-3FA1E1D7B941}">
      <formula1>ListeEl38</formula1>
    </dataValidation>
    <dataValidation type="list" allowBlank="1" showInputMessage="1" showErrorMessage="1" sqref="I457" xr:uid="{0F7F0F3C-D19C-4CB1-A1A1-1D52FE07324D}">
      <formula1>ListeEl41</formula1>
    </dataValidation>
    <dataValidation type="list" allowBlank="1" showInputMessage="1" showErrorMessage="1" sqref="I459" xr:uid="{CFD9E4AF-2B55-4C31-B9DA-8C215F468BA8}">
      <formula1>ListeEl41c</formula1>
    </dataValidation>
    <dataValidation type="list" allowBlank="1" showInputMessage="1" showErrorMessage="1" sqref="I481" xr:uid="{1F7CCBD3-7F56-432D-A17B-88F3BBB9EE7C}">
      <formula1>ListeEl369</formula1>
    </dataValidation>
    <dataValidation type="list" allowBlank="1" showInputMessage="1" showErrorMessage="1" sqref="I489" xr:uid="{F6023901-7E71-4285-99CE-ED1752090232}">
      <formula1>ListeEl335a</formula1>
    </dataValidation>
    <dataValidation type="list" allowBlank="1" showInputMessage="1" showErrorMessage="1" sqref="I241" xr:uid="{43F6F0C2-BF56-49D6-95AC-FAF868D8CA6A}">
      <formula1>ListeEl160</formula1>
    </dataValidation>
    <dataValidation type="list" allowBlank="1" showInputMessage="1" showErrorMessage="1" sqref="I175" xr:uid="{70737E9F-3F39-4408-A849-22BB8D2F2CB3}">
      <formula1>"Oui, existence d'une garantie autonomie de l'ensemble batterie,Non, absence de garantie autonomie de l'ensemble batterie"</formula1>
    </dataValidation>
    <dataValidation type="list" allowBlank="1" showInputMessage="1" showErrorMessage="1" sqref="I252" xr:uid="{DAF20977-4754-40DD-8E97-F115E90AEB2B}">
      <formula1>ListeEl163e</formula1>
    </dataValidation>
    <dataValidation type="list" allowBlank="1" showInputMessage="1" showErrorMessage="1" sqref="I253" xr:uid="{E0B562FA-A98B-4B55-B9B8-FFD48A7F190A}">
      <formula1>ListeEl163f</formula1>
    </dataValidation>
    <dataValidation type="list" allowBlank="1" showInputMessage="1" showErrorMessage="1" sqref="I268" xr:uid="{4E5755D4-A182-480D-B061-CBE8E70E98AC}">
      <formula1>ListeEl401</formula1>
    </dataValidation>
    <dataValidation type="list" allowBlank="1" showInputMessage="1" showErrorMessage="1" sqref="I140" xr:uid="{85D8388B-AF07-4154-935F-D9FE91EA209C}">
      <formula1>ListeEl125</formula1>
    </dataValidation>
    <dataValidation type="list" allowBlank="1" showInputMessage="1" showErrorMessage="1" sqref="I303" xr:uid="{BDB72037-69B1-43F7-BBD8-7080BC6CE774}">
      <formula1>"Oui, Assurance pour les livraisons hors France Métropolitaine (TVA 0%),Non, Absence d'assurance pour la livraison"</formula1>
    </dataValidation>
    <dataValidation type="list" allowBlank="1" showInputMessage="1" showErrorMessage="1" sqref="I266" xr:uid="{7CA9CD19-DC6F-48C2-8DDD-F8D9DFFC4874}">
      <formula1>ListeEl211</formula1>
    </dataValidation>
    <dataValidation type="list" allowBlank="1" showInputMessage="1" showErrorMessage="1" sqref="I319 I316 I325 I327" xr:uid="{11498925-0E54-4981-B299-1927BE452F37}">
      <formula1>"Oui, les modalités de variation des prix sont identiques pour tous les lots,Non, les modalités de variation des prix sont différentes en fonction des lots"</formula1>
    </dataValidation>
    <dataValidation type="list" allowBlank="1" showInputMessage="1" showErrorMessage="1" sqref="I156" xr:uid="{EED32468-945B-4914-9D02-76D84C36CF13}">
      <formula1>"oui, durée standard applicable , non, durée spécifique applicable"</formula1>
    </dataValidation>
    <dataValidation type="list" allowBlank="1" showInputMessage="1" showErrorMessage="1" sqref="I344" xr:uid="{4F1DD128-1B63-4010-B34D-99BEDEBD48AE}">
      <formula1>ListeEl324</formula1>
    </dataValidation>
    <dataValidation type="list" allowBlank="1" showInputMessage="1" showErrorMessage="1" sqref="I141" xr:uid="{714CBDB5-270C-4FD9-9B1B-9E5BC02874FC}">
      <formula1>ListeEl127</formula1>
    </dataValidation>
    <dataValidation type="list" allowBlank="1" showInputMessage="1" showErrorMessage="1" sqref="I257" xr:uid="{BA2D3ABF-F51C-4392-A607-1A9CAA5C6127}">
      <formula1>ListeEL492</formula1>
    </dataValidation>
    <dataValidation type="list" allowBlank="1" showInputMessage="1" showErrorMessage="1" sqref="I250" xr:uid="{4AB73B3D-D006-4D1F-B70D-E107E013897C}">
      <formula1>ListeEl163d</formula1>
    </dataValidation>
    <dataValidation type="list" allowBlank="1" showInputMessage="1" showErrorMessage="1" sqref="I279" xr:uid="{44B4CC46-B559-4E30-B60A-D1F2F21551F6}">
      <formula1>ListeEl265</formula1>
    </dataValidation>
    <dataValidation type="list" allowBlank="1" showInputMessage="1" showErrorMessage="1" sqref="I410" xr:uid="{DB9CE5F1-9A03-4743-A7D4-E8117E9ECF26}">
      <formula1>ListeEl260g</formula1>
    </dataValidation>
    <dataValidation type="list" allowBlank="1" showInputMessage="1" showErrorMessage="1" sqref="I411" xr:uid="{2BD222A9-1F5D-483C-BCC9-71CEEFEC4B5E}">
      <formula1>ListeEl260h</formula1>
    </dataValidation>
    <dataValidation type="list" allowBlank="1" showInputMessage="1" showErrorMessage="1" sqref="I116" xr:uid="{22504955-B513-4595-940E-FA6A1A2889E0}">
      <formula1>ListeEl501</formula1>
    </dataValidation>
    <dataValidation type="list" allowBlank="1" showInputMessage="1" showErrorMessage="1" sqref="I135" xr:uid="{D8754FC1-D065-4473-A242-F26E39601AC0}">
      <formula1>ListeEl140</formula1>
    </dataValidation>
    <dataValidation type="list" allowBlank="1" showInputMessage="1" showErrorMessage="1" sqref="I342" xr:uid="{C5F22542-7DE5-40B6-AEB1-37D5A12B18C9}">
      <formula1>ListeEl187</formula1>
    </dataValidation>
    <dataValidation type="list" allowBlank="1" showInputMessage="1" showErrorMessage="1" sqref="I156" xr:uid="{21B48A3E-C3E7-4D19-955A-209C9F4CE065}">
      <formula1>ListeEl488</formula1>
    </dataValidation>
    <dataValidation type="list" allowBlank="1" showInputMessage="1" showErrorMessage="1" sqref="I401" xr:uid="{F7B4E0F1-C64D-4C6A-AB3B-D9ECB42F57BA}">
      <formula1>ListeEl260a</formula1>
    </dataValidation>
    <dataValidation type="list" allowBlank="1" showInputMessage="1" showErrorMessage="1" sqref="I185" xr:uid="{3D5D934B-2841-45BB-A13C-1071070B0912}">
      <formula1>ListeEl186</formula1>
    </dataValidation>
    <dataValidation type="list" allowBlank="1" showInputMessage="1" showErrorMessage="1" sqref="I159" xr:uid="{B0FF02D6-13DA-454B-836B-3933E05342C3}">
      <formula1>ListeEl180a</formula1>
    </dataValidation>
    <dataValidation type="list" allowBlank="1" showInputMessage="1" showErrorMessage="1" sqref="I179" xr:uid="{5C5DF6BC-2411-4B38-9F0F-5254E705C4C2}">
      <formula1>ListeEl183i</formula1>
    </dataValidation>
    <dataValidation type="list" allowBlank="1" showInputMessage="1" showErrorMessage="1" sqref="I175" xr:uid="{4A5AE88A-D844-413E-9779-A36946E79136}">
      <formula1>ListeEl183e</formula1>
    </dataValidation>
    <dataValidation type="list" allowBlank="1" showInputMessage="1" showErrorMessage="1" sqref="I128" xr:uid="{F1F29306-7D7F-4193-9948-38DC4A2B879C}">
      <formula1>ListeEl120</formula1>
    </dataValidation>
    <dataValidation type="list" allowBlank="1" showInputMessage="1" showErrorMessage="1" sqref="I238" xr:uid="{14DCFE1A-4539-4F83-B3CD-B2DCACB27F58}">
      <formula1>"Emission de facture client, paiement du fournisseur en déduction des acomptes perçus, paiement fournisseur…,Non concerné pour l’offre"</formula1>
    </dataValidation>
    <dataValidation type="list" allowBlank="1" showInputMessage="1" sqref="I89" xr:uid="{52FBDE4D-7B32-4BA7-B842-EF19EE6EEE70}">
      <formula1>ListeEl81b</formula1>
    </dataValidation>
    <dataValidation type="list" allowBlank="1" showInputMessage="1" sqref="I282" xr:uid="{9BEF41CA-4D47-4F78-8655-57AD7999F242}">
      <formula1>"Dans un délai de 30 jours,Dans un délai de 7 jours"</formula1>
    </dataValidation>
    <dataValidation type="list" allowBlank="1" showInputMessage="1" sqref="I245" xr:uid="{FABA4F3A-5959-452C-BA38-A0A4B36BB617}">
      <formula1>"30%,60%,70%"</formula1>
    </dataValidation>
    <dataValidation type="list" allowBlank="1" showInputMessage="1" sqref="I244" xr:uid="{7470F41C-2C2B-4429-905F-E1B002376C39}">
      <formula1>"Le pourcentage de 90% est trop élevé pour principalement un report d'exécution,Autre"</formula1>
    </dataValidation>
    <dataValidation type="list" allowBlank="1" showInputMessage="1" showErrorMessage="1" sqref="I180" xr:uid="{04FB51F0-3E3F-460D-96C1-72F0A9E72A0C}">
      <formula1>"5 ans,Autre"</formula1>
    </dataValidation>
    <dataValidation type="list" allowBlank="1" showInputMessage="1" showErrorMessage="1" sqref="I237" xr:uid="{93DC3C2C-9384-45EF-814A-4D99BCFDF188}">
      <formula1>"Emettre la facture après admission du matériel et joindre « l’attestation d’admission par le bénéficiaire (issue de la vérification d’aptitude technique) » complétée et signée par le client,Non concerné pour l’offre"</formula1>
    </dataValidation>
    <dataValidation type="list" allowBlank="1" showInputMessage="1" sqref="I236" xr:uid="{BA0AD658-1A30-4DE3-AD2D-0979E69FC1B6}">
      <formula1>"Le client doit compléter et signer l’attestation d’admission,Non concerné pour l’offre"</formula1>
    </dataValidation>
    <dataValidation type="list" allowBlank="1" showInputMessage="1" showErrorMessage="1" sqref="I464" xr:uid="{2EAC8767-856D-436D-89E3-E888B6E29BA8}">
      <formula1>"100 % Vente Assistée, 50% Vente A Distance,50% Vente Assistée / 50% Vente A Distance,Autre"</formula1>
    </dataValidation>
    <dataValidation type="list" allowBlank="1" showInputMessage="1" showErrorMessage="1" sqref="I350" xr:uid="{D331CA2F-EF5F-464B-B07B-78C8A60FC841}">
      <formula1>"12 mois,Autre"</formula1>
    </dataValidation>
    <dataValidation type="list" allowBlank="1" showInputMessage="1" showErrorMessage="1" sqref="I80" xr:uid="{E7E9C16F-993B-4F0D-9180-64567FE49887}">
      <formula1>"Passation des marchés subséquents à la survenance du besoin, Passation des marchés subséquents par périodicité , Passation des Bons de commandes sur Accord-cadre"</formula1>
    </dataValidation>
    <dataValidation type="list" allowBlank="1" showInputMessage="1" showErrorMessage="1" sqref="I203" xr:uid="{B73AA71B-2830-45CF-9967-57529E50FBA5}">
      <formula1>"Unique,Mensuelle,Trimestrielle,Annuelle,Autre,Non concerné pour l'offre"</formula1>
    </dataValidation>
    <dataValidation type="list" allowBlank="1" showInputMessage="1" showErrorMessage="1" sqref="N19:N22 N492:N498 N98:N99 N69:N95 N66 N125:N211 N24:N62 N380:N394 N243:N270 N102:N123 N213:N241 N273:N347 N349:N378 N397:N490 N2:N17" xr:uid="{1ED384D5-7E98-4A4E-838A-0C9DFBD7CEA3}">
      <formula1>"Identique,Différent"</formula1>
    </dataValidation>
    <dataValidation type="list" allowBlank="1" showInputMessage="1" showErrorMessage="1" sqref="I382" xr:uid="{A17B7DDE-DDAC-46A7-94B5-EB5F51CE8AD6}">
      <formula1>"Durée maximale de 40 jours et délai de prévenance de 6 mois,Autre"</formula1>
    </dataValidation>
    <dataValidation type="list" allowBlank="1" showInputMessage="1" showErrorMessage="1" sqref="I14" xr:uid="{9F04DA4E-C905-443C-9907-FC9F220FCCFC}">
      <formula1>"Oui, Non"</formula1>
    </dataValidation>
    <dataValidation type="list" allowBlank="1" showInputMessage="1" showErrorMessage="1" sqref="I399" xr:uid="{ED0B7EFA-A427-478E-99F4-F5436A8A29CC}">
      <formula1>"Tout ou partie des lots sont concernés par de la reprise 1 pour 1, Aucun lot n'est concerné par de la reprise 1 pour 1"</formula1>
    </dataValidation>
    <dataValidation type="list" allowBlank="1" showInputMessage="1" showErrorMessage="1" sqref="I397" xr:uid="{25BEB034-3A1A-4EF5-BBBC-3A496E8D4D07}">
      <formula1>"Tout ou partie des lots sont concernés par une ou plusieurs REP , Aucun lot n'est concerné par une REP"</formula1>
    </dataValidation>
    <dataValidation type="list" allowBlank="1" showInputMessage="1" sqref="I259" xr:uid="{AC56C5EA-6884-44A8-AC63-AAB0FA6748EA}">
      <formula1>"Indicateurs SINOE,Autre"</formula1>
    </dataValidation>
    <dataValidation type="list" allowBlank="1" showInputMessage="1" showErrorMessage="1" sqref="I228 I226" xr:uid="{1B906194-E26C-4E14-9355-CE613CD97CFA}">
      <formula1>"Terme échoir , Terme échu ,Non concerné pour l'offre"</formula1>
    </dataValidation>
    <dataValidation type="list" allowBlank="1" showInputMessage="1" sqref="I180" xr:uid="{B4AE8F80-6C05-4698-B8E6-AC5E151172C6}">
      <formula1>"5 ans, 10 ans, autre,Non concerné pour l'offre"</formula1>
    </dataValidation>
    <dataValidation type="list" allowBlank="1" showInputMessage="1" showErrorMessage="1" sqref="I229 I227" xr:uid="{1EBD9D37-1C76-474B-9951-862A98789417}">
      <formula1>"Paiement unique , mensuelle, trimestrielle ,Semestrielle,annuelle"</formula1>
    </dataValidation>
    <dataValidation type="list" allowBlank="1" showInputMessage="1" showErrorMessage="1" sqref="I437" xr:uid="{E5B4F104-B8EF-4A51-88FC-8283D993E502}">
      <formula1>"Oui,Non"</formula1>
    </dataValidation>
    <dataValidation type="list" allowBlank="1" showInputMessage="1" sqref="I181" xr:uid="{510A662D-7539-440F-AECA-0330F4455345}">
      <formula1>"5 ans, 10 ans, autre"</formula1>
    </dataValidation>
    <dataValidation type="list" allowBlank="1" showInputMessage="1" showErrorMessage="1" sqref="I303" xr:uid="{4D7E5F41-5F04-4D36-ABEF-AF873E1661DF}">
      <formula1>ListeEl224d</formula1>
    </dataValidation>
    <dataValidation type="list" allowBlank="1" showInputMessage="1" sqref="I143" xr:uid="{2B1B30CD-67B1-4257-BAA7-D1EFC96777CB}">
      <formula1>"Oui, Délai de transmission des informations liées à la commande ou à la livraisons conforme à 3 jours,Non, délai de transmission des informations liées à la commande ou à la livraisons non conforme au standard"</formula1>
    </dataValidation>
    <dataValidation type="list" allowBlank="1" showInputMessage="1" sqref="I143" xr:uid="{EB809C6F-B07E-4DDF-ACFB-136776132B39}">
      <formula1>"Oui, dématerialisation des devis/commande, Non, Absence de dématerialisation des devis/commande "</formula1>
    </dataValidation>
    <dataValidation type="list" allowBlank="1" showInputMessage="1" showErrorMessage="1" sqref="I364" xr:uid="{596A49E8-91C9-4037-BFF0-C6CE655ED086}">
      <formula1>ListeEl270</formula1>
    </dataValidation>
    <dataValidation type="list" allowBlank="1" showInputMessage="1" showErrorMessage="1" sqref="I200" xr:uid="{C5A29CB4-68F5-43D1-A1D8-C1EB8320F5FD}">
      <formula1>"concomitant à la commande (volet 1) et à l’issue de l’admission du matériel (volet 2), la fin de la période de garantie, la fin de la période d'extension de garantie, Autre"</formula1>
    </dataValidation>
    <dataValidation type="list" allowBlank="1" showInputMessage="1" showErrorMessage="1" sqref="I136:I137 I129" xr:uid="{D7E3350F-C418-44C2-ADD0-5454C5B2FBF4}">
      <formula1>"minimum en quantité , minimum en montant"</formula1>
    </dataValidation>
    <dataValidation type="list" allowBlank="1" showInputMessage="1" sqref="I95" xr:uid="{16D79A86-0FFB-4F1E-A41F-D987B122E55B}">
      <formula1>"12 mois,6 mois,4 mois,3 mois,1 fois 6 mois et 2 fois 3 mois"</formula1>
    </dataValidation>
    <dataValidation type="list" allowBlank="1" showInputMessage="1" sqref="I94" xr:uid="{04965321-228D-4947-86A7-5538D9379DE4}">
      <formula1>"1 reconduction,2 reconductions,3 reconductions, 4 reconductions"</formula1>
    </dataValidation>
    <dataValidation type="list" allowBlank="1" showInputMessage="1" showErrorMessage="1" sqref="I90" xr:uid="{97347068-AAF7-4EF6-ADA7-1B591A6A1FCC}">
      <formula1>"36 mois,autre"</formula1>
    </dataValidation>
    <dataValidation type="list" allowBlank="1" showInputMessage="1" showErrorMessage="1" sqref="I77 I84" xr:uid="{7504CFF6-1DF4-4B53-855F-0868AC5AA454}">
      <formula1>"A la survenance du besoin, par périodicité"</formula1>
    </dataValidation>
    <dataValidation type="list" allowBlank="1" showInputMessage="1" showErrorMessage="1" sqref="H179" xr:uid="{D866CEC8-4264-43AE-B3CB-73C5F05D4576}">
      <formula1>"Oui, Fourniture par le titulaire de pièces détachées,Non, Absence de fourniture de pièces détachées par le titulaire"</formula1>
    </dataValidation>
    <dataValidation type="list" allowBlank="1" showInputMessage="1" sqref="I251" xr:uid="{4BA29D14-CF57-4439-9865-DB1DAAFFD649}">
      <formula1>"Oui, acompte conforme au standard des 80% du montant € HT du BDC,Non, acompte dérogatoire au standard"</formula1>
    </dataValidation>
    <dataValidation type="list" allowBlank="1" showInputMessage="1" sqref="I145" xr:uid="{2490D003-71B8-4205-8962-3540DE15DDB9}">
      <formula1>"A la survenance du besoin,A échéance,Autre"</formula1>
    </dataValidation>
    <dataValidation type="list" allowBlank="1" showInputMessage="1" sqref="I11 H123" xr:uid="{16822677-BFE9-4712-A28D-D2B640EC4602}">
      <formula1>OuiNon</formula1>
    </dataValidation>
    <dataValidation type="list" allowBlank="1" showInputMessage="1" sqref="I297:I298 I149 I300 I302" xr:uid="{2C1040E2-BD33-49FD-93F4-A80E92C01078}">
      <formula1>"Oui,Non"</formula1>
    </dataValidation>
    <dataValidation type="list" allowBlank="1" showInputMessage="1" showErrorMessage="1" sqref="I60" xr:uid="{C15F3EA0-4591-445E-82A1-0536B3A2B91D}">
      <formula1>ListeEl71</formula1>
    </dataValidation>
    <dataValidation type="list" allowBlank="1" showInputMessage="1" showErrorMessage="1" sqref="I9" xr:uid="{0430EC9C-9B16-4875-B6CB-2BE915EED11C}">
      <formula1>"Offre nouvelle,Renouvellement d'offres avec extension , Renouvellement d'offres avec création , Renouvellement d'offre sans création/extension, Renouvellement d'offres avec extension et création"</formula1>
    </dataValidation>
    <dataValidation type="list" allowBlank="1" showInputMessage="1" showErrorMessage="1" sqref="I12" xr:uid="{F4233677-19DA-4BFC-8158-570DB4BF3CA5}">
      <formula1>"Matériel,Prestations récurrentes,Prestations ponctuelles,Matériel et prestations récurrentes,Matériel et prestations ponctuelles,Matériel et prestations récurrentes et ponctuelles,Prestations récurrentes et ponctuelles"</formula1>
    </dataValidation>
    <dataValidation type="list" allowBlank="1" showInputMessage="1" showErrorMessage="1" sqref="I202 I225" xr:uid="{1D1C3088-CFD2-4489-B4EF-074ECAA42B93}">
      <formula1>"Mono échéance,Multi échéance,Mono échéance &amp; Multi échéance"</formula1>
    </dataValidation>
    <dataValidation type="list" allowBlank="1" showInputMessage="1" showErrorMessage="1" sqref="I70" xr:uid="{4CC730B8-10D5-4A23-A05B-47293DC4C28A}">
      <formula1>"Offre exécutée, Offre non exécutée,Offre exécutée &amp; Offre non exécutée"</formula1>
    </dataValidation>
    <dataValidation type="list" allowBlank="1" showInputMessage="1" showErrorMessage="1" sqref="I59" xr:uid="{6C483CFD-A90C-4D59-BF5B-C56408CB85CA}">
      <formula1>"Appel d'offres restreint,Dialogue compétitif,Procédure concurrentielle avec négociation,SAD avec enchères,SAD sans enchères,Non concerné pour l'offre"</formula1>
    </dataValidation>
    <dataValidation type="list" allowBlank="1" showInputMessage="1" showErrorMessage="1" sqref="I75" xr:uid="{494A0821-F154-4B89-B51D-11E608038450}">
      <formula1>"Charge des marchés subséquents par l'Ugap,Charge des marchés subséquents par le client"</formula1>
    </dataValidation>
    <dataValidation type="list" allowBlank="1" showInputMessage="1" sqref="I82" xr:uid="{0B4F8709-8676-42A0-B012-3CF664D5F0BA}">
      <formula1>"Mono client,Multi client,Mono et Multi clients"</formula1>
    </dataValidation>
    <dataValidation type="list" allowBlank="1" showInputMessage="1" showErrorMessage="1" sqref="I93" xr:uid="{430B295D-E75F-4589-B93B-E2BC2F0A65C1}">
      <formula1>"Expresse,Tacite"</formula1>
    </dataValidation>
    <dataValidation type="list" allowBlank="1" showInputMessage="1" sqref="I106" xr:uid="{D8124E0B-8CDE-4091-BA07-7234D5ED5209}">
      <formula1>ListeEl104b</formula1>
    </dataValidation>
    <dataValidation type="list" allowBlank="1" showInputMessage="1" showErrorMessage="1" sqref="I33" xr:uid="{658F712A-D852-4452-8AFC-D2B318F1CAA2}">
      <formula1>"Candidature,Attribution"</formula1>
    </dataValidation>
    <dataValidation allowBlank="1" showInputMessage="1" sqref="H118:H119 H132 I405:I406 Q449:S449 H226:H230 J188:K189 H217:H219 O449 K16 K449 M449 J202:K203 K14 I199:K199 I260:I261 I258 I112 I8 I109 I30:I31 I302 I50:I51 I76 I174 I81 I86 I248 I496:I498 I104 I107 I91 I186 I264 I490 I161:I165 I251 I118:I120 I132:I133 I207 I209 I232 I439 I414 I277 H79:I79 I297 I286 I83 I288:I293 I339 I343 I351 I356:I357 I335 I379:I380 I329:I330 I386:I387 I389 I391 I201 I424 I429 I431 I434 I442 I454 I452 I472 I474:I475 I53:I55 I482 I27:I28 I149 I97 I41 I34:I35 I360:I362 I192 I215 I375 I369:I373 I142:I143 I72 I333 I267 I448:I450 I154 I65:I66 I16 I281 I190 I39 I195:I196 I2:I6 I181:I182 I446 I488 H124 I394 I222 I494 I398 I157:I158 I400 I383 I178 I101 I176 I167 I402 I10 I408:I409 I99 I300 I37 I43:I44 I68 I316:I319 I322 I324:I325 I492 I172 I269:I270 I123:I124 I145:I146 I151:I152 I484 I365 I367 I478:I479 J12:J18" xr:uid="{B7843F2F-E366-4BF2-8EA1-0E522479B9B5}"/>
    <dataValidation type="list" allowBlank="1" showInputMessage="1" showErrorMessage="1" sqref="I298" xr:uid="{86124255-17ED-4585-9105-D9A0878F9451}">
      <formula1>"sur devis, en pourcentage"</formula1>
    </dataValidation>
    <dataValidation type="list" allowBlank="1" showInputMessage="1" showErrorMessage="1" sqref="I285" xr:uid="{E7A246F3-392F-43AA-9957-96420C7F3571}">
      <formula1>"Unitaire,Forfaitaire,Mixte"</formula1>
    </dataValidation>
    <dataValidation type="list" allowBlank="1" showInputMessage="1" showErrorMessage="1" sqref="I309" xr:uid="{7057F11A-8CC7-45BC-8FAD-C3B1EC4FEEA3}">
      <formula1>"Sur devis,Inclus dans les prix,Non concerné pour la direction/univers,Non concerné pour l'offre"</formula1>
    </dataValidation>
    <dataValidation type="list" allowBlank="1" showInputMessage="1" showErrorMessage="1" sqref="I358" xr:uid="{BAA03838-432B-4FAC-BC4B-A87E090ECAA8}">
      <formula1>"Bénéficiaire,Titulaire"</formula1>
    </dataValidation>
    <dataValidation type="list" allowBlank="1" showInputMessage="1" showErrorMessage="1" sqref="I423" xr:uid="{40EC69CF-524E-4DB2-A43C-B4682A85D42A}">
      <formula1>"Groupement solidaire obligatoire,Groupement solidaire et conjoint (avec mandataire solidaire)"</formula1>
    </dataValidation>
    <dataValidation type="list" allowBlank="1" showInputMessage="1" showErrorMessage="1" sqref="I427" xr:uid="{5B8BC094-C518-48B9-BE3D-02D0699D5DD3}">
      <formula1>"Pas de niveau minimal imposé,Chiffres d’affaires minimum en montant,Ratio financier inférieur ou égal à XX% - CA global du candidat,Ratio financier inférieur ou égal à XX% - CA objet du (des) lot(s) du candidat"</formula1>
    </dataValidation>
    <dataValidation type="list" allowBlank="1" showInputMessage="1" showErrorMessage="1" sqref="I426" xr:uid="{B1E5BCA6-6E70-414F-97BF-A9519B93D44E}">
      <formula1>ListeEl350</formula1>
    </dataValidation>
    <dataValidation type="list" allowBlank="1" showInputMessage="1" showErrorMessage="1" sqref="I433" xr:uid="{9FFA819F-9386-4B77-8C7E-60FAC8F9D4C4}">
      <formula1>"L’analyse de la convenance des prix se fera sur la base du panel articles visé ci-dessus dans la partie « performance de l’offre », L’analyse de la convenance est prévue sur une autre configuration"</formula1>
    </dataValidation>
    <dataValidation type="list" allowBlank="1" showInputMessage="1" showErrorMessage="1" sqref="I458" xr:uid="{B4BDFE8E-5060-430F-8D2A-0C408409DB66}">
      <formula1>"Totalement,Partiellement"</formula1>
    </dataValidation>
    <dataValidation type="list" allowBlank="1" showInputMessage="1" showErrorMessage="1" sqref="I460" xr:uid="{F880C084-8A37-428E-AEFF-DEA96FFC895E}">
      <formula1>"UGAP, Titulaire"</formula1>
    </dataValidation>
    <dataValidation type="list" allowBlank="1" showInputMessage="1" sqref="I471" xr:uid="{6B88E4CC-6CCB-4134-AA3D-DDFA252C4677}">
      <formula1>"Schéma de vente offre tripartite,Schéma de vente offre avec prestations associées,Schéma de vente offre sans prestation associée,Autre"</formula1>
    </dataValidation>
    <dataValidation type="list" allowBlank="1" showInputMessage="1" showErrorMessage="1" sqref="I13" xr:uid="{4336BBD2-AD10-44DC-A14D-B94942B6821F}">
      <formula1>"Prestations associées et annexes,Prestations associées,Prestations annexes"</formula1>
    </dataValidation>
    <dataValidation type="list" allowBlank="1" showInputMessage="1" showErrorMessage="1" sqref="I306" xr:uid="{158059C4-9333-4384-AC34-D02406911F89}">
      <formula1>"Pièces détachées,Matériels figurant en annexe à l'AE"</formula1>
    </dataValidation>
    <dataValidation type="list" allowBlank="1" showInputMessage="1" showErrorMessage="1" sqref="I338" xr:uid="{2F7936CA-7DCC-456B-9B18-9B301456F5C9}">
      <formula1>"Par seuil de déclenchement,Sur indices,Sur tarif public"</formula1>
    </dataValidation>
    <dataValidation type="list" allowBlank="1" showInputMessage="1" showErrorMessage="1" sqref="I194" xr:uid="{FF0B7C06-3560-40A1-BF4F-619003CBE09C}">
      <formula1>"remise en état des Matériels,remise en état des Installations et logiciels,Non concerné pour l'offre"</formula1>
    </dataValidation>
    <dataValidation type="list" allowBlank="1" showInputMessage="1" showErrorMessage="1" sqref="I419" xr:uid="{F6FF7BE7-6F1A-4090-BC85-4D183C45EF28}">
      <formula1>"A la livraison,A la mise en service,Au jour de l'admission"</formula1>
    </dataValidation>
    <dataValidation type="list" allowBlank="1" showInputMessage="1" showErrorMessage="1" sqref="I61" xr:uid="{8A9A1507-0B51-4311-9A41-2EDF936CB85C}">
      <formula1>ListeEl72</formula1>
    </dataValidation>
    <dataValidation type="list" allowBlank="1" showInputMessage="1" showErrorMessage="1" sqref="I233" xr:uid="{BDD9FD35-140F-4187-BFA1-11590CA05240}">
      <formula1>"Absence de format de facturation en xml,format de facturation en xml"</formula1>
    </dataValidation>
  </dataValidations>
  <hyperlinks>
    <hyperlink ref="G8" location="'3-Elaboration.O'!G9" display="Liste choix multiple" xr:uid="{D7F84F5A-E8BA-4B6A-A80D-A562724E9D5B}"/>
    <hyperlink ref="G16" location="'3-Elaboration.O'!G16" display="Liste choix multiple" xr:uid="{F02702A0-E981-4FE9-8751-BEA37925558D}"/>
    <hyperlink ref="G30" location="'3-Elaboration.O'!G28" display="Liste choix multiple" xr:uid="{8C52551B-66DB-4099-BB09-723D5DEA92DF}"/>
    <hyperlink ref="G34" location="'3-Elaboration.O'!G32" display="Liste choix multiple" xr:uid="{30309F81-CFF0-4CD9-BE49-DF11501A1E74}"/>
    <hyperlink ref="G37" location="'3-Elaboration.O'!G36" display="Liste choix multiple" xr:uid="{34EB120D-A95F-4945-919D-74443F23CFE0}"/>
    <hyperlink ref="G104" location="'3-Elaboration.O'!G94" display="Liste choix multiple" xr:uid="{964C3B70-0B9B-490E-B0A9-7CE0E2355B68}"/>
    <hyperlink ref="G106" location="'3-Elaboration.O'!G96" display="Liste choix multiple" xr:uid="{FB189249-3FCC-4C23-A1EC-3CCE69E8A9BC}"/>
    <hyperlink ref="G109" location="'3-Elaboration.O'!G99" display="Liste choix multiple" xr:uid="{CD23947D-4AF7-4F05-8229-8013132C1E91}"/>
    <hyperlink ref="G118" location="'3-Elaboration.O'!G108" display="Liste choix multiple" xr:uid="{87BC04DB-E63B-4664-AEA5-D623AD48BECC}"/>
    <hyperlink ref="G132" location="'3-Elaboration.O'!G121" display="Liste choix multiple" xr:uid="{3D743033-9780-49E4-84C3-BBFC727C644B}"/>
    <hyperlink ref="G158" location="'3-Elaboration.O'!G141" display="Liste choix multiple" xr:uid="{C4C1A52B-ADD9-4235-A817-05877FFAC4D6}"/>
    <hyperlink ref="G162" location="'3-Elaboration.O'!G144" display="Liste choix multiple" xr:uid="{5F76843A-F438-40CE-9357-17DF66E2DF4F}"/>
    <hyperlink ref="G258" location="'3-Elaboration.O'!G238" display="Liste choix multiple" xr:uid="{1B258BEF-A16C-4D7B-984C-7D4D3BDAA761}"/>
    <hyperlink ref="G281" location="'3-Elaboration.O'!G259" display="Liste choix multiple" xr:uid="{2CAB9B13-B0C2-44F2-BA58-09D9FAF17F3E}"/>
    <hyperlink ref="G286" location="'3-Elaboration.O'!G264" display="Liste choix multiple" xr:uid="{B9B8CA16-9F1D-40CF-B797-A2313E695C76}"/>
    <hyperlink ref="G289" location="'3-Elaboration.O'!G267" display="Liste choix multiple" xr:uid="{20092BD9-4E25-46A5-BCBE-4D9EAF2FF324}"/>
    <hyperlink ref="G300" location="'3-Elaboration.O'!G278" display="Liste choix multiple" xr:uid="{4589BDCC-2A55-4238-9E48-BFA2D3FB466B}"/>
    <hyperlink ref="G302" location="'3-Elaboration.O'!G280" display="Liste choix multiple" xr:uid="{26B1DD28-EA20-47A0-821B-3A1785EC2876}"/>
    <hyperlink ref="G349" location="'3-Elaboration.O'!G316" display="Liste choix multiple" xr:uid="{68474D36-1369-43A9-977F-754612548625}"/>
    <hyperlink ref="G360" location="'3-Elaboration.O'!G327" display="Liste choix multiple" xr:uid="{80DD4433-114E-431B-BD1C-33C6D2E2E592}"/>
    <hyperlink ref="G365" location="'3-Elaboration.O'!G332" display="Liste choix multiple" xr:uid="{432B93C8-BFF0-4239-BC00-7257242A69ED}"/>
    <hyperlink ref="G367" location="'3-Elaboration.O'!G334" display="Liste choix multiple" xr:uid="{DCDD79F0-AB1F-4CAE-8A2F-5745F152D73A}"/>
    <hyperlink ref="G369" location="'3-Elaboration.O'!G336" display="Liste choix multiple" xr:uid="{9BAD9FD2-58A7-42E5-ACEE-BFB4E8679B23}"/>
    <hyperlink ref="G375" location="'3-Elaboration.O'!G342" display="Liste choix multiple" xr:uid="{576B80A8-9C25-4279-93E5-89436E3EC763}"/>
    <hyperlink ref="G450" location="'3-Elaboration.O'!G415" display="Liste choix multiple" xr:uid="{07954879-29CC-4CA2-99E0-ED1C333FE655}"/>
    <hyperlink ref="G474" location="'3-Elaboration.O'!G439" display="Liste choix multiple" xr:uid="{AC012CFB-E2B0-4327-9287-F928109EC9DA}"/>
    <hyperlink ref="G484" location="'3-Elaboration.O'!G449" display="Liste choix multiple" xr:uid="{4FB2B402-C58B-427C-992C-59044328B8B7}"/>
    <hyperlink ref="G496" location="'3-Elaboration.O'!G458" display="Liste choix multiple" xr:uid="{A06228BE-F3D1-4A2D-9940-061884C51B5D}"/>
    <hyperlink ref="G497" location="'3-Elaboration.O'!G459" display="Liste choix multiple" xr:uid="{8B60A509-029B-4604-AFD4-D4AFA1758A30}"/>
    <hyperlink ref="G498" location="'3-Elaboration.O'!G460" display="Liste choix multiple" xr:uid="{3E68518C-2557-4445-82A2-782E5AA50AC8}"/>
    <hyperlink ref="G190" location="'3-Elaboration.O'!G169" display="Liste choix multiple" xr:uid="{955FE79D-B89A-440A-B571-1856E85D5529}"/>
    <hyperlink ref="H79" location="'10-Détail_Lots'!A1" display="'10-Détail_Lots'!A1" xr:uid="{0F547038-1215-4CD1-8E7B-EE0A6FFCD704}"/>
    <hyperlink ref="G41" location="'3-Elaboration.O'!G38" display="Liste choix multiple" xr:uid="{E359258A-A91F-47A3-894D-93B18BEBC95C}"/>
    <hyperlink ref="G82" location="'3-Elaboration.O'!G75" display="Liste choix multiple" xr:uid="{0DF226C4-C0BB-4F44-9455-FDC96136AB17}"/>
    <hyperlink ref="G123" location="'3-Elaboration.O'!G113" display="Liste choix multiple" xr:uid="{EA345F66-C455-4C76-98A3-493AE1922F0D}"/>
    <hyperlink ref="G191" location="'3-Elaboration.O'!G171" display="Liste choix multiple" xr:uid="{BBDC7C95-4F3C-493E-A1E2-6D96C2E00B47}"/>
    <hyperlink ref="G386" location="'3-Elaboration.O'!G353" display="Choix multiple" xr:uid="{1D31DBC7-4096-4235-AFA7-FE22623CA403}"/>
    <hyperlink ref="G387" location="'3-Elaboration.O'!G354" display="Choix multiple" xr:uid="{035F863D-573E-482A-95B6-73C3F8071488}"/>
    <hyperlink ref="G429" location="'3-Elaboration.O'!G394" display="Liste choix multiple" xr:uid="{255D6656-CA67-4005-BA95-032B35AF7361}"/>
    <hyperlink ref="G486" location="'3-Elaboration.O'!G449" display="Liste choix multiple" xr:uid="{478A2CFE-334C-4421-ACCD-1CEC49F8B7B3}"/>
    <hyperlink ref="G17" location="'3-Elaboration.O'!G17" display="Liste choix multiple" xr:uid="{A9797A7D-2005-4BBF-AA19-0ECDEF402620}"/>
    <hyperlink ref="G211" location="'3-Elaboration.O'!G198" display="Liste choix multiple" xr:uid="{CB433C46-696E-4225-9936-3C2E7636CFF3}"/>
    <hyperlink ref="G260" location="'3-Elaboration.O'!G244" display="Liste choix multiple" xr:uid="{6E37DFF0-1549-4497-A55F-61692A121B79}"/>
    <hyperlink ref="G488" location="'3-Elaboration.O'!G457" display="Liste choix multiple" xr:uid="{874AEA1A-BC3E-4029-A556-01AD124E3538}"/>
    <hyperlink ref="G381" location="'3-Elaboration.O'!G354" display="Liste choix multiple" xr:uid="{2F66099A-645D-49F1-B574-222BB46EB30C}"/>
    <hyperlink ref="G194" location="'3-Elaboration.O'!G177" display="Liste choix multiple" xr:uid="{0C824838-8310-4F77-B9C6-ADC72A03DD06}"/>
    <hyperlink ref="G200" location="'3-Elaboration.O'!G183" display="Liste choix multiple" xr:uid="{6E24B73E-0156-4FD0-A8C8-76A0A722B8FF}"/>
    <hyperlink ref="G333" location="'3-Elaboration.O'!G304" display="Liste choix multiple" xr:uid="{0D26B429-4A49-4256-9283-DB3188D69F67}"/>
    <hyperlink ref="G419" location="'3-Elaboration.O'!G390" display="Liste choix multiple" xr:uid="{F013DF76-4F06-488E-8E1B-217E8444F5DC}"/>
    <hyperlink ref="G219" location="'3-Elaboration.O'!G207" display="Liste choix multiple" xr:uid="{D120E644-B7DA-4913-B576-97C2F998480C}"/>
    <hyperlink ref="G217" location="'3-Elaboration.O'!G206" display="Liste choix multiple" xr:uid="{9B3C53F1-7F32-403A-94DA-0770CB184E98}"/>
    <hyperlink ref="G163" location="'3-Elaboration.O'!G147" display="Liste choix multiple" xr:uid="{D1CD0053-D832-4242-993E-C1D7C895699D}"/>
    <hyperlink ref="I28" location="'10-Détail_Lots'!A1" display="'10-Détail_Lots'!A1" xr:uid="{F5B1E78F-909A-4B43-AA54-C6736DE4E9C1}"/>
    <hyperlink ref="I72" location="'10-Détail_Lots'!A1" display="'10-Détail_Lots'!A1" xr:uid="{A0D9ACCB-FE06-41DD-8C24-A576575539C7}"/>
    <hyperlink ref="I79" location="'10-Détail_Lots'!A1" display="'10-Détail_Lots'!A1" xr:uid="{1D811621-9592-4721-AC85-94A5BD4B2045}"/>
    <hyperlink ref="I83" location="'10-Détail_Lots'!A1" display="'10-Détail_Lots'!A1" xr:uid="{D80E8888-CBFB-4331-BECD-D0F6EE4A97C1}"/>
    <hyperlink ref="I86" location="'10-Détail_Lots'!A1" display="'10-Détail_Lots'!A1" xr:uid="{02C543D0-C09D-4045-A441-7670EBBF823B}"/>
    <hyperlink ref="I161" location="'10-Détail_Lots'!A1" display="'10-Détail_Lots'!A1" xr:uid="{D2A93208-06A7-4D21-98C4-106239947714}"/>
    <hyperlink ref="I186" location="'10-Détail_Lots'!A1" display="'10-Détail_Lots'!A1" xr:uid="{E8E42036-346A-4076-929A-10823ED32D6B}"/>
    <hyperlink ref="I264" location="'10-Détail_Lots'!A1" display="'10-Détail_Lots'!A1" xr:uid="{27505119-7127-43A4-A1F1-747C70E37E00}"/>
    <hyperlink ref="I270" location="'10-Détail_Lots'!A1" display="'10-Détail_Lots'!A1" xr:uid="{F4E1CD12-4220-45E7-868C-77DF21A55B0F}"/>
    <hyperlink ref="I317" location="'10-Révision des prix sur indice'!A1" display="10-Révision des prix sur indice" xr:uid="{F69E48AD-3E2E-4877-AF8F-1AF83CA669CE}"/>
    <hyperlink ref="I335" location="'10-Détail_Lots'!A1" display="'10-Détail_Lots'!A1" xr:uid="{EDCCCB1D-2C8E-44D9-8D22-6D0EA94D2C5C}"/>
    <hyperlink ref="I394" location="'10-Détail_Lots'!A1" display="'10-Détail_Lots'!A1" xr:uid="{093BE7A0-9258-421B-90FD-79DEA3505D14}"/>
    <hyperlink ref="I398" location="'10-Détail_Lots'!A1" display="'10-Détail_Lots'!A1" xr:uid="{56916D8A-22A9-4766-85BB-0799688E517F}"/>
    <hyperlink ref="I400" location="'10-Détail_Lots'!A1" display="'10-Détail_Lots'!A1" xr:uid="{644F5BF8-11B2-44C2-AD99-18979DD8D443}"/>
    <hyperlink ref="I402" location="'10-Détail_Lots'!A1" display="'10-Détail_Lots'!A1" xr:uid="{2BE12D32-FB07-4E14-8255-CDEA25118E2C}"/>
    <hyperlink ref="I405" location="'10-Détail_Lots'!A1" display="'10-Détail_Lots'!A1" xr:uid="{F6EF139A-8A33-4EAD-A809-7D7E112AEC1B}"/>
    <hyperlink ref="I406" location="'10-Détail_Lots'!A1" display="'10-Détail_Lots'!A1" xr:uid="{DDA4C0ED-E7B5-44B4-9836-97791C386BCC}"/>
    <hyperlink ref="I408" location="'10-Détail_Lots'!A1" display="'10-Détail_Lots'!A1" xr:uid="{1F593475-9D2E-4435-9845-E8D02208F402}"/>
    <hyperlink ref="I409" location="'10-Détail_Lots'!A1" display="'10-Détail_Lots'!A1" xr:uid="{4D3B2AAD-40C3-4346-ACF3-697458635DC8}"/>
    <hyperlink ref="I446" location="'10-Criticité Référencement'!A1" display="'10-Criticité Référencement'!A1" xr:uid="{F2461009-F994-4464-856B-31B7B5F3758D}"/>
    <hyperlink ref="I439" location="'10-Analyse Critères'!A1" display="'10-Analyse Critères'!A1" xr:uid="{D590365D-47F4-4110-B6CD-E1D87EF8C987}"/>
    <hyperlink ref="I53" location="'10-Entreprises Sourcées'!A1" display="'10-Entreprises Sourcées'!A1" xr:uid="{57B78D11-0CF9-44A1-91A7-935940A5BFBB}"/>
    <hyperlink ref="I44" location="'10-CouvertureGéographique'!A1" display="'10-CouvertureGéographique'!A1" xr:uid="{18296102-F8A8-41B3-BFAF-3F399BA801BF}"/>
    <hyperlink ref="I97" location="'10-Détail_Lots'!A1" display="'10-Détail_Lots'!A1" xr:uid="{13513F61-BB70-426C-938A-AD85C6BD5430}"/>
    <hyperlink ref="I101" location="'10-Détail_Lots'!A1" display="'10-Détail_Lots'!A1" xr:uid="{4DC31044-807F-47E0-AE96-A3C1C08A4EE0}"/>
    <hyperlink ref="I379" location="'10-Détail_Lots'!A1" display="'10-Détail_Lots'!A1" xr:uid="{7C7DCE05-95C3-42AE-9E8F-FFA100152FD1}"/>
    <hyperlink ref="I178" location="'10-Détail_Lots'!A1" display="'10-Détail_Lots'!A1" xr:uid="{6D07769C-10FB-4AEF-A779-E28F7FEC2809}"/>
    <hyperlink ref="I176" location="'10-Détail_Lots'!A1" display="'10-Détail_Lots'!A1" xr:uid="{1FE3E0AD-FD84-400A-8792-597203C28DDF}"/>
    <hyperlink ref="I174" location="'10-Détail_Lots'!A1" display="'10-Détail_Lots'!A1" xr:uid="{A7D66E7F-83F4-42F0-AEE5-A1D883B3FBDE}"/>
    <hyperlink ref="I66" location="'10-Détail_Lots'!A1" display="'10-Détail_Lots'!A1" xr:uid="{88395031-8AF6-4AE1-B196-D9A48AB0A771}"/>
    <hyperlink ref="I192" location="'10-Détail_Lots'!A1" display="'10-Détail_Lots'!A1" xr:uid="{DF909AF5-08E8-4653-8167-86A32548684A}"/>
    <hyperlink ref="G38" location="'3-Elaboration.O'!G38" display="Liste choix multiple" xr:uid="{B4FBCB19-044E-469E-A949-7D63770518ED}"/>
    <hyperlink ref="G42:G43" location="'3-Elaboration.O'!G36" display="Liste choix multiple" xr:uid="{FBAE732F-E0EA-470C-9A07-EE1ECBF13D1D}"/>
    <hyperlink ref="G42" location="'3-Elaboration.O'!G42" display="Liste choix multiple" xr:uid="{E0610D9A-3FE5-47A1-9281-2707AEB3F82F}"/>
    <hyperlink ref="I68" location="'10-Détail_Lots'!A1" display="'10-Détail_Lots'!A1" xr:uid="{2B65D952-6236-4904-BC7A-EF5F62289DB2}"/>
    <hyperlink ref="I65" location="'10-Détail_Lots'!A1" display="'10-Détail_Lots'!A1" xr:uid="{FFD566BC-F9A0-495F-9B9B-A1C60CF9C2F0}"/>
    <hyperlink ref="G296" location="'3-Elaboration.O'!G287" display="Liste choix multiple" xr:uid="{0AED22B1-4956-45D8-84CC-FB1EA7380936}"/>
    <hyperlink ref="G315" location="'3-Elaboration.O'!G307" display="Liste choix multiple" xr:uid="{BA957AE4-D1B1-4112-B707-513D56BD9595}"/>
    <hyperlink ref="G319" location="'3-Elaboration.O'!G309" display="Liste choix multiple" xr:uid="{8931C0E7-0F01-45F0-8B2D-711D2FAC223E}"/>
    <hyperlink ref="G325" location="'3-Elaboration.O'!G315" display="Liste choix multiple" xr:uid="{09318CF4-EE60-455B-B9C0-027993C3E3FE}"/>
    <hyperlink ref="G493" location="'3-Elaboration.O'!G485" display="Liste choix multiple" xr:uid="{D7FDEDC8-C770-4D24-A7C1-6070ADB2BCE7}"/>
    <hyperlink ref="G146" location="ReponseEl132b" display="Liste choix multiple" xr:uid="{F7680C7C-8F2E-480D-A60E-B2C93AB06390}"/>
    <hyperlink ref="I172" location="'10-Détail_Lots'!A1" display="'10-Détail_Lots'!A1" xr:uid="{BE51E871-AD02-4989-B68F-35222E2DB91D}"/>
    <hyperlink ref="G494" location="'3-Elaboration.O'!G457" display="Liste choix multiple" xr:uid="{E27F6229-6FA3-48DA-A901-70800D7DF951}"/>
    <hyperlink ref="G316" location="ReponseEl316a" display="Liste choix multiple" xr:uid="{F71BDDA2-B064-461B-B5B4-12771E07C0B5}"/>
    <hyperlink ref="I492" location="'10-Listes Annexes AE'!A1" display="'10-Listes Annexes AE'!A1" xr:uid="{ED1C2BA4-0405-446B-96A5-C72B27D24A5D}"/>
    <hyperlink ref="G479" location="'3-Elaboration.O'!G477" display="Liste choix multiple" xr:uid="{7B09C991-731B-4433-9BD9-E56B845C1ED7}"/>
    <hyperlink ref="G7" r:id="rId1" xr:uid="{828984BE-C833-48AD-A8B8-2C171AB89FED}"/>
  </hyperlinks>
  <printOptions horizontalCentered="1"/>
  <pageMargins left="0.23622047244094491" right="0.23622047244094491" top="0.35433070866141736" bottom="0.35433070866141736" header="0.19685039370078741" footer="0.19685039370078741"/>
  <pageSetup paperSize="8" scale="52" fitToWidth="0" fitToHeight="0" orientation="landscape" r:id="rId2"/>
  <headerFooter>
    <oddHeader>&amp;C&amp;"-,Gras"&amp;14ELABORATION DE L'OFFRE</oddHeader>
    <oddFooter>&amp;R&amp;P/&amp;N&amp;C02_PhaseElaborationOffre_DossierConception_V2</oddFooter>
  </headerFooter>
  <rowBreaks count="10" manualBreakCount="10">
    <brk id="55" max="16383" man="1"/>
    <brk id="113" max="16383" man="1"/>
    <brk id="151" max="16383" man="1"/>
    <brk id="180" max="17" man="1"/>
    <brk id="203" max="16383" man="1"/>
    <brk id="253" max="16383" man="1"/>
    <brk id="281" max="17" man="1"/>
    <brk id="351" max="16383" man="1"/>
    <brk id="411" max="17" man="1"/>
    <brk id="4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C43E-D18D-4F1C-959D-FA4DB4DEF0C0}">
  <sheetPr codeName="Feuil1">
    <tabColor rgb="FF00B0F0"/>
    <pageSetUpPr fitToPage="1"/>
  </sheetPr>
  <dimension ref="A1:AN512"/>
  <sheetViews>
    <sheetView showGridLines="0" zoomScale="70" zoomScaleNormal="70" workbookViewId="0">
      <pane xSplit="3" ySplit="1" topLeftCell="N2" activePane="bottomRight" state="frozen"/>
      <selection pane="topRight" activeCell="D1" sqref="D1"/>
      <selection pane="bottomLeft" activeCell="A2" sqref="A2"/>
      <selection pane="bottomRight" activeCell="N1" sqref="N1"/>
    </sheetView>
  </sheetViews>
  <sheetFormatPr baseColWidth="10" defaultColWidth="11.42578125" defaultRowHeight="15" outlineLevelCol="1" x14ac:dyDescent="0.25"/>
  <cols>
    <col min="1" max="1" width="12.42578125" customWidth="1"/>
    <col min="2" max="2" width="47.5703125" style="220" customWidth="1"/>
    <col min="3" max="3" width="66.42578125" style="220" customWidth="1" outlineLevel="1"/>
    <col min="4" max="4" width="29.7109375" style="220" customWidth="1" outlineLevel="1"/>
    <col min="5" max="5" width="18.7109375" style="220" customWidth="1" outlineLevel="1"/>
    <col min="6" max="6" width="14.42578125" style="220" customWidth="1" outlineLevel="1"/>
    <col min="7" max="7" width="35.42578125" style="220" customWidth="1"/>
    <col min="8" max="8" width="35.42578125" style="132" customWidth="1"/>
    <col min="9" max="9" width="35.42578125" style="220" customWidth="1" outlineLevel="1"/>
    <col min="10" max="10" width="55" style="220" customWidth="1" outlineLevel="1"/>
    <col min="11" max="11" width="49.5703125" style="220" customWidth="1" outlineLevel="1"/>
    <col min="12" max="12" width="55" style="220" customWidth="1" outlineLevel="1"/>
    <col min="13" max="13" width="30.5703125" style="132" customWidth="1"/>
    <col min="14" max="14" width="42.85546875" style="220" customWidth="1" outlineLevel="1"/>
    <col min="15" max="15" width="54.42578125" style="220" bestFit="1" customWidth="1" outlineLevel="1"/>
    <col min="16" max="18" width="29.5703125" style="220" customWidth="1" outlineLevel="1"/>
    <col min="19" max="19" width="23.42578125" style="220" customWidth="1" outlineLevel="1"/>
    <col min="20" max="21" width="18.5703125" style="220" customWidth="1" outlineLevel="1"/>
    <col min="22" max="22" width="36.42578125" style="132" customWidth="1"/>
    <col min="23" max="23" width="39.42578125" style="220" customWidth="1" outlineLevel="1"/>
    <col min="24" max="24" width="21.42578125" style="220" customWidth="1" outlineLevel="1"/>
    <col min="25" max="25" width="33.42578125" style="220" customWidth="1" outlineLevel="1"/>
    <col min="26" max="26" width="22.42578125" style="220" customWidth="1" outlineLevel="1"/>
    <col min="27" max="27" width="32.42578125" style="132" customWidth="1" outlineLevel="1"/>
    <col min="28" max="28" width="33.42578125" style="220" customWidth="1" outlineLevel="1"/>
    <col min="29" max="29" width="26.42578125" style="220" customWidth="1" outlineLevel="1"/>
    <col min="30" max="30" width="36.42578125" style="132" customWidth="1"/>
    <col min="31" max="31" width="25.5703125" style="220" customWidth="1" outlineLevel="1"/>
    <col min="32" max="37" width="24.42578125" style="220" customWidth="1" outlineLevel="1"/>
    <col min="38" max="38" width="24.42578125" style="132" customWidth="1"/>
    <col min="39" max="39" width="25.5703125" style="220" customWidth="1" outlineLevel="1"/>
    <col min="40" max="40" width="24.42578125" style="220" customWidth="1" outlineLevel="1"/>
  </cols>
  <sheetData>
    <row r="1" spans="1:40" s="9" customFormat="1" ht="83.25" customHeight="1" x14ac:dyDescent="0.25">
      <c r="A1" s="225" t="s">
        <v>1463</v>
      </c>
      <c r="B1" s="226" t="s">
        <v>4</v>
      </c>
      <c r="C1" s="226" t="s">
        <v>6</v>
      </c>
      <c r="D1" s="226" t="s">
        <v>5</v>
      </c>
      <c r="E1" s="226" t="s">
        <v>1464</v>
      </c>
      <c r="F1" s="226" t="s">
        <v>15</v>
      </c>
      <c r="G1" s="226" t="s">
        <v>51</v>
      </c>
      <c r="H1" s="226" t="s">
        <v>1465</v>
      </c>
      <c r="I1" s="226" t="s">
        <v>1466</v>
      </c>
      <c r="J1" s="226" t="s">
        <v>1467</v>
      </c>
      <c r="K1" s="226" t="s">
        <v>1468</v>
      </c>
      <c r="L1" s="226" t="s">
        <v>1469</v>
      </c>
      <c r="M1" s="226" t="s">
        <v>1470</v>
      </c>
      <c r="N1" s="226" t="s">
        <v>1471</v>
      </c>
      <c r="O1" s="226" t="s">
        <v>1472</v>
      </c>
      <c r="P1" s="226" t="s">
        <v>1473</v>
      </c>
      <c r="Q1" s="226" t="s">
        <v>1474</v>
      </c>
      <c r="R1" s="226" t="s">
        <v>1475</v>
      </c>
      <c r="S1" s="226" t="s">
        <v>1476</v>
      </c>
      <c r="T1" s="226" t="s">
        <v>1477</v>
      </c>
      <c r="U1" s="226" t="s">
        <v>1478</v>
      </c>
      <c r="V1" s="226" t="s">
        <v>1479</v>
      </c>
      <c r="W1" s="226" t="s">
        <v>20</v>
      </c>
      <c r="X1" s="226" t="s">
        <v>1480</v>
      </c>
      <c r="Y1" s="226" t="s">
        <v>1481</v>
      </c>
      <c r="Z1" s="226" t="s">
        <v>1482</v>
      </c>
      <c r="AA1" s="226" t="s">
        <v>1483</v>
      </c>
      <c r="AB1" s="227" t="s">
        <v>1484</v>
      </c>
      <c r="AC1" s="227" t="s">
        <v>1485</v>
      </c>
      <c r="AD1" s="226" t="s">
        <v>1486</v>
      </c>
      <c r="AE1" s="226" t="s">
        <v>1487</v>
      </c>
      <c r="AF1" s="226" t="s">
        <v>1488</v>
      </c>
      <c r="AG1" s="226" t="s">
        <v>1489</v>
      </c>
      <c r="AH1" s="226" t="s">
        <v>1490</v>
      </c>
      <c r="AI1" s="226" t="s">
        <v>1491</v>
      </c>
      <c r="AJ1" s="226" t="s">
        <v>1492</v>
      </c>
      <c r="AK1" s="226" t="s">
        <v>1493</v>
      </c>
      <c r="AL1" s="226" t="s">
        <v>1494</v>
      </c>
      <c r="AM1" s="226" t="s">
        <v>1495</v>
      </c>
      <c r="AN1" s="226" t="s">
        <v>1496</v>
      </c>
    </row>
    <row r="2" spans="1:40" s="9" customFormat="1" ht="30" x14ac:dyDescent="0.25">
      <c r="A2" s="228" t="s">
        <v>18</v>
      </c>
      <c r="B2" s="229" t="str">
        <f>IF($A2="","",VLOOKUP($A2,'[2]3-Elaboration.O'!$A:$T,MATCH(B$1,'[2]150-Modele SGO'!$1:$1,0),FALSE))</f>
        <v>Direction</v>
      </c>
      <c r="C2" s="229">
        <f>IF($A2="","",VLOOKUP($A2,'[2]3-Elaboration.O'!$A:$T,MATCH(C$1,'[2]150-Modele SGO'!$1:$1,0),FALSE))</f>
        <v>0</v>
      </c>
      <c r="D2" s="229">
        <f>IF($A2="","",VLOOKUP($A2,'[2]3-Elaboration.O'!$A:$T,MATCH(D$1,'[2]150-Modele SGO'!$1:$1,0),FALSE))</f>
        <v>0</v>
      </c>
      <c r="E2" s="230" t="s">
        <v>70</v>
      </c>
      <c r="F2" s="230"/>
      <c r="G2" s="231"/>
      <c r="H2" s="232" t="s">
        <v>19</v>
      </c>
      <c r="I2" s="233" t="s">
        <v>1497</v>
      </c>
      <c r="J2" s="231"/>
      <c r="K2" s="231"/>
      <c r="L2" s="231"/>
      <c r="M2" s="232" t="s">
        <v>19</v>
      </c>
      <c r="N2" s="233" t="s">
        <v>1498</v>
      </c>
      <c r="O2" s="231" t="s">
        <v>1499</v>
      </c>
      <c r="P2" s="231"/>
      <c r="Q2" s="231" t="s">
        <v>19</v>
      </c>
      <c r="R2" s="233" t="s">
        <v>1475</v>
      </c>
      <c r="S2" s="231" t="s">
        <v>24</v>
      </c>
      <c r="T2" s="231" t="s">
        <v>24</v>
      </c>
      <c r="U2" s="231" t="s">
        <v>24</v>
      </c>
      <c r="V2" s="232" t="s">
        <v>19</v>
      </c>
      <c r="W2" s="233" t="s">
        <v>20</v>
      </c>
      <c r="X2" s="231"/>
      <c r="Y2" s="231"/>
      <c r="Z2" s="231"/>
      <c r="AA2" s="234"/>
      <c r="AB2" s="231"/>
      <c r="AC2" s="231"/>
      <c r="AD2" s="232" t="s">
        <v>19</v>
      </c>
      <c r="AE2" s="233" t="s">
        <v>1487</v>
      </c>
      <c r="AF2" s="231"/>
      <c r="AG2" s="231"/>
      <c r="AH2" s="231"/>
      <c r="AI2" s="231"/>
      <c r="AJ2" s="231"/>
      <c r="AK2" s="231"/>
      <c r="AL2" s="234" t="s">
        <v>19</v>
      </c>
      <c r="AM2" s="233" t="s">
        <v>1500</v>
      </c>
      <c r="AN2" s="231"/>
    </row>
    <row r="3" spans="1:40" s="9" customFormat="1" ht="30" x14ac:dyDescent="0.25">
      <c r="A3" s="228" t="s">
        <v>25</v>
      </c>
      <c r="B3" s="229" t="str">
        <f>IF($A3="","",VLOOKUP($A3,'[2]3-Elaboration.O'!$A:$T,MATCH(B$1,'[2]150-Modele SGO'!$1:$1,0),FALSE))</f>
        <v>Univers</v>
      </c>
      <c r="C3" s="229">
        <f>IF($A3="","",VLOOKUP($A3,'[2]3-Elaboration.O'!$A:$T,MATCH(C$1,'[2]150-Modele SGO'!$1:$1,0),FALSE))</f>
        <v>0</v>
      </c>
      <c r="D3" s="229">
        <f>IF($A3="","",VLOOKUP($A3,'[2]3-Elaboration.O'!$A:$T,MATCH(D$1,'[2]150-Modele SGO'!$1:$1,0),FALSE))</f>
        <v>0</v>
      </c>
      <c r="E3" s="230" t="s">
        <v>70</v>
      </c>
      <c r="F3" s="230"/>
      <c r="G3" s="231"/>
      <c r="H3" s="232" t="s">
        <v>26</v>
      </c>
      <c r="I3" s="231"/>
      <c r="J3" s="233" t="s">
        <v>1501</v>
      </c>
      <c r="K3" s="233" t="s">
        <v>1502</v>
      </c>
      <c r="L3" s="233" t="s">
        <v>1503</v>
      </c>
      <c r="M3" s="232" t="s">
        <v>26</v>
      </c>
      <c r="N3" s="231"/>
      <c r="O3" s="233" t="s">
        <v>1504</v>
      </c>
      <c r="P3" s="233" t="s">
        <v>1505</v>
      </c>
      <c r="Q3" s="233" t="s">
        <v>26</v>
      </c>
      <c r="R3" s="231" t="s">
        <v>24</v>
      </c>
      <c r="S3" s="233" t="s">
        <v>1506</v>
      </c>
      <c r="T3" s="233" t="s">
        <v>1507</v>
      </c>
      <c r="U3" s="233" t="s">
        <v>1508</v>
      </c>
      <c r="V3" s="232" t="s">
        <v>26</v>
      </c>
      <c r="W3" s="231"/>
      <c r="X3" s="233" t="s">
        <v>1509</v>
      </c>
      <c r="Y3" s="233" t="s">
        <v>1510</v>
      </c>
      <c r="Z3" s="233" t="s">
        <v>1511</v>
      </c>
      <c r="AA3" s="235" t="s">
        <v>27</v>
      </c>
      <c r="AB3" s="233" t="s">
        <v>1512</v>
      </c>
      <c r="AC3" s="233" t="s">
        <v>1513</v>
      </c>
      <c r="AD3" s="232" t="s">
        <v>26</v>
      </c>
      <c r="AE3" s="231"/>
      <c r="AF3" s="233" t="s">
        <v>1514</v>
      </c>
      <c r="AG3" s="233" t="s">
        <v>1515</v>
      </c>
      <c r="AH3" s="233" t="s">
        <v>1516</v>
      </c>
      <c r="AI3" s="233" t="s">
        <v>1517</v>
      </c>
      <c r="AJ3" s="233" t="s">
        <v>1518</v>
      </c>
      <c r="AK3" s="233" t="s">
        <v>1519</v>
      </c>
      <c r="AL3" s="235" t="s">
        <v>26</v>
      </c>
      <c r="AM3" s="231"/>
      <c r="AN3" s="233" t="s">
        <v>1520</v>
      </c>
    </row>
    <row r="4" spans="1:40" s="9" customFormat="1" ht="15.75" x14ac:dyDescent="0.25">
      <c r="A4" s="24" t="s">
        <v>29</v>
      </c>
      <c r="B4" s="236" t="str">
        <f>IF($A4="","",VLOOKUP($A4,'[2]3-Elaboration.O'!$A:$T,MATCH(B$1,'[2]150-Modele SGO'!$1:$1,0),FALSE))</f>
        <v>01.0 PRESENTATION GENERALE DE L'OFFRE</v>
      </c>
      <c r="C4" s="236">
        <f>IF($A4="","",VLOOKUP($A4,'[2]3-Elaboration.O'!$A:$T,MATCH(C$1,'[2]150-Modele SGO'!$1:$1,0),FALSE))</f>
        <v>0</v>
      </c>
      <c r="D4" s="236">
        <f>IF($A4="","",VLOOKUP($A4,'[2]3-Elaboration.O'!$A:$T,MATCH(D$1,'[2]150-Modele SGO'!$1:$1,0),FALSE))</f>
        <v>0</v>
      </c>
      <c r="E4" s="1" t="s">
        <v>70</v>
      </c>
      <c r="F4" s="1"/>
      <c r="G4" s="237"/>
      <c r="H4" s="238" t="s">
        <v>30</v>
      </c>
      <c r="I4" s="237"/>
      <c r="J4" s="237"/>
      <c r="K4" s="237"/>
      <c r="L4" s="237"/>
      <c r="M4" s="238" t="s">
        <v>30</v>
      </c>
      <c r="N4" s="237"/>
      <c r="O4" s="237"/>
      <c r="P4" s="237"/>
      <c r="Q4" s="237" t="s">
        <v>30</v>
      </c>
      <c r="R4" s="237" t="s">
        <v>24</v>
      </c>
      <c r="S4" s="237" t="s">
        <v>24</v>
      </c>
      <c r="T4" s="237" t="s">
        <v>24</v>
      </c>
      <c r="U4" s="237" t="s">
        <v>24</v>
      </c>
      <c r="V4" s="238" t="s">
        <v>30</v>
      </c>
      <c r="W4" s="237"/>
      <c r="X4" s="237"/>
      <c r="Y4" s="237"/>
      <c r="Z4" s="237"/>
      <c r="AA4" s="239"/>
      <c r="AB4" s="237"/>
      <c r="AC4" s="237"/>
      <c r="AD4" s="238" t="s">
        <v>30</v>
      </c>
      <c r="AE4" s="237"/>
      <c r="AF4" s="237"/>
      <c r="AG4" s="237"/>
      <c r="AH4" s="237"/>
      <c r="AI4" s="237"/>
      <c r="AJ4" s="237"/>
      <c r="AK4" s="237"/>
      <c r="AL4" s="239" t="s">
        <v>30</v>
      </c>
      <c r="AM4" s="237"/>
      <c r="AN4" s="237"/>
    </row>
    <row r="5" spans="1:40" s="12" customFormat="1" x14ac:dyDescent="0.25">
      <c r="A5" s="30" t="s">
        <v>32</v>
      </c>
      <c r="B5" s="240" t="str">
        <f>IF($A5="","",VLOOKUP($A5,'[2]3-Elaboration.O'!$A:$T,MATCH(B$1,'[2]150-Modele SGO'!$1:$1,0),FALSE))</f>
        <v>01.1 Caractéristiques générales de l'offre</v>
      </c>
      <c r="C5" s="240">
        <f>IF($A5="","",VLOOKUP($A5,'[2]3-Elaboration.O'!$A:$T,MATCH(C$1,'[2]150-Modele SGO'!$1:$1,0),FALSE))</f>
        <v>0</v>
      </c>
      <c r="D5" s="240">
        <f>IF($A5="","",VLOOKUP($A5,'[2]3-Elaboration.O'!$A:$T,MATCH(D$1,'[2]150-Modele SGO'!$1:$1,0),FALSE))</f>
        <v>0</v>
      </c>
      <c r="E5" s="241" t="s">
        <v>70</v>
      </c>
      <c r="F5" s="241"/>
      <c r="G5" s="242"/>
      <c r="H5" s="241" t="s">
        <v>30</v>
      </c>
      <c r="I5" s="242"/>
      <c r="J5" s="242"/>
      <c r="K5" s="242"/>
      <c r="L5" s="242"/>
      <c r="M5" s="241" t="s">
        <v>30</v>
      </c>
      <c r="N5" s="242"/>
      <c r="O5" s="242"/>
      <c r="P5" s="242"/>
      <c r="Q5" s="242" t="s">
        <v>30</v>
      </c>
      <c r="R5" s="242" t="s">
        <v>24</v>
      </c>
      <c r="S5" s="242" t="s">
        <v>24</v>
      </c>
      <c r="T5" s="242" t="s">
        <v>24</v>
      </c>
      <c r="U5" s="242" t="s">
        <v>24</v>
      </c>
      <c r="V5" s="241" t="s">
        <v>30</v>
      </c>
      <c r="W5" s="242"/>
      <c r="X5" s="242"/>
      <c r="Y5" s="242"/>
      <c r="Z5" s="242"/>
      <c r="AA5" s="243"/>
      <c r="AB5" s="242"/>
      <c r="AC5" s="242"/>
      <c r="AD5" s="241" t="s">
        <v>30</v>
      </c>
      <c r="AE5" s="242"/>
      <c r="AF5" s="242"/>
      <c r="AG5" s="242"/>
      <c r="AH5" s="242"/>
      <c r="AI5" s="242"/>
      <c r="AJ5" s="242"/>
      <c r="AK5" s="242"/>
      <c r="AL5" s="243" t="s">
        <v>30</v>
      </c>
      <c r="AM5" s="242"/>
      <c r="AN5" s="242"/>
    </row>
    <row r="6" spans="1:40" s="9" customFormat="1" ht="194.85" customHeight="1" x14ac:dyDescent="0.25">
      <c r="A6" s="228" t="s">
        <v>34</v>
      </c>
      <c r="B6" s="229" t="str">
        <f>IF($A6="","",VLOOKUP($A6,'[2]3-Elaboration.O'!$A:$T,MATCH(B$1,'[2]150-Modele SGO'!$1:$1,0),FALSE))</f>
        <v>Objet de la procédure à renouveler / ou à lancer</v>
      </c>
      <c r="C6" s="229" t="str">
        <f>IF($A6="","",VLOOKUP($A6,'[2]3-Elaboration.O'!$A:$T,MATCH(C$1,'[2]150-Modele SGO'!$1:$1,0),FALSE))</f>
        <v>Champ libre</v>
      </c>
      <c r="D6" s="229" t="str">
        <f>IF($A6="","",VLOOKUP($A6,'[2]3-Elaboration.O'!$A:$T,MATCH(D$1,'[2]150-Modele SGO'!$1:$1,0),FALSE))</f>
        <v>Texte</v>
      </c>
      <c r="E6" s="230" t="s">
        <v>1521</v>
      </c>
      <c r="F6" s="230"/>
      <c r="G6" s="231"/>
      <c r="H6" s="232" t="s">
        <v>35</v>
      </c>
      <c r="I6" s="233"/>
      <c r="J6" s="231"/>
      <c r="K6" s="231"/>
      <c r="L6" s="231"/>
      <c r="M6" s="232" t="s">
        <v>35</v>
      </c>
      <c r="N6" s="231"/>
      <c r="O6" s="231"/>
      <c r="P6" s="231"/>
      <c r="Q6" s="231" t="s">
        <v>35</v>
      </c>
      <c r="R6" s="231" t="s">
        <v>24</v>
      </c>
      <c r="S6" s="231" t="s">
        <v>24</v>
      </c>
      <c r="T6" s="231" t="s">
        <v>24</v>
      </c>
      <c r="U6" s="231" t="s">
        <v>24</v>
      </c>
      <c r="V6" s="232" t="s">
        <v>35</v>
      </c>
      <c r="W6" s="231"/>
      <c r="X6" s="231"/>
      <c r="Y6" s="231"/>
      <c r="Z6" s="231"/>
      <c r="AA6" s="234"/>
      <c r="AB6" s="231"/>
      <c r="AC6" s="231"/>
      <c r="AD6" s="232" t="s">
        <v>35</v>
      </c>
      <c r="AE6" s="231"/>
      <c r="AF6" s="231"/>
      <c r="AG6" s="231"/>
      <c r="AH6" s="231"/>
      <c r="AI6" s="231"/>
      <c r="AJ6" s="231"/>
      <c r="AK6" s="231"/>
      <c r="AL6" s="234" t="s">
        <v>35</v>
      </c>
      <c r="AM6" s="231"/>
      <c r="AN6" s="231"/>
    </row>
    <row r="7" spans="1:40" s="9" customFormat="1" ht="30" x14ac:dyDescent="0.25">
      <c r="A7" s="228" t="s">
        <v>40</v>
      </c>
      <c r="B7" s="229" t="str">
        <f>IF($A7="","",VLOOKUP($A7,'[2]3-Elaboration.O'!$A:$T,MATCH(B$1,'[2]150-Modele SGO'!$1:$1,0),FALSE))</f>
        <v>Numéro(s)  et dénomination de l'offre conformément à la cartographie ORECA</v>
      </c>
      <c r="C7" s="229" t="str">
        <f>IF($A7="","",VLOOKUP($A7,'[2]3-Elaboration.O'!$A:$T,MATCH(C$1,'[2]150-Modele SGO'!$1:$1,0),FALSE))</f>
        <v>Préciser le numéro de l'offre correspondant à la cartographie Evactiv</v>
      </c>
      <c r="D7" s="229" t="str">
        <f>IF($A7="","",VLOOKUP($A7,'[2]3-Elaboration.O'!$A:$T,MATCH(D$1,'[2]150-Modele SGO'!$1:$1,0),FALSE))</f>
        <v>Cartographie ORECA</v>
      </c>
      <c r="E7" s="230" t="s">
        <v>70</v>
      </c>
      <c r="F7" s="230" t="s">
        <v>44</v>
      </c>
      <c r="G7" s="231"/>
      <c r="H7" s="232" t="s">
        <v>26</v>
      </c>
      <c r="I7" s="231"/>
      <c r="J7" s="233"/>
      <c r="K7" s="233"/>
      <c r="L7" s="233"/>
      <c r="M7" s="232" t="s">
        <v>35</v>
      </c>
      <c r="N7" s="231"/>
      <c r="O7" s="231"/>
      <c r="P7" s="231"/>
      <c r="Q7" s="231" t="s">
        <v>35</v>
      </c>
      <c r="R7" s="231" t="s">
        <v>24</v>
      </c>
      <c r="S7" s="231" t="s">
        <v>24</v>
      </c>
      <c r="T7" s="231" t="s">
        <v>24</v>
      </c>
      <c r="U7" s="231" t="s">
        <v>24</v>
      </c>
      <c r="V7" s="232" t="s">
        <v>35</v>
      </c>
      <c r="W7" s="231"/>
      <c r="X7" s="231"/>
      <c r="Y7" s="231"/>
      <c r="Z7" s="231"/>
      <c r="AA7" s="234"/>
      <c r="AB7" s="231"/>
      <c r="AC7" s="231"/>
      <c r="AD7" s="232" t="s">
        <v>35</v>
      </c>
      <c r="AE7" s="231"/>
      <c r="AF7" s="231"/>
      <c r="AG7" s="231"/>
      <c r="AH7" s="231"/>
      <c r="AI7" s="231"/>
      <c r="AJ7" s="231"/>
      <c r="AK7" s="231"/>
      <c r="AL7" s="234" t="s">
        <v>35</v>
      </c>
      <c r="AM7" s="231"/>
      <c r="AN7" s="231"/>
    </row>
    <row r="8" spans="1:40" s="9" customFormat="1" ht="98.1" customHeight="1" x14ac:dyDescent="0.25">
      <c r="A8" s="228" t="s">
        <v>45</v>
      </c>
      <c r="B8" s="229" t="str">
        <f>IF($A8="","",VLOOKUP($A8,'[2]3-Elaboration.O'!$A:$T,MATCH(B$1,'[2]150-Modele SGO'!$1:$1,0),FALSE))</f>
        <v xml:space="preserve">Cette procédure est-elle concernée par une des définitions suivantes et si oui sélectionner les définitions concernées : </v>
      </c>
      <c r="C8" s="229" t="str">
        <f>IF($A8="","",VLOOKUP($A8,'[2]3-Elaboration.O'!$A:$T,MATCH(C$1,'[2]150-Modele SGO'!$1:$1,0),FALSE))</f>
        <v>Ensemble batterie;Location de batterie;Acquisition de batterie;Piles à combustibles (hydrogène);Acquisition de véhicules;Acquisition de véhicules à hydrogène;Acquisition de véhicules 100% électriques;Acquisition d'équipement de véhicules;Location de véhicules</v>
      </c>
      <c r="D8" s="229" t="str">
        <f>IF($A8="","",VLOOKUP($A8,'[2]3-Elaboration.O'!$A:$T,MATCH(D$1,'[2]150-Modele SGO'!$1:$1,0),FALSE))</f>
        <v>Liste choix multiple</v>
      </c>
      <c r="E8" s="230" t="s">
        <v>1521</v>
      </c>
      <c r="F8" s="230" t="s">
        <v>44</v>
      </c>
      <c r="G8" s="231"/>
      <c r="H8" s="232" t="s">
        <v>26</v>
      </c>
      <c r="I8" s="231"/>
      <c r="J8" s="233" t="s">
        <v>46</v>
      </c>
      <c r="K8" s="233" t="s">
        <v>1522</v>
      </c>
      <c r="L8" s="233" t="s">
        <v>1522</v>
      </c>
      <c r="M8" s="232" t="s">
        <v>26</v>
      </c>
      <c r="N8" s="231"/>
      <c r="O8" s="233" t="s">
        <v>46</v>
      </c>
      <c r="P8" s="233" t="s">
        <v>35</v>
      </c>
      <c r="Q8" s="233" t="s">
        <v>19</v>
      </c>
      <c r="R8" s="233" t="s">
        <v>46</v>
      </c>
      <c r="S8" s="231" t="s">
        <v>24</v>
      </c>
      <c r="T8" s="231" t="s">
        <v>24</v>
      </c>
      <c r="U8" s="231" t="s">
        <v>24</v>
      </c>
      <c r="V8" s="232" t="s">
        <v>19</v>
      </c>
      <c r="W8" s="233" t="s">
        <v>46</v>
      </c>
      <c r="X8" s="231"/>
      <c r="Y8" s="231"/>
      <c r="Z8" s="231"/>
      <c r="AA8" s="234"/>
      <c r="AB8" s="231"/>
      <c r="AC8" s="231"/>
      <c r="AD8" s="232" t="s">
        <v>19</v>
      </c>
      <c r="AE8" s="233" t="s">
        <v>46</v>
      </c>
      <c r="AF8" s="231"/>
      <c r="AG8" s="231"/>
      <c r="AH8" s="231"/>
      <c r="AI8" s="231"/>
      <c r="AJ8" s="231"/>
      <c r="AK8" s="231"/>
      <c r="AL8" s="234" t="s">
        <v>35</v>
      </c>
      <c r="AM8" s="231"/>
      <c r="AN8" s="231"/>
    </row>
    <row r="9" spans="1:40" s="9" customFormat="1" ht="45" x14ac:dyDescent="0.25">
      <c r="A9" s="228" t="s">
        <v>50</v>
      </c>
      <c r="B9" s="229" t="str">
        <f>IF($A9="","",VLOOKUP($A9,'[2]3-Elaboration.O'!$A:$T,MATCH(B$1,'[2]150-Modele SGO'!$1:$1,0),FALSE))</f>
        <v>Projet d'offre concerne un renouvellement (avec ou sans création/extension) ou le lancement d'une nouvelle offre ?</v>
      </c>
      <c r="C9" s="229" t="str">
        <f>IF($A9="","",VLOOKUP($A9,'[2]3-Elaboration.O'!$A:$T,MATCH(C$1,'[2]150-Modele SGO'!$1:$1,0),FALSE))</f>
        <v>Offre nouvelle ; Renouvellement d'offres avec extension ; Renouvellement d'offres avec création ; Renouvellement d'offre sans création/extension; Renouvellement d'offres avec extension et création</v>
      </c>
      <c r="D9" s="229" t="str">
        <f>IF($A9="","",VLOOKUP($A9,'[2]3-Elaboration.O'!$A:$T,MATCH(D$1,'[2]150-Modele SGO'!$1:$1,0),FALSE))</f>
        <v>Liste choix unique</v>
      </c>
      <c r="E9" s="230" t="s">
        <v>70</v>
      </c>
      <c r="F9" s="230" t="s">
        <v>44</v>
      </c>
      <c r="G9" s="233" t="s">
        <v>52</v>
      </c>
      <c r="H9" s="232" t="s">
        <v>51</v>
      </c>
      <c r="I9" s="231"/>
      <c r="J9" s="231"/>
      <c r="K9" s="231"/>
      <c r="L9" s="231"/>
      <c r="M9" s="232" t="s">
        <v>51</v>
      </c>
      <c r="N9" s="231"/>
      <c r="O9" s="231"/>
      <c r="P9" s="231"/>
      <c r="Q9" s="231" t="s">
        <v>51</v>
      </c>
      <c r="R9" s="231" t="s">
        <v>24</v>
      </c>
      <c r="S9" s="231" t="s">
        <v>24</v>
      </c>
      <c r="T9" s="231" t="s">
        <v>24</v>
      </c>
      <c r="U9" s="231" t="s">
        <v>24</v>
      </c>
      <c r="V9" s="232" t="s">
        <v>51</v>
      </c>
      <c r="W9" s="231"/>
      <c r="X9" s="231"/>
      <c r="Y9" s="231"/>
      <c r="Z9" s="231"/>
      <c r="AA9" s="234"/>
      <c r="AB9" s="231"/>
      <c r="AC9" s="231"/>
      <c r="AD9" s="232" t="s">
        <v>51</v>
      </c>
      <c r="AE9" s="231"/>
      <c r="AF9" s="231"/>
      <c r="AG9" s="231"/>
      <c r="AH9" s="231"/>
      <c r="AI9" s="231"/>
      <c r="AJ9" s="231"/>
      <c r="AK9" s="231"/>
      <c r="AL9" s="234" t="s">
        <v>51</v>
      </c>
      <c r="AM9" s="231"/>
      <c r="AN9" s="231"/>
    </row>
    <row r="10" spans="1:40" s="9" customFormat="1" ht="45" x14ac:dyDescent="0.25">
      <c r="A10" s="228" t="s">
        <v>56</v>
      </c>
      <c r="B10" s="229" t="str">
        <f>IF($A10="","",VLOOKUP($A10,'[2]3-Elaboration.O'!$A:$T,MATCH(B$1,'[2]150-Modele SGO'!$1:$1,0),FALSE))</f>
        <v>En cas de renouvellement, préciser le(s) numéro(s) de la(es) précédente procédure(s) ainsi que les numéros de marchés correspondants</v>
      </c>
      <c r="C10" s="229" t="str">
        <f>IF($A10="","",VLOOKUP($A10,'[2]3-Elaboration.O'!$A:$T,MATCH(C$1,'[2]150-Modele SGO'!$1:$1,0),FALSE))</f>
        <v>Numéro d'AO</v>
      </c>
      <c r="D10" s="229" t="str">
        <f>IF($A10="","",VLOOKUP($A10,'[2]3-Elaboration.O'!$A:$T,MATCH(D$1,'[2]150-Modele SGO'!$1:$1,0),FALSE))</f>
        <v>Texte</v>
      </c>
      <c r="E10" s="230" t="s">
        <v>70</v>
      </c>
      <c r="F10" s="230" t="s">
        <v>44</v>
      </c>
      <c r="G10" s="231"/>
      <c r="H10" s="232" t="s">
        <v>35</v>
      </c>
      <c r="I10" s="231"/>
      <c r="J10" s="231"/>
      <c r="K10" s="231"/>
      <c r="L10" s="231"/>
      <c r="M10" s="232" t="s">
        <v>35</v>
      </c>
      <c r="N10" s="231"/>
      <c r="O10" s="231"/>
      <c r="P10" s="231"/>
      <c r="Q10" s="231" t="s">
        <v>35</v>
      </c>
      <c r="R10" s="231" t="s">
        <v>24</v>
      </c>
      <c r="S10" s="231" t="s">
        <v>24</v>
      </c>
      <c r="T10" s="231" t="s">
        <v>24</v>
      </c>
      <c r="U10" s="231" t="s">
        <v>24</v>
      </c>
      <c r="V10" s="232" t="s">
        <v>35</v>
      </c>
      <c r="W10" s="231"/>
      <c r="X10" s="231"/>
      <c r="Y10" s="231"/>
      <c r="Z10" s="231"/>
      <c r="AA10" s="234"/>
      <c r="AB10" s="231"/>
      <c r="AC10" s="231"/>
      <c r="AD10" s="232" t="s">
        <v>35</v>
      </c>
      <c r="AE10" s="231"/>
      <c r="AF10" s="231"/>
      <c r="AG10" s="231"/>
      <c r="AH10" s="231"/>
      <c r="AI10" s="231"/>
      <c r="AJ10" s="231"/>
      <c r="AK10" s="231"/>
      <c r="AL10" s="234" t="s">
        <v>35</v>
      </c>
      <c r="AM10" s="231"/>
      <c r="AN10" s="231"/>
    </row>
    <row r="11" spans="1:40" s="9" customFormat="1" ht="15.75" x14ac:dyDescent="0.25">
      <c r="A11" s="30" t="s">
        <v>59</v>
      </c>
      <c r="B11" s="244" t="str">
        <f>IF($A11="","",VLOOKUP($A11,'[2]3-Elaboration.O'!$A:$T,MATCH(B$1,'[2]150-Modele SGO'!$1:$1,0),FALSE))</f>
        <v>01.2 Périmètre de l'offre</v>
      </c>
      <c r="C11" s="244">
        <f>IF($A11="","",VLOOKUP($A11,'[2]3-Elaboration.O'!$A:$T,MATCH(C$1,'[2]150-Modele SGO'!$1:$1,0),FALSE))</f>
        <v>0</v>
      </c>
      <c r="D11" s="244">
        <f>IF($A11="","",VLOOKUP($A11,'[2]3-Elaboration.O'!$A:$T,MATCH(D$1,'[2]150-Modele SGO'!$1:$1,0),FALSE))</f>
        <v>0</v>
      </c>
      <c r="E11" s="241" t="s">
        <v>70</v>
      </c>
      <c r="F11" s="241"/>
      <c r="G11" s="237"/>
      <c r="H11" s="241" t="s">
        <v>30</v>
      </c>
      <c r="I11" s="237"/>
      <c r="J11" s="237"/>
      <c r="K11" s="237"/>
      <c r="L11" s="237"/>
      <c r="M11" s="241" t="s">
        <v>30</v>
      </c>
      <c r="N11" s="237"/>
      <c r="O11" s="237"/>
      <c r="P11" s="237"/>
      <c r="Q11" s="237" t="s">
        <v>30</v>
      </c>
      <c r="R11" s="237" t="s">
        <v>24</v>
      </c>
      <c r="S11" s="231" t="s">
        <v>24</v>
      </c>
      <c r="T11" s="237" t="s">
        <v>24</v>
      </c>
      <c r="U11" s="237" t="s">
        <v>24</v>
      </c>
      <c r="V11" s="241" t="s">
        <v>30</v>
      </c>
      <c r="W11" s="237"/>
      <c r="X11" s="237"/>
      <c r="Y11" s="237"/>
      <c r="Z11" s="237"/>
      <c r="AA11" s="239"/>
      <c r="AB11" s="237"/>
      <c r="AC11" s="237"/>
      <c r="AD11" s="241" t="s">
        <v>30</v>
      </c>
      <c r="AE11" s="237"/>
      <c r="AF11" s="237"/>
      <c r="AG11" s="237"/>
      <c r="AH11" s="237"/>
      <c r="AI11" s="237"/>
      <c r="AJ11" s="237"/>
      <c r="AK11" s="237"/>
      <c r="AL11" s="239" t="s">
        <v>30</v>
      </c>
      <c r="AM11" s="237"/>
      <c r="AN11" s="237"/>
    </row>
    <row r="12" spans="1:40" s="9" customFormat="1" ht="134.1" customHeight="1" x14ac:dyDescent="0.25">
      <c r="A12" s="13" t="s">
        <v>61</v>
      </c>
      <c r="B12" s="229" t="str">
        <f>IF($A12="","",VLOOKUP($A12,'[2]3-Elaboration.O'!$A:$T,MATCH(B$1,'[2]150-Modele SGO'!$1:$1,0),FALSE))</f>
        <v>Etendue de l'offre</v>
      </c>
      <c r="C12" s="229" t="str">
        <f>IF($A12="","",VLOOKUP($A12,'[2]3-Elaboration.O'!$A:$T,MATCH(C$1,'[2]150-Modele SGO'!$1:$1,0),FALSE))</f>
        <v xml:space="preserve">Liste choix unique </v>
      </c>
      <c r="D12" s="229" t="str">
        <f>IF($A12="","",VLOOKUP($A12,'[2]3-Elaboration.O'!$A:$T,MATCH(D$1,'[2]150-Modele SGO'!$1:$1,0),FALSE))</f>
        <v xml:space="preserve">Liste choix unique </v>
      </c>
      <c r="E12" s="230" t="s">
        <v>1521</v>
      </c>
      <c r="F12" s="230"/>
      <c r="G12" s="231"/>
      <c r="H12" s="232" t="s">
        <v>19</v>
      </c>
      <c r="I12" s="233" t="s">
        <v>62</v>
      </c>
      <c r="J12" s="231"/>
      <c r="K12" s="231"/>
      <c r="L12" s="231"/>
      <c r="M12" s="232" t="s">
        <v>26</v>
      </c>
      <c r="N12" s="231"/>
      <c r="O12" s="233" t="s">
        <v>62</v>
      </c>
      <c r="P12" s="233" t="s">
        <v>35</v>
      </c>
      <c r="Q12" s="233" t="s">
        <v>26</v>
      </c>
      <c r="R12" s="231" t="s">
        <v>24</v>
      </c>
      <c r="S12" s="233" t="s">
        <v>62</v>
      </c>
      <c r="T12" s="233" t="s">
        <v>62</v>
      </c>
      <c r="U12" s="233" t="s">
        <v>1523</v>
      </c>
      <c r="V12" s="232" t="s">
        <v>26</v>
      </c>
      <c r="W12" s="231"/>
      <c r="X12" s="245" t="s">
        <v>62</v>
      </c>
      <c r="Y12" s="233" t="s">
        <v>1523</v>
      </c>
      <c r="Z12" s="245" t="s">
        <v>1524</v>
      </c>
      <c r="AA12" s="246" t="s">
        <v>62</v>
      </c>
      <c r="AB12" s="245" t="s">
        <v>1523</v>
      </c>
      <c r="AC12" s="245" t="s">
        <v>62</v>
      </c>
      <c r="AD12" s="232" t="s">
        <v>19</v>
      </c>
      <c r="AE12" s="233" t="s">
        <v>62</v>
      </c>
      <c r="AF12" s="231"/>
      <c r="AG12" s="231"/>
      <c r="AH12" s="231"/>
      <c r="AI12" s="231"/>
      <c r="AJ12" s="231"/>
      <c r="AK12" s="231"/>
      <c r="AL12" s="234" t="s">
        <v>35</v>
      </c>
      <c r="AM12" s="231"/>
      <c r="AN12" s="231"/>
    </row>
    <row r="13" spans="1:40" s="9" customFormat="1" ht="45" x14ac:dyDescent="0.25">
      <c r="A13" s="13" t="s">
        <v>65</v>
      </c>
      <c r="B13" s="229" t="str">
        <f>IF($A13="","",VLOOKUP($A13,'[2]3-Elaboration.O'!$A:$T,MATCH(B$1,'[2]150-Modele SGO'!$1:$1,0),FALSE))</f>
        <v>Si prestations, préciser leur nature</v>
      </c>
      <c r="C13" s="229" t="str">
        <f>IF($A13="","",VLOOKUP($A13,'[2]3-Elaboration.O'!$A:$T,MATCH(C$1,'[2]150-Modele SGO'!$1:$1,0),FALSE))</f>
        <v>Prestations associées et annexes;Prestations associées;Prestations annexes</v>
      </c>
      <c r="D13" s="229" t="str">
        <f>IF($A13="","",VLOOKUP($A13,'[2]3-Elaboration.O'!$A:$T,MATCH(D$1,'[2]150-Modele SGO'!$1:$1,0),FALSE))</f>
        <v xml:space="preserve">Liste choix unique </v>
      </c>
      <c r="E13" s="230" t="s">
        <v>1521</v>
      </c>
      <c r="F13" s="230"/>
      <c r="G13" s="231"/>
      <c r="H13" s="232" t="s">
        <v>19</v>
      </c>
      <c r="I13" s="233" t="s">
        <v>66</v>
      </c>
      <c r="J13" s="231"/>
      <c r="K13" s="231"/>
      <c r="L13" s="231"/>
      <c r="M13" s="232" t="s">
        <v>26</v>
      </c>
      <c r="N13" s="231"/>
      <c r="O13" s="233" t="s">
        <v>66</v>
      </c>
      <c r="P13" s="233" t="s">
        <v>35</v>
      </c>
      <c r="Q13" s="233" t="s">
        <v>26</v>
      </c>
      <c r="R13" s="231" t="s">
        <v>24</v>
      </c>
      <c r="S13" s="233" t="s">
        <v>66</v>
      </c>
      <c r="T13" s="233" t="s">
        <v>66</v>
      </c>
      <c r="U13" s="233" t="s">
        <v>66</v>
      </c>
      <c r="V13" s="232" t="s">
        <v>26</v>
      </c>
      <c r="W13" s="231"/>
      <c r="X13" s="233" t="s">
        <v>66</v>
      </c>
      <c r="Y13" s="233" t="s">
        <v>1525</v>
      </c>
      <c r="Z13" s="233" t="s">
        <v>66</v>
      </c>
      <c r="AA13" s="235" t="s">
        <v>66</v>
      </c>
      <c r="AB13" s="233" t="s">
        <v>1525</v>
      </c>
      <c r="AC13" s="245" t="s">
        <v>1525</v>
      </c>
      <c r="AD13" s="232" t="s">
        <v>26</v>
      </c>
      <c r="AE13" s="231"/>
      <c r="AF13" s="233" t="s">
        <v>66</v>
      </c>
      <c r="AG13" s="233" t="s">
        <v>66</v>
      </c>
      <c r="AH13" s="233" t="s">
        <v>66</v>
      </c>
      <c r="AI13" s="233" t="s">
        <v>66</v>
      </c>
      <c r="AJ13" s="233" t="s">
        <v>66</v>
      </c>
      <c r="AK13" s="233" t="s">
        <v>1526</v>
      </c>
      <c r="AL13" s="235" t="s">
        <v>35</v>
      </c>
      <c r="AM13" s="231"/>
      <c r="AN13" s="231"/>
    </row>
    <row r="14" spans="1:40" s="9" customFormat="1" ht="30" x14ac:dyDescent="0.25">
      <c r="A14" s="13" t="s">
        <v>69</v>
      </c>
      <c r="B14" s="229" t="str">
        <f>IF($A14="","",VLOOKUP($A14,'[2]3-Elaboration.O'!$A:$T,MATCH(B$1,'[2]150-Modele SGO'!$1:$1,0),FALSE))</f>
        <v>Les matériels ou prestations concernés par l'offre font-ils l'objet d'autres offres UGAP ?</v>
      </c>
      <c r="C14" s="229" t="str">
        <f>IF($A14="","",VLOOKUP($A14,'[2]3-Elaboration.O'!$A:$T,MATCH(C$1,'[2]150-Modele SGO'!$1:$1,0),FALSE))</f>
        <v>Oui; Non</v>
      </c>
      <c r="D14" s="229" t="str">
        <f>IF($A14="","",VLOOKUP($A14,'[2]3-Elaboration.O'!$A:$T,MATCH(D$1,'[2]150-Modele SGO'!$1:$1,0),FALSE))</f>
        <v>Liste choix unique</v>
      </c>
      <c r="E14" s="230" t="s">
        <v>70</v>
      </c>
      <c r="F14" s="230"/>
      <c r="G14" s="233" t="s">
        <v>70</v>
      </c>
      <c r="H14" s="232" t="s">
        <v>51</v>
      </c>
      <c r="I14" s="231"/>
      <c r="J14" s="231"/>
      <c r="K14" s="231"/>
      <c r="L14" s="231"/>
      <c r="M14" s="232" t="s">
        <v>51</v>
      </c>
      <c r="N14" s="231"/>
      <c r="O14" s="231"/>
      <c r="P14" s="231"/>
      <c r="Q14" s="231" t="s">
        <v>51</v>
      </c>
      <c r="R14" s="231" t="s">
        <v>24</v>
      </c>
      <c r="S14" s="231" t="s">
        <v>24</v>
      </c>
      <c r="T14" s="231" t="s">
        <v>24</v>
      </c>
      <c r="U14" s="231" t="s">
        <v>24</v>
      </c>
      <c r="V14" s="232" t="s">
        <v>51</v>
      </c>
      <c r="W14" s="231"/>
      <c r="X14" s="231"/>
      <c r="Y14" s="231"/>
      <c r="Z14" s="231"/>
      <c r="AA14" s="234"/>
      <c r="AB14" s="231"/>
      <c r="AC14" s="231"/>
      <c r="AD14" s="232" t="s">
        <v>51</v>
      </c>
      <c r="AE14" s="231"/>
      <c r="AF14" s="231"/>
      <c r="AG14" s="231"/>
      <c r="AH14" s="231"/>
      <c r="AI14" s="231"/>
      <c r="AJ14" s="231"/>
      <c r="AK14" s="231"/>
      <c r="AL14" s="234" t="s">
        <v>51</v>
      </c>
      <c r="AM14" s="231"/>
      <c r="AN14" s="231"/>
    </row>
    <row r="15" spans="1:40" s="9" customFormat="1" ht="30" x14ac:dyDescent="0.25">
      <c r="A15" s="13" t="s">
        <v>73</v>
      </c>
      <c r="B15" s="229" t="str">
        <f>IF($A15="","",VLOOKUP($A15,'[2]3-Elaboration.O'!$A:$T,MATCH(B$1,'[2]150-Modele SGO'!$1:$1,0),FALSE))</f>
        <v>Si oui, préciser les conditions de commandes qui justifient cette multi attribution UGAP</v>
      </c>
      <c r="C15" s="229" t="str">
        <f>IF($A15="","",VLOOKUP($A15,'[2]3-Elaboration.O'!$A:$T,MATCH(C$1,'[2]150-Modele SGO'!$1:$1,0),FALSE))</f>
        <v>Champ libre</v>
      </c>
      <c r="D15" s="229" t="str">
        <f>IF($A15="","",VLOOKUP($A15,'[2]3-Elaboration.O'!$A:$T,MATCH(D$1,'[2]150-Modele SGO'!$1:$1,0),FALSE))</f>
        <v>Texte</v>
      </c>
      <c r="E15" s="230" t="s">
        <v>70</v>
      </c>
      <c r="F15" s="230"/>
      <c r="G15" s="231"/>
      <c r="H15" s="232" t="s">
        <v>35</v>
      </c>
      <c r="I15" s="231"/>
      <c r="J15" s="231"/>
      <c r="K15" s="231"/>
      <c r="L15" s="231"/>
      <c r="M15" s="232" t="s">
        <v>35</v>
      </c>
      <c r="N15" s="231"/>
      <c r="O15" s="231"/>
      <c r="P15" s="231"/>
      <c r="Q15" s="231" t="s">
        <v>35</v>
      </c>
      <c r="R15" s="231" t="s">
        <v>24</v>
      </c>
      <c r="S15" s="231" t="s">
        <v>24</v>
      </c>
      <c r="T15" s="231" t="s">
        <v>24</v>
      </c>
      <c r="U15" s="231" t="s">
        <v>24</v>
      </c>
      <c r="V15" s="232" t="s">
        <v>35</v>
      </c>
      <c r="W15" s="231"/>
      <c r="X15" s="231"/>
      <c r="Y15" s="231"/>
      <c r="Z15" s="231"/>
      <c r="AA15" s="234"/>
      <c r="AB15" s="231"/>
      <c r="AC15" s="231"/>
      <c r="AD15" s="232" t="s">
        <v>35</v>
      </c>
      <c r="AE15" s="231"/>
      <c r="AF15" s="231"/>
      <c r="AG15" s="231"/>
      <c r="AH15" s="231"/>
      <c r="AI15" s="231"/>
      <c r="AJ15" s="231"/>
      <c r="AK15" s="231"/>
      <c r="AL15" s="234" t="s">
        <v>35</v>
      </c>
      <c r="AM15" s="231"/>
      <c r="AN15" s="231"/>
    </row>
    <row r="16" spans="1:40" s="9" customFormat="1" ht="120" x14ac:dyDescent="0.25">
      <c r="A16" s="13" t="s">
        <v>76</v>
      </c>
      <c r="B16" s="229" t="str">
        <f>IF($A16="","",VLOOKUP($A16,'[2]3-Elaboration.O'!$A:$T,MATCH(B$1,'[2]150-Modele SGO'!$1:$1,0),FALSE))</f>
        <v>Etendue des Bénéficiaires</v>
      </c>
      <c r="C16" s="229" t="str">
        <f>IF($A16="","",VLOOKUP($A16,'[2]3-Elaboration.O'!$A:$T,MATCH(C$1,'[2]150-Modele SGO'!$1:$1,0),FALSE))</f>
        <v>Etat;Opérateurs de l'Etat;Etablissements Hospitaliers;Collectivités territoriales;Clients transfrontaliers; Autres;toto</v>
      </c>
      <c r="D16" s="229" t="str">
        <f>IF($A16="","",VLOOKUP($A16,'[2]3-Elaboration.O'!$A:$T,MATCH(D$1,'[2]150-Modele SGO'!$1:$1,0),FALSE))</f>
        <v>Liste choix multiple</v>
      </c>
      <c r="E16" s="230" t="s">
        <v>70</v>
      </c>
      <c r="F16" s="230" t="s">
        <v>44</v>
      </c>
      <c r="G16" s="231"/>
      <c r="H16" s="232" t="s">
        <v>19</v>
      </c>
      <c r="I16" s="233" t="s">
        <v>1527</v>
      </c>
      <c r="J16" s="231"/>
      <c r="K16" s="231"/>
      <c r="L16" s="231"/>
      <c r="M16" s="232" t="s">
        <v>26</v>
      </c>
      <c r="N16" s="231"/>
      <c r="O16" s="233" t="s">
        <v>77</v>
      </c>
      <c r="P16" s="233" t="s">
        <v>35</v>
      </c>
      <c r="Q16" s="233" t="s">
        <v>26</v>
      </c>
      <c r="R16" s="231" t="s">
        <v>24</v>
      </c>
      <c r="S16" s="233" t="s">
        <v>1527</v>
      </c>
      <c r="T16" s="233" t="s">
        <v>1527</v>
      </c>
      <c r="U16" s="233" t="s">
        <v>77</v>
      </c>
      <c r="V16" s="232" t="s">
        <v>19</v>
      </c>
      <c r="W16" s="233" t="s">
        <v>77</v>
      </c>
      <c r="X16" s="231"/>
      <c r="Y16" s="231"/>
      <c r="Z16" s="231"/>
      <c r="AA16" s="234"/>
      <c r="AB16" s="231"/>
      <c r="AC16" s="231"/>
      <c r="AD16" s="232" t="s">
        <v>19</v>
      </c>
      <c r="AE16" s="233" t="s">
        <v>1527</v>
      </c>
      <c r="AF16" s="231"/>
      <c r="AG16" s="231"/>
      <c r="AH16" s="231"/>
      <c r="AI16" s="231"/>
      <c r="AJ16" s="231"/>
      <c r="AK16" s="231"/>
      <c r="AL16" s="234" t="s">
        <v>35</v>
      </c>
      <c r="AM16" s="231"/>
      <c r="AN16" s="231"/>
    </row>
    <row r="17" spans="1:40" s="9" customFormat="1" ht="45" x14ac:dyDescent="0.25">
      <c r="A17" s="13" t="s">
        <v>80</v>
      </c>
      <c r="B17" s="229" t="str">
        <f>IF($A17="","",VLOOKUP($A17,'[2]3-Elaboration.O'!$A:$T,MATCH(B$1,'[2]150-Modele SGO'!$1:$1,0),FALSE))</f>
        <v>Si autres, préciser si les bénéficiaires concernés sont les Sociétés d’autoroutes pou les Délégataires de service public</v>
      </c>
      <c r="C17" s="229" t="str">
        <f>IF($A17="","",VLOOKUP($A17,'[2]3-Elaboration.O'!$A:$T,MATCH(C$1,'[2]150-Modele SGO'!$1:$1,0),FALSE))</f>
        <v>Sociétés d’autoroutes ;Délégataires de service public; Caisses et entreprises ;Autre</v>
      </c>
      <c r="D17" s="229" t="str">
        <f>IF($A17="","",VLOOKUP($A17,'[2]3-Elaboration.O'!$A:$T,MATCH(D$1,'[2]150-Modele SGO'!$1:$1,0),FALSE))</f>
        <v>Liste choix multiple</v>
      </c>
      <c r="E17" s="230" t="s">
        <v>70</v>
      </c>
      <c r="F17" s="230" t="s">
        <v>44</v>
      </c>
      <c r="G17" s="231"/>
      <c r="H17" s="232" t="s">
        <v>19</v>
      </c>
      <c r="I17" s="233" t="s">
        <v>1528</v>
      </c>
      <c r="J17" s="231"/>
      <c r="K17" s="231"/>
      <c r="L17" s="231"/>
      <c r="M17" s="232" t="s">
        <v>35</v>
      </c>
      <c r="N17" s="231"/>
      <c r="O17" s="231"/>
      <c r="P17" s="231"/>
      <c r="Q17" s="231" t="s">
        <v>35</v>
      </c>
      <c r="R17" s="231" t="s">
        <v>24</v>
      </c>
      <c r="S17" s="231" t="s">
        <v>24</v>
      </c>
      <c r="T17" s="231" t="s">
        <v>24</v>
      </c>
      <c r="U17" s="231" t="s">
        <v>24</v>
      </c>
      <c r="V17" s="232" t="s">
        <v>35</v>
      </c>
      <c r="W17" s="231"/>
      <c r="X17" s="231"/>
      <c r="Y17" s="231"/>
      <c r="Z17" s="231"/>
      <c r="AA17" s="234"/>
      <c r="AB17" s="231"/>
      <c r="AC17" s="247"/>
      <c r="AD17" s="232" t="s">
        <v>19</v>
      </c>
      <c r="AE17" s="233" t="s">
        <v>1529</v>
      </c>
      <c r="AF17" s="231"/>
      <c r="AG17" s="231"/>
      <c r="AH17" s="231"/>
      <c r="AI17" s="231"/>
      <c r="AJ17" s="231"/>
      <c r="AK17" s="231"/>
      <c r="AL17" s="234" t="s">
        <v>35</v>
      </c>
      <c r="AM17" s="231"/>
      <c r="AN17" s="231"/>
    </row>
    <row r="18" spans="1:40" s="9" customFormat="1" ht="15.75" x14ac:dyDescent="0.25">
      <c r="A18" s="13" t="s">
        <v>83</v>
      </c>
      <c r="B18" s="229" t="str">
        <f>IF($A18="","",VLOOKUP($A18,'[2]3-Elaboration.O'!$A:$T,MATCH(B$1,'[2]150-Modele SGO'!$1:$1,0),FALSE))</f>
        <v>Si autres, préciser les bénéficiaires concernés</v>
      </c>
      <c r="C18" s="229" t="str">
        <f>IF($A18="","",VLOOKUP($A18,'[2]3-Elaboration.O'!$A:$T,MATCH(C$1,'[2]150-Modele SGO'!$1:$1,0),FALSE))</f>
        <v>Champ libre</v>
      </c>
      <c r="D18" s="229" t="str">
        <f>IF($A18="","",VLOOKUP($A18,'[2]3-Elaboration.O'!$A:$T,MATCH(D$1,'[2]150-Modele SGO'!$1:$1,0),FALSE))</f>
        <v>Texte</v>
      </c>
      <c r="E18" s="230" t="s">
        <v>70</v>
      </c>
      <c r="F18" s="230"/>
      <c r="G18" s="231"/>
      <c r="H18" s="232" t="s">
        <v>35</v>
      </c>
      <c r="I18" s="231"/>
      <c r="J18" s="231"/>
      <c r="K18" s="231"/>
      <c r="L18" s="231"/>
      <c r="M18" s="232" t="s">
        <v>35</v>
      </c>
      <c r="N18" s="231"/>
      <c r="O18" s="231"/>
      <c r="P18" s="231"/>
      <c r="Q18" s="231" t="s">
        <v>35</v>
      </c>
      <c r="R18" s="231" t="s">
        <v>24</v>
      </c>
      <c r="S18" s="231" t="s">
        <v>24</v>
      </c>
      <c r="T18" s="231" t="s">
        <v>24</v>
      </c>
      <c r="U18" s="231" t="s">
        <v>24</v>
      </c>
      <c r="V18" s="232" t="s">
        <v>35</v>
      </c>
      <c r="W18" s="231"/>
      <c r="X18" s="231"/>
      <c r="Y18" s="231"/>
      <c r="Z18" s="231"/>
      <c r="AA18" s="234"/>
      <c r="AB18" s="231"/>
      <c r="AC18" s="231"/>
      <c r="AD18" s="232" t="s">
        <v>35</v>
      </c>
      <c r="AE18" s="231"/>
      <c r="AF18" s="231"/>
      <c r="AG18" s="231"/>
      <c r="AH18" s="231"/>
      <c r="AI18" s="231"/>
      <c r="AJ18" s="231"/>
      <c r="AK18" s="231"/>
      <c r="AL18" s="234" t="s">
        <v>35</v>
      </c>
      <c r="AM18" s="231"/>
      <c r="AN18" s="231"/>
    </row>
    <row r="19" spans="1:40" s="9" customFormat="1" ht="30" x14ac:dyDescent="0.25">
      <c r="A19" s="13" t="s">
        <v>85</v>
      </c>
      <c r="B19" s="229" t="str">
        <f>IF($A19="","",VLOOKUP($A19,'[2]3-Elaboration.O'!$A:$T,MATCH(B$1,'[2]150-Modele SGO'!$1:$1,0),FALSE))</f>
        <v xml:space="preserve"> l'UGAP est-elle bénéficiaire ? </v>
      </c>
      <c r="C19" s="229" t="str">
        <f>IF($A19="","",VLOOKUP($A19,'[2]3-Elaboration.O'!$A:$T,MATCH(C$1,'[2]150-Modele SGO'!$1:$1,0),FALSE))</f>
        <v>Oui, l'UGAP est bénéficiaire de l'offre;Non, l'UGAP n'est pas bénéficiaire de l'offre</v>
      </c>
      <c r="D19" s="229" t="str">
        <f>IF($A19="","",VLOOKUP($A19,'[2]3-Elaboration.O'!$A:$T,MATCH(D$1,'[2]150-Modele SGO'!$1:$1,0),FALSE))</f>
        <v xml:space="preserve">Liste choix unique </v>
      </c>
      <c r="E19" s="230" t="s">
        <v>1521</v>
      </c>
      <c r="F19" s="230"/>
      <c r="G19" s="233" t="s">
        <v>86</v>
      </c>
      <c r="H19" s="232" t="s">
        <v>51</v>
      </c>
      <c r="I19" s="231"/>
      <c r="J19" s="231" t="s">
        <v>46</v>
      </c>
      <c r="K19" s="231"/>
      <c r="L19" s="231"/>
      <c r="M19" s="232" t="s">
        <v>51</v>
      </c>
      <c r="N19" s="231"/>
      <c r="O19" s="231"/>
      <c r="P19" s="231"/>
      <c r="Q19" s="231" t="s">
        <v>51</v>
      </c>
      <c r="R19" s="231" t="s">
        <v>24</v>
      </c>
      <c r="S19" s="231" t="s">
        <v>24</v>
      </c>
      <c r="T19" s="231" t="s">
        <v>24</v>
      </c>
      <c r="U19" s="231" t="s">
        <v>24</v>
      </c>
      <c r="V19" s="232" t="s">
        <v>51</v>
      </c>
      <c r="W19" s="231"/>
      <c r="X19" s="231"/>
      <c r="Y19" s="231"/>
      <c r="Z19" s="231"/>
      <c r="AA19" s="234"/>
      <c r="AB19" s="242"/>
      <c r="AC19" s="242"/>
      <c r="AD19" s="232" t="s">
        <v>51</v>
      </c>
      <c r="AE19" s="231"/>
      <c r="AF19" s="231"/>
      <c r="AG19" s="231"/>
      <c r="AH19" s="231"/>
      <c r="AI19" s="231"/>
      <c r="AJ19" s="231"/>
      <c r="AK19" s="231"/>
      <c r="AL19" s="234" t="s">
        <v>51</v>
      </c>
      <c r="AM19" s="231"/>
      <c r="AN19" s="231"/>
    </row>
    <row r="20" spans="1:40" s="9" customFormat="1" ht="15.75" x14ac:dyDescent="0.25">
      <c r="A20" s="30" t="s">
        <v>90</v>
      </c>
      <c r="B20" s="244" t="str">
        <f>IF($A20="","",VLOOKUP($A20,'[2]3-Elaboration.O'!$A:$T,MATCH(B$1,'[2]150-Modele SGO'!$1:$1,0),FALSE))</f>
        <v>01.3 Engagements</v>
      </c>
      <c r="C20" s="244">
        <f>IF($A20="","",VLOOKUP($A20,'[2]3-Elaboration.O'!$A:$T,MATCH(C$1,'[2]150-Modele SGO'!$1:$1,0),FALSE))</f>
        <v>0</v>
      </c>
      <c r="D20" s="244">
        <f>IF($A20="","",VLOOKUP($A20,'[2]3-Elaboration.O'!$A:$T,MATCH(D$1,'[2]150-Modele SGO'!$1:$1,0),FALSE))</f>
        <v>0</v>
      </c>
      <c r="E20" s="241" t="s">
        <v>70</v>
      </c>
      <c r="F20" s="241"/>
      <c r="G20" s="237"/>
      <c r="H20" s="241" t="s">
        <v>30</v>
      </c>
      <c r="I20" s="237"/>
      <c r="J20" s="237"/>
      <c r="K20" s="237"/>
      <c r="L20" s="237"/>
      <c r="M20" s="241" t="s">
        <v>30</v>
      </c>
      <c r="N20" s="237"/>
      <c r="O20" s="237"/>
      <c r="P20" s="237"/>
      <c r="Q20" s="237" t="s">
        <v>30</v>
      </c>
      <c r="R20" s="237" t="s">
        <v>24</v>
      </c>
      <c r="S20" s="231" t="s">
        <v>24</v>
      </c>
      <c r="T20" s="237" t="s">
        <v>24</v>
      </c>
      <c r="U20" s="237" t="s">
        <v>24</v>
      </c>
      <c r="V20" s="241" t="s">
        <v>30</v>
      </c>
      <c r="W20" s="237"/>
      <c r="X20" s="237"/>
      <c r="Y20" s="237"/>
      <c r="Z20" s="237"/>
      <c r="AA20" s="239"/>
      <c r="AB20" s="237"/>
      <c r="AC20" s="237"/>
      <c r="AD20" s="241" t="s">
        <v>30</v>
      </c>
      <c r="AE20" s="231"/>
      <c r="AF20" s="231"/>
      <c r="AG20" s="231"/>
      <c r="AH20" s="231"/>
      <c r="AI20" s="231"/>
      <c r="AJ20" s="231"/>
      <c r="AK20" s="231"/>
      <c r="AL20" s="234" t="s">
        <v>30</v>
      </c>
      <c r="AM20" s="231"/>
      <c r="AN20" s="231"/>
    </row>
    <row r="21" spans="1:40" s="9" customFormat="1" ht="67.349999999999994" customHeight="1" x14ac:dyDescent="0.25">
      <c r="A21" s="13" t="s">
        <v>92</v>
      </c>
      <c r="B21" s="229" t="str">
        <f>IF($A21="","",VLOOKUP($A21,'[2]3-Elaboration.O'!$A:$T,MATCH(B$1,'[2]150-Modele SGO'!$1:$1,0),FALSE))</f>
        <v>Le principe d'engagement maximum sans minimum s'applique-t 'il ?</v>
      </c>
      <c r="C21" s="229" t="str">
        <f>IF($A21="","",VLOOKUP($A21,'[2]3-Elaboration.O'!$A:$T,MATCH(C$1,'[2]150-Modele SGO'!$1:$1,0),FALSE))</f>
        <v>Oui, le principe d'engagement maximum avec montants estimés s'applique;Non, dérogation au standard</v>
      </c>
      <c r="D21" s="229" t="str">
        <f>IF($A21="","",VLOOKUP($A21,'[2]3-Elaboration.O'!$A:$T,MATCH(D$1,'[2]150-Modele SGO'!$1:$1,0),FALSE))</f>
        <v xml:space="preserve">Liste choix unique </v>
      </c>
      <c r="E21" s="230" t="s">
        <v>70</v>
      </c>
      <c r="F21" s="230"/>
      <c r="G21" s="233" t="s">
        <v>93</v>
      </c>
      <c r="H21" s="232" t="s">
        <v>51</v>
      </c>
      <c r="I21" s="231"/>
      <c r="J21" s="231"/>
      <c r="K21" s="231"/>
      <c r="L21" s="231"/>
      <c r="M21" s="232" t="s">
        <v>51</v>
      </c>
      <c r="N21" s="231"/>
      <c r="O21" s="231"/>
      <c r="P21" s="231"/>
      <c r="Q21" s="231" t="s">
        <v>51</v>
      </c>
      <c r="R21" s="231" t="s">
        <v>24</v>
      </c>
      <c r="S21" s="231" t="s">
        <v>24</v>
      </c>
      <c r="T21" s="231" t="s">
        <v>24</v>
      </c>
      <c r="U21" s="231" t="s">
        <v>24</v>
      </c>
      <c r="V21" s="232" t="s">
        <v>51</v>
      </c>
      <c r="W21" s="231"/>
      <c r="X21" s="231"/>
      <c r="Y21" s="231"/>
      <c r="Z21" s="231"/>
      <c r="AA21" s="234"/>
      <c r="AB21" s="231"/>
      <c r="AC21" s="231"/>
      <c r="AD21" s="232" t="s">
        <v>51</v>
      </c>
      <c r="AE21" s="231"/>
      <c r="AF21" s="231"/>
      <c r="AG21" s="231"/>
      <c r="AH21" s="231"/>
      <c r="AI21" s="231"/>
      <c r="AJ21" s="231"/>
      <c r="AK21" s="231"/>
      <c r="AL21" s="234" t="s">
        <v>51</v>
      </c>
      <c r="AM21" s="231"/>
      <c r="AN21" s="231"/>
    </row>
    <row r="22" spans="1:40" s="9" customFormat="1" ht="30" x14ac:dyDescent="0.25">
      <c r="A22" s="13" t="s">
        <v>96</v>
      </c>
      <c r="B22" s="229" t="str">
        <f>IF($A22="","",VLOOKUP($A22,'[2]3-Elaboration.O'!$A:$T,MATCH(B$1,'[2]150-Modele SGO'!$1:$1,0),FALSE))</f>
        <v>Si non, un engagement maximum et minimum s'applique-t 'il ?</v>
      </c>
      <c r="C22" s="229" t="str">
        <f>IF($A22="","",VLOOKUP($A22,'[2]3-Elaboration.O'!$A:$T,MATCH(C$1,'[2]150-Modele SGO'!$1:$1,0),FALSE))</f>
        <v>Oui, un engagement maximum et minimum s'applique;Non, un engagement maximum et minimum ne s'applique pas</v>
      </c>
      <c r="D22" s="229" t="str">
        <f>IF($A22="","",VLOOKUP($A22,'[2]3-Elaboration.O'!$A:$T,MATCH(D$1,'[2]150-Modele SGO'!$1:$1,0),FALSE))</f>
        <v xml:space="preserve">Liste choix unique </v>
      </c>
      <c r="E22" s="230" t="s">
        <v>70</v>
      </c>
      <c r="F22" s="230"/>
      <c r="G22" s="231"/>
      <c r="H22" s="232" t="s">
        <v>35</v>
      </c>
      <c r="I22" s="231"/>
      <c r="J22" s="231"/>
      <c r="K22" s="231"/>
      <c r="L22" s="231"/>
      <c r="M22" s="232" t="s">
        <v>35</v>
      </c>
      <c r="N22" s="231"/>
      <c r="O22" s="231"/>
      <c r="P22" s="231"/>
      <c r="Q22" s="231" t="s">
        <v>35</v>
      </c>
      <c r="R22" s="231" t="s">
        <v>24</v>
      </c>
      <c r="S22" s="231" t="s">
        <v>24</v>
      </c>
      <c r="T22" s="231" t="s">
        <v>24</v>
      </c>
      <c r="U22" s="231" t="s">
        <v>24</v>
      </c>
      <c r="V22" s="232" t="s">
        <v>35</v>
      </c>
      <c r="W22" s="231"/>
      <c r="X22" s="231"/>
      <c r="Y22" s="231"/>
      <c r="Z22" s="231"/>
      <c r="AA22" s="234"/>
      <c r="AB22" s="231"/>
      <c r="AC22" s="231"/>
      <c r="AD22" s="232" t="s">
        <v>35</v>
      </c>
      <c r="AE22" s="231"/>
      <c r="AF22" s="231"/>
      <c r="AG22" s="231"/>
      <c r="AH22" s="231"/>
      <c r="AI22" s="231"/>
      <c r="AJ22" s="231"/>
      <c r="AK22" s="231"/>
      <c r="AL22" s="234" t="s">
        <v>35</v>
      </c>
      <c r="AM22" s="231"/>
      <c r="AN22" s="231"/>
    </row>
    <row r="23" spans="1:40" s="9" customFormat="1" ht="15.75" x14ac:dyDescent="0.25">
      <c r="A23" s="13" t="s">
        <v>99</v>
      </c>
      <c r="B23" s="229" t="str">
        <f>IF($A23="","",VLOOKUP($A23,'[2]3-Elaboration.O'!$A:$T,MATCH(B$1,'[2]150-Modele SGO'!$1:$1,0),FALSE))</f>
        <v>Si non, expliquez l'engagement applicable</v>
      </c>
      <c r="C23" s="229" t="str">
        <f>IF($A23="","",VLOOKUP($A23,'[2]3-Elaboration.O'!$A:$T,MATCH(C$1,'[2]150-Modele SGO'!$1:$1,0),FALSE))</f>
        <v>Champ libre</v>
      </c>
      <c r="D23" s="229" t="str">
        <f>IF($A23="","",VLOOKUP($A23,'[2]3-Elaboration.O'!$A:$T,MATCH(D$1,'[2]150-Modele SGO'!$1:$1,0),FALSE))</f>
        <v>Texte</v>
      </c>
      <c r="E23" s="230" t="s">
        <v>70</v>
      </c>
      <c r="F23" s="230"/>
      <c r="G23" s="231"/>
      <c r="H23" s="232" t="s">
        <v>35</v>
      </c>
      <c r="I23" s="231"/>
      <c r="J23" s="231"/>
      <c r="K23" s="231"/>
      <c r="L23" s="231"/>
      <c r="M23" s="232" t="s">
        <v>35</v>
      </c>
      <c r="N23" s="231"/>
      <c r="O23" s="231"/>
      <c r="P23" s="231"/>
      <c r="Q23" s="231" t="s">
        <v>35</v>
      </c>
      <c r="R23" s="231" t="s">
        <v>24</v>
      </c>
      <c r="S23" s="231" t="s">
        <v>24</v>
      </c>
      <c r="T23" s="231" t="s">
        <v>24</v>
      </c>
      <c r="U23" s="231" t="s">
        <v>24</v>
      </c>
      <c r="V23" s="232" t="s">
        <v>35</v>
      </c>
      <c r="W23" s="231"/>
      <c r="X23" s="231"/>
      <c r="Y23" s="231"/>
      <c r="Z23" s="231"/>
      <c r="AA23" s="234"/>
      <c r="AB23" s="231"/>
      <c r="AC23" s="231"/>
      <c r="AD23" s="232" t="s">
        <v>35</v>
      </c>
      <c r="AE23" s="231"/>
      <c r="AF23" s="231"/>
      <c r="AG23" s="231"/>
      <c r="AH23" s="231"/>
      <c r="AI23" s="231"/>
      <c r="AJ23" s="231"/>
      <c r="AK23" s="231"/>
      <c r="AL23" s="234" t="s">
        <v>35</v>
      </c>
      <c r="AM23" s="231"/>
      <c r="AN23" s="231"/>
    </row>
    <row r="24" spans="1:40" s="9" customFormat="1" ht="41.25" customHeight="1" x14ac:dyDescent="0.25">
      <c r="A24" s="13" t="s">
        <v>2051</v>
      </c>
      <c r="B24" s="229" t="s">
        <v>102</v>
      </c>
      <c r="C24" s="229" t="s">
        <v>1530</v>
      </c>
      <c r="D24" s="229" t="s">
        <v>64</v>
      </c>
      <c r="E24" s="230" t="s">
        <v>1521</v>
      </c>
      <c r="F24" s="230"/>
      <c r="G24" s="233"/>
      <c r="H24" s="232" t="s">
        <v>35</v>
      </c>
      <c r="I24" s="233"/>
      <c r="J24" s="233"/>
      <c r="K24" s="233"/>
      <c r="L24" s="233"/>
      <c r="M24" s="232" t="s">
        <v>35</v>
      </c>
      <c r="N24" s="233"/>
      <c r="O24" s="233"/>
      <c r="P24" s="233"/>
      <c r="Q24" s="231"/>
      <c r="R24" s="233"/>
      <c r="S24" s="233"/>
      <c r="T24" s="233"/>
      <c r="U24" s="233"/>
      <c r="V24" s="232" t="s">
        <v>35</v>
      </c>
      <c r="W24" s="233"/>
      <c r="X24" s="233"/>
      <c r="Y24" s="233"/>
      <c r="Z24" s="233"/>
      <c r="AA24" s="235"/>
      <c r="AB24" s="233"/>
      <c r="AC24" s="233"/>
      <c r="AD24" s="232" t="s">
        <v>35</v>
      </c>
      <c r="AE24" s="233"/>
      <c r="AF24" s="233"/>
      <c r="AG24" s="233"/>
      <c r="AH24" s="233"/>
      <c r="AI24" s="233"/>
      <c r="AJ24" s="233"/>
      <c r="AK24" s="233"/>
      <c r="AL24" s="234"/>
      <c r="AM24" s="233"/>
      <c r="AN24" s="233"/>
    </row>
    <row r="25" spans="1:40" s="9" customFormat="1" ht="15.75" x14ac:dyDescent="0.25">
      <c r="A25" s="30" t="s">
        <v>103</v>
      </c>
      <c r="B25" s="244" t="str">
        <f>IF($A25="","",VLOOKUP($A25,'[2]3-Elaboration.O'!$A:$T,MATCH(B$1,'[2]150-Modele SGO'!$1:$1,0),FALSE))</f>
        <v>01.4 Allotissement</v>
      </c>
      <c r="C25" s="244">
        <f>IF($A25="","",VLOOKUP($A25,'[2]3-Elaboration.O'!$A:$T,MATCH(C$1,'[2]150-Modele SGO'!$1:$1,0),FALSE))</f>
        <v>0</v>
      </c>
      <c r="D25" s="244">
        <f>IF($A25="","",VLOOKUP($A25,'[2]3-Elaboration.O'!$A:$T,MATCH(D$1,'[2]150-Modele SGO'!$1:$1,0),FALSE))</f>
        <v>0</v>
      </c>
      <c r="E25" s="241" t="s">
        <v>70</v>
      </c>
      <c r="F25" s="241"/>
      <c r="G25" s="237"/>
      <c r="H25" s="241" t="s">
        <v>30</v>
      </c>
      <c r="I25" s="237"/>
      <c r="J25" s="237"/>
      <c r="K25" s="237"/>
      <c r="L25" s="237"/>
      <c r="M25" s="241" t="s">
        <v>30</v>
      </c>
      <c r="N25" s="237"/>
      <c r="O25" s="237"/>
      <c r="P25" s="237"/>
      <c r="Q25" s="237" t="s">
        <v>30</v>
      </c>
      <c r="R25" s="237" t="s">
        <v>24</v>
      </c>
      <c r="S25" s="231" t="s">
        <v>24</v>
      </c>
      <c r="T25" s="237" t="s">
        <v>24</v>
      </c>
      <c r="U25" s="237" t="s">
        <v>24</v>
      </c>
      <c r="V25" s="241" t="s">
        <v>30</v>
      </c>
      <c r="W25" s="237"/>
      <c r="X25" s="237"/>
      <c r="Y25" s="237"/>
      <c r="Z25" s="237"/>
      <c r="AA25" s="239"/>
      <c r="AB25" s="237"/>
      <c r="AC25" s="237"/>
      <c r="AD25" s="241" t="s">
        <v>30</v>
      </c>
      <c r="AE25" s="237"/>
      <c r="AF25" s="237"/>
      <c r="AG25" s="237"/>
      <c r="AH25" s="237"/>
      <c r="AI25" s="237"/>
      <c r="AJ25" s="237"/>
      <c r="AK25" s="237"/>
      <c r="AL25" s="239" t="s">
        <v>30</v>
      </c>
      <c r="AM25" s="237"/>
      <c r="AN25" s="237"/>
    </row>
    <row r="26" spans="1:40" s="9" customFormat="1" ht="30" x14ac:dyDescent="0.25">
      <c r="A26" s="13" t="s">
        <v>105</v>
      </c>
      <c r="B26" s="229" t="str">
        <f>IF($A26="","",VLOOKUP($A26,'[2]3-Elaboration.O'!$A:$T,MATCH(B$1,'[2]150-Modele SGO'!$1:$1,0),FALSE))</f>
        <v>Procédure avec allotissement</v>
      </c>
      <c r="C26" s="229" t="str">
        <f>IF($A26="","",VLOOKUP($A26,'[2]3-Elaboration.O'!$A:$T,MATCH(C$1,'[2]150-Modele SGO'!$1:$1,0),FALSE))</f>
        <v>Oui, procédure avec allotissement; Non, dérogation au principe d'allotissement</v>
      </c>
      <c r="D26" s="229" t="str">
        <f>IF($A26="","",VLOOKUP($A26,'[2]3-Elaboration.O'!$A:$T,MATCH(D$1,'[2]150-Modele SGO'!$1:$1,0),FALSE))</f>
        <v xml:space="preserve">Liste choix unique </v>
      </c>
      <c r="E26" s="230" t="s">
        <v>1521</v>
      </c>
      <c r="F26" s="230"/>
      <c r="G26" s="233" t="s">
        <v>106</v>
      </c>
      <c r="H26" s="232" t="s">
        <v>51</v>
      </c>
      <c r="I26" s="231"/>
      <c r="J26" s="231"/>
      <c r="K26" s="231"/>
      <c r="L26" s="231"/>
      <c r="M26" s="232" t="s">
        <v>51</v>
      </c>
      <c r="N26" s="231"/>
      <c r="O26" s="231"/>
      <c r="P26" s="231"/>
      <c r="Q26" s="231" t="s">
        <v>51</v>
      </c>
      <c r="R26" s="231" t="s">
        <v>24</v>
      </c>
      <c r="S26" s="231" t="s">
        <v>24</v>
      </c>
      <c r="T26" s="231" t="s">
        <v>24</v>
      </c>
      <c r="U26" s="231" t="s">
        <v>24</v>
      </c>
      <c r="V26" s="232" t="s">
        <v>51</v>
      </c>
      <c r="W26" s="231"/>
      <c r="X26" s="231"/>
      <c r="Y26" s="231"/>
      <c r="Z26" s="231"/>
      <c r="AA26" s="234"/>
      <c r="AB26" s="231"/>
      <c r="AC26" s="231"/>
      <c r="AD26" s="232" t="s">
        <v>51</v>
      </c>
      <c r="AE26" s="231"/>
      <c r="AF26" s="231"/>
      <c r="AG26" s="231"/>
      <c r="AH26" s="231"/>
      <c r="AI26" s="231"/>
      <c r="AJ26" s="231"/>
      <c r="AK26" s="231"/>
      <c r="AL26" s="234" t="s">
        <v>51</v>
      </c>
      <c r="AM26" s="231"/>
      <c r="AN26" s="231"/>
    </row>
    <row r="27" spans="1:40" s="9" customFormat="1" ht="30" x14ac:dyDescent="0.25">
      <c r="A27" s="13" t="s">
        <v>109</v>
      </c>
      <c r="B27" s="229" t="str">
        <f>IF($A27="","",VLOOKUP($A27,'[2]3-Elaboration.O'!$A:$T,MATCH(B$1,'[2]150-Modele SGO'!$1:$1,0),FALSE))</f>
        <v>Si oui, préciser le nombre de lots (indiquer uniquement un chiffre)</v>
      </c>
      <c r="C27" s="229" t="str">
        <f>IF($A27="","",VLOOKUP($A27,'[2]3-Elaboration.O'!$A:$T,MATCH(C$1,'[2]150-Modele SGO'!$1:$1,0),FALSE))</f>
        <v>Champ libre</v>
      </c>
      <c r="D27" s="229" t="str">
        <f>IF($A27="","",VLOOKUP($A27,'[2]3-Elaboration.O'!$A:$T,MATCH(D$1,'[2]150-Modele SGO'!$1:$1,0),FALSE))</f>
        <v>Nombre</v>
      </c>
      <c r="E27" s="230" t="s">
        <v>70</v>
      </c>
      <c r="F27" s="230"/>
      <c r="G27" s="231"/>
      <c r="H27" s="232" t="s">
        <v>35</v>
      </c>
      <c r="I27" s="231"/>
      <c r="J27" s="231"/>
      <c r="K27" s="231"/>
      <c r="L27" s="231"/>
      <c r="M27" s="232" t="s">
        <v>35</v>
      </c>
      <c r="N27" s="231"/>
      <c r="O27" s="231"/>
      <c r="P27" s="231"/>
      <c r="Q27" s="231" t="s">
        <v>35</v>
      </c>
      <c r="R27" s="231" t="s">
        <v>24</v>
      </c>
      <c r="S27" s="231" t="s">
        <v>24</v>
      </c>
      <c r="T27" s="231" t="s">
        <v>24</v>
      </c>
      <c r="U27" s="231" t="s">
        <v>24</v>
      </c>
      <c r="V27" s="232" t="s">
        <v>35</v>
      </c>
      <c r="W27" s="231"/>
      <c r="X27" s="231"/>
      <c r="Y27" s="231"/>
      <c r="Z27" s="231"/>
      <c r="AA27" s="234"/>
      <c r="AB27" s="231"/>
      <c r="AC27" s="231"/>
      <c r="AD27" s="232" t="s">
        <v>35</v>
      </c>
      <c r="AE27" s="231"/>
      <c r="AF27" s="234"/>
      <c r="AG27" s="231"/>
      <c r="AH27" s="234"/>
      <c r="AI27" s="234"/>
      <c r="AJ27" s="234"/>
      <c r="AK27" s="234"/>
      <c r="AL27" s="234" t="s">
        <v>35</v>
      </c>
      <c r="AM27" s="231"/>
      <c r="AN27" s="234"/>
    </row>
    <row r="28" spans="1:40" s="9" customFormat="1" ht="60" x14ac:dyDescent="0.25">
      <c r="A28" s="13" t="s">
        <v>112</v>
      </c>
      <c r="B28" s="229" t="str">
        <f>IF($A28="","",VLOOKUP($A28,'[2]3-Elaboration.O'!$A:$T,MATCH(B$1,'[2]150-Modele SGO'!$1:$1,0),FALSE))</f>
        <v>Renseigner le tableau d'allotissement en annexe (estimation prévisionnel du nombre de lots et type d'allotissement technique, géographique ou autre…)</v>
      </c>
      <c r="C28" s="229" t="str">
        <f>IF($A28="","",VLOOKUP($A28,'[2]3-Elaboration.O'!$A:$T,MATCH(C$1,'[2]150-Modele SGO'!$1:$1,0),FALSE))</f>
        <v>Annexe 10 - Détail_Lots</v>
      </c>
      <c r="D28" s="229" t="str">
        <f>IF($A28="","",VLOOKUP($A28,'[2]3-Elaboration.O'!$A:$T,MATCH(D$1,'[2]150-Modele SGO'!$1:$1,0),FALSE))</f>
        <v>Annexe 10 - Détail lots</v>
      </c>
      <c r="E28" s="230" t="s">
        <v>1521</v>
      </c>
      <c r="F28" s="230"/>
      <c r="G28" s="231"/>
      <c r="H28" s="232" t="s">
        <v>35</v>
      </c>
      <c r="I28" s="231"/>
      <c r="J28" s="231"/>
      <c r="K28" s="231"/>
      <c r="L28" s="231"/>
      <c r="M28" s="232" t="s">
        <v>35</v>
      </c>
      <c r="N28" s="231"/>
      <c r="O28" s="231"/>
      <c r="P28" s="231"/>
      <c r="Q28" s="231" t="s">
        <v>35</v>
      </c>
      <c r="R28" s="231" t="s">
        <v>24</v>
      </c>
      <c r="S28" s="231" t="s">
        <v>24</v>
      </c>
      <c r="T28" s="231" t="s">
        <v>24</v>
      </c>
      <c r="U28" s="231" t="s">
        <v>24</v>
      </c>
      <c r="V28" s="232" t="s">
        <v>35</v>
      </c>
      <c r="W28" s="231"/>
      <c r="X28" s="231"/>
      <c r="Y28" s="231"/>
      <c r="Z28" s="231"/>
      <c r="AA28" s="234"/>
      <c r="AB28" s="231"/>
      <c r="AC28" s="231"/>
      <c r="AD28" s="232" t="s">
        <v>35</v>
      </c>
      <c r="AE28" s="231"/>
      <c r="AF28" s="231"/>
      <c r="AG28" s="231"/>
      <c r="AH28" s="231"/>
      <c r="AI28" s="231"/>
      <c r="AJ28" s="231"/>
      <c r="AK28" s="231"/>
      <c r="AL28" s="234" t="s">
        <v>35</v>
      </c>
      <c r="AM28" s="231"/>
      <c r="AN28" s="231"/>
    </row>
    <row r="29" spans="1:40" s="9" customFormat="1" ht="30" x14ac:dyDescent="0.25">
      <c r="A29" s="13" t="s">
        <v>118</v>
      </c>
      <c r="B29" s="229" t="str">
        <f>IF($A29="","",VLOOKUP($A29,'[2]3-Elaboration.O'!$A:$T,MATCH(B$1,'[2]150-Modele SGO'!$1:$1,0),FALSE))</f>
        <v xml:space="preserve">L'allotissement fait-il l'objet d'une évolution </v>
      </c>
      <c r="C29" s="229" t="str">
        <f>IF($A29="","",VLOOKUP($A29,'[2]3-Elaboration.O'!$A:$T,MATCH(C$1,'[2]150-Modele SGO'!$1:$1,0),FALSE))</f>
        <v>Oui, l'allotissement fait l'objet d'une évolution; Non, l'allotissement ne fait pas l'objet d'une évolution</v>
      </c>
      <c r="D29" s="229" t="str">
        <f>IF($A29="","",VLOOKUP($A29,'[2]3-Elaboration.O'!$A:$T,MATCH(D$1,'[2]150-Modele SGO'!$1:$1,0),FALSE))</f>
        <v xml:space="preserve">Liste choix unique </v>
      </c>
      <c r="E29" s="230" t="s">
        <v>70</v>
      </c>
      <c r="F29" s="230"/>
      <c r="G29" s="231"/>
      <c r="H29" s="232" t="s">
        <v>35</v>
      </c>
      <c r="I29" s="231"/>
      <c r="J29" s="231"/>
      <c r="K29" s="231"/>
      <c r="L29" s="231"/>
      <c r="M29" s="232" t="s">
        <v>35</v>
      </c>
      <c r="N29" s="231"/>
      <c r="O29" s="231"/>
      <c r="P29" s="231"/>
      <c r="Q29" s="231" t="s">
        <v>35</v>
      </c>
      <c r="R29" s="231" t="s">
        <v>24</v>
      </c>
      <c r="S29" s="231" t="s">
        <v>24</v>
      </c>
      <c r="T29" s="231" t="s">
        <v>24</v>
      </c>
      <c r="U29" s="231" t="s">
        <v>24</v>
      </c>
      <c r="V29" s="232" t="s">
        <v>35</v>
      </c>
      <c r="W29" s="231"/>
      <c r="X29" s="231"/>
      <c r="Y29" s="231"/>
      <c r="Z29" s="231"/>
      <c r="AA29" s="234"/>
      <c r="AB29" s="231"/>
      <c r="AC29" s="231"/>
      <c r="AD29" s="232" t="s">
        <v>19</v>
      </c>
      <c r="AE29" s="233" t="s">
        <v>1531</v>
      </c>
      <c r="AF29" s="231"/>
      <c r="AG29" s="231"/>
      <c r="AH29" s="231"/>
      <c r="AI29" s="231"/>
      <c r="AJ29" s="231"/>
      <c r="AK29" s="231"/>
      <c r="AL29" s="234" t="s">
        <v>35</v>
      </c>
      <c r="AM29" s="231"/>
      <c r="AN29" s="231"/>
    </row>
    <row r="30" spans="1:40" s="9" customFormat="1" ht="45" x14ac:dyDescent="0.25">
      <c r="A30" s="13" t="s">
        <v>121</v>
      </c>
      <c r="B30" s="229" t="str">
        <f>IF($A30="","",VLOOKUP($A30,'[2]3-Elaboration.O'!$A:$T,MATCH(B$1,'[2]150-Modele SGO'!$1:$1,0),FALSE))</f>
        <v>Si oui, préciser le(s) évolution(s) concerné(es) : Est-il envisagé d'abandonner certains lots, d'ajouter des lots, de faire évoluer les formats…</v>
      </c>
      <c r="C30" s="229" t="str">
        <f>IF($A30="","",VLOOKUP($A30,'[2]3-Elaboration.O'!$A:$T,MATCH(C$1,'[2]150-Modele SGO'!$1:$1,0),FALSE))</f>
        <v xml:space="preserve">Abandon de lots;Nouveaux lots;Evolution de format des lots reconduits </v>
      </c>
      <c r="D30" s="229" t="str">
        <f>IF($A30="","",VLOOKUP($A30,'[2]3-Elaboration.O'!$A:$T,MATCH(D$1,'[2]150-Modele SGO'!$1:$1,0),FALSE))</f>
        <v>Liste choix multiple</v>
      </c>
      <c r="E30" s="230" t="s">
        <v>70</v>
      </c>
      <c r="F30" s="230" t="s">
        <v>44</v>
      </c>
      <c r="G30" s="231"/>
      <c r="H30" s="232" t="s">
        <v>35</v>
      </c>
      <c r="I30" s="231"/>
      <c r="J30" s="231"/>
      <c r="K30" s="231"/>
      <c r="L30" s="231"/>
      <c r="M30" s="232" t="s">
        <v>35</v>
      </c>
      <c r="N30" s="231"/>
      <c r="O30" s="231"/>
      <c r="P30" s="231"/>
      <c r="Q30" s="231" t="s">
        <v>35</v>
      </c>
      <c r="R30" s="231" t="s">
        <v>24</v>
      </c>
      <c r="S30" s="231" t="s">
        <v>24</v>
      </c>
      <c r="T30" s="231" t="s">
        <v>24</v>
      </c>
      <c r="U30" s="231" t="s">
        <v>24</v>
      </c>
      <c r="V30" s="232" t="s">
        <v>35</v>
      </c>
      <c r="W30" s="231"/>
      <c r="X30" s="231"/>
      <c r="Y30" s="231"/>
      <c r="Z30" s="231"/>
      <c r="AA30" s="234"/>
      <c r="AB30" s="231"/>
      <c r="AC30" s="231"/>
      <c r="AD30" s="232" t="s">
        <v>19</v>
      </c>
      <c r="AE30" s="233" t="s">
        <v>123</v>
      </c>
      <c r="AF30" s="231"/>
      <c r="AG30" s="231"/>
      <c r="AH30" s="231"/>
      <c r="AI30" s="231"/>
      <c r="AJ30" s="231"/>
      <c r="AK30" s="231"/>
      <c r="AL30" s="234" t="s">
        <v>35</v>
      </c>
      <c r="AM30" s="231"/>
      <c r="AN30" s="231"/>
    </row>
    <row r="31" spans="1:40" s="9" customFormat="1" ht="15.75" x14ac:dyDescent="0.25">
      <c r="A31" s="13" t="s">
        <v>124</v>
      </c>
      <c r="B31" s="229" t="str">
        <f>IF($A31="","",VLOOKUP($A31,'[2]3-Elaboration.O'!$A:$T,MATCH(B$1,'[2]150-Modele SGO'!$1:$1,0),FALSE))</f>
        <v>Si oui, expliquer pourquoi et dans quel objectif ?</v>
      </c>
      <c r="C31" s="229" t="str">
        <f>IF($A31="","",VLOOKUP($A31,'[2]3-Elaboration.O'!$A:$T,MATCH(C$1,'[2]150-Modele SGO'!$1:$1,0),FALSE))</f>
        <v>Champ libre</v>
      </c>
      <c r="D31" s="229" t="str">
        <f>IF($A31="","",VLOOKUP($A31,'[2]3-Elaboration.O'!$A:$T,MATCH(D$1,'[2]150-Modele SGO'!$1:$1,0),FALSE))</f>
        <v>Texte</v>
      </c>
      <c r="E31" s="230" t="s">
        <v>70</v>
      </c>
      <c r="F31" s="230"/>
      <c r="G31" s="231"/>
      <c r="H31" s="232" t="s">
        <v>35</v>
      </c>
      <c r="I31" s="231"/>
      <c r="J31" s="231"/>
      <c r="K31" s="231"/>
      <c r="L31" s="231"/>
      <c r="M31" s="232" t="s">
        <v>35</v>
      </c>
      <c r="N31" s="231"/>
      <c r="O31" s="231"/>
      <c r="P31" s="231"/>
      <c r="Q31" s="231" t="s">
        <v>35</v>
      </c>
      <c r="R31" s="231" t="s">
        <v>24</v>
      </c>
      <c r="S31" s="231" t="s">
        <v>24</v>
      </c>
      <c r="T31" s="231" t="s">
        <v>24</v>
      </c>
      <c r="U31" s="231" t="s">
        <v>24</v>
      </c>
      <c r="V31" s="232" t="s">
        <v>35</v>
      </c>
      <c r="W31" s="231"/>
      <c r="X31" s="231"/>
      <c r="Y31" s="231"/>
      <c r="Z31" s="231"/>
      <c r="AA31" s="234"/>
      <c r="AB31" s="231"/>
      <c r="AC31" s="231"/>
      <c r="AD31" s="232" t="s">
        <v>35</v>
      </c>
      <c r="AE31" s="231"/>
      <c r="AF31" s="231"/>
      <c r="AG31" s="231"/>
      <c r="AH31" s="231"/>
      <c r="AI31" s="231"/>
      <c r="AJ31" s="231"/>
      <c r="AK31" s="231"/>
      <c r="AL31" s="234" t="s">
        <v>35</v>
      </c>
      <c r="AM31" s="231"/>
      <c r="AN31" s="231"/>
    </row>
    <row r="32" spans="1:40" s="9" customFormat="1" ht="50.1" customHeight="1" x14ac:dyDescent="0.25">
      <c r="A32" s="13" t="s">
        <v>126</v>
      </c>
      <c r="B32" s="229" t="str">
        <f>IF($A32="","",VLOOKUP($A32,'[2]3-Elaboration.O'!$A:$T,MATCH(B$1,'[2]150-Modele SGO'!$1:$1,0),FALSE))</f>
        <v>Une limitation du nombre de lots par titulaire est-elle envisagée ?</v>
      </c>
      <c r="C32" s="229" t="str">
        <f>IF($A32="","",VLOOKUP($A32,'[2]3-Elaboration.O'!$A:$T,MATCH(C$1,'[2]150-Modele SGO'!$1:$1,0),FALSE))</f>
        <v xml:space="preserve">Oui, limitation du nombre de lots par titulaire; Non, absence de limitation de lots </v>
      </c>
      <c r="D32" s="229" t="str">
        <f>IF($A32="","",VLOOKUP($A32,'[2]3-Elaboration.O'!$A:$T,MATCH(D$1,'[2]150-Modele SGO'!$1:$1,0),FALSE))</f>
        <v xml:space="preserve">Liste choix unique </v>
      </c>
      <c r="E32" s="230" t="s">
        <v>70</v>
      </c>
      <c r="F32" s="230"/>
      <c r="G32" s="233" t="s">
        <v>127</v>
      </c>
      <c r="H32" s="232" t="s">
        <v>51</v>
      </c>
      <c r="I32" s="231"/>
      <c r="J32" s="231"/>
      <c r="K32" s="231"/>
      <c r="L32" s="231"/>
      <c r="M32" s="232" t="s">
        <v>51</v>
      </c>
      <c r="N32" s="231"/>
      <c r="O32" s="231"/>
      <c r="P32" s="231"/>
      <c r="Q32" s="231" t="s">
        <v>51</v>
      </c>
      <c r="R32" s="231" t="s">
        <v>24</v>
      </c>
      <c r="S32" s="231" t="s">
        <v>24</v>
      </c>
      <c r="T32" s="231" t="s">
        <v>24</v>
      </c>
      <c r="U32" s="231" t="s">
        <v>24</v>
      </c>
      <c r="V32" s="232" t="s">
        <v>51</v>
      </c>
      <c r="W32" s="231"/>
      <c r="X32" s="231"/>
      <c r="Y32" s="231"/>
      <c r="Z32" s="231"/>
      <c r="AA32" s="234"/>
      <c r="AB32" s="231"/>
      <c r="AC32" s="231"/>
      <c r="AD32" s="232" t="s">
        <v>51</v>
      </c>
      <c r="AE32" s="231"/>
      <c r="AF32" s="231"/>
      <c r="AG32" s="231"/>
      <c r="AH32" s="231"/>
      <c r="AI32" s="231"/>
      <c r="AJ32" s="231"/>
      <c r="AK32" s="231"/>
      <c r="AL32" s="234" t="s">
        <v>51</v>
      </c>
      <c r="AM32" s="231"/>
      <c r="AN32" s="231"/>
    </row>
    <row r="33" spans="1:40" s="9" customFormat="1" ht="30" x14ac:dyDescent="0.25">
      <c r="A33" s="13" t="s">
        <v>130</v>
      </c>
      <c r="B33" s="229" t="str">
        <f>IF($A33="","",VLOOKUP($A33,'[2]3-Elaboration.O'!$A:$T,MATCH(B$1,'[2]150-Modele SGO'!$1:$1,0),FALSE))</f>
        <v>Si oui, préciser à quel stade de la procédure</v>
      </c>
      <c r="C33" s="229" t="str">
        <f>IF($A33="","",VLOOKUP($A33,'[2]3-Elaboration.O'!$A:$T,MATCH(C$1,'[2]150-Modele SGO'!$1:$1,0),FALSE))</f>
        <v xml:space="preserve">Candidature;Attribution
</v>
      </c>
      <c r="D33" s="229" t="str">
        <f>IF($A33="","",VLOOKUP($A33,'[2]3-Elaboration.O'!$A:$T,MATCH(D$1,'[2]150-Modele SGO'!$1:$1,0),FALSE))</f>
        <v xml:space="preserve">Liste choix unique </v>
      </c>
      <c r="E33" s="230" t="s">
        <v>70</v>
      </c>
      <c r="F33" s="230"/>
      <c r="G33" s="231"/>
      <c r="H33" s="232" t="s">
        <v>35</v>
      </c>
      <c r="I33" s="231"/>
      <c r="J33" s="231"/>
      <c r="K33" s="231"/>
      <c r="L33" s="231"/>
      <c r="M33" s="232" t="s">
        <v>35</v>
      </c>
      <c r="N33" s="231"/>
      <c r="O33" s="231"/>
      <c r="P33" s="231"/>
      <c r="Q33" s="231" t="s">
        <v>35</v>
      </c>
      <c r="R33" s="231" t="s">
        <v>24</v>
      </c>
      <c r="S33" s="231" t="s">
        <v>24</v>
      </c>
      <c r="T33" s="231" t="s">
        <v>24</v>
      </c>
      <c r="U33" s="231" t="s">
        <v>24</v>
      </c>
      <c r="V33" s="232" t="s">
        <v>35</v>
      </c>
      <c r="W33" s="231"/>
      <c r="X33" s="231"/>
      <c r="Y33" s="231"/>
      <c r="Z33" s="231"/>
      <c r="AA33" s="234"/>
      <c r="AB33" s="231"/>
      <c r="AC33" s="231"/>
      <c r="AD33" s="232" t="s">
        <v>35</v>
      </c>
      <c r="AE33" s="231"/>
      <c r="AF33" s="231"/>
      <c r="AG33" s="231"/>
      <c r="AH33" s="231"/>
      <c r="AI33" s="231"/>
      <c r="AJ33" s="231"/>
      <c r="AK33" s="231"/>
      <c r="AL33" s="234" t="s">
        <v>35</v>
      </c>
      <c r="AM33" s="231"/>
      <c r="AN33" s="231"/>
    </row>
    <row r="34" spans="1:40" s="9" customFormat="1" ht="45" x14ac:dyDescent="0.25">
      <c r="A34" s="13" t="s">
        <v>133</v>
      </c>
      <c r="B34" s="229" t="str">
        <f>IF($A34="","",VLOOKUP($A34,'[2]3-Elaboration.O'!$A:$T,MATCH(B$1,'[2]150-Modele SGO'!$1:$1,0),FALSE))</f>
        <v>Si oui, en préciser les raisons</v>
      </c>
      <c r="C34" s="229" t="str">
        <f>IF($A34="","",VLOOKUP($A34,'[2]3-Elaboration.O'!$A:$T,MATCH(C$1,'[2]150-Modele SGO'!$1:$1,0),FALSE))</f>
        <v>Dépendance économique;Contraintes règlementaires;Risque de conflits d'intérêt;Autre</v>
      </c>
      <c r="D34" s="229" t="str">
        <f>IF($A34="","",VLOOKUP($A34,'[2]3-Elaboration.O'!$A:$T,MATCH(D$1,'[2]150-Modele SGO'!$1:$1,0),FALSE))</f>
        <v>Liste choix multiple</v>
      </c>
      <c r="E34" s="230" t="s">
        <v>70</v>
      </c>
      <c r="F34" s="230" t="s">
        <v>44</v>
      </c>
      <c r="G34" s="231"/>
      <c r="H34" s="232" t="s">
        <v>35</v>
      </c>
      <c r="I34" s="231"/>
      <c r="J34" s="231"/>
      <c r="K34" s="231"/>
      <c r="L34" s="231"/>
      <c r="M34" s="232" t="s">
        <v>35</v>
      </c>
      <c r="N34" s="231"/>
      <c r="O34" s="231"/>
      <c r="P34" s="231"/>
      <c r="Q34" s="231" t="s">
        <v>35</v>
      </c>
      <c r="R34" s="231" t="s">
        <v>24</v>
      </c>
      <c r="S34" s="231" t="s">
        <v>24</v>
      </c>
      <c r="T34" s="231" t="s">
        <v>24</v>
      </c>
      <c r="U34" s="231" t="s">
        <v>24</v>
      </c>
      <c r="V34" s="232" t="s">
        <v>35</v>
      </c>
      <c r="W34" s="231"/>
      <c r="X34" s="231"/>
      <c r="Y34" s="231"/>
      <c r="Z34" s="231"/>
      <c r="AA34" s="234"/>
      <c r="AB34" s="231"/>
      <c r="AC34" s="231"/>
      <c r="AD34" s="232" t="s">
        <v>19</v>
      </c>
      <c r="AE34" s="233" t="s">
        <v>1532</v>
      </c>
      <c r="AF34" s="231"/>
      <c r="AG34" s="231"/>
      <c r="AH34" s="231"/>
      <c r="AI34" s="231"/>
      <c r="AJ34" s="231"/>
      <c r="AK34" s="231"/>
      <c r="AL34" s="234" t="s">
        <v>35</v>
      </c>
      <c r="AM34" s="231"/>
      <c r="AN34" s="231"/>
    </row>
    <row r="35" spans="1:40" s="9" customFormat="1" ht="15.75" x14ac:dyDescent="0.25">
      <c r="A35" s="13" t="s">
        <v>136</v>
      </c>
      <c r="B35" s="229" t="str">
        <f>IF($A35="","",VLOOKUP($A35,'[2]3-Elaboration.O'!$A:$T,MATCH(B$1,'[2]150-Modele SGO'!$1:$1,0),FALSE))</f>
        <v>Si autre, en préciser la raison</v>
      </c>
      <c r="C35" s="229" t="str">
        <f>IF($A35="","",VLOOKUP($A35,'[2]3-Elaboration.O'!$A:$T,MATCH(C$1,'[2]150-Modele SGO'!$1:$1,0),FALSE))</f>
        <v>Champ libre</v>
      </c>
      <c r="D35" s="229" t="str">
        <f>IF($A35="","",VLOOKUP($A35,'[2]3-Elaboration.O'!$A:$T,MATCH(D$1,'[2]150-Modele SGO'!$1:$1,0),FALSE))</f>
        <v>Texte</v>
      </c>
      <c r="E35" s="230"/>
      <c r="F35" s="230"/>
      <c r="G35" s="231"/>
      <c r="H35" s="232" t="s">
        <v>35</v>
      </c>
      <c r="I35" s="231"/>
      <c r="J35" s="231"/>
      <c r="K35" s="231"/>
      <c r="L35" s="231"/>
      <c r="M35" s="232" t="s">
        <v>35</v>
      </c>
      <c r="N35" s="231"/>
      <c r="O35" s="231"/>
      <c r="P35" s="231"/>
      <c r="Q35" s="231" t="s">
        <v>35</v>
      </c>
      <c r="R35" s="231" t="s">
        <v>24</v>
      </c>
      <c r="S35" s="231" t="s">
        <v>24</v>
      </c>
      <c r="T35" s="231" t="s">
        <v>24</v>
      </c>
      <c r="U35" s="231" t="s">
        <v>24</v>
      </c>
      <c r="V35" s="232" t="s">
        <v>35</v>
      </c>
      <c r="W35" s="231"/>
      <c r="X35" s="231"/>
      <c r="Y35" s="231"/>
      <c r="Z35" s="231"/>
      <c r="AA35" s="234"/>
      <c r="AB35" s="231"/>
      <c r="AC35" s="231"/>
      <c r="AD35" s="232" t="s">
        <v>35</v>
      </c>
      <c r="AE35" s="231"/>
      <c r="AF35" s="231"/>
      <c r="AG35" s="231"/>
      <c r="AH35" s="231"/>
      <c r="AI35" s="231"/>
      <c r="AJ35" s="231"/>
      <c r="AK35" s="231"/>
      <c r="AL35" s="234" t="s">
        <v>35</v>
      </c>
      <c r="AM35" s="231"/>
      <c r="AN35" s="231"/>
    </row>
    <row r="36" spans="1:40" s="9" customFormat="1" ht="15.75" x14ac:dyDescent="0.25">
      <c r="A36" s="108" t="s">
        <v>138</v>
      </c>
      <c r="B36" s="244" t="str">
        <f>IF($A36="","",VLOOKUP($A36,'[2]3-Elaboration.O'!$A:$T,MATCH(B$1,'[2]150-Modele SGO'!$1:$1,0),FALSE))</f>
        <v>01.5 Etendue géographique de l'offre</v>
      </c>
      <c r="C36" s="244">
        <f>IF($A36="","",VLOOKUP($A36,'[2]3-Elaboration.O'!$A:$T,MATCH(C$1,'[2]150-Modele SGO'!$1:$1,0),FALSE))</f>
        <v>0</v>
      </c>
      <c r="D36" s="244">
        <f>IF($A36="","",VLOOKUP($A36,'[2]3-Elaboration.O'!$A:$T,MATCH(D$1,'[2]150-Modele SGO'!$1:$1,0),FALSE))</f>
        <v>0</v>
      </c>
      <c r="E36" s="241" t="s">
        <v>70</v>
      </c>
      <c r="F36" s="241"/>
      <c r="G36" s="237"/>
      <c r="H36" s="241" t="s">
        <v>30</v>
      </c>
      <c r="I36" s="237"/>
      <c r="J36" s="237"/>
      <c r="K36" s="237"/>
      <c r="L36" s="237"/>
      <c r="M36" s="241" t="s">
        <v>30</v>
      </c>
      <c r="N36" s="237"/>
      <c r="O36" s="237"/>
      <c r="P36" s="237"/>
      <c r="Q36" s="237" t="s">
        <v>30</v>
      </c>
      <c r="R36" s="237" t="s">
        <v>24</v>
      </c>
      <c r="S36" s="231" t="s">
        <v>24</v>
      </c>
      <c r="T36" s="237" t="s">
        <v>24</v>
      </c>
      <c r="U36" s="237" t="s">
        <v>24</v>
      </c>
      <c r="V36" s="241" t="s">
        <v>30</v>
      </c>
      <c r="W36" s="237"/>
      <c r="X36" s="237"/>
      <c r="Y36" s="237"/>
      <c r="Z36" s="237"/>
      <c r="AA36" s="239"/>
      <c r="AB36" s="237"/>
      <c r="AC36" s="237"/>
      <c r="AD36" s="241" t="s">
        <v>30</v>
      </c>
      <c r="AE36" s="237"/>
      <c r="AF36" s="237"/>
      <c r="AG36" s="237"/>
      <c r="AH36" s="237"/>
      <c r="AI36" s="237"/>
      <c r="AJ36" s="237"/>
      <c r="AK36" s="237"/>
      <c r="AL36" s="239" t="s">
        <v>30</v>
      </c>
      <c r="AM36" s="237"/>
      <c r="AN36" s="237"/>
    </row>
    <row r="37" spans="1:40" s="9" customFormat="1" ht="50.1" customHeight="1" x14ac:dyDescent="0.25">
      <c r="A37" s="13" t="s">
        <v>140</v>
      </c>
      <c r="B37" s="229" t="str">
        <f>IF($A37="","",VLOOKUP($A37,'[2]3-Elaboration.O'!$A:$T,MATCH(B$1,'[2]150-Modele SGO'!$1:$1,0),FALSE))</f>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37" s="229" t="str">
        <f>IF($A37="","",VLOOKUP($A37,'[2]3-Elaboration.O'!$A:$T,MATCH(C$1,'[2]150-Modele SGO'!$1:$1,0),FALSE))</f>
        <v>France métropolitaine;France continentale;Corse et îles littorales non desservies par un pont gratuit;DROM;COM;Etranger</v>
      </c>
      <c r="D37" s="229" t="str">
        <f>IF($A37="","",VLOOKUP($A37,'[2]3-Elaboration.O'!$A:$T,MATCH(D$1,'[2]150-Modele SGO'!$1:$1,0),FALSE))</f>
        <v>Liste choix multiple</v>
      </c>
      <c r="E37" s="230" t="s">
        <v>1521</v>
      </c>
      <c r="F37" s="230" t="s">
        <v>44</v>
      </c>
      <c r="G37" s="231"/>
      <c r="H37" s="232" t="s">
        <v>19</v>
      </c>
      <c r="I37" s="233" t="s">
        <v>141</v>
      </c>
      <c r="J37" s="231"/>
      <c r="K37" s="231"/>
      <c r="L37" s="231"/>
      <c r="M37" s="232" t="s">
        <v>26</v>
      </c>
      <c r="N37" s="231"/>
      <c r="O37" s="233" t="s">
        <v>1533</v>
      </c>
      <c r="P37" s="233" t="s">
        <v>35</v>
      </c>
      <c r="Q37" s="233" t="s">
        <v>26</v>
      </c>
      <c r="R37" s="231" t="s">
        <v>24</v>
      </c>
      <c r="S37" s="233" t="s">
        <v>1534</v>
      </c>
      <c r="T37" s="233" t="s">
        <v>1534</v>
      </c>
      <c r="U37" s="233" t="s">
        <v>1534</v>
      </c>
      <c r="V37" s="232" t="s">
        <v>19</v>
      </c>
      <c r="W37" s="233" t="s">
        <v>141</v>
      </c>
      <c r="X37" s="231"/>
      <c r="Y37" s="231"/>
      <c r="Z37" s="231"/>
      <c r="AA37" s="234"/>
      <c r="AB37" s="231"/>
      <c r="AC37" s="231"/>
      <c r="AD37" s="232" t="s">
        <v>26</v>
      </c>
      <c r="AE37" s="231"/>
      <c r="AF37" s="233" t="s">
        <v>141</v>
      </c>
      <c r="AG37" s="233" t="s">
        <v>1535</v>
      </c>
      <c r="AH37" s="233" t="s">
        <v>141</v>
      </c>
      <c r="AI37" s="233" t="s">
        <v>1536</v>
      </c>
      <c r="AJ37" s="233" t="s">
        <v>141</v>
      </c>
      <c r="AK37" s="233" t="s">
        <v>1535</v>
      </c>
      <c r="AL37" s="235" t="s">
        <v>35</v>
      </c>
      <c r="AM37" s="231"/>
      <c r="AN37" s="231"/>
    </row>
    <row r="38" spans="1:40" s="9" customFormat="1" ht="30" x14ac:dyDescent="0.25">
      <c r="A38" s="13" t="s">
        <v>144</v>
      </c>
      <c r="B38" s="229" t="str">
        <f>IF($A38="","",VLOOKUP($A38,'[2]3-Elaboration.O'!$A:$T,MATCH(B$1,'[2]150-Modele SGO'!$1:$1,0),FALSE))</f>
        <v>Si couverture géographique obligatoire à l'étranger, l'étranger comprend</v>
      </c>
      <c r="C38" s="229" t="str">
        <f>IF($A38="","",VLOOKUP($A38,'[2]3-Elaboration.O'!$A:$T,MATCH(C$1,'[2]150-Modele SGO'!$1:$1,0),FALSE))</f>
        <v>Représentations françaises dans l’Union Européenne;Représentations françaises à l’étranger;Monaco, Suisse, Andorre;EEE;Autres</v>
      </c>
      <c r="D38" s="229" t="str">
        <f>IF($A38="","",VLOOKUP($A38,'[2]3-Elaboration.O'!$A:$T,MATCH(D$1,'[2]150-Modele SGO'!$1:$1,0),FALSE))</f>
        <v>Liste choix multiple</v>
      </c>
      <c r="E38" s="230" t="s">
        <v>1521</v>
      </c>
      <c r="F38" s="230"/>
      <c r="G38" s="231"/>
      <c r="H38" s="232" t="s">
        <v>35</v>
      </c>
      <c r="I38" s="231"/>
      <c r="J38" s="231"/>
      <c r="K38" s="231"/>
      <c r="L38" s="231"/>
      <c r="M38" s="232" t="s">
        <v>35</v>
      </c>
      <c r="N38" s="231"/>
      <c r="O38" s="231"/>
      <c r="P38" s="231"/>
      <c r="Q38" s="231" t="s">
        <v>35</v>
      </c>
      <c r="R38" s="231" t="s">
        <v>24</v>
      </c>
      <c r="S38" s="231" t="s">
        <v>24</v>
      </c>
      <c r="T38" s="231" t="s">
        <v>24</v>
      </c>
      <c r="U38" s="231" t="s">
        <v>24</v>
      </c>
      <c r="V38" s="232" t="s">
        <v>35</v>
      </c>
      <c r="W38" s="234" t="s">
        <v>35</v>
      </c>
      <c r="X38" s="237"/>
      <c r="Y38" s="237"/>
      <c r="Z38" s="237"/>
      <c r="AA38" s="239"/>
      <c r="AB38" s="237"/>
      <c r="AC38" s="237"/>
      <c r="AD38" s="232" t="s">
        <v>26</v>
      </c>
      <c r="AE38" s="231"/>
      <c r="AF38" s="233" t="s">
        <v>46</v>
      </c>
      <c r="AG38" s="233" t="s">
        <v>46</v>
      </c>
      <c r="AH38" s="233" t="s">
        <v>46</v>
      </c>
      <c r="AI38" s="233" t="s">
        <v>1537</v>
      </c>
      <c r="AJ38" s="233" t="s">
        <v>46</v>
      </c>
      <c r="AK38" s="233" t="s">
        <v>46</v>
      </c>
      <c r="AL38" s="235" t="s">
        <v>35</v>
      </c>
      <c r="AM38" s="231"/>
      <c r="AN38" s="231"/>
    </row>
    <row r="39" spans="1:40" s="9" customFormat="1" ht="30" x14ac:dyDescent="0.25">
      <c r="A39" s="13" t="s">
        <v>147</v>
      </c>
      <c r="B39" s="229" t="str">
        <f>IF($A39="","",VLOOKUP($A39,'[2]3-Elaboration.O'!$A:$T,MATCH(B$1,'[2]150-Modele SGO'!$1:$1,0),FALSE))</f>
        <v>Si autres, préciser la couverture géographique concernée</v>
      </c>
      <c r="C39" s="229" t="str">
        <f>IF($A39="","",VLOOKUP($A39,'[2]3-Elaboration.O'!$A:$T,MATCH(C$1,'[2]150-Modele SGO'!$1:$1,0),FALSE))</f>
        <v>Champ libre</v>
      </c>
      <c r="D39" s="229" t="str">
        <f>IF($A39="","",VLOOKUP($A39,'[2]3-Elaboration.O'!$A:$T,MATCH(D$1,'[2]150-Modele SGO'!$1:$1,0),FALSE))</f>
        <v>Texte</v>
      </c>
      <c r="E39" s="230" t="s">
        <v>1521</v>
      </c>
      <c r="F39" s="230"/>
      <c r="G39" s="231"/>
      <c r="H39" s="232" t="s">
        <v>35</v>
      </c>
      <c r="I39" s="231"/>
      <c r="J39" s="231"/>
      <c r="K39" s="231"/>
      <c r="L39" s="231"/>
      <c r="M39" s="232" t="s">
        <v>35</v>
      </c>
      <c r="N39" s="231"/>
      <c r="O39" s="231"/>
      <c r="P39" s="231"/>
      <c r="Q39" s="231" t="s">
        <v>35</v>
      </c>
      <c r="R39" s="231" t="s">
        <v>24</v>
      </c>
      <c r="S39" s="231" t="s">
        <v>24</v>
      </c>
      <c r="T39" s="231" t="s">
        <v>24</v>
      </c>
      <c r="U39" s="231" t="s">
        <v>24</v>
      </c>
      <c r="V39" s="232" t="s">
        <v>35</v>
      </c>
      <c r="W39" s="234" t="s">
        <v>35</v>
      </c>
      <c r="X39" s="237"/>
      <c r="Y39" s="237"/>
      <c r="Z39" s="237"/>
      <c r="AA39" s="239"/>
      <c r="AB39" s="237"/>
      <c r="AC39" s="237"/>
      <c r="AD39" s="232" t="s">
        <v>35</v>
      </c>
      <c r="AE39" s="231"/>
      <c r="AF39" s="231"/>
      <c r="AG39" s="231"/>
      <c r="AH39" s="231"/>
      <c r="AI39" s="231"/>
      <c r="AJ39" s="231"/>
      <c r="AK39" s="231"/>
      <c r="AL39" s="234" t="s">
        <v>35</v>
      </c>
      <c r="AM39" s="231"/>
      <c r="AN39" s="231"/>
    </row>
    <row r="40" spans="1:40" s="9" customFormat="1" ht="60" x14ac:dyDescent="0.25">
      <c r="A40" s="13" t="s">
        <v>149</v>
      </c>
      <c r="B40" s="229" t="str">
        <f>IF($A40="","",VLOOKUP($A40,'[2]3-Elaboration.O'!$A:$T,MATCH(B$1,'[2]150-Modele SGO'!$1:$1,0),FALSE))</f>
        <v>Préciser s'il existe une couverture géographique à caractère facultatif des matériels et/ou prestations à livrer ou exécuter par le titulaire</v>
      </c>
      <c r="C40" s="229" t="str">
        <f>IF($A40="","",VLOOKUP($A40,'[2]3-Elaboration.O'!$A:$T,MATCH(C$1,'[2]150-Modele SGO'!$1:$1,0),FALSE))</f>
        <v>Oui, existence d'une couverture géographique facultative; Non, absence de couverture géographique facultative</v>
      </c>
      <c r="D40" s="229" t="str">
        <f>IF($A40="","",VLOOKUP($A40,'[2]3-Elaboration.O'!$A:$T,MATCH(D$1,'[2]150-Modele SGO'!$1:$1,0),FALSE))</f>
        <v>Liste choix unique</v>
      </c>
      <c r="E40" s="230" t="s">
        <v>1521</v>
      </c>
      <c r="F40" s="230"/>
      <c r="G40" s="231"/>
      <c r="H40" s="232" t="s">
        <v>19</v>
      </c>
      <c r="I40" s="233" t="s">
        <v>1538</v>
      </c>
      <c r="J40" s="231"/>
      <c r="K40" s="231"/>
      <c r="L40" s="231"/>
      <c r="M40" s="232" t="s">
        <v>26</v>
      </c>
      <c r="N40" s="231"/>
      <c r="O40" s="233" t="s">
        <v>1538</v>
      </c>
      <c r="P40" s="233" t="s">
        <v>35</v>
      </c>
      <c r="Q40" s="233" t="s">
        <v>26</v>
      </c>
      <c r="R40" s="231" t="s">
        <v>24</v>
      </c>
      <c r="S40" s="233" t="s">
        <v>150</v>
      </c>
      <c r="T40" s="233" t="s">
        <v>150</v>
      </c>
      <c r="U40" s="233" t="s">
        <v>1538</v>
      </c>
      <c r="V40" s="232" t="s">
        <v>19</v>
      </c>
      <c r="W40" s="233" t="s">
        <v>150</v>
      </c>
      <c r="X40" s="237"/>
      <c r="Y40" s="237"/>
      <c r="Z40" s="237"/>
      <c r="AA40" s="239"/>
      <c r="AB40" s="237"/>
      <c r="AC40" s="237"/>
      <c r="AD40" s="248" t="s">
        <v>19</v>
      </c>
      <c r="AE40" s="233" t="s">
        <v>1538</v>
      </c>
      <c r="AF40" s="231"/>
      <c r="AG40" s="231"/>
      <c r="AH40" s="231"/>
      <c r="AI40" s="231"/>
      <c r="AJ40" s="231"/>
      <c r="AK40" s="231"/>
      <c r="AL40" s="234" t="s">
        <v>35</v>
      </c>
      <c r="AM40" s="231"/>
      <c r="AN40" s="231"/>
    </row>
    <row r="41" spans="1:40" s="9" customFormat="1" ht="48.6" customHeight="1" x14ac:dyDescent="0.25">
      <c r="A41" s="13" t="s">
        <v>153</v>
      </c>
      <c r="B41" s="229" t="str">
        <f>IF($A41="","",VLOOKUP($A41,'[2]3-Elaboration.O'!$A:$T,MATCH(B$1,'[2]150-Modele SGO'!$1:$1,0),FALSE))</f>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41" s="229" t="str">
        <f>IF($A41="","",VLOOKUP($A41,'[2]3-Elaboration.O'!$A:$T,MATCH(C$1,'[2]150-Modele SGO'!$1:$1,0),FALSE))</f>
        <v>France métropolitaine;France continentale;Corse et îles littorales non desservies par un pont gratuit;DROM;COM;Etranger</v>
      </c>
      <c r="D41" s="229" t="str">
        <f>IF($A41="","",VLOOKUP($A41,'[2]3-Elaboration.O'!$A:$T,MATCH(D$1,'[2]150-Modele SGO'!$1:$1,0),FALSE))</f>
        <v>Liste choix multiple</v>
      </c>
      <c r="E41" s="230" t="s">
        <v>70</v>
      </c>
      <c r="F41" s="230" t="s">
        <v>44</v>
      </c>
      <c r="G41" s="231"/>
      <c r="H41" s="232" t="s">
        <v>19</v>
      </c>
      <c r="I41" s="233" t="s">
        <v>1539</v>
      </c>
      <c r="J41" s="231"/>
      <c r="K41" s="231"/>
      <c r="L41" s="231"/>
      <c r="M41" s="232" t="s">
        <v>26</v>
      </c>
      <c r="N41" s="231"/>
      <c r="O41" s="233" t="s">
        <v>1540</v>
      </c>
      <c r="P41" s="233" t="s">
        <v>35</v>
      </c>
      <c r="Q41" s="231" t="s">
        <v>35</v>
      </c>
      <c r="R41" s="231" t="s">
        <v>24</v>
      </c>
      <c r="S41" s="231" t="s">
        <v>24</v>
      </c>
      <c r="T41" s="231" t="s">
        <v>24</v>
      </c>
      <c r="U41" s="231" t="s">
        <v>24</v>
      </c>
      <c r="V41" s="232" t="s">
        <v>19</v>
      </c>
      <c r="W41" s="233" t="s">
        <v>46</v>
      </c>
      <c r="X41" s="231"/>
      <c r="Y41" s="231"/>
      <c r="Z41" s="231"/>
      <c r="AA41" s="234"/>
      <c r="AB41" s="231"/>
      <c r="AC41" s="231"/>
      <c r="AD41" s="232" t="s">
        <v>26</v>
      </c>
      <c r="AE41" s="231"/>
      <c r="AF41" s="233" t="s">
        <v>1541</v>
      </c>
      <c r="AG41" s="233" t="s">
        <v>1542</v>
      </c>
      <c r="AH41" s="233" t="s">
        <v>1540</v>
      </c>
      <c r="AI41" s="233" t="s">
        <v>1539</v>
      </c>
      <c r="AJ41" s="233" t="s">
        <v>1540</v>
      </c>
      <c r="AK41" s="233" t="s">
        <v>1542</v>
      </c>
      <c r="AL41" s="235" t="s">
        <v>35</v>
      </c>
      <c r="AM41" s="231"/>
      <c r="AN41" s="231"/>
    </row>
    <row r="42" spans="1:40" s="9" customFormat="1" ht="90" x14ac:dyDescent="0.25">
      <c r="A42" s="13" t="s">
        <v>155</v>
      </c>
      <c r="B42" s="229" t="str">
        <f>IF($A42="","",VLOOKUP($A42,'[2]3-Elaboration.O'!$A:$T,MATCH(B$1,'[2]150-Modele SGO'!$1:$1,0),FALSE))</f>
        <v>Si couverture géographique facultative à l'étranger, l'étranger comprend</v>
      </c>
      <c r="C42" s="229" t="str">
        <f>IF($A42="","",VLOOKUP($A42,'[2]3-Elaboration.O'!$A:$T,MATCH(C$1,'[2]150-Modele SGO'!$1:$1,0),FALSE))</f>
        <v>Représentations françaises dans l’Union Européenne;Représentations françaises à l’étranger;Monaco, Suisse, Andorre;EEE;Autres</v>
      </c>
      <c r="D42" s="229" t="str">
        <f>IF($A42="","",VLOOKUP($A42,'[2]3-Elaboration.O'!$A:$T,MATCH(D$1,'[2]150-Modele SGO'!$1:$1,0),FALSE))</f>
        <v>Liste choix multiple</v>
      </c>
      <c r="E42" s="230" t="s">
        <v>1521</v>
      </c>
      <c r="F42" s="230"/>
      <c r="G42" s="231"/>
      <c r="H42" s="232" t="s">
        <v>19</v>
      </c>
      <c r="I42" s="233" t="s">
        <v>1543</v>
      </c>
      <c r="J42" s="231"/>
      <c r="K42" s="231"/>
      <c r="L42" s="231"/>
      <c r="M42" s="232" t="s">
        <v>26</v>
      </c>
      <c r="N42" s="231"/>
      <c r="O42" s="233" t="s">
        <v>1537</v>
      </c>
      <c r="P42" s="233"/>
      <c r="Q42" s="231" t="s">
        <v>35</v>
      </c>
      <c r="R42" s="231" t="s">
        <v>24</v>
      </c>
      <c r="S42" s="231" t="s">
        <v>24</v>
      </c>
      <c r="T42" s="231" t="s">
        <v>24</v>
      </c>
      <c r="U42" s="231" t="s">
        <v>24</v>
      </c>
      <c r="V42" s="232" t="s">
        <v>35</v>
      </c>
      <c r="W42" s="234" t="s">
        <v>35</v>
      </c>
      <c r="X42" s="237"/>
      <c r="Y42" s="237"/>
      <c r="Z42" s="237"/>
      <c r="AA42" s="239"/>
      <c r="AB42" s="237"/>
      <c r="AC42" s="237"/>
      <c r="AD42" s="232" t="s">
        <v>26</v>
      </c>
      <c r="AE42" s="231"/>
      <c r="AF42" s="233" t="s">
        <v>1543</v>
      </c>
      <c r="AG42" s="233" t="s">
        <v>46</v>
      </c>
      <c r="AH42" s="233" t="s">
        <v>1543</v>
      </c>
      <c r="AI42" s="233" t="s">
        <v>1543</v>
      </c>
      <c r="AJ42" s="233" t="s">
        <v>1543</v>
      </c>
      <c r="AK42" s="233" t="s">
        <v>46</v>
      </c>
      <c r="AL42" s="235" t="s">
        <v>35</v>
      </c>
      <c r="AM42" s="231"/>
      <c r="AN42" s="231"/>
    </row>
    <row r="43" spans="1:40" s="9" customFormat="1" ht="30" x14ac:dyDescent="0.25">
      <c r="A43" s="13" t="s">
        <v>157</v>
      </c>
      <c r="B43" s="229" t="str">
        <f>IF($A43="","",VLOOKUP($A43,'[2]3-Elaboration.O'!$A:$T,MATCH(B$1,'[2]150-Modele SGO'!$1:$1,0),FALSE))</f>
        <v>Si autres, préciser la couverture géographique concernée</v>
      </c>
      <c r="C43" s="229" t="str">
        <f>IF($A43="","",VLOOKUP($A43,'[2]3-Elaboration.O'!$A:$T,MATCH(C$1,'[2]150-Modele SGO'!$1:$1,0),FALSE))</f>
        <v>Champ libre</v>
      </c>
      <c r="D43" s="229" t="str">
        <f>IF($A43="","",VLOOKUP($A43,'[2]3-Elaboration.O'!$A:$T,MATCH(D$1,'[2]150-Modele SGO'!$1:$1,0),FALSE))</f>
        <v>Texte</v>
      </c>
      <c r="E43" s="230" t="s">
        <v>1521</v>
      </c>
      <c r="F43" s="230"/>
      <c r="G43" s="231"/>
      <c r="H43" s="232" t="s">
        <v>35</v>
      </c>
      <c r="I43" s="231"/>
      <c r="J43" s="231"/>
      <c r="K43" s="231"/>
      <c r="L43" s="231"/>
      <c r="M43" s="232" t="s">
        <v>35</v>
      </c>
      <c r="N43" s="231"/>
      <c r="O43" s="231"/>
      <c r="P43" s="231"/>
      <c r="Q43" s="231" t="s">
        <v>35</v>
      </c>
      <c r="R43" s="231" t="s">
        <v>24</v>
      </c>
      <c r="S43" s="231" t="s">
        <v>24</v>
      </c>
      <c r="T43" s="231" t="s">
        <v>24</v>
      </c>
      <c r="U43" s="231" t="s">
        <v>24</v>
      </c>
      <c r="V43" s="232" t="s">
        <v>35</v>
      </c>
      <c r="W43" s="234" t="s">
        <v>35</v>
      </c>
      <c r="X43" s="237"/>
      <c r="Y43" s="237"/>
      <c r="Z43" s="237"/>
      <c r="AA43" s="239"/>
      <c r="AB43" s="237"/>
      <c r="AC43" s="237"/>
      <c r="AD43" s="232" t="s">
        <v>35</v>
      </c>
      <c r="AE43" s="231"/>
      <c r="AF43" s="231"/>
      <c r="AG43" s="231"/>
      <c r="AH43" s="231"/>
      <c r="AI43" s="231"/>
      <c r="AJ43" s="231"/>
      <c r="AK43" s="231"/>
      <c r="AL43" s="234" t="s">
        <v>35</v>
      </c>
      <c r="AM43" s="231"/>
      <c r="AN43" s="231"/>
    </row>
    <row r="44" spans="1:40" s="9" customFormat="1" ht="45" x14ac:dyDescent="0.25">
      <c r="A44" s="13" t="s">
        <v>158</v>
      </c>
      <c r="B44" s="229" t="str">
        <f>IF($A44="","",VLOOKUP($A44,'[2]3-Elaboration.O'!$A:$T,MATCH(B$1,'[2]150-Modele SGO'!$1:$1,0),FALSE))</f>
        <v xml:space="preserve">Préciser la nature des produits et des prestations concernées par la couverture géographique obligatoire/facultative </v>
      </c>
      <c r="C44" s="229" t="str">
        <f>IF($A44="","",VLOOKUP($A44,'[2]3-Elaboration.O'!$A:$T,MATCH(C$1,'[2]150-Modele SGO'!$1:$1,0),FALSE))</f>
        <v>Annexe 10 - Couverture géographique</v>
      </c>
      <c r="D44" s="229" t="str">
        <f>IF($A44="","",VLOOKUP($A44,'[2]3-Elaboration.O'!$A:$T,MATCH(D$1,'[2]150-Modele SGO'!$1:$1,0),FALSE))</f>
        <v>Annexe 10- Couverture géographique</v>
      </c>
      <c r="E44" s="230" t="s">
        <v>70</v>
      </c>
      <c r="F44" s="230"/>
      <c r="G44" s="231"/>
      <c r="H44" s="232" t="s">
        <v>35</v>
      </c>
      <c r="I44" s="231"/>
      <c r="J44" s="231"/>
      <c r="K44" s="231"/>
      <c r="L44" s="231"/>
      <c r="M44" s="232" t="s">
        <v>35</v>
      </c>
      <c r="N44" s="231"/>
      <c r="O44" s="231"/>
      <c r="P44" s="231"/>
      <c r="Q44" s="231" t="s">
        <v>35</v>
      </c>
      <c r="R44" s="231" t="s">
        <v>24</v>
      </c>
      <c r="S44" s="231" t="s">
        <v>24</v>
      </c>
      <c r="T44" s="231" t="s">
        <v>24</v>
      </c>
      <c r="U44" s="231" t="s">
        <v>24</v>
      </c>
      <c r="V44" s="232" t="s">
        <v>35</v>
      </c>
      <c r="W44" s="231"/>
      <c r="X44" s="231"/>
      <c r="Y44" s="231"/>
      <c r="Z44" s="231"/>
      <c r="AA44" s="234"/>
      <c r="AB44" s="231"/>
      <c r="AC44" s="231"/>
      <c r="AD44" s="232" t="s">
        <v>35</v>
      </c>
      <c r="AE44" s="231"/>
      <c r="AF44" s="231"/>
      <c r="AG44" s="231"/>
      <c r="AH44" s="231"/>
      <c r="AI44" s="231"/>
      <c r="AJ44" s="231"/>
      <c r="AK44" s="231"/>
      <c r="AL44" s="234" t="s">
        <v>35</v>
      </c>
      <c r="AM44" s="231"/>
      <c r="AN44" s="231"/>
    </row>
    <row r="45" spans="1:40" s="9" customFormat="1" ht="15.75" x14ac:dyDescent="0.25">
      <c r="A45" s="24" t="s">
        <v>163</v>
      </c>
      <c r="B45" s="249" t="str">
        <f>IF($A45="","",VLOOKUP($A45,'[2]3-Elaboration.O'!$A:$T,MATCH(B$1,'[2]150-Modele SGO'!$1:$1,0),FALSE))</f>
        <v>02.0-ENVIRONNEMENT DE L'OFFRE</v>
      </c>
      <c r="C45" s="249">
        <f>IF($A45="","",VLOOKUP($A45,'[2]3-Elaboration.O'!$A:$T,MATCH(C$1,'[2]150-Modele SGO'!$1:$1,0),FALSE))</f>
        <v>0</v>
      </c>
      <c r="D45" s="249">
        <f>IF($A45="","",VLOOKUP($A45,'[2]3-Elaboration.O'!$A:$T,MATCH(D$1,'[2]150-Modele SGO'!$1:$1,0),FALSE))</f>
        <v>0</v>
      </c>
      <c r="E45" s="1" t="s">
        <v>70</v>
      </c>
      <c r="F45" s="1"/>
      <c r="G45" s="231"/>
      <c r="H45" s="238" t="s">
        <v>30</v>
      </c>
      <c r="I45" s="231"/>
      <c r="J45" s="231"/>
      <c r="K45" s="231"/>
      <c r="L45" s="231"/>
      <c r="M45" s="238" t="s">
        <v>30</v>
      </c>
      <c r="N45" s="231"/>
      <c r="O45" s="231"/>
      <c r="P45" s="231"/>
      <c r="Q45" s="231" t="s">
        <v>30</v>
      </c>
      <c r="R45" s="231" t="s">
        <v>24</v>
      </c>
      <c r="S45" s="231" t="s">
        <v>24</v>
      </c>
      <c r="T45" s="231" t="s">
        <v>24</v>
      </c>
      <c r="U45" s="231" t="s">
        <v>24</v>
      </c>
      <c r="V45" s="238" t="s">
        <v>30</v>
      </c>
      <c r="W45" s="231"/>
      <c r="X45" s="231"/>
      <c r="Y45" s="231"/>
      <c r="Z45" s="231"/>
      <c r="AA45" s="234"/>
      <c r="AB45" s="231"/>
      <c r="AC45" s="231"/>
      <c r="AD45" s="238" t="s">
        <v>30</v>
      </c>
      <c r="AE45" s="231"/>
      <c r="AF45" s="231"/>
      <c r="AG45" s="231"/>
      <c r="AH45" s="231"/>
      <c r="AI45" s="231"/>
      <c r="AJ45" s="231"/>
      <c r="AK45" s="231"/>
      <c r="AL45" s="234" t="s">
        <v>30</v>
      </c>
      <c r="AM45" s="231"/>
      <c r="AN45" s="231"/>
    </row>
    <row r="46" spans="1:40" s="9" customFormat="1" ht="15.75" x14ac:dyDescent="0.25">
      <c r="A46" s="108" t="s">
        <v>165</v>
      </c>
      <c r="B46" s="244" t="str">
        <f>IF($A46="","",VLOOKUP($A46,'[2]3-Elaboration.O'!$A:$T,MATCH(B$1,'[2]150-Modele SGO'!$1:$1,0),FALSE))</f>
        <v>02.1 Secteur d'activité de l'offre</v>
      </c>
      <c r="C46" s="244">
        <f>IF($A46="","",VLOOKUP($A46,'[2]3-Elaboration.O'!$A:$T,MATCH(C$1,'[2]150-Modele SGO'!$1:$1,0),FALSE))</f>
        <v>0</v>
      </c>
      <c r="D46" s="244">
        <f>IF($A46="","",VLOOKUP($A46,'[2]3-Elaboration.O'!$A:$T,MATCH(D$1,'[2]150-Modele SGO'!$1:$1,0),FALSE))</f>
        <v>0</v>
      </c>
      <c r="E46" s="241" t="s">
        <v>70</v>
      </c>
      <c r="F46" s="241"/>
      <c r="G46" s="237"/>
      <c r="H46" s="241" t="s">
        <v>30</v>
      </c>
      <c r="I46" s="237"/>
      <c r="J46" s="237"/>
      <c r="K46" s="237"/>
      <c r="L46" s="237"/>
      <c r="M46" s="241" t="s">
        <v>30</v>
      </c>
      <c r="N46" s="237"/>
      <c r="O46" s="237"/>
      <c r="P46" s="237"/>
      <c r="Q46" s="237" t="s">
        <v>30</v>
      </c>
      <c r="R46" s="237" t="s">
        <v>24</v>
      </c>
      <c r="S46" s="231" t="s">
        <v>24</v>
      </c>
      <c r="T46" s="237" t="s">
        <v>24</v>
      </c>
      <c r="U46" s="237" t="s">
        <v>24</v>
      </c>
      <c r="V46" s="241" t="s">
        <v>30</v>
      </c>
      <c r="W46" s="237"/>
      <c r="X46" s="237"/>
      <c r="Y46" s="237"/>
      <c r="Z46" s="237"/>
      <c r="AA46" s="239"/>
      <c r="AB46" s="237"/>
      <c r="AC46" s="237"/>
      <c r="AD46" s="241" t="s">
        <v>30</v>
      </c>
      <c r="AE46" s="237"/>
      <c r="AF46" s="237"/>
      <c r="AG46" s="237"/>
      <c r="AH46" s="237"/>
      <c r="AI46" s="237"/>
      <c r="AJ46" s="237"/>
      <c r="AK46" s="237"/>
      <c r="AL46" s="239" t="s">
        <v>30</v>
      </c>
      <c r="AM46" s="237"/>
      <c r="AN46" s="237"/>
    </row>
    <row r="47" spans="1:40" s="9" customFormat="1" ht="30" x14ac:dyDescent="0.25">
      <c r="A47" s="13" t="s">
        <v>167</v>
      </c>
      <c r="B47" s="229" t="str">
        <f>IF($A47="","",VLOOKUP($A47,'[2]3-Elaboration.O'!$A:$T,MATCH(B$1,'[2]150-Modele SGO'!$1:$1,0),FALSE))</f>
        <v>Le secteur d'activité a-t'il une part importante de PME</v>
      </c>
      <c r="C47" s="229" t="str">
        <f>IF($A47="","",VLOOKUP($A47,'[2]3-Elaboration.O'!$A:$T,MATCH(C$1,'[2]150-Modele SGO'!$1:$1,0),FALSE))</f>
        <v>Oui, part importante de PME;Non, part peu importante de PME</v>
      </c>
      <c r="D47" s="229" t="str">
        <f>IF($A47="","",VLOOKUP($A47,'[2]3-Elaboration.O'!$A:$T,MATCH(D$1,'[2]150-Modele SGO'!$1:$1,0),FALSE))</f>
        <v xml:space="preserve">Liste choix unique </v>
      </c>
      <c r="E47" s="230" t="s">
        <v>70</v>
      </c>
      <c r="F47" s="230"/>
      <c r="G47" s="231"/>
      <c r="H47" s="232" t="s">
        <v>19</v>
      </c>
      <c r="I47" s="233" t="s">
        <v>168</v>
      </c>
      <c r="J47" s="231"/>
      <c r="K47" s="231"/>
      <c r="L47" s="231"/>
      <c r="M47" s="232" t="s">
        <v>26</v>
      </c>
      <c r="N47" s="231"/>
      <c r="O47" s="233" t="s">
        <v>1544</v>
      </c>
      <c r="P47" s="233" t="s">
        <v>35</v>
      </c>
      <c r="Q47" s="233" t="s">
        <v>26</v>
      </c>
      <c r="R47" s="231" t="s">
        <v>24</v>
      </c>
      <c r="S47" s="233" t="s">
        <v>1544</v>
      </c>
      <c r="T47" s="233" t="s">
        <v>168</v>
      </c>
      <c r="U47" s="233" t="s">
        <v>168</v>
      </c>
      <c r="V47" s="232" t="s">
        <v>26</v>
      </c>
      <c r="W47" s="231"/>
      <c r="X47" s="233" t="s">
        <v>168</v>
      </c>
      <c r="Y47" s="233" t="s">
        <v>168</v>
      </c>
      <c r="Z47" s="233" t="s">
        <v>1544</v>
      </c>
      <c r="AA47" s="235" t="s">
        <v>168</v>
      </c>
      <c r="AB47" s="233" t="s">
        <v>1544</v>
      </c>
      <c r="AC47" s="233" t="s">
        <v>168</v>
      </c>
      <c r="AD47" s="232" t="s">
        <v>19</v>
      </c>
      <c r="AE47" s="233" t="s">
        <v>1544</v>
      </c>
      <c r="AF47" s="231"/>
      <c r="AG47" s="231"/>
      <c r="AH47" s="231"/>
      <c r="AI47" s="231"/>
      <c r="AJ47" s="231"/>
      <c r="AK47" s="231"/>
      <c r="AL47" s="234" t="s">
        <v>35</v>
      </c>
      <c r="AM47" s="231"/>
      <c r="AN47" s="231"/>
    </row>
    <row r="48" spans="1:40" s="9" customFormat="1" ht="75" x14ac:dyDescent="0.25">
      <c r="A48" s="13" t="s">
        <v>171</v>
      </c>
      <c r="B48" s="229" t="str">
        <f>IF($A48="","",VLOOKUP($A48,'[2]3-Elaboration.O'!$A:$T,MATCH(B$1,'[2]150-Modele SGO'!$1:$1,0),FALSE))</f>
        <v>L'UGAP est-elle en lien avec une fédération / syndicats professionnels / Groupement d'entreprises sur ce secteur</v>
      </c>
      <c r="C48" s="229" t="str">
        <f>IF($A48="","",VLOOKUP($A48,'[2]3-Elaboration.O'!$A:$T,MATCH(C$1,'[2]150-Modele SGO'!$1:$1,0),FALSE))</f>
        <v>Oui, relation engagée avec une fédération ou syndicats professionnels;Non, absence de relation avec une fédération ou syndicats professionnels</v>
      </c>
      <c r="D48" s="229" t="str">
        <f>IF($A48="","",VLOOKUP($A48,'[2]3-Elaboration.O'!$A:$T,MATCH(D$1,'[2]150-Modele SGO'!$1:$1,0),FALSE))</f>
        <v xml:space="preserve">Liste choix unique </v>
      </c>
      <c r="E48" s="230" t="s">
        <v>70</v>
      </c>
      <c r="F48" s="230"/>
      <c r="G48" s="231"/>
      <c r="H48" s="232" t="s">
        <v>19</v>
      </c>
      <c r="I48" s="233" t="s">
        <v>172</v>
      </c>
      <c r="J48" s="231"/>
      <c r="K48" s="231"/>
      <c r="L48" s="231"/>
      <c r="M48" s="232" t="s">
        <v>26</v>
      </c>
      <c r="N48" s="231"/>
      <c r="O48" s="233" t="s">
        <v>1545</v>
      </c>
      <c r="P48" s="233" t="s">
        <v>35</v>
      </c>
      <c r="Q48" s="233" t="s">
        <v>26</v>
      </c>
      <c r="R48" s="231" t="s">
        <v>24</v>
      </c>
      <c r="S48" s="233" t="s">
        <v>172</v>
      </c>
      <c r="T48" s="233" t="s">
        <v>1545</v>
      </c>
      <c r="U48" s="233" t="s">
        <v>172</v>
      </c>
      <c r="V48" s="248" t="s">
        <v>26</v>
      </c>
      <c r="W48" s="231"/>
      <c r="X48" s="233" t="s">
        <v>172</v>
      </c>
      <c r="Y48" s="233" t="s">
        <v>172</v>
      </c>
      <c r="Z48" s="233" t="s">
        <v>172</v>
      </c>
      <c r="AA48" s="235" t="s">
        <v>172</v>
      </c>
      <c r="AB48" s="233" t="s">
        <v>1545</v>
      </c>
      <c r="AC48" s="233" t="s">
        <v>172</v>
      </c>
      <c r="AD48" s="248" t="s">
        <v>26</v>
      </c>
      <c r="AE48" s="231"/>
      <c r="AF48" s="233" t="s">
        <v>172</v>
      </c>
      <c r="AG48" s="233" t="s">
        <v>1545</v>
      </c>
      <c r="AH48" s="233" t="s">
        <v>172</v>
      </c>
      <c r="AI48" s="233" t="s">
        <v>172</v>
      </c>
      <c r="AJ48" s="233" t="s">
        <v>172</v>
      </c>
      <c r="AK48" s="233" t="s">
        <v>1545</v>
      </c>
      <c r="AL48" s="235" t="s">
        <v>35</v>
      </c>
      <c r="AM48" s="231"/>
      <c r="AN48" s="231"/>
    </row>
    <row r="49" spans="1:40" s="9" customFormat="1" ht="30" x14ac:dyDescent="0.25">
      <c r="A49" s="13" t="s">
        <v>175</v>
      </c>
      <c r="B49" s="229" t="str">
        <f>IF($A49="","",VLOOKUP($A49,'[2]3-Elaboration.O'!$A:$T,MATCH(B$1,'[2]150-Modele SGO'!$1:$1,0),FALSE))</f>
        <v>Si oui, Une action auprès d'un de ces organismes est-elle envisagée ?</v>
      </c>
      <c r="C49" s="229" t="str">
        <f>IF($A49="","",VLOOKUP($A49,'[2]3-Elaboration.O'!$A:$T,MATCH(C$1,'[2]150-Modele SGO'!$1:$1,0),FALSE))</f>
        <v>Oui, une action est envisagée;Non, absence d'action envisagée</v>
      </c>
      <c r="D49" s="229" t="str">
        <f>IF($A49="","",VLOOKUP($A49,'[2]3-Elaboration.O'!$A:$T,MATCH(D$1,'[2]150-Modele SGO'!$1:$1,0),FALSE))</f>
        <v xml:space="preserve">Liste choix unique </v>
      </c>
      <c r="E49" s="230" t="s">
        <v>70</v>
      </c>
      <c r="F49" s="230"/>
      <c r="G49" s="231"/>
      <c r="H49" s="232" t="s">
        <v>35</v>
      </c>
      <c r="I49" s="231"/>
      <c r="J49" s="231"/>
      <c r="K49" s="231"/>
      <c r="L49" s="231"/>
      <c r="M49" s="232" t="s">
        <v>35</v>
      </c>
      <c r="N49" s="231"/>
      <c r="O49" s="231"/>
      <c r="P49" s="231"/>
      <c r="Q49" s="231" t="s">
        <v>35</v>
      </c>
      <c r="R49" s="231" t="s">
        <v>24</v>
      </c>
      <c r="S49" s="231" t="s">
        <v>24</v>
      </c>
      <c r="T49" s="231" t="s">
        <v>24</v>
      </c>
      <c r="U49" s="231" t="s">
        <v>24</v>
      </c>
      <c r="V49" s="232" t="s">
        <v>26</v>
      </c>
      <c r="W49" s="231"/>
      <c r="X49" s="233" t="s">
        <v>176</v>
      </c>
      <c r="Y49" s="233" t="s">
        <v>176</v>
      </c>
      <c r="Z49" s="233" t="s">
        <v>176</v>
      </c>
      <c r="AA49" s="235" t="s">
        <v>176</v>
      </c>
      <c r="AB49" s="233" t="s">
        <v>1546</v>
      </c>
      <c r="AC49" s="233" t="s">
        <v>176</v>
      </c>
      <c r="AD49" s="232" t="s">
        <v>26</v>
      </c>
      <c r="AE49" s="231"/>
      <c r="AF49" s="233" t="s">
        <v>46</v>
      </c>
      <c r="AG49" s="233" t="s">
        <v>1546</v>
      </c>
      <c r="AH49" s="233" t="s">
        <v>46</v>
      </c>
      <c r="AI49" s="233" t="s">
        <v>46</v>
      </c>
      <c r="AJ49" s="233" t="s">
        <v>46</v>
      </c>
      <c r="AK49" s="233" t="s">
        <v>1546</v>
      </c>
      <c r="AL49" s="235" t="s">
        <v>35</v>
      </c>
      <c r="AM49" s="231"/>
      <c r="AN49" s="231"/>
    </row>
    <row r="50" spans="1:40" s="9" customFormat="1" ht="15.75" x14ac:dyDescent="0.25">
      <c r="A50" s="13" t="s">
        <v>180</v>
      </c>
      <c r="B50" s="229" t="str">
        <f>IF($A50="","",VLOOKUP($A50,'[2]3-Elaboration.O'!$A:$T,MATCH(B$1,'[2]150-Modele SGO'!$1:$1,0),FALSE))</f>
        <v>Si non, pourquoi ?</v>
      </c>
      <c r="C50" s="229" t="str">
        <f>IF($A50="","",VLOOKUP($A50,'[2]3-Elaboration.O'!$A:$T,MATCH(C$1,'[2]150-Modele SGO'!$1:$1,0),FALSE))</f>
        <v>Champ libre</v>
      </c>
      <c r="D50" s="229" t="str">
        <f>IF($A50="","",VLOOKUP($A50,'[2]3-Elaboration.O'!$A:$T,MATCH(D$1,'[2]150-Modele SGO'!$1:$1,0),FALSE))</f>
        <v>Texte</v>
      </c>
      <c r="E50" s="230" t="s">
        <v>70</v>
      </c>
      <c r="F50" s="230"/>
      <c r="G50" s="231"/>
      <c r="H50" s="232" t="s">
        <v>35</v>
      </c>
      <c r="I50" s="231"/>
      <c r="J50" s="231"/>
      <c r="K50" s="231"/>
      <c r="L50" s="231"/>
      <c r="M50" s="232" t="s">
        <v>35</v>
      </c>
      <c r="N50" s="231"/>
      <c r="O50" s="231"/>
      <c r="P50" s="231"/>
      <c r="Q50" s="231" t="s">
        <v>35</v>
      </c>
      <c r="R50" s="231" t="s">
        <v>24</v>
      </c>
      <c r="S50" s="231" t="s">
        <v>24</v>
      </c>
      <c r="T50" s="231" t="s">
        <v>24</v>
      </c>
      <c r="U50" s="231" t="s">
        <v>24</v>
      </c>
      <c r="V50" s="232" t="s">
        <v>35</v>
      </c>
      <c r="W50" s="231"/>
      <c r="X50" s="231"/>
      <c r="Y50" s="231"/>
      <c r="Z50" s="231"/>
      <c r="AA50" s="234"/>
      <c r="AB50" s="231"/>
      <c r="AC50" s="231"/>
      <c r="AD50" s="232" t="s">
        <v>35</v>
      </c>
      <c r="AE50" s="231"/>
      <c r="AF50" s="231"/>
      <c r="AG50" s="231"/>
      <c r="AH50" s="231"/>
      <c r="AI50" s="231"/>
      <c r="AJ50" s="231"/>
      <c r="AK50" s="231"/>
      <c r="AL50" s="234" t="s">
        <v>35</v>
      </c>
      <c r="AM50" s="231"/>
      <c r="AN50" s="231"/>
    </row>
    <row r="51" spans="1:40" s="9" customFormat="1" ht="75" x14ac:dyDescent="0.25">
      <c r="A51" s="13" t="s">
        <v>182</v>
      </c>
      <c r="B51" s="229" t="str">
        <f>IF($A51="","",VLOOKUP($A51,'[2]3-Elaboration.O'!$A:$T,MATCH(B$1,'[2]150-Modele SGO'!$1:$1,0),FALSE))</f>
        <v>Description du marché fournisseurs sur le périmètre de l’offre / Sa structuration / Les différences de positionnement produits/services en fonction des acteurs du marché / Le positionnement des clients éligibles à l’UGAP…</v>
      </c>
      <c r="C51" s="229" t="str">
        <f>IF($A51="","",VLOOKUP($A51,'[2]3-Elaboration.O'!$A:$T,MATCH(C$1,'[2]150-Modele SGO'!$1:$1,0),FALSE))</f>
        <v>Champ libre</v>
      </c>
      <c r="D51" s="229" t="str">
        <f>IF($A51="","",VLOOKUP($A51,'[2]3-Elaboration.O'!$A:$T,MATCH(D$1,'[2]150-Modele SGO'!$1:$1,0),FALSE))</f>
        <v>Texte</v>
      </c>
      <c r="E51" s="230" t="s">
        <v>70</v>
      </c>
      <c r="F51" s="230"/>
      <c r="G51" s="250"/>
      <c r="H51" s="232" t="s">
        <v>35</v>
      </c>
      <c r="I51" s="231"/>
      <c r="J51" s="231"/>
      <c r="K51" s="231"/>
      <c r="L51" s="231"/>
      <c r="M51" s="232" t="s">
        <v>35</v>
      </c>
      <c r="N51" s="231"/>
      <c r="O51" s="231"/>
      <c r="P51" s="231"/>
      <c r="Q51" s="231" t="s">
        <v>35</v>
      </c>
      <c r="R51" s="231" t="s">
        <v>24</v>
      </c>
      <c r="S51" s="231" t="s">
        <v>24</v>
      </c>
      <c r="T51" s="231" t="s">
        <v>24</v>
      </c>
      <c r="U51" s="231" t="s">
        <v>24</v>
      </c>
      <c r="V51" s="232" t="s">
        <v>35</v>
      </c>
      <c r="W51" s="231"/>
      <c r="X51" s="231"/>
      <c r="Y51" s="231"/>
      <c r="Z51" s="231"/>
      <c r="AA51" s="234"/>
      <c r="AB51" s="231"/>
      <c r="AC51" s="231"/>
      <c r="AD51" s="232" t="s">
        <v>35</v>
      </c>
      <c r="AE51" s="231"/>
      <c r="AF51" s="231"/>
      <c r="AG51" s="250"/>
      <c r="AH51" s="231"/>
      <c r="AI51" s="231"/>
      <c r="AJ51" s="231"/>
      <c r="AK51" s="231"/>
      <c r="AL51" s="234" t="s">
        <v>35</v>
      </c>
      <c r="AM51" s="231"/>
      <c r="AN51" s="231"/>
    </row>
    <row r="52" spans="1:40" s="9" customFormat="1" ht="15.75" x14ac:dyDescent="0.25">
      <c r="A52" s="108" t="s">
        <v>184</v>
      </c>
      <c r="B52" s="244" t="str">
        <f>IF($A52="","",VLOOKUP($A52,'[2]3-Elaboration.O'!$A:$T,MATCH(B$1,'[2]150-Modele SGO'!$1:$1,0),FALSE))</f>
        <v>02.2 Sourcing</v>
      </c>
      <c r="C52" s="244">
        <f>IF($A52="","",VLOOKUP($A52,'[2]3-Elaboration.O'!$A:$T,MATCH(C$1,'[2]150-Modele SGO'!$1:$1,0),FALSE))</f>
        <v>0</v>
      </c>
      <c r="D52" s="244">
        <f>IF($A52="","",VLOOKUP($A52,'[2]3-Elaboration.O'!$A:$T,MATCH(D$1,'[2]150-Modele SGO'!$1:$1,0),FALSE))</f>
        <v>0</v>
      </c>
      <c r="E52" s="241" t="s">
        <v>70</v>
      </c>
      <c r="F52" s="241"/>
      <c r="G52" s="251"/>
      <c r="H52" s="241" t="s">
        <v>30</v>
      </c>
      <c r="I52" s="237"/>
      <c r="J52" s="237"/>
      <c r="K52" s="237"/>
      <c r="L52" s="237"/>
      <c r="M52" s="241" t="s">
        <v>30</v>
      </c>
      <c r="N52" s="237"/>
      <c r="O52" s="237"/>
      <c r="P52" s="237"/>
      <c r="Q52" s="237" t="s">
        <v>30</v>
      </c>
      <c r="R52" s="237" t="s">
        <v>24</v>
      </c>
      <c r="S52" s="231" t="s">
        <v>24</v>
      </c>
      <c r="T52" s="237" t="s">
        <v>24</v>
      </c>
      <c r="U52" s="237" t="s">
        <v>24</v>
      </c>
      <c r="V52" s="241" t="s">
        <v>30</v>
      </c>
      <c r="W52" s="237"/>
      <c r="X52" s="237"/>
      <c r="Y52" s="237"/>
      <c r="Z52" s="237"/>
      <c r="AA52" s="239"/>
      <c r="AB52" s="237"/>
      <c r="AC52" s="237"/>
      <c r="AD52" s="241" t="s">
        <v>30</v>
      </c>
      <c r="AE52" s="251"/>
      <c r="AF52" s="251"/>
      <c r="AG52" s="252"/>
      <c r="AH52" s="251"/>
      <c r="AI52" s="251"/>
      <c r="AJ52" s="251"/>
      <c r="AK52" s="251"/>
      <c r="AL52" s="253" t="s">
        <v>30</v>
      </c>
      <c r="AM52" s="251"/>
      <c r="AN52" s="251"/>
    </row>
    <row r="53" spans="1:40" s="9" customFormat="1" ht="30" x14ac:dyDescent="0.25">
      <c r="A53" s="13" t="s">
        <v>186</v>
      </c>
      <c r="B53" s="229" t="str">
        <f>IF($A53="","",VLOOKUP($A53,'[2]3-Elaboration.O'!$A:$T,MATCH(B$1,'[2]150-Modele SGO'!$1:$1,0),FALSE))</f>
        <v xml:space="preserve">Présenter le tableau des entreprises sourcées </v>
      </c>
      <c r="C53" s="229" t="str">
        <f>IF($A53="","",VLOOKUP($A53,'[2]3-Elaboration.O'!$A:$T,MATCH(C$1,'[2]150-Modele SGO'!$1:$1,0),FALSE))</f>
        <v>Annexe 10 - Entreprises sourcées</v>
      </c>
      <c r="D53" s="229" t="str">
        <f>IF($A53="","",VLOOKUP($A53,'[2]3-Elaboration.O'!$A:$T,MATCH(D$1,'[2]150-Modele SGO'!$1:$1,0),FALSE))</f>
        <v>Annexe 10 - Entreprises sourcées</v>
      </c>
      <c r="E53" s="230" t="s">
        <v>70</v>
      </c>
      <c r="F53" s="230"/>
      <c r="G53" s="250"/>
      <c r="H53" s="232" t="s">
        <v>35</v>
      </c>
      <c r="I53" s="231"/>
      <c r="J53" s="231"/>
      <c r="K53" s="231"/>
      <c r="L53" s="231"/>
      <c r="M53" s="232" t="s">
        <v>35</v>
      </c>
      <c r="N53" s="231"/>
      <c r="O53" s="231"/>
      <c r="P53" s="231"/>
      <c r="Q53" s="231" t="s">
        <v>35</v>
      </c>
      <c r="R53" s="231" t="s">
        <v>24</v>
      </c>
      <c r="S53" s="231" t="s">
        <v>24</v>
      </c>
      <c r="T53" s="231" t="s">
        <v>24</v>
      </c>
      <c r="U53" s="231" t="s">
        <v>24</v>
      </c>
      <c r="V53" s="232" t="s">
        <v>35</v>
      </c>
      <c r="W53" s="231"/>
      <c r="X53" s="231"/>
      <c r="Y53" s="231"/>
      <c r="Z53" s="231"/>
      <c r="AA53" s="234"/>
      <c r="AB53" s="231"/>
      <c r="AC53" s="231"/>
      <c r="AD53" s="232" t="s">
        <v>35</v>
      </c>
      <c r="AE53" s="231"/>
      <c r="AF53" s="231"/>
      <c r="AG53" s="250"/>
      <c r="AH53" s="231"/>
      <c r="AI53" s="231"/>
      <c r="AJ53" s="231"/>
      <c r="AK53" s="231"/>
      <c r="AL53" s="234" t="s">
        <v>35</v>
      </c>
      <c r="AM53" s="231"/>
      <c r="AN53" s="231"/>
    </row>
    <row r="54" spans="1:40" s="9" customFormat="1" ht="45" x14ac:dyDescent="0.25">
      <c r="A54" s="13" t="s">
        <v>190</v>
      </c>
      <c r="B54" s="229" t="str">
        <f>IF($A54="","",VLOOKUP($A54,'[2]3-Elaboration.O'!$A:$T,MATCH(B$1,'[2]150-Modele SGO'!$1:$1,0),FALSE))</f>
        <v xml:space="preserve">Préciser quelle est la méthodologie retenue pour déterminer les fournisseurs rencontrés et assurer le respect de la concurrence ? </v>
      </c>
      <c r="C54" s="229" t="str">
        <f>IF($A54="","",VLOOKUP($A54,'[2]3-Elaboration.O'!$A:$T,MATCH(C$1,'[2]150-Modele SGO'!$1:$1,0),FALSE))</f>
        <v>Champ libre</v>
      </c>
      <c r="D54" s="229" t="str">
        <f>IF($A54="","",VLOOKUP($A54,'[2]3-Elaboration.O'!$A:$T,MATCH(D$1,'[2]150-Modele SGO'!$1:$1,0),FALSE))</f>
        <v>Texte</v>
      </c>
      <c r="E54" s="230"/>
      <c r="F54" s="230"/>
      <c r="G54" s="250"/>
      <c r="H54" s="232" t="s">
        <v>35</v>
      </c>
      <c r="I54" s="231"/>
      <c r="J54" s="231"/>
      <c r="K54" s="231"/>
      <c r="L54" s="231"/>
      <c r="M54" s="232" t="s">
        <v>35</v>
      </c>
      <c r="N54" s="231"/>
      <c r="O54" s="231"/>
      <c r="P54" s="231"/>
      <c r="Q54" s="231" t="s">
        <v>35</v>
      </c>
      <c r="R54" s="231" t="s">
        <v>24</v>
      </c>
      <c r="S54" s="231" t="s">
        <v>24</v>
      </c>
      <c r="T54" s="231" t="s">
        <v>24</v>
      </c>
      <c r="U54" s="231" t="s">
        <v>24</v>
      </c>
      <c r="V54" s="232" t="s">
        <v>35</v>
      </c>
      <c r="W54" s="231"/>
      <c r="X54" s="231"/>
      <c r="Y54" s="231"/>
      <c r="Z54" s="231"/>
      <c r="AA54" s="234"/>
      <c r="AB54" s="231"/>
      <c r="AC54" s="231"/>
      <c r="AD54" s="232" t="s">
        <v>35</v>
      </c>
      <c r="AE54" s="250"/>
      <c r="AF54" s="250"/>
      <c r="AG54" s="250"/>
      <c r="AH54" s="250"/>
      <c r="AI54" s="250"/>
      <c r="AJ54" s="250"/>
      <c r="AK54" s="250"/>
      <c r="AL54" s="254" t="s">
        <v>35</v>
      </c>
      <c r="AM54" s="250"/>
      <c r="AN54" s="250"/>
    </row>
    <row r="55" spans="1:40" s="9" customFormat="1" ht="82.35" customHeight="1" x14ac:dyDescent="0.25">
      <c r="A55" s="13" t="s">
        <v>192</v>
      </c>
      <c r="B55" s="229" t="str">
        <f>IF($A55="","",VLOOKUP($A55,'[2]3-Elaboration.O'!$A:$T,MATCH(B$1,'[2]150-Modele SGO'!$1:$1,0),FALSE))</f>
        <v>Préciser la taille, la zone couverte du/des titulaires et des autres principaux fournisseurs avec, si nécessaire, les informations sur les risques pesant sur leur pérennité (rachats en cours, en période d'observation, dépendance économique, etc.).</v>
      </c>
      <c r="C55" s="229" t="str">
        <f>IF($A55="","",VLOOKUP($A55,'[2]3-Elaboration.O'!$A:$T,MATCH(C$1,'[2]150-Modele SGO'!$1:$1,0),FALSE))</f>
        <v>Champ libre</v>
      </c>
      <c r="D55" s="229" t="str">
        <f>IF($A55="","",VLOOKUP($A55,'[2]3-Elaboration.O'!$A:$T,MATCH(D$1,'[2]150-Modele SGO'!$1:$1,0),FALSE))</f>
        <v>Texte</v>
      </c>
      <c r="E55" s="230"/>
      <c r="F55" s="230"/>
      <c r="G55" s="250"/>
      <c r="H55" s="232" t="s">
        <v>35</v>
      </c>
      <c r="I55" s="231"/>
      <c r="J55" s="231"/>
      <c r="K55" s="231"/>
      <c r="L55" s="231"/>
      <c r="M55" s="232" t="s">
        <v>35</v>
      </c>
      <c r="N55" s="231"/>
      <c r="O55" s="231"/>
      <c r="P55" s="231"/>
      <c r="Q55" s="231" t="s">
        <v>35</v>
      </c>
      <c r="R55" s="231" t="s">
        <v>24</v>
      </c>
      <c r="S55" s="231" t="s">
        <v>24</v>
      </c>
      <c r="T55" s="231" t="s">
        <v>24</v>
      </c>
      <c r="U55" s="231" t="s">
        <v>24</v>
      </c>
      <c r="V55" s="232" t="s">
        <v>35</v>
      </c>
      <c r="W55" s="231"/>
      <c r="X55" s="231"/>
      <c r="Y55" s="231"/>
      <c r="Z55" s="231"/>
      <c r="AA55" s="234"/>
      <c r="AB55" s="231"/>
      <c r="AC55" s="231"/>
      <c r="AD55" s="232" t="s">
        <v>35</v>
      </c>
      <c r="AE55" s="231"/>
      <c r="AF55" s="231"/>
      <c r="AG55" s="250"/>
      <c r="AH55" s="231"/>
      <c r="AI55" s="231"/>
      <c r="AJ55" s="231"/>
      <c r="AK55" s="231"/>
      <c r="AL55" s="234" t="s">
        <v>35</v>
      </c>
      <c r="AM55" s="231"/>
      <c r="AN55" s="231"/>
    </row>
    <row r="56" spans="1:40" s="9" customFormat="1" ht="15.75" x14ac:dyDescent="0.25">
      <c r="A56" s="24" t="s">
        <v>194</v>
      </c>
      <c r="B56" s="249" t="str">
        <f>IF($A56="","",VLOOKUP($A56,'[2]3-Elaboration.O'!$A:$T,MATCH(B$1,'[2]150-Modele SGO'!$1:$1,0),FALSE))</f>
        <v>03.0-MONTAGE CONTRACTUEL</v>
      </c>
      <c r="C56" s="255">
        <f>IF($A56="","",VLOOKUP($A56,'[2]3-Elaboration.O'!$A:$T,MATCH(C$1,'[2]150-Modele SGO'!$1:$1,0),FALSE))</f>
        <v>0</v>
      </c>
      <c r="D56" s="255">
        <f>IF($A56="","",VLOOKUP($A56,'[2]3-Elaboration.O'!$A:$T,MATCH(D$1,'[2]150-Modele SGO'!$1:$1,0),FALSE))</f>
        <v>0</v>
      </c>
      <c r="E56" s="1" t="s">
        <v>70</v>
      </c>
      <c r="F56" s="1"/>
      <c r="G56" s="231"/>
      <c r="H56" s="238" t="s">
        <v>30</v>
      </c>
      <c r="I56" s="231"/>
      <c r="J56" s="231"/>
      <c r="K56" s="231"/>
      <c r="L56" s="231"/>
      <c r="M56" s="238" t="s">
        <v>30</v>
      </c>
      <c r="N56" s="231"/>
      <c r="O56" s="231"/>
      <c r="P56" s="231"/>
      <c r="Q56" s="231" t="s">
        <v>30</v>
      </c>
      <c r="R56" s="231" t="s">
        <v>24</v>
      </c>
      <c r="S56" s="231" t="s">
        <v>24</v>
      </c>
      <c r="T56" s="231" t="s">
        <v>24</v>
      </c>
      <c r="U56" s="231" t="s">
        <v>24</v>
      </c>
      <c r="V56" s="238" t="s">
        <v>30</v>
      </c>
      <c r="W56" s="231"/>
      <c r="X56" s="231"/>
      <c r="Y56" s="231"/>
      <c r="Z56" s="231"/>
      <c r="AA56" s="234"/>
      <c r="AB56" s="231"/>
      <c r="AC56" s="231"/>
      <c r="AD56" s="238" t="s">
        <v>30</v>
      </c>
      <c r="AE56" s="231"/>
      <c r="AF56" s="231"/>
      <c r="AG56" s="250"/>
      <c r="AH56" s="231"/>
      <c r="AI56" s="231"/>
      <c r="AJ56" s="231"/>
      <c r="AK56" s="231"/>
      <c r="AL56" s="234" t="s">
        <v>30</v>
      </c>
      <c r="AM56" s="231"/>
      <c r="AN56" s="231"/>
    </row>
    <row r="57" spans="1:40" s="9" customFormat="1" ht="15.75" x14ac:dyDescent="0.25">
      <c r="A57" s="108" t="s">
        <v>196</v>
      </c>
      <c r="B57" s="244" t="str">
        <f>IF($A57="","",VLOOKUP($A57,'[2]3-Elaboration.O'!$A:$T,MATCH(B$1,'[2]150-Modele SGO'!$1:$1,0),FALSE))</f>
        <v>03.1 Mode de passation et typologie de l'accord-cadre</v>
      </c>
      <c r="C57" s="244">
        <f>IF($A57="","",VLOOKUP($A57,'[2]3-Elaboration.O'!$A:$T,MATCH(C$1,'[2]150-Modele SGO'!$1:$1,0),FALSE))</f>
        <v>0</v>
      </c>
      <c r="D57" s="244">
        <f>IF($A57="","",VLOOKUP($A57,'[2]3-Elaboration.O'!$A:$T,MATCH(D$1,'[2]150-Modele SGO'!$1:$1,0),FALSE))</f>
        <v>0</v>
      </c>
      <c r="E57" s="241" t="s">
        <v>70</v>
      </c>
      <c r="F57" s="241"/>
      <c r="G57" s="251"/>
      <c r="H57" s="241" t="s">
        <v>30</v>
      </c>
      <c r="I57" s="237"/>
      <c r="J57" s="237"/>
      <c r="K57" s="237"/>
      <c r="L57" s="237"/>
      <c r="M57" s="241" t="s">
        <v>30</v>
      </c>
      <c r="N57" s="237"/>
      <c r="O57" s="237"/>
      <c r="P57" s="237"/>
      <c r="Q57" s="237" t="s">
        <v>30</v>
      </c>
      <c r="R57" s="237" t="s">
        <v>24</v>
      </c>
      <c r="S57" s="231" t="s">
        <v>24</v>
      </c>
      <c r="T57" s="237" t="s">
        <v>24</v>
      </c>
      <c r="U57" s="237" t="s">
        <v>24</v>
      </c>
      <c r="V57" s="241" t="s">
        <v>30</v>
      </c>
      <c r="W57" s="237"/>
      <c r="X57" s="237"/>
      <c r="Y57" s="237"/>
      <c r="Z57" s="237"/>
      <c r="AA57" s="239"/>
      <c r="AB57" s="237"/>
      <c r="AC57" s="237"/>
      <c r="AD57" s="241" t="s">
        <v>30</v>
      </c>
      <c r="AE57" s="251"/>
      <c r="AF57" s="251"/>
      <c r="AG57" s="252"/>
      <c r="AH57" s="251"/>
      <c r="AI57" s="251"/>
      <c r="AJ57" s="251"/>
      <c r="AK57" s="251"/>
      <c r="AL57" s="253" t="s">
        <v>30</v>
      </c>
      <c r="AM57" s="251"/>
      <c r="AN57" s="251"/>
    </row>
    <row r="58" spans="1:40" s="9" customFormat="1" ht="54.6" customHeight="1" x14ac:dyDescent="0.25">
      <c r="A58" s="13" t="s">
        <v>198</v>
      </c>
      <c r="B58" s="229" t="str">
        <f>IF($A58="","",VLOOKUP($A58,'[2]3-Elaboration.O'!$A:$T,MATCH(B$1,'[2]150-Modele SGO'!$1:$1,0),FALSE))</f>
        <v>Le mode de passation de l'appel d'offres est-il ouvert ?</v>
      </c>
      <c r="C58" s="229" t="str">
        <f>IF($A58="","",VLOOKUP($A58,'[2]3-Elaboration.O'!$A:$T,MATCH(C$1,'[2]150-Modele SGO'!$1:$1,0),FALSE))</f>
        <v>Oui, mode de passation en Appel d'Offres Ouvert;Non, autre mode de passation</v>
      </c>
      <c r="D58" s="229" t="str">
        <f>IF($A58="","",VLOOKUP($A58,'[2]3-Elaboration.O'!$A:$T,MATCH(D$1,'[2]150-Modele SGO'!$1:$1,0),FALSE))</f>
        <v xml:space="preserve">Liste choix unique </v>
      </c>
      <c r="E58" s="230" t="s">
        <v>70</v>
      </c>
      <c r="F58" s="230"/>
      <c r="G58" s="233" t="s">
        <v>199</v>
      </c>
      <c r="H58" s="232" t="s">
        <v>51</v>
      </c>
      <c r="I58" s="231"/>
      <c r="J58" s="231"/>
      <c r="K58" s="231"/>
      <c r="L58" s="231"/>
      <c r="M58" s="232" t="s">
        <v>51</v>
      </c>
      <c r="N58" s="231"/>
      <c r="O58" s="231"/>
      <c r="P58" s="231"/>
      <c r="Q58" s="231" t="s">
        <v>51</v>
      </c>
      <c r="R58" s="231" t="s">
        <v>24</v>
      </c>
      <c r="S58" s="231" t="s">
        <v>24</v>
      </c>
      <c r="T58" s="231" t="s">
        <v>24</v>
      </c>
      <c r="U58" s="231" t="s">
        <v>24</v>
      </c>
      <c r="V58" s="232" t="s">
        <v>51</v>
      </c>
      <c r="W58" s="231"/>
      <c r="X58" s="231"/>
      <c r="Y58" s="231"/>
      <c r="Z58" s="231"/>
      <c r="AA58" s="234"/>
      <c r="AB58" s="231"/>
      <c r="AC58" s="231"/>
      <c r="AD58" s="232" t="s">
        <v>51</v>
      </c>
      <c r="AE58" s="231"/>
      <c r="AF58" s="231"/>
      <c r="AG58" s="231"/>
      <c r="AH58" s="231"/>
      <c r="AI58" s="231"/>
      <c r="AJ58" s="231"/>
      <c r="AK58" s="231"/>
      <c r="AL58" s="234" t="s">
        <v>51</v>
      </c>
      <c r="AM58" s="231"/>
      <c r="AN58" s="231"/>
    </row>
    <row r="59" spans="1:40" s="9" customFormat="1" ht="45" x14ac:dyDescent="0.25">
      <c r="A59" s="13" t="s">
        <v>202</v>
      </c>
      <c r="B59" s="229" t="str">
        <f>IF($A59="","",VLOOKUP($A59,'[2]3-Elaboration.O'!$A:$T,MATCH(B$1,'[2]150-Modele SGO'!$1:$1,0),FALSE))</f>
        <v>Si non, préciser le mode de passation et justifier du choix</v>
      </c>
      <c r="C59" s="229" t="str">
        <f>IF($A59="","",VLOOKUP($A59,'[2]3-Elaboration.O'!$A:$T,MATCH(C$1,'[2]150-Modele SGO'!$1:$1,0),FALSE))</f>
        <v>Appel d'offres restreint / Dialogue compétitif / Procédure concurrentielle avec négociation / SAD avec enchères / SAD sans enchères</v>
      </c>
      <c r="D59" s="229" t="str">
        <f>IF($A59="","",VLOOKUP($A59,'[2]3-Elaboration.O'!$A:$T,MATCH(D$1,'[2]150-Modele SGO'!$1:$1,0),FALSE))</f>
        <v xml:space="preserve">Liste choix unique </v>
      </c>
      <c r="E59" s="230" t="s">
        <v>70</v>
      </c>
      <c r="F59" s="230"/>
      <c r="G59" s="231"/>
      <c r="H59" s="232" t="s">
        <v>35</v>
      </c>
      <c r="I59" s="231"/>
      <c r="J59" s="231"/>
      <c r="K59" s="231"/>
      <c r="L59" s="231"/>
      <c r="M59" s="232" t="s">
        <v>35</v>
      </c>
      <c r="N59" s="231"/>
      <c r="O59" s="231"/>
      <c r="P59" s="231"/>
      <c r="Q59" s="231" t="s">
        <v>35</v>
      </c>
      <c r="R59" s="231" t="s">
        <v>24</v>
      </c>
      <c r="S59" s="231" t="s">
        <v>24</v>
      </c>
      <c r="T59" s="231" t="s">
        <v>24</v>
      </c>
      <c r="U59" s="231" t="s">
        <v>24</v>
      </c>
      <c r="V59" s="232" t="s">
        <v>35</v>
      </c>
      <c r="W59" s="231"/>
      <c r="X59" s="231"/>
      <c r="Y59" s="231"/>
      <c r="Z59" s="231"/>
      <c r="AA59" s="234"/>
      <c r="AB59" s="231"/>
      <c r="AC59" s="231"/>
      <c r="AD59" s="232" t="s">
        <v>35</v>
      </c>
      <c r="AE59" s="231"/>
      <c r="AF59" s="231" t="s">
        <v>46</v>
      </c>
      <c r="AG59" s="231" t="s">
        <v>46</v>
      </c>
      <c r="AH59" s="231" t="s">
        <v>46</v>
      </c>
      <c r="AI59" s="231" t="s">
        <v>46</v>
      </c>
      <c r="AJ59" s="231" t="s">
        <v>1547</v>
      </c>
      <c r="AK59" s="231" t="s">
        <v>46</v>
      </c>
      <c r="AL59" s="234" t="s">
        <v>35</v>
      </c>
      <c r="AM59" s="231"/>
      <c r="AN59" s="231"/>
    </row>
    <row r="60" spans="1:40" s="9" customFormat="1" ht="30" x14ac:dyDescent="0.25">
      <c r="A60" s="13" t="s">
        <v>205</v>
      </c>
      <c r="B60" s="229" t="str">
        <f>IF($A60="","",VLOOKUP($A60,'[2]3-Elaboration.O'!$A:$T,MATCH(B$1,'[2]150-Modele SGO'!$1:$1,0),FALSE))</f>
        <v>Type d’accords-cadres</v>
      </c>
      <c r="C60" s="229" t="str">
        <f>IF($A60="","",VLOOKUP($A60,'[2]3-Elaboration.O'!$A:$T,MATCH(C$1,'[2]150-Modele SGO'!$1:$1,0),FALSE))</f>
        <v>AC-Marchés subséquents;AC-Bons de commande; AC-Marchés subséquents et Bons de commande</v>
      </c>
      <c r="D60" s="229" t="str">
        <f>IF($A60="","",VLOOKUP($A60,'[2]3-Elaboration.O'!$A:$T,MATCH(D$1,'[2]150-Modele SGO'!$1:$1,0),FALSE))</f>
        <v xml:space="preserve">Liste choix unique </v>
      </c>
      <c r="E60" s="230" t="s">
        <v>1521</v>
      </c>
      <c r="F60" s="230"/>
      <c r="G60" s="233" t="s">
        <v>206</v>
      </c>
      <c r="H60" s="232" t="s">
        <v>51</v>
      </c>
      <c r="I60" s="234"/>
      <c r="J60" s="234"/>
      <c r="K60" s="234"/>
      <c r="L60" s="234"/>
      <c r="M60" s="232" t="s">
        <v>51</v>
      </c>
      <c r="N60" s="231"/>
      <c r="O60" s="231"/>
      <c r="P60" s="231"/>
      <c r="Q60" s="231" t="s">
        <v>51</v>
      </c>
      <c r="R60" s="231" t="s">
        <v>24</v>
      </c>
      <c r="S60" s="231" t="s">
        <v>24</v>
      </c>
      <c r="T60" s="231" t="s">
        <v>24</v>
      </c>
      <c r="U60" s="231" t="s">
        <v>24</v>
      </c>
      <c r="V60" s="232" t="s">
        <v>51</v>
      </c>
      <c r="W60" s="231"/>
      <c r="X60" s="231"/>
      <c r="Y60" s="231"/>
      <c r="Z60" s="231"/>
      <c r="AA60" s="234"/>
      <c r="AB60" s="242"/>
      <c r="AC60" s="242"/>
      <c r="AD60" s="232" t="s">
        <v>51</v>
      </c>
      <c r="AE60" s="231"/>
      <c r="AF60" s="231"/>
      <c r="AG60" s="231"/>
      <c r="AH60" s="231"/>
      <c r="AI60" s="231"/>
      <c r="AJ60" s="231"/>
      <c r="AK60" s="231"/>
      <c r="AL60" s="234" t="s">
        <v>51</v>
      </c>
      <c r="AM60" s="231"/>
      <c r="AN60" s="231"/>
    </row>
    <row r="61" spans="1:40" s="9" customFormat="1" ht="74.099999999999994" customHeight="1" x14ac:dyDescent="0.25">
      <c r="A61" s="13" t="s">
        <v>209</v>
      </c>
      <c r="B61" s="229" t="str">
        <f>IF($A61="","",VLOOKUP($A61,'[2]3-Elaboration.O'!$A:$T,MATCH(B$1,'[2]150-Modele SGO'!$1:$1,0),FALSE))</f>
        <v>Dans le cadre d'un AC à BDC ou mixte (à BDC et Marchés subséquents), quelles sont les modalités d'attribution des accords-cadres à bons de commande</v>
      </c>
      <c r="C61" s="229" t="str">
        <f>IF($A61="","",VLOOKUP($A61,'[2]3-Elaboration.O'!$A:$T,MATCH(C$1,'[2]150-Modele SGO'!$1:$1,0),FALSE))</f>
        <v>Mono attribué;Multi attribué;Mono et Multi attribué</v>
      </c>
      <c r="D61" s="229" t="str">
        <f>IF($A61="","",VLOOKUP($A61,'[2]3-Elaboration.O'!$A:$T,MATCH(D$1,'[2]150-Modele SGO'!$1:$1,0),FALSE))</f>
        <v xml:space="preserve">Liste choix unique </v>
      </c>
      <c r="E61" s="230" t="s">
        <v>70</v>
      </c>
      <c r="F61" s="230" t="s">
        <v>44</v>
      </c>
      <c r="G61" s="231"/>
      <c r="H61" s="232" t="s">
        <v>19</v>
      </c>
      <c r="I61" s="233" t="s">
        <v>1548</v>
      </c>
      <c r="J61" s="231"/>
      <c r="K61" s="231"/>
      <c r="L61" s="231"/>
      <c r="M61" s="232" t="s">
        <v>26</v>
      </c>
      <c r="N61" s="231"/>
      <c r="O61" s="233" t="s">
        <v>1548</v>
      </c>
      <c r="P61" s="233" t="s">
        <v>35</v>
      </c>
      <c r="Q61" s="233" t="s">
        <v>26</v>
      </c>
      <c r="R61" s="231" t="s">
        <v>24</v>
      </c>
      <c r="S61" s="233" t="s">
        <v>1549</v>
      </c>
      <c r="T61" s="233" t="s">
        <v>1549</v>
      </c>
      <c r="U61" s="233" t="s">
        <v>210</v>
      </c>
      <c r="V61" s="232" t="s">
        <v>26</v>
      </c>
      <c r="W61" s="231"/>
      <c r="X61" s="233" t="s">
        <v>1549</v>
      </c>
      <c r="Y61" s="233" t="s">
        <v>1549</v>
      </c>
      <c r="Z61" s="233" t="s">
        <v>1549</v>
      </c>
      <c r="AA61" s="235" t="s">
        <v>210</v>
      </c>
      <c r="AB61" s="233" t="s">
        <v>1549</v>
      </c>
      <c r="AC61" s="245" t="s">
        <v>210</v>
      </c>
      <c r="AD61" s="232" t="s">
        <v>26</v>
      </c>
      <c r="AE61" s="231"/>
      <c r="AF61" s="233" t="s">
        <v>210</v>
      </c>
      <c r="AG61" s="233" t="s">
        <v>210</v>
      </c>
      <c r="AH61" s="233" t="s">
        <v>210</v>
      </c>
      <c r="AI61" s="233" t="s">
        <v>210</v>
      </c>
      <c r="AJ61" s="233" t="s">
        <v>210</v>
      </c>
      <c r="AK61" s="233" t="s">
        <v>1549</v>
      </c>
      <c r="AL61" s="235" t="s">
        <v>35</v>
      </c>
      <c r="AM61" s="231"/>
      <c r="AN61" s="231"/>
    </row>
    <row r="62" spans="1:40" s="9" customFormat="1" ht="150" x14ac:dyDescent="0.25">
      <c r="A62" s="13" t="s">
        <v>213</v>
      </c>
      <c r="B62" s="229" t="str">
        <f>IF($A62="","",VLOOKUP($A62,'[2]3-Elaboration.O'!$A:$T,MATCH(B$1,'[2]150-Modele SGO'!$1:$1,0),FALSE))</f>
        <v>Si AC BDC multi attribué ou mixte (Mono et multi attribué) préciser la modalité de multi attribution</v>
      </c>
      <c r="C62" s="229" t="str">
        <f>IF($A62="","",VLOOKUP($A62,'[2]3-Elaboration.O'!$A:$T,MATCH(C$1,'[2]150-Modele SGO'!$1:$1,0),FALSE))</f>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
      <c r="D62" s="229" t="str">
        <f>IF($A62="","",VLOOKUP($A62,'[2]3-Elaboration.O'!$A:$T,MATCH(D$1,'[2]150-Modele SGO'!$1:$1,0),FALSE))</f>
        <v xml:space="preserve">Liste choix unique </v>
      </c>
      <c r="E62" s="230" t="s">
        <v>70</v>
      </c>
      <c r="F62" s="230"/>
      <c r="G62" s="231"/>
      <c r="H62" s="232" t="s">
        <v>35</v>
      </c>
      <c r="I62" s="231"/>
      <c r="J62" s="231"/>
      <c r="K62" s="231"/>
      <c r="L62" s="231"/>
      <c r="M62" s="232" t="s">
        <v>35</v>
      </c>
      <c r="N62" s="231"/>
      <c r="O62" s="231"/>
      <c r="P62" s="231"/>
      <c r="Q62" s="231" t="s">
        <v>35</v>
      </c>
      <c r="R62" s="231" t="s">
        <v>24</v>
      </c>
      <c r="S62" s="231" t="s">
        <v>24</v>
      </c>
      <c r="T62" s="231" t="s">
        <v>24</v>
      </c>
      <c r="U62" s="231" t="s">
        <v>24</v>
      </c>
      <c r="V62" s="232" t="s">
        <v>35</v>
      </c>
      <c r="W62" s="231"/>
      <c r="X62" s="231"/>
      <c r="Y62" s="231"/>
      <c r="Z62" s="231"/>
      <c r="AA62" s="234"/>
      <c r="AB62" s="231"/>
      <c r="AC62" s="231"/>
      <c r="AD62" s="232" t="s">
        <v>35</v>
      </c>
      <c r="AE62" s="231"/>
      <c r="AF62" s="231"/>
      <c r="AG62" s="231"/>
      <c r="AH62" s="231"/>
      <c r="AI62" s="231"/>
      <c r="AJ62" s="231"/>
      <c r="AK62" s="231"/>
      <c r="AL62" s="234" t="s">
        <v>35</v>
      </c>
      <c r="AM62" s="231"/>
      <c r="AN62" s="231"/>
    </row>
    <row r="63" spans="1:40" s="9" customFormat="1" ht="15.75" x14ac:dyDescent="0.25">
      <c r="A63" s="13" t="s">
        <v>216</v>
      </c>
      <c r="B63" s="229" t="str">
        <f>IF($A63="","",VLOOKUP($A63,'[2]3-Elaboration.O'!$A:$T,MATCH(B$1,'[2]150-Modele SGO'!$1:$1,0),FALSE))</f>
        <v>Si autre mode de multi attribution, préciser</v>
      </c>
      <c r="C63" s="229" t="str">
        <f>IF($A63="","",VLOOKUP($A63,'[2]3-Elaboration.O'!$A:$T,MATCH(C$1,'[2]150-Modele SGO'!$1:$1,0),FALSE))</f>
        <v>Champ libre</v>
      </c>
      <c r="D63" s="229" t="str">
        <f>IF($A63="","",VLOOKUP($A63,'[2]3-Elaboration.O'!$A:$T,MATCH(D$1,'[2]150-Modele SGO'!$1:$1,0),FALSE))</f>
        <v>Texte</v>
      </c>
      <c r="E63" s="230" t="s">
        <v>70</v>
      </c>
      <c r="F63" s="230"/>
      <c r="G63" s="231"/>
      <c r="H63" s="232" t="s">
        <v>35</v>
      </c>
      <c r="I63" s="231"/>
      <c r="J63" s="231"/>
      <c r="K63" s="231"/>
      <c r="L63" s="231"/>
      <c r="M63" s="232" t="s">
        <v>35</v>
      </c>
      <c r="N63" s="231"/>
      <c r="O63" s="231"/>
      <c r="P63" s="231"/>
      <c r="Q63" s="231" t="s">
        <v>35</v>
      </c>
      <c r="R63" s="231" t="s">
        <v>24</v>
      </c>
      <c r="S63" s="231" t="s">
        <v>24</v>
      </c>
      <c r="T63" s="231" t="s">
        <v>24</v>
      </c>
      <c r="U63" s="231" t="s">
        <v>24</v>
      </c>
      <c r="V63" s="232" t="s">
        <v>35</v>
      </c>
      <c r="W63" s="231"/>
      <c r="X63" s="231"/>
      <c r="Y63" s="231"/>
      <c r="Z63" s="231"/>
      <c r="AA63" s="234"/>
      <c r="AB63" s="231"/>
      <c r="AC63" s="231"/>
      <c r="AD63" s="232" t="s">
        <v>35</v>
      </c>
      <c r="AE63" s="231"/>
      <c r="AF63" s="231"/>
      <c r="AG63" s="231"/>
      <c r="AH63" s="231"/>
      <c r="AI63" s="231"/>
      <c r="AJ63" s="231"/>
      <c r="AK63" s="231"/>
      <c r="AL63" s="234" t="s">
        <v>35</v>
      </c>
      <c r="AM63" s="231"/>
      <c r="AN63" s="231"/>
    </row>
    <row r="64" spans="1:40" s="9" customFormat="1" ht="45" x14ac:dyDescent="0.25">
      <c r="A64" s="13" t="s">
        <v>218</v>
      </c>
      <c r="B64" s="229" t="str">
        <f>IF($A64="","",VLOOKUP($A64,'[2]3-Elaboration.O'!$A:$T,MATCH(B$1,'[2]150-Modele SGO'!$1:$1,0),FALSE))</f>
        <v>Si multi attribution sur quantité minimale d’engagement au marché, précier le mode d'attribution par titulaire</v>
      </c>
      <c r="C64" s="229" t="str">
        <f>IF($A64="","",VLOOKUP($A64,'[2]3-Elaboration.O'!$A:$T,MATCH(C$1,'[2]150-Modele SGO'!$1:$1,0),FALSE))</f>
        <v>Champ libre</v>
      </c>
      <c r="D64" s="229" t="str">
        <f>IF($A64="","",VLOOKUP($A64,'[2]3-Elaboration.O'!$A:$T,MATCH(D$1,'[2]150-Modele SGO'!$1:$1,0),FALSE))</f>
        <v>Texte</v>
      </c>
      <c r="E64" s="230" t="s">
        <v>70</v>
      </c>
      <c r="F64" s="230"/>
      <c r="G64" s="231"/>
      <c r="H64" s="232" t="s">
        <v>35</v>
      </c>
      <c r="I64" s="231"/>
      <c r="J64" s="231"/>
      <c r="K64" s="231"/>
      <c r="L64" s="231"/>
      <c r="M64" s="232" t="s">
        <v>35</v>
      </c>
      <c r="N64" s="231"/>
      <c r="O64" s="231"/>
      <c r="P64" s="231"/>
      <c r="Q64" s="231" t="s">
        <v>35</v>
      </c>
      <c r="R64" s="231" t="s">
        <v>24</v>
      </c>
      <c r="S64" s="231" t="s">
        <v>24</v>
      </c>
      <c r="T64" s="231" t="s">
        <v>24</v>
      </c>
      <c r="U64" s="231" t="s">
        <v>24</v>
      </c>
      <c r="V64" s="232" t="s">
        <v>35</v>
      </c>
      <c r="W64" s="231"/>
      <c r="X64" s="231"/>
      <c r="Y64" s="231"/>
      <c r="Z64" s="231"/>
      <c r="AA64" s="234"/>
      <c r="AB64" s="231"/>
      <c r="AC64" s="231"/>
      <c r="AD64" s="232" t="s">
        <v>35</v>
      </c>
      <c r="AE64" s="231"/>
      <c r="AF64" s="231"/>
      <c r="AG64" s="231"/>
      <c r="AH64" s="231"/>
      <c r="AI64" s="231"/>
      <c r="AJ64" s="231"/>
      <c r="AK64" s="231"/>
      <c r="AL64" s="234" t="s">
        <v>35</v>
      </c>
      <c r="AM64" s="231"/>
      <c r="AN64" s="231"/>
    </row>
    <row r="65" spans="1:40" s="9" customFormat="1" ht="30" x14ac:dyDescent="0.25">
      <c r="A65" s="13" t="s">
        <v>220</v>
      </c>
      <c r="B65" s="229" t="str">
        <f>IF($A65="","",VLOOKUP($A65,'[2]3-Elaboration.O'!$A:$T,MATCH(B$1,'[2]150-Modele SGO'!$1:$1,0),FALSE))</f>
        <v>Si multi attribution préciser le nombre de titulaires par lot</v>
      </c>
      <c r="C65" s="229" t="str">
        <f>IF($A65="","",VLOOKUP($A65,'[2]3-Elaboration.O'!$A:$T,MATCH(C$1,'[2]150-Modele SGO'!$1:$1,0),FALSE))</f>
        <v>Annexe 10 - Détail_Lots</v>
      </c>
      <c r="D65" s="229" t="str">
        <f>IF($A65="","",VLOOKUP($A65,'[2]3-Elaboration.O'!$A:$T,MATCH(D$1,'[2]150-Modele SGO'!$1:$1,0),FALSE))</f>
        <v>Annexe 10 - Détail lots</v>
      </c>
      <c r="E65" s="230" t="s">
        <v>70</v>
      </c>
      <c r="F65" s="230"/>
      <c r="G65" s="231"/>
      <c r="H65" s="232" t="s">
        <v>35</v>
      </c>
      <c r="I65" s="231"/>
      <c r="J65" s="231"/>
      <c r="K65" s="231"/>
      <c r="L65" s="231"/>
      <c r="M65" s="232" t="s">
        <v>35</v>
      </c>
      <c r="N65" s="231"/>
      <c r="O65" s="231"/>
      <c r="P65" s="231"/>
      <c r="Q65" s="231" t="s">
        <v>35</v>
      </c>
      <c r="R65" s="231" t="s">
        <v>24</v>
      </c>
      <c r="S65" s="231" t="s">
        <v>24</v>
      </c>
      <c r="T65" s="231" t="s">
        <v>24</v>
      </c>
      <c r="U65" s="231" t="s">
        <v>24</v>
      </c>
      <c r="V65" s="232" t="s">
        <v>35</v>
      </c>
      <c r="W65" s="231"/>
      <c r="X65" s="231"/>
      <c r="Y65" s="231"/>
      <c r="Z65" s="231"/>
      <c r="AA65" s="234"/>
      <c r="AB65" s="231"/>
      <c r="AC65" s="231"/>
      <c r="AD65" s="232" t="s">
        <v>35</v>
      </c>
      <c r="AE65" s="231"/>
      <c r="AF65" s="231"/>
      <c r="AG65" s="231"/>
      <c r="AH65" s="231"/>
      <c r="AI65" s="231"/>
      <c r="AJ65" s="231"/>
      <c r="AK65" s="231"/>
      <c r="AL65" s="234" t="s">
        <v>35</v>
      </c>
      <c r="AM65" s="231"/>
      <c r="AN65" s="231"/>
    </row>
    <row r="66" spans="1:40" s="9" customFormat="1" ht="30" x14ac:dyDescent="0.25">
      <c r="A66" s="13" t="s">
        <v>222</v>
      </c>
      <c r="B66" s="229" t="str">
        <f>IF($A66="","",VLOOKUP($A66,'[2]3-Elaboration.O'!$A:$T,MATCH(B$1,'[2]150-Modele SGO'!$1:$1,0),FALSE))</f>
        <v xml:space="preserve">Si AC mixte, préciser par lot les modalités d'attribution </v>
      </c>
      <c r="C66" s="229" t="str">
        <f>IF($A66="","",VLOOKUP($A66,'[2]3-Elaboration.O'!$A:$T,MATCH(C$1,'[2]150-Modele SGO'!$1:$1,0),FALSE))</f>
        <v>Annexe 10 - Détail_Lots</v>
      </c>
      <c r="D66" s="229" t="str">
        <f>IF($A66="","",VLOOKUP($A66,'[2]3-Elaboration.O'!$A:$T,MATCH(D$1,'[2]150-Modele SGO'!$1:$1,0),FALSE))</f>
        <v>Annexe 10 - Détail lots</v>
      </c>
      <c r="E66" s="230" t="s">
        <v>70</v>
      </c>
      <c r="F66" s="230"/>
      <c r="G66" s="231"/>
      <c r="H66" s="232" t="s">
        <v>35</v>
      </c>
      <c r="I66" s="231"/>
      <c r="J66" s="231"/>
      <c r="K66" s="231"/>
      <c r="L66" s="231"/>
      <c r="M66" s="232" t="s">
        <v>35</v>
      </c>
      <c r="N66" s="231"/>
      <c r="O66" s="231"/>
      <c r="P66" s="231"/>
      <c r="Q66" s="231" t="s">
        <v>35</v>
      </c>
      <c r="R66" s="231" t="s">
        <v>24</v>
      </c>
      <c r="S66" s="231" t="s">
        <v>24</v>
      </c>
      <c r="T66" s="231" t="s">
        <v>24</v>
      </c>
      <c r="U66" s="231" t="s">
        <v>24</v>
      </c>
      <c r="V66" s="232" t="s">
        <v>35</v>
      </c>
      <c r="W66" s="231"/>
      <c r="X66" s="231"/>
      <c r="Y66" s="231"/>
      <c r="Z66" s="231"/>
      <c r="AA66" s="234"/>
      <c r="AB66" s="231"/>
      <c r="AC66" s="231"/>
      <c r="AD66" s="232" t="s">
        <v>35</v>
      </c>
      <c r="AE66" s="231"/>
      <c r="AF66" s="231"/>
      <c r="AG66" s="231"/>
      <c r="AH66" s="231"/>
      <c r="AI66" s="231"/>
      <c r="AJ66" s="231"/>
      <c r="AK66" s="231"/>
      <c r="AL66" s="234" t="s">
        <v>35</v>
      </c>
      <c r="AM66" s="231"/>
      <c r="AN66" s="231"/>
    </row>
    <row r="67" spans="1:40" s="9" customFormat="1" ht="30" x14ac:dyDescent="0.25">
      <c r="A67" s="13" t="s">
        <v>224</v>
      </c>
      <c r="B67" s="229" t="str">
        <f>IF($A67="","",VLOOKUP($A67,'[2]3-Elaboration.O'!$A:$T,MATCH(B$1,'[2]150-Modele SGO'!$1:$1,0),FALSE))</f>
        <v>Ces modalités d'attribution sont-elles les identiques pour tous les lots?</v>
      </c>
      <c r="C67" s="229" t="str">
        <f>IF($A67="","",VLOOKUP($A67,'[2]3-Elaboration.O'!$A:$T,MATCH(C$1,'[2]150-Modele SGO'!$1:$1,0),FALSE))</f>
        <v>Oui, les modalités d'attribution identiques pour tous les lots;Non, les modalités d'attribution diffèrent selon les lots</v>
      </c>
      <c r="D67" s="229" t="str">
        <f>IF($A67="","",VLOOKUP($A67,'[2]3-Elaboration.O'!$A:$T,MATCH(D$1,'[2]150-Modele SGO'!$1:$1,0),FALSE))</f>
        <v xml:space="preserve">Liste choix unique </v>
      </c>
      <c r="E67" s="230" t="s">
        <v>70</v>
      </c>
      <c r="F67" s="230"/>
      <c r="G67" s="231"/>
      <c r="H67" s="232" t="s">
        <v>35</v>
      </c>
      <c r="I67" s="231"/>
      <c r="J67" s="231"/>
      <c r="K67" s="231"/>
      <c r="L67" s="231"/>
      <c r="M67" s="232" t="s">
        <v>35</v>
      </c>
      <c r="N67" s="231"/>
      <c r="O67" s="231"/>
      <c r="P67" s="231"/>
      <c r="Q67" s="231" t="s">
        <v>35</v>
      </c>
      <c r="R67" s="231" t="s">
        <v>24</v>
      </c>
      <c r="S67" s="231" t="s">
        <v>24</v>
      </c>
      <c r="T67" s="231" t="s">
        <v>24</v>
      </c>
      <c r="U67" s="231" t="s">
        <v>24</v>
      </c>
      <c r="V67" s="232" t="s">
        <v>35</v>
      </c>
      <c r="W67" s="231"/>
      <c r="X67" s="231"/>
      <c r="Y67" s="231"/>
      <c r="Z67" s="231"/>
      <c r="AA67" s="234"/>
      <c r="AB67" s="231"/>
      <c r="AC67" s="231"/>
      <c r="AD67" s="232" t="s">
        <v>35</v>
      </c>
      <c r="AE67" s="231"/>
      <c r="AF67" s="231"/>
      <c r="AG67" s="231"/>
      <c r="AH67" s="231"/>
      <c r="AI67" s="231"/>
      <c r="AJ67" s="231"/>
      <c r="AK67" s="231"/>
      <c r="AL67" s="234" t="s">
        <v>35</v>
      </c>
      <c r="AM67" s="231"/>
      <c r="AN67" s="231"/>
    </row>
    <row r="68" spans="1:40" s="9" customFormat="1" ht="15.75" x14ac:dyDescent="0.25">
      <c r="A68" s="13" t="s">
        <v>227</v>
      </c>
      <c r="B68" s="229" t="str">
        <f>IF($A68="","",VLOOKUP($A68,'[2]3-Elaboration.O'!$A:$T,MATCH(B$1,'[2]150-Modele SGO'!$1:$1,0),FALSE))</f>
        <v>Si non, préciser le détail par lot</v>
      </c>
      <c r="C68" s="229" t="str">
        <f>IF($A68="","",VLOOKUP($A68,'[2]3-Elaboration.O'!$A:$T,MATCH(C$1,'[2]150-Modele SGO'!$1:$1,0),FALSE))</f>
        <v>Annexe 10 - Détail_Lots</v>
      </c>
      <c r="D68" s="229" t="str">
        <f>IF($A68="","",VLOOKUP($A68,'[2]3-Elaboration.O'!$A:$T,MATCH(D$1,'[2]150-Modele SGO'!$1:$1,0),FALSE))</f>
        <v>Annexe 10 - Détail lots</v>
      </c>
      <c r="E68" s="230" t="s">
        <v>70</v>
      </c>
      <c r="F68" s="230"/>
      <c r="G68" s="231"/>
      <c r="H68" s="232" t="s">
        <v>35</v>
      </c>
      <c r="I68" s="231"/>
      <c r="J68" s="231"/>
      <c r="K68" s="231"/>
      <c r="L68" s="231"/>
      <c r="M68" s="232" t="s">
        <v>35</v>
      </c>
      <c r="N68" s="231"/>
      <c r="O68" s="231"/>
      <c r="P68" s="231"/>
      <c r="Q68" s="231" t="s">
        <v>35</v>
      </c>
      <c r="R68" s="231" t="s">
        <v>24</v>
      </c>
      <c r="S68" s="231" t="s">
        <v>24</v>
      </c>
      <c r="T68" s="231" t="s">
        <v>24</v>
      </c>
      <c r="U68" s="231" t="s">
        <v>24</v>
      </c>
      <c r="V68" s="232" t="s">
        <v>35</v>
      </c>
      <c r="W68" s="231"/>
      <c r="X68" s="231"/>
      <c r="Y68" s="231"/>
      <c r="Z68" s="231"/>
      <c r="AA68" s="234"/>
      <c r="AB68" s="231"/>
      <c r="AC68" s="231"/>
      <c r="AD68" s="232" t="s">
        <v>35</v>
      </c>
      <c r="AE68" s="231"/>
      <c r="AF68" s="231"/>
      <c r="AG68" s="231"/>
      <c r="AH68" s="231"/>
      <c r="AI68" s="231"/>
      <c r="AJ68" s="231"/>
      <c r="AK68" s="231"/>
      <c r="AL68" s="234" t="s">
        <v>35</v>
      </c>
      <c r="AM68" s="231"/>
      <c r="AN68" s="231"/>
    </row>
    <row r="69" spans="1:40" s="9" customFormat="1" ht="15.75" x14ac:dyDescent="0.25">
      <c r="A69" s="108" t="s">
        <v>229</v>
      </c>
      <c r="B69" s="244" t="str">
        <f>IF($A69="","",VLOOKUP($A69,'[2]3-Elaboration.O'!$A:$T,MATCH(B$1,'[2]150-Modele SGO'!$1:$1,0),FALSE))</f>
        <v>03.2 Modalités d'intervention de l'UGAP</v>
      </c>
      <c r="C69" s="244">
        <f>IF($A69="","",VLOOKUP($A69,'[2]3-Elaboration.O'!$A:$T,MATCH(C$1,'[2]150-Modele SGO'!$1:$1,0),FALSE))</f>
        <v>0</v>
      </c>
      <c r="D69" s="244">
        <f>IF($A69="","",VLOOKUP($A69,'[2]3-Elaboration.O'!$A:$T,MATCH(D$1,'[2]150-Modele SGO'!$1:$1,0),FALSE))</f>
        <v>0</v>
      </c>
      <c r="E69" s="241" t="s">
        <v>70</v>
      </c>
      <c r="F69" s="241"/>
      <c r="G69" s="237"/>
      <c r="H69" s="241" t="s">
        <v>30</v>
      </c>
      <c r="I69" s="237"/>
      <c r="J69" s="237"/>
      <c r="K69" s="237"/>
      <c r="L69" s="237"/>
      <c r="M69" s="241" t="s">
        <v>30</v>
      </c>
      <c r="N69" s="237"/>
      <c r="O69" s="237"/>
      <c r="P69" s="237"/>
      <c r="Q69" s="237" t="s">
        <v>30</v>
      </c>
      <c r="R69" s="237" t="s">
        <v>24</v>
      </c>
      <c r="S69" s="231" t="s">
        <v>24</v>
      </c>
      <c r="T69" s="237" t="s">
        <v>24</v>
      </c>
      <c r="U69" s="237" t="s">
        <v>24</v>
      </c>
      <c r="V69" s="241" t="s">
        <v>30</v>
      </c>
      <c r="W69" s="237"/>
      <c r="X69" s="237"/>
      <c r="Y69" s="237"/>
      <c r="Z69" s="237"/>
      <c r="AA69" s="239"/>
      <c r="AB69" s="237"/>
      <c r="AC69" s="237"/>
      <c r="AD69" s="241" t="s">
        <v>30</v>
      </c>
      <c r="AE69" s="237"/>
      <c r="AF69" s="237"/>
      <c r="AG69" s="237"/>
      <c r="AH69" s="237"/>
      <c r="AI69" s="237"/>
      <c r="AJ69" s="237"/>
      <c r="AK69" s="237"/>
      <c r="AL69" s="239" t="s">
        <v>30</v>
      </c>
      <c r="AM69" s="237"/>
      <c r="AN69" s="237"/>
    </row>
    <row r="70" spans="1:40" s="9" customFormat="1" ht="30" x14ac:dyDescent="0.25">
      <c r="A70" s="13" t="s">
        <v>231</v>
      </c>
      <c r="B70" s="229" t="str">
        <f>IF($A70="","",VLOOKUP($A70,'[2]3-Elaboration.O'!$A:$T,MATCH(B$1,'[2]150-Modele SGO'!$1:$1,0),FALSE))</f>
        <v>Quelles sont les modalités d’intervention de l’UGAP ?</v>
      </c>
      <c r="C70" s="229" t="str">
        <f>IF($A70="","",VLOOKUP($A70,'[2]3-Elaboration.O'!$A:$T,MATCH(C$1,'[2]150-Modele SGO'!$1:$1,0),FALSE))</f>
        <v>Offre exécutée; Offre non exécutée; Mixte</v>
      </c>
      <c r="D70" s="229" t="str">
        <f>IF($A70="","",VLOOKUP($A70,'[2]3-Elaboration.O'!$A:$T,MATCH(D$1,'[2]150-Modele SGO'!$1:$1,0),FALSE))</f>
        <v xml:space="preserve">Liste choix unique </v>
      </c>
      <c r="E70" s="230" t="s">
        <v>70</v>
      </c>
      <c r="F70" s="230" t="s">
        <v>44</v>
      </c>
      <c r="G70" s="233" t="s">
        <v>232</v>
      </c>
      <c r="H70" s="232" t="s">
        <v>51</v>
      </c>
      <c r="I70" s="231"/>
      <c r="J70" s="231"/>
      <c r="K70" s="231"/>
      <c r="L70" s="231"/>
      <c r="M70" s="232" t="s">
        <v>51</v>
      </c>
      <c r="N70" s="231"/>
      <c r="O70" s="231"/>
      <c r="P70" s="231"/>
      <c r="Q70" s="231" t="s">
        <v>51</v>
      </c>
      <c r="R70" s="231" t="s">
        <v>24</v>
      </c>
      <c r="S70" s="231" t="s">
        <v>24</v>
      </c>
      <c r="T70" s="231" t="s">
        <v>24</v>
      </c>
      <c r="U70" s="231" t="s">
        <v>24</v>
      </c>
      <c r="V70" s="232" t="s">
        <v>51</v>
      </c>
      <c r="W70" s="231"/>
      <c r="X70" s="231"/>
      <c r="Y70" s="231"/>
      <c r="Z70" s="231"/>
      <c r="AA70" s="234"/>
      <c r="AB70" s="231"/>
      <c r="AC70" s="231"/>
      <c r="AD70" s="232" t="s">
        <v>51</v>
      </c>
      <c r="AE70" s="231"/>
      <c r="AF70" s="231"/>
      <c r="AG70" s="231"/>
      <c r="AH70" s="231"/>
      <c r="AI70" s="231"/>
      <c r="AJ70" s="231"/>
      <c r="AK70" s="231"/>
      <c r="AL70" s="234" t="s">
        <v>51</v>
      </c>
      <c r="AM70" s="231"/>
      <c r="AN70" s="231"/>
    </row>
    <row r="71" spans="1:40" s="9" customFormat="1" ht="15.75" x14ac:dyDescent="0.25">
      <c r="A71" s="123" t="s">
        <v>235</v>
      </c>
      <c r="B71" s="256" t="str">
        <f>IF($A71="","",VLOOKUP($A71,'[2]3-Elaboration.O'!$A:$T,MATCH(B$1,'[2]150-Modele SGO'!$1:$1,0),FALSE))</f>
        <v>03.2.2 Offre non exécutée</v>
      </c>
      <c r="C71" s="256">
        <f>IF($A71="","",VLOOKUP($A71,'[2]3-Elaboration.O'!$A:$T,MATCH(C$1,'[2]150-Modele SGO'!$1:$1,0),FALSE))</f>
        <v>0</v>
      </c>
      <c r="D71" s="256">
        <f>IF($A71="","",VLOOKUP($A71,'[2]3-Elaboration.O'!$A:$T,MATCH(D$1,'[2]150-Modele SGO'!$1:$1,0),FALSE))</f>
        <v>0</v>
      </c>
      <c r="E71" s="257" t="s">
        <v>70</v>
      </c>
      <c r="F71" s="257"/>
      <c r="G71" s="258"/>
      <c r="H71" s="257" t="s">
        <v>30</v>
      </c>
      <c r="I71" s="258"/>
      <c r="J71" s="258"/>
      <c r="K71" s="258"/>
      <c r="L71" s="258"/>
      <c r="M71" s="257" t="s">
        <v>30</v>
      </c>
      <c r="N71" s="258"/>
      <c r="O71" s="258"/>
      <c r="P71" s="258"/>
      <c r="Q71" s="258" t="s">
        <v>30</v>
      </c>
      <c r="R71" s="258" t="s">
        <v>24</v>
      </c>
      <c r="S71" s="231" t="s">
        <v>24</v>
      </c>
      <c r="T71" s="258" t="s">
        <v>24</v>
      </c>
      <c r="U71" s="258" t="s">
        <v>24</v>
      </c>
      <c r="V71" s="257" t="s">
        <v>30</v>
      </c>
      <c r="W71" s="258"/>
      <c r="X71" s="258"/>
      <c r="Y71" s="258"/>
      <c r="Z71" s="258"/>
      <c r="AA71" s="259"/>
      <c r="AB71" s="258"/>
      <c r="AC71" s="258"/>
      <c r="AD71" s="257" t="s">
        <v>30</v>
      </c>
      <c r="AE71" s="258"/>
      <c r="AF71" s="258"/>
      <c r="AG71" s="258"/>
      <c r="AH71" s="258"/>
      <c r="AI71" s="258"/>
      <c r="AJ71" s="258"/>
      <c r="AK71" s="258"/>
      <c r="AL71" s="259" t="s">
        <v>30</v>
      </c>
      <c r="AM71" s="258"/>
      <c r="AN71" s="258"/>
    </row>
    <row r="72" spans="1:40" s="9" customFormat="1" ht="45" x14ac:dyDescent="0.25">
      <c r="A72" s="13" t="s">
        <v>237</v>
      </c>
      <c r="B72" s="229" t="str">
        <f>IF($A72="","",VLOOKUP($A72,'[2]3-Elaboration.O'!$A:$T,MATCH(B$1,'[2]150-Modele SGO'!$1:$1,0),FALSE))</f>
        <v xml:space="preserve">Préciser les modalités de passation des marchés subséquents en Accord-cadre mono et/ou en Accord-cadre multi attribué </v>
      </c>
      <c r="C72" s="229" t="str">
        <f>IF($A72="","",VLOOKUP($A72,'[2]3-Elaboration.O'!$A:$T,MATCH(C$1,'[2]150-Modele SGO'!$1:$1,0),FALSE))</f>
        <v>Annexe 10 - Détail_Lots</v>
      </c>
      <c r="D72" s="229" t="str">
        <f>IF($A72="","",VLOOKUP($A72,'[2]3-Elaboration.O'!$A:$T,MATCH(D$1,'[2]150-Modele SGO'!$1:$1,0),FALSE))</f>
        <v>Annexe 10 - Détail lots</v>
      </c>
      <c r="E72" s="230" t="s">
        <v>70</v>
      </c>
      <c r="F72" s="230"/>
      <c r="G72" s="231"/>
      <c r="H72" s="232" t="s">
        <v>35</v>
      </c>
      <c r="I72" s="234"/>
      <c r="J72" s="231"/>
      <c r="K72" s="231"/>
      <c r="L72" s="231"/>
      <c r="M72" s="232" t="s">
        <v>35</v>
      </c>
      <c r="N72" s="231"/>
      <c r="O72" s="231"/>
      <c r="P72" s="231"/>
      <c r="Q72" s="231" t="s">
        <v>35</v>
      </c>
      <c r="R72" s="231" t="s">
        <v>24</v>
      </c>
      <c r="S72" s="231" t="s">
        <v>24</v>
      </c>
      <c r="T72" s="231" t="s">
        <v>24</v>
      </c>
      <c r="U72" s="231" t="s">
        <v>24</v>
      </c>
      <c r="V72" s="232" t="s">
        <v>35</v>
      </c>
      <c r="W72" s="231"/>
      <c r="X72" s="231"/>
      <c r="Y72" s="231"/>
      <c r="Z72" s="231"/>
      <c r="AA72" s="234"/>
      <c r="AB72" s="242"/>
      <c r="AC72" s="242"/>
      <c r="AD72" s="232" t="s">
        <v>19</v>
      </c>
      <c r="AE72" s="233" t="s">
        <v>46</v>
      </c>
      <c r="AF72" s="231"/>
      <c r="AG72" s="231"/>
      <c r="AH72" s="231"/>
      <c r="AI72" s="231"/>
      <c r="AJ72" s="231"/>
      <c r="AK72" s="231"/>
      <c r="AL72" s="234" t="s">
        <v>35</v>
      </c>
      <c r="AM72" s="233"/>
      <c r="AN72" s="231"/>
    </row>
    <row r="73" spans="1:40" s="9" customFormat="1" ht="30" x14ac:dyDescent="0.25">
      <c r="A73" s="13" t="s">
        <v>239</v>
      </c>
      <c r="B73" s="229" t="str">
        <f>IF($A73="","",VLOOKUP($A73,'[2]3-Elaboration.O'!$A:$T,MATCH(B$1,'[2]150-Modele SGO'!$1:$1,0),FALSE))</f>
        <v xml:space="preserve">Y’a-t-il une dérogation au principe de non exclusivité ? </v>
      </c>
      <c r="C73" s="229" t="str">
        <f>IF($A73="","",VLOOKUP($A73,'[2]3-Elaboration.O'!$A:$T,MATCH(C$1,'[2]150-Modele SGO'!$1:$1,0),FALSE))</f>
        <v>Oui, dérogation au principe de non exclusivité; Non, absence de dérogation au principe de non exclusivité</v>
      </c>
      <c r="D73" s="229" t="str">
        <f>IF($A73="","",VLOOKUP($A73,'[2]3-Elaboration.O'!$A:$T,MATCH(D$1,'[2]150-Modele SGO'!$1:$1,0),FALSE))</f>
        <v xml:space="preserve">Liste choix unique </v>
      </c>
      <c r="E73" s="230" t="s">
        <v>70</v>
      </c>
      <c r="F73" s="230"/>
      <c r="G73" s="233" t="s">
        <v>240</v>
      </c>
      <c r="H73" s="232" t="s">
        <v>51</v>
      </c>
      <c r="I73" s="234"/>
      <c r="J73" s="231"/>
      <c r="K73" s="231"/>
      <c r="L73" s="231"/>
      <c r="M73" s="232" t="s">
        <v>51</v>
      </c>
      <c r="N73" s="231"/>
      <c r="O73" s="231"/>
      <c r="P73" s="231"/>
      <c r="Q73" s="231" t="s">
        <v>51</v>
      </c>
      <c r="R73" s="231" t="s">
        <v>24</v>
      </c>
      <c r="S73" s="231" t="s">
        <v>24</v>
      </c>
      <c r="T73" s="231" t="s">
        <v>24</v>
      </c>
      <c r="U73" s="231" t="s">
        <v>24</v>
      </c>
      <c r="V73" s="232" t="s">
        <v>51</v>
      </c>
      <c r="W73" s="231"/>
      <c r="X73" s="231"/>
      <c r="Y73" s="231"/>
      <c r="Z73" s="231"/>
      <c r="AA73" s="234"/>
      <c r="AB73" s="242"/>
      <c r="AC73" s="242"/>
      <c r="AD73" s="232" t="s">
        <v>51</v>
      </c>
      <c r="AE73" s="231"/>
      <c r="AF73" s="231"/>
      <c r="AG73" s="231"/>
      <c r="AH73" s="231"/>
      <c r="AI73" s="231"/>
      <c r="AJ73" s="231"/>
      <c r="AK73" s="231"/>
      <c r="AL73" s="234" t="s">
        <v>51</v>
      </c>
      <c r="AM73" s="231"/>
      <c r="AN73" s="231"/>
    </row>
    <row r="74" spans="1:40" s="9" customFormat="1" ht="30" x14ac:dyDescent="0.25">
      <c r="A74" s="13" t="s">
        <v>243</v>
      </c>
      <c r="B74" s="229" t="str">
        <f>IF($A74="","",VLOOKUP($A74,'[2]3-Elaboration.O'!$A:$T,MATCH(B$1,'[2]150-Modele SGO'!$1:$1,0),FALSE))</f>
        <v xml:space="preserve">L’adhésion ou la renonciation se fera t’elle via un formulaire d’enquête sur Ugap.fr ? </v>
      </c>
      <c r="C74" s="229" t="str">
        <f>IF($A74="","",VLOOKUP($A74,'[2]3-Elaboration.O'!$A:$T,MATCH(C$1,'[2]150-Modele SGO'!$1:$1,0),FALSE))</f>
        <v>Oui, adhésion ou renonciation sur formulaire ugap.fr;Non, absence de formulaire sur ugap.fr</v>
      </c>
      <c r="D74" s="229" t="str">
        <f>IF($A74="","",VLOOKUP($A74,'[2]3-Elaboration.O'!$A:$T,MATCH(D$1,'[2]150-Modele SGO'!$1:$1,0),FALSE))</f>
        <v xml:space="preserve">Liste choix unique </v>
      </c>
      <c r="E74" s="230" t="s">
        <v>70</v>
      </c>
      <c r="F74" s="230"/>
      <c r="G74" s="233" t="s">
        <v>244</v>
      </c>
      <c r="H74" s="232" t="s">
        <v>51</v>
      </c>
      <c r="I74" s="234"/>
      <c r="J74" s="231"/>
      <c r="K74" s="231"/>
      <c r="L74" s="231"/>
      <c r="M74" s="232" t="s">
        <v>51</v>
      </c>
      <c r="N74" s="231"/>
      <c r="O74" s="231"/>
      <c r="P74" s="231"/>
      <c r="Q74" s="231" t="s">
        <v>51</v>
      </c>
      <c r="R74" s="231" t="s">
        <v>24</v>
      </c>
      <c r="S74" s="231" t="s">
        <v>24</v>
      </c>
      <c r="T74" s="231" t="s">
        <v>24</v>
      </c>
      <c r="U74" s="231" t="s">
        <v>24</v>
      </c>
      <c r="V74" s="232" t="s">
        <v>51</v>
      </c>
      <c r="W74" s="231"/>
      <c r="X74" s="231"/>
      <c r="Y74" s="231"/>
      <c r="Z74" s="231"/>
      <c r="AA74" s="234"/>
      <c r="AB74" s="242"/>
      <c r="AC74" s="242"/>
      <c r="AD74" s="232" t="s">
        <v>51</v>
      </c>
      <c r="AE74" s="231"/>
      <c r="AF74" s="231"/>
      <c r="AG74" s="231"/>
      <c r="AH74" s="231"/>
      <c r="AI74" s="231"/>
      <c r="AJ74" s="231"/>
      <c r="AK74" s="231"/>
      <c r="AL74" s="234" t="s">
        <v>51</v>
      </c>
      <c r="AM74" s="231"/>
      <c r="AN74" s="231"/>
    </row>
    <row r="75" spans="1:40" s="9" customFormat="1" ht="60" x14ac:dyDescent="0.25">
      <c r="A75" s="13" t="s">
        <v>247</v>
      </c>
      <c r="B75" s="229" t="str">
        <f>IF($A75="","",VLOOKUP($A75,'[2]3-Elaboration.O'!$A:$T,MATCH(B$1,'[2]150-Modele SGO'!$1:$1,0),FALSE))</f>
        <v xml:space="preserve">Dans le cadre de la passation de marchés subséquents sur AC non exécuté qui effectuera la remise en concurrence/la passation/la notification des marchés subséquents ? </v>
      </c>
      <c r="C75" s="229" t="str">
        <f>IF($A75="","",VLOOKUP($A75,'[2]3-Elaboration.O'!$A:$T,MATCH(C$1,'[2]150-Modele SGO'!$1:$1,0),FALSE))</f>
        <v>Charge des marchés subséquents par l'Ugap;Charge des marchés subséquents par le client</v>
      </c>
      <c r="D75" s="229" t="str">
        <f>IF($A75="","",VLOOKUP($A75,'[2]3-Elaboration.O'!$A:$T,MATCH(D$1,'[2]150-Modele SGO'!$1:$1,0),FALSE))</f>
        <v xml:space="preserve">Liste choix unique </v>
      </c>
      <c r="E75" s="230" t="s">
        <v>70</v>
      </c>
      <c r="F75" s="230"/>
      <c r="G75" s="233" t="s">
        <v>248</v>
      </c>
      <c r="H75" s="232" t="s">
        <v>51</v>
      </c>
      <c r="I75" s="234"/>
      <c r="J75" s="231"/>
      <c r="K75" s="231"/>
      <c r="L75" s="231"/>
      <c r="M75" s="232" t="s">
        <v>51</v>
      </c>
      <c r="N75" s="231"/>
      <c r="O75" s="231"/>
      <c r="P75" s="231"/>
      <c r="Q75" s="231" t="s">
        <v>51</v>
      </c>
      <c r="R75" s="231" t="s">
        <v>24</v>
      </c>
      <c r="S75" s="231" t="s">
        <v>24</v>
      </c>
      <c r="T75" s="231" t="s">
        <v>24</v>
      </c>
      <c r="U75" s="231" t="s">
        <v>24</v>
      </c>
      <c r="V75" s="232" t="s">
        <v>51</v>
      </c>
      <c r="W75" s="231"/>
      <c r="X75" s="231"/>
      <c r="Y75" s="231"/>
      <c r="Z75" s="231"/>
      <c r="AA75" s="234"/>
      <c r="AB75" s="242"/>
      <c r="AC75" s="242"/>
      <c r="AD75" s="232" t="s">
        <v>51</v>
      </c>
      <c r="AE75" s="231"/>
      <c r="AF75" s="231"/>
      <c r="AG75" s="231"/>
      <c r="AH75" s="231"/>
      <c r="AI75" s="231"/>
      <c r="AJ75" s="231"/>
      <c r="AK75" s="231"/>
      <c r="AL75" s="234" t="s">
        <v>51</v>
      </c>
      <c r="AM75" s="231"/>
      <c r="AN75" s="231"/>
    </row>
    <row r="76" spans="1:40" s="9" customFormat="1" ht="32.1" customHeight="1" x14ac:dyDescent="0.25">
      <c r="A76" s="13" t="s">
        <v>251</v>
      </c>
      <c r="B76" s="229" t="str">
        <f>IF($A76="","",VLOOKUP($A76,'[2]3-Elaboration.O'!$A:$T,MATCH(B$1,'[2]150-Modele SGO'!$1:$1,0),FALSE))</f>
        <v>Quel est le volume estimé des marchés par an ?</v>
      </c>
      <c r="C76" s="229" t="str">
        <f>IF($A76="","",VLOOKUP($A76,'[2]3-Elaboration.O'!$A:$T,MATCH(C$1,'[2]150-Modele SGO'!$1:$1,0),FALSE))</f>
        <v>Champ libre</v>
      </c>
      <c r="D76" s="229" t="str">
        <f>IF($A76="","",VLOOKUP($A76,'[2]3-Elaboration.O'!$A:$T,MATCH(D$1,'[2]150-Modele SGO'!$1:$1,0),FALSE))</f>
        <v>Texte</v>
      </c>
      <c r="E76" s="230" t="s">
        <v>70</v>
      </c>
      <c r="F76" s="230"/>
      <c r="G76" s="250"/>
      <c r="H76" s="232" t="s">
        <v>35</v>
      </c>
      <c r="I76" s="234"/>
      <c r="J76" s="231"/>
      <c r="K76" s="231"/>
      <c r="L76" s="231"/>
      <c r="M76" s="232" t="s">
        <v>35</v>
      </c>
      <c r="N76" s="231"/>
      <c r="O76" s="231"/>
      <c r="P76" s="231"/>
      <c r="Q76" s="231" t="s">
        <v>35</v>
      </c>
      <c r="R76" s="231" t="s">
        <v>24</v>
      </c>
      <c r="S76" s="231" t="s">
        <v>24</v>
      </c>
      <c r="T76" s="231" t="s">
        <v>24</v>
      </c>
      <c r="U76" s="231" t="s">
        <v>24</v>
      </c>
      <c r="V76" s="232" t="s">
        <v>35</v>
      </c>
      <c r="W76" s="231"/>
      <c r="X76" s="231"/>
      <c r="Y76" s="231"/>
      <c r="Z76" s="231"/>
      <c r="AA76" s="234"/>
      <c r="AB76" s="242"/>
      <c r="AC76" s="242"/>
      <c r="AD76" s="232" t="s">
        <v>35</v>
      </c>
      <c r="AE76" s="231"/>
      <c r="AF76" s="231"/>
      <c r="AG76" s="250"/>
      <c r="AH76" s="231"/>
      <c r="AI76" s="231"/>
      <c r="AJ76" s="231"/>
      <c r="AK76" s="231"/>
      <c r="AL76" s="234" t="s">
        <v>35</v>
      </c>
      <c r="AM76" s="231"/>
      <c r="AN76" s="231"/>
    </row>
    <row r="77" spans="1:40" s="9" customFormat="1" ht="30" x14ac:dyDescent="0.25">
      <c r="A77" s="13" t="s">
        <v>253</v>
      </c>
      <c r="B77" s="229" t="str">
        <f>IF($A77="","",VLOOKUP($A77,'[2]3-Elaboration.O'!$A:$T,MATCH(B$1,'[2]150-Modele SGO'!$1:$1,0),FALSE))</f>
        <v>Quelles sont les modalités de passation des marchés subséquents ?</v>
      </c>
      <c r="C77" s="229" t="str">
        <f>IF($A77="","",VLOOKUP($A77,'[2]3-Elaboration.O'!$A:$T,MATCH(C$1,'[2]150-Modele SGO'!$1:$1,0),FALSE))</f>
        <v>A la survenance du besoin; par périodicité</v>
      </c>
      <c r="D77" s="229" t="str">
        <f>IF($A77="","",VLOOKUP($A77,'[2]3-Elaboration.O'!$A:$T,MATCH(D$1,'[2]150-Modele SGO'!$1:$1,0),FALSE))</f>
        <v xml:space="preserve">Liste choix unique </v>
      </c>
      <c r="E77" s="230" t="s">
        <v>70</v>
      </c>
      <c r="F77" s="230"/>
      <c r="G77" s="233" t="s">
        <v>254</v>
      </c>
      <c r="H77" s="232" t="s">
        <v>51</v>
      </c>
      <c r="I77" s="234"/>
      <c r="J77" s="231"/>
      <c r="K77" s="231"/>
      <c r="L77" s="231"/>
      <c r="M77" s="232" t="s">
        <v>51</v>
      </c>
      <c r="N77" s="231"/>
      <c r="O77" s="231"/>
      <c r="P77" s="231"/>
      <c r="Q77" s="231" t="s">
        <v>51</v>
      </c>
      <c r="R77" s="231" t="s">
        <v>24</v>
      </c>
      <c r="S77" s="231" t="s">
        <v>24</v>
      </c>
      <c r="T77" s="231" t="s">
        <v>24</v>
      </c>
      <c r="U77" s="231" t="s">
        <v>24</v>
      </c>
      <c r="V77" s="232" t="s">
        <v>51</v>
      </c>
      <c r="W77" s="231"/>
      <c r="X77" s="231"/>
      <c r="Y77" s="231"/>
      <c r="Z77" s="231"/>
      <c r="AA77" s="234"/>
      <c r="AB77" s="242"/>
      <c r="AC77" s="242"/>
      <c r="AD77" s="232" t="s">
        <v>51</v>
      </c>
      <c r="AE77" s="231"/>
      <c r="AF77" s="231"/>
      <c r="AG77" s="231"/>
      <c r="AH77" s="231"/>
      <c r="AI77" s="231"/>
      <c r="AJ77" s="231"/>
      <c r="AK77" s="231"/>
      <c r="AL77" s="234" t="s">
        <v>51</v>
      </c>
      <c r="AM77" s="231"/>
      <c r="AN77" s="231"/>
    </row>
    <row r="78" spans="1:40" s="9" customFormat="1" ht="15.75" x14ac:dyDescent="0.25">
      <c r="A78" s="123" t="s">
        <v>257</v>
      </c>
      <c r="B78" s="256" t="str">
        <f>IF($A78="","",VLOOKUP($A78,'[2]3-Elaboration.O'!$A:$T,MATCH(B$1,'[2]150-Modele SGO'!$1:$1,0),FALSE))</f>
        <v>03.2.3 Offre exécutée</v>
      </c>
      <c r="C78" s="256">
        <f>IF($A78="","",VLOOKUP($A78,'[2]3-Elaboration.O'!$A:$T,MATCH(C$1,'[2]150-Modele SGO'!$1:$1,0),FALSE))</f>
        <v>0</v>
      </c>
      <c r="D78" s="256">
        <f>IF($A78="","",VLOOKUP($A78,'[2]3-Elaboration.O'!$A:$T,MATCH(D$1,'[2]150-Modele SGO'!$1:$1,0),FALSE))</f>
        <v>0</v>
      </c>
      <c r="E78" s="257" t="s">
        <v>70</v>
      </c>
      <c r="F78" s="257"/>
      <c r="G78" s="260"/>
      <c r="H78" s="257" t="s">
        <v>30</v>
      </c>
      <c r="I78" s="258"/>
      <c r="J78" s="258"/>
      <c r="K78" s="258"/>
      <c r="L78" s="258"/>
      <c r="M78" s="257" t="s">
        <v>30</v>
      </c>
      <c r="N78" s="258"/>
      <c r="O78" s="258"/>
      <c r="P78" s="258"/>
      <c r="Q78" s="258" t="s">
        <v>30</v>
      </c>
      <c r="R78" s="258" t="s">
        <v>24</v>
      </c>
      <c r="S78" s="231" t="s">
        <v>24</v>
      </c>
      <c r="T78" s="258" t="s">
        <v>24</v>
      </c>
      <c r="U78" s="258" t="s">
        <v>24</v>
      </c>
      <c r="V78" s="257" t="s">
        <v>30</v>
      </c>
      <c r="W78" s="258"/>
      <c r="X78" s="258"/>
      <c r="Y78" s="258"/>
      <c r="Z78" s="258"/>
      <c r="AA78" s="259"/>
      <c r="AB78" s="258"/>
      <c r="AC78" s="258"/>
      <c r="AD78" s="257" t="s">
        <v>30</v>
      </c>
      <c r="AE78" s="260"/>
      <c r="AF78" s="260"/>
      <c r="AG78" s="261"/>
      <c r="AH78" s="260"/>
      <c r="AI78" s="260"/>
      <c r="AJ78" s="260"/>
      <c r="AK78" s="260"/>
      <c r="AL78" s="262" t="s">
        <v>30</v>
      </c>
      <c r="AM78" s="260"/>
      <c r="AN78" s="260"/>
    </row>
    <row r="79" spans="1:40" s="9" customFormat="1" ht="30" x14ac:dyDescent="0.25">
      <c r="A79" s="13" t="s">
        <v>259</v>
      </c>
      <c r="B79" s="229" t="str">
        <f>IF($A79="","",VLOOKUP($A79,'[2]3-Elaboration.O'!$A:$T,MATCH(B$1,'[2]150-Modele SGO'!$1:$1,0),FALSE))</f>
        <v xml:space="preserve">Préciser les modalités de passation en Accord-cadre mono et/ou en Accord-cadre multi attribué </v>
      </c>
      <c r="C79" s="229" t="str">
        <f>IF($A79="","",VLOOKUP($A79,'[2]3-Elaboration.O'!$A:$T,MATCH(C$1,'[2]150-Modele SGO'!$1:$1,0),FALSE))</f>
        <v>10-Détail_Lots'!A1</v>
      </c>
      <c r="D79" s="229" t="str">
        <f>IF($A79="","",VLOOKUP($A79,'[2]3-Elaboration.O'!$A:$T,MATCH(D$1,'[2]150-Modele SGO'!$1:$1,0),FALSE))</f>
        <v>Annexe 10 - Détail lots</v>
      </c>
      <c r="E79" s="230" t="s">
        <v>70</v>
      </c>
      <c r="F79" s="230"/>
      <c r="G79" s="250"/>
      <c r="H79" s="232" t="s">
        <v>35</v>
      </c>
      <c r="I79" s="231"/>
      <c r="J79" s="231"/>
      <c r="K79" s="231"/>
      <c r="L79" s="231"/>
      <c r="M79" s="232" t="s">
        <v>35</v>
      </c>
      <c r="N79" s="231"/>
      <c r="O79" s="231"/>
      <c r="P79" s="231"/>
      <c r="Q79" s="231" t="s">
        <v>35</v>
      </c>
      <c r="R79" s="231" t="s">
        <v>24</v>
      </c>
      <c r="S79" s="231" t="s">
        <v>24</v>
      </c>
      <c r="T79" s="231" t="s">
        <v>24</v>
      </c>
      <c r="U79" s="231" t="s">
        <v>24</v>
      </c>
      <c r="V79" s="232" t="s">
        <v>35</v>
      </c>
      <c r="W79" s="231"/>
      <c r="X79" s="231"/>
      <c r="Y79" s="231"/>
      <c r="Z79" s="231"/>
      <c r="AA79" s="234"/>
      <c r="AB79" s="231"/>
      <c r="AC79" s="231"/>
      <c r="AD79" s="232" t="s">
        <v>35</v>
      </c>
      <c r="AE79" s="231"/>
      <c r="AF79" s="231"/>
      <c r="AG79" s="250"/>
      <c r="AH79" s="231"/>
      <c r="AI79" s="231"/>
      <c r="AJ79" s="231"/>
      <c r="AK79" s="231"/>
      <c r="AL79" s="234" t="s">
        <v>35</v>
      </c>
      <c r="AM79" s="231"/>
      <c r="AN79" s="231"/>
    </row>
    <row r="80" spans="1:40" s="9" customFormat="1" ht="34.35" customHeight="1" x14ac:dyDescent="0.25">
      <c r="A80" s="13" t="s">
        <v>262</v>
      </c>
      <c r="B80" s="229" t="str">
        <f>IF($A80="","",VLOOKUP($A80,'[2]3-Elaboration.O'!$A:$T,MATCH(B$1,'[2]150-Modele SGO'!$1:$1,0),FALSE))</f>
        <v>Quelles sont les modalités de passation des marchés subséquents ou de passation de bons de commandes ?</v>
      </c>
      <c r="C80" s="229" t="str">
        <f>IF($A80="","",VLOOKUP($A80,'[2]3-Elaboration.O'!$A:$T,MATCH(C$1,'[2]150-Modele SGO'!$1:$1,0),FALSE))</f>
        <v>Passation des marchés subséquents à la survenance du besoin; Passation des marchés subséquents par périodicité ; Passation des Bons de commandes sur Accord-cadre</v>
      </c>
      <c r="D80" s="229" t="str">
        <f>IF($A80="","",VLOOKUP($A80,'[2]3-Elaboration.O'!$A:$T,MATCH(D$1,'[2]150-Modele SGO'!$1:$1,0),FALSE))</f>
        <v xml:space="preserve">Liste choix unique </v>
      </c>
      <c r="E80" s="230" t="s">
        <v>70</v>
      </c>
      <c r="F80" s="230"/>
      <c r="G80" s="233" t="s">
        <v>263</v>
      </c>
      <c r="H80" s="232" t="s">
        <v>51</v>
      </c>
      <c r="I80" s="231"/>
      <c r="J80" s="231"/>
      <c r="K80" s="231"/>
      <c r="L80" s="231"/>
      <c r="M80" s="232" t="s">
        <v>51</v>
      </c>
      <c r="N80" s="231"/>
      <c r="O80" s="231"/>
      <c r="P80" s="231"/>
      <c r="Q80" s="231" t="s">
        <v>51</v>
      </c>
      <c r="R80" s="231" t="s">
        <v>24</v>
      </c>
      <c r="S80" s="231" t="s">
        <v>24</v>
      </c>
      <c r="T80" s="231" t="s">
        <v>24</v>
      </c>
      <c r="U80" s="231" t="s">
        <v>24</v>
      </c>
      <c r="V80" s="232" t="s">
        <v>51</v>
      </c>
      <c r="W80" s="231"/>
      <c r="X80" s="231"/>
      <c r="Y80" s="231"/>
      <c r="Z80" s="231"/>
      <c r="AA80" s="234"/>
      <c r="AB80" s="242"/>
      <c r="AC80" s="242"/>
      <c r="AD80" s="232" t="s">
        <v>51</v>
      </c>
      <c r="AE80" s="250"/>
      <c r="AF80" s="250"/>
      <c r="AG80" s="250"/>
      <c r="AH80" s="250"/>
      <c r="AI80" s="250"/>
      <c r="AJ80" s="250"/>
      <c r="AK80" s="231"/>
      <c r="AL80" s="234" t="s">
        <v>51</v>
      </c>
      <c r="AM80" s="250"/>
      <c r="AN80" s="250"/>
    </row>
    <row r="81" spans="1:40" s="9" customFormat="1" ht="15.75" x14ac:dyDescent="0.25">
      <c r="A81" s="13" t="s">
        <v>266</v>
      </c>
      <c r="B81" s="229" t="str">
        <f>IF($A81="","",VLOOKUP($A81,'[2]3-Elaboration.O'!$A:$T,MATCH(B$1,'[2]150-Modele SGO'!$1:$1,0),FALSE))</f>
        <v>Quel est le volume estimé des marchés par an ?</v>
      </c>
      <c r="C81" s="229" t="str">
        <f>IF($A81="","",VLOOKUP($A81,'[2]3-Elaboration.O'!$A:$T,MATCH(C$1,'[2]150-Modele SGO'!$1:$1,0),FALSE))</f>
        <v>Champ libre</v>
      </c>
      <c r="D81" s="229" t="str">
        <f>IF($A81="","",VLOOKUP($A81,'[2]3-Elaboration.O'!$A:$T,MATCH(D$1,'[2]150-Modele SGO'!$1:$1,0),FALSE))</f>
        <v>Texte</v>
      </c>
      <c r="E81" s="230" t="s">
        <v>70</v>
      </c>
      <c r="F81" s="230"/>
      <c r="G81" s="250"/>
      <c r="H81" s="232" t="s">
        <v>35</v>
      </c>
      <c r="I81" s="231"/>
      <c r="J81" s="231"/>
      <c r="K81" s="231"/>
      <c r="L81" s="231"/>
      <c r="M81" s="232" t="s">
        <v>35</v>
      </c>
      <c r="N81" s="231"/>
      <c r="O81" s="231"/>
      <c r="P81" s="231"/>
      <c r="Q81" s="231" t="s">
        <v>35</v>
      </c>
      <c r="R81" s="231" t="s">
        <v>24</v>
      </c>
      <c r="S81" s="231" t="s">
        <v>24</v>
      </c>
      <c r="T81" s="231" t="s">
        <v>24</v>
      </c>
      <c r="U81" s="231" t="s">
        <v>24</v>
      </c>
      <c r="V81" s="232" t="s">
        <v>35</v>
      </c>
      <c r="W81" s="231"/>
      <c r="X81" s="231"/>
      <c r="Y81" s="231"/>
      <c r="Z81" s="231"/>
      <c r="AA81" s="234"/>
      <c r="AB81" s="242"/>
      <c r="AC81" s="242"/>
      <c r="AD81" s="232" t="s">
        <v>35</v>
      </c>
      <c r="AE81" s="250"/>
      <c r="AF81" s="250"/>
      <c r="AG81" s="250"/>
      <c r="AH81" s="250"/>
      <c r="AI81" s="250"/>
      <c r="AJ81" s="250"/>
      <c r="AK81" s="231"/>
      <c r="AL81" s="234" t="s">
        <v>35</v>
      </c>
      <c r="AM81" s="250"/>
      <c r="AN81" s="250"/>
    </row>
    <row r="82" spans="1:40" s="9" customFormat="1" ht="30" x14ac:dyDescent="0.25">
      <c r="A82" s="13" t="s">
        <v>267</v>
      </c>
      <c r="B82" s="229" t="str">
        <f>IF($A82="","",VLOOKUP($A82,'[2]3-Elaboration.O'!$A:$T,MATCH(B$1,'[2]150-Modele SGO'!$1:$1,0),FALSE))</f>
        <v xml:space="preserve">Quelle sera la forme des marchés subséquents </v>
      </c>
      <c r="C82" s="229" t="str">
        <f>IF($A82="","",VLOOKUP($A82,'[2]3-Elaboration.O'!$A:$T,MATCH(C$1,'[2]150-Modele SGO'!$1:$1,0),FALSE))</f>
        <v>Mono client;Multi client</v>
      </c>
      <c r="D82" s="229" t="str">
        <f>IF($A82="","",VLOOKUP($A82,'[2]3-Elaboration.O'!$A:$T,MATCH(D$1,'[2]150-Modele SGO'!$1:$1,0),FALSE))</f>
        <v>Liste choix multiple</v>
      </c>
      <c r="E82" s="230" t="s">
        <v>70</v>
      </c>
      <c r="F82" s="230" t="s">
        <v>44</v>
      </c>
      <c r="G82" s="250"/>
      <c r="H82" s="232" t="s">
        <v>35</v>
      </c>
      <c r="I82" s="231"/>
      <c r="J82" s="231"/>
      <c r="K82" s="231"/>
      <c r="L82" s="231"/>
      <c r="M82" s="232" t="s">
        <v>35</v>
      </c>
      <c r="N82" s="231"/>
      <c r="O82" s="231"/>
      <c r="P82" s="231"/>
      <c r="Q82" s="231" t="s">
        <v>35</v>
      </c>
      <c r="R82" s="231" t="s">
        <v>24</v>
      </c>
      <c r="S82" s="231" t="s">
        <v>24</v>
      </c>
      <c r="T82" s="231" t="s">
        <v>24</v>
      </c>
      <c r="U82" s="231" t="s">
        <v>24</v>
      </c>
      <c r="V82" s="232" t="s">
        <v>35</v>
      </c>
      <c r="W82" s="231"/>
      <c r="X82" s="231"/>
      <c r="Y82" s="231"/>
      <c r="Z82" s="231"/>
      <c r="AA82" s="234"/>
      <c r="AB82" s="231"/>
      <c r="AC82" s="231"/>
      <c r="AD82" s="232" t="s">
        <v>19</v>
      </c>
      <c r="AE82" s="233" t="s">
        <v>46</v>
      </c>
      <c r="AF82" s="231"/>
      <c r="AG82" s="250"/>
      <c r="AH82" s="231"/>
      <c r="AI82" s="231"/>
      <c r="AJ82" s="231"/>
      <c r="AK82" s="231"/>
      <c r="AL82" s="234" t="s">
        <v>35</v>
      </c>
      <c r="AM82" s="233"/>
      <c r="AN82" s="231"/>
    </row>
    <row r="83" spans="1:40" s="9" customFormat="1" ht="53.85" customHeight="1" x14ac:dyDescent="0.25">
      <c r="A83" s="13" t="s">
        <v>270</v>
      </c>
      <c r="B83" s="229" t="str">
        <f>IF($A83="","",VLOOKUP($A83,'[2]3-Elaboration.O'!$A:$T,MATCH(B$1,'[2]150-Modele SGO'!$1:$1,0),FALSE))</f>
        <v>Préciser les modalités de passation des marchés subséquents multi attribué ou des Accord-cadre avec BDC multi-attribué</v>
      </c>
      <c r="C83" s="229" t="str">
        <f>IF($A83="","",VLOOKUP($A83,'[2]3-Elaboration.O'!$A:$T,MATCH(C$1,'[2]150-Modele SGO'!$1:$1,0),FALSE))</f>
        <v>Annexe 10 - Détail_Lots</v>
      </c>
      <c r="D83" s="229" t="str">
        <f>IF($A83="","",VLOOKUP($A83,'[2]3-Elaboration.O'!$A:$T,MATCH(D$1,'[2]150-Modele SGO'!$1:$1,0),FALSE))</f>
        <v>Annexe 10 - Détail lots</v>
      </c>
      <c r="E83" s="230" t="s">
        <v>70</v>
      </c>
      <c r="F83" s="230"/>
      <c r="G83" s="250"/>
      <c r="H83" s="232" t="s">
        <v>35</v>
      </c>
      <c r="I83" s="231"/>
      <c r="J83" s="231"/>
      <c r="K83" s="231"/>
      <c r="L83" s="231"/>
      <c r="M83" s="232" t="s">
        <v>35</v>
      </c>
      <c r="N83" s="231"/>
      <c r="O83" s="231"/>
      <c r="P83" s="231"/>
      <c r="Q83" s="231" t="s">
        <v>35</v>
      </c>
      <c r="R83" s="231" t="s">
        <v>24</v>
      </c>
      <c r="S83" s="231" t="s">
        <v>24</v>
      </c>
      <c r="T83" s="231" t="s">
        <v>24</v>
      </c>
      <c r="U83" s="231" t="s">
        <v>24</v>
      </c>
      <c r="V83" s="232" t="s">
        <v>35</v>
      </c>
      <c r="W83" s="231"/>
      <c r="X83" s="231"/>
      <c r="Y83" s="231"/>
      <c r="Z83" s="231"/>
      <c r="AA83" s="234"/>
      <c r="AB83" s="231"/>
      <c r="AC83" s="231"/>
      <c r="AD83" s="232" t="s">
        <v>35</v>
      </c>
      <c r="AE83" s="231"/>
      <c r="AF83" s="231"/>
      <c r="AG83" s="233"/>
      <c r="AH83" s="231"/>
      <c r="AI83" s="231"/>
      <c r="AJ83" s="231"/>
      <c r="AK83" s="231"/>
      <c r="AL83" s="234" t="s">
        <v>35</v>
      </c>
      <c r="AM83" s="231"/>
      <c r="AN83" s="231"/>
    </row>
    <row r="84" spans="1:40" s="9" customFormat="1" ht="30" x14ac:dyDescent="0.25">
      <c r="A84" s="13" t="s">
        <v>272</v>
      </c>
      <c r="B84" s="229" t="str">
        <f>IF($A84="","",VLOOKUP($A84,'[2]3-Elaboration.O'!$A:$T,MATCH(B$1,'[2]150-Modele SGO'!$1:$1,0),FALSE))</f>
        <v>Quelles est la règle d'attribution des bons de commande  ?</v>
      </c>
      <c r="C84" s="229" t="str">
        <f>IF($A84="","",VLOOKUP($A84,'[2]3-Elaboration.O'!$A:$T,MATCH(C$1,'[2]150-Modele SGO'!$1:$1,0),FALSE))</f>
        <v>A la survenance du besoin;Périodicité</v>
      </c>
      <c r="D84" s="229" t="str">
        <f>IF($A84="","",VLOOKUP($A84,'[2]3-Elaboration.O'!$A:$T,MATCH(D$1,'[2]150-Modele SGO'!$1:$1,0),FALSE))</f>
        <v xml:space="preserve">Liste choix unique </v>
      </c>
      <c r="E84" s="230" t="s">
        <v>70</v>
      </c>
      <c r="F84" s="230"/>
      <c r="G84" s="233" t="s">
        <v>273</v>
      </c>
      <c r="H84" s="232" t="s">
        <v>51</v>
      </c>
      <c r="I84" s="231"/>
      <c r="J84" s="231"/>
      <c r="K84" s="231"/>
      <c r="L84" s="231"/>
      <c r="M84" s="232" t="s">
        <v>51</v>
      </c>
      <c r="N84" s="231"/>
      <c r="O84" s="231"/>
      <c r="P84" s="231"/>
      <c r="Q84" s="231" t="s">
        <v>51</v>
      </c>
      <c r="R84" s="231" t="s">
        <v>24</v>
      </c>
      <c r="S84" s="231" t="s">
        <v>24</v>
      </c>
      <c r="T84" s="231" t="s">
        <v>24</v>
      </c>
      <c r="U84" s="231" t="s">
        <v>24</v>
      </c>
      <c r="V84" s="232" t="s">
        <v>51</v>
      </c>
      <c r="W84" s="231"/>
      <c r="X84" s="231"/>
      <c r="Y84" s="231"/>
      <c r="Z84" s="231"/>
      <c r="AA84" s="234"/>
      <c r="AB84" s="231"/>
      <c r="AC84" s="231"/>
      <c r="AD84" s="232" t="s">
        <v>51</v>
      </c>
      <c r="AE84" s="231"/>
      <c r="AF84" s="231"/>
      <c r="AG84" s="231"/>
      <c r="AH84" s="231"/>
      <c r="AI84" s="231"/>
      <c r="AJ84" s="231"/>
      <c r="AK84" s="231"/>
      <c r="AL84" s="234" t="s">
        <v>51</v>
      </c>
      <c r="AM84" s="231"/>
      <c r="AN84" s="231"/>
    </row>
    <row r="85" spans="1:40" s="9" customFormat="1" ht="30" x14ac:dyDescent="0.25">
      <c r="A85" s="13" t="s">
        <v>276</v>
      </c>
      <c r="B85" s="229" t="str">
        <f>IF($A85="","",VLOOKUP($A85,'[2]3-Elaboration.O'!$A:$T,MATCH(B$1,'[2]150-Modele SGO'!$1:$1,0),FALSE))</f>
        <v>Le format "offre plurielle" s'applique-t'il ?</v>
      </c>
      <c r="C85" s="229" t="str">
        <f>IF($A85="","",VLOOKUP($A85,'[2]3-Elaboration.O'!$A:$T,MATCH(C$1,'[2]150-Modele SGO'!$1:$1,0),FALSE))</f>
        <v>Oui, le format offre plurielle s'applique; Non, le format offre plurielle ne s'applique pas</v>
      </c>
      <c r="D85" s="229" t="str">
        <f>IF($A85="","",VLOOKUP($A85,'[2]3-Elaboration.O'!$A:$T,MATCH(D$1,'[2]150-Modele SGO'!$1:$1,0),FALSE))</f>
        <v xml:space="preserve">Liste choix unique </v>
      </c>
      <c r="E85" s="230" t="s">
        <v>70</v>
      </c>
      <c r="F85" s="230"/>
      <c r="G85" s="233" t="s">
        <v>277</v>
      </c>
      <c r="H85" s="232" t="s">
        <v>51</v>
      </c>
      <c r="I85" s="231"/>
      <c r="J85" s="231"/>
      <c r="K85" s="231"/>
      <c r="L85" s="231"/>
      <c r="M85" s="232" t="s">
        <v>51</v>
      </c>
      <c r="N85" s="231"/>
      <c r="O85" s="231"/>
      <c r="P85" s="231"/>
      <c r="Q85" s="231" t="s">
        <v>51</v>
      </c>
      <c r="R85" s="231" t="s">
        <v>24</v>
      </c>
      <c r="S85" s="231" t="s">
        <v>24</v>
      </c>
      <c r="T85" s="231" t="s">
        <v>24</v>
      </c>
      <c r="U85" s="231" t="s">
        <v>24</v>
      </c>
      <c r="V85" s="232" t="s">
        <v>51</v>
      </c>
      <c r="W85" s="231"/>
      <c r="X85" s="231"/>
      <c r="Y85" s="231"/>
      <c r="Z85" s="231"/>
      <c r="AA85" s="234"/>
      <c r="AB85" s="231"/>
      <c r="AC85" s="231"/>
      <c r="AD85" s="232" t="s">
        <v>51</v>
      </c>
      <c r="AE85" s="231"/>
      <c r="AF85" s="231"/>
      <c r="AG85" s="231"/>
      <c r="AH85" s="231"/>
      <c r="AI85" s="231"/>
      <c r="AJ85" s="231"/>
      <c r="AK85" s="231"/>
      <c r="AL85" s="234" t="s">
        <v>51</v>
      </c>
      <c r="AM85" s="231"/>
      <c r="AN85" s="231"/>
    </row>
    <row r="86" spans="1:40" s="9" customFormat="1" ht="15.75" x14ac:dyDescent="0.25">
      <c r="A86" s="13" t="s">
        <v>280</v>
      </c>
      <c r="B86" s="229" t="str">
        <f>IF($A86="","",VLOOKUP($A86,'[2]3-Elaboration.O'!$A:$T,MATCH(B$1,'[2]150-Modele SGO'!$1:$1,0),FALSE))</f>
        <v>Si oui, renseigner les lots concernés</v>
      </c>
      <c r="C86" s="229" t="str">
        <f>IF($A86="","",VLOOKUP($A86,'[2]3-Elaboration.O'!$A:$T,MATCH(C$1,'[2]150-Modele SGO'!$1:$1,0),FALSE))</f>
        <v>Annexe 10 - Détail_Lots</v>
      </c>
      <c r="D86" s="229" t="str">
        <f>IF($A86="","",VLOOKUP($A86,'[2]3-Elaboration.O'!$A:$T,MATCH(D$1,'[2]150-Modele SGO'!$1:$1,0),FALSE))</f>
        <v>Annexe 10 - Détail lots</v>
      </c>
      <c r="E86" s="230" t="s">
        <v>70</v>
      </c>
      <c r="F86" s="230"/>
      <c r="G86" s="250"/>
      <c r="H86" s="232" t="s">
        <v>35</v>
      </c>
      <c r="I86" s="231"/>
      <c r="J86" s="231"/>
      <c r="K86" s="231"/>
      <c r="L86" s="231"/>
      <c r="M86" s="232" t="s">
        <v>35</v>
      </c>
      <c r="N86" s="231"/>
      <c r="O86" s="231"/>
      <c r="P86" s="231"/>
      <c r="Q86" s="231" t="s">
        <v>35</v>
      </c>
      <c r="R86" s="231" t="s">
        <v>24</v>
      </c>
      <c r="S86" s="231" t="s">
        <v>24</v>
      </c>
      <c r="T86" s="231" t="s">
        <v>24</v>
      </c>
      <c r="U86" s="231" t="s">
        <v>24</v>
      </c>
      <c r="V86" s="232" t="s">
        <v>35</v>
      </c>
      <c r="W86" s="231"/>
      <c r="X86" s="231"/>
      <c r="Y86" s="231"/>
      <c r="Z86" s="231"/>
      <c r="AA86" s="234"/>
      <c r="AB86" s="231"/>
      <c r="AC86" s="231"/>
      <c r="AD86" s="232" t="s">
        <v>35</v>
      </c>
      <c r="AE86" s="231"/>
      <c r="AF86" s="231"/>
      <c r="AG86" s="250"/>
      <c r="AH86" s="231"/>
      <c r="AI86" s="231"/>
      <c r="AJ86" s="231"/>
      <c r="AK86" s="231"/>
      <c r="AL86" s="234" t="s">
        <v>35</v>
      </c>
      <c r="AM86" s="231"/>
      <c r="AN86" s="231"/>
    </row>
    <row r="87" spans="1:40" s="9" customFormat="1" ht="15.75" x14ac:dyDescent="0.25">
      <c r="A87" s="108" t="s">
        <v>282</v>
      </c>
      <c r="B87" s="244" t="str">
        <f>IF($A87="","",VLOOKUP($A87,'[2]3-Elaboration.O'!$A:$T,MATCH(B$1,'[2]150-Modele SGO'!$1:$1,0),FALSE))</f>
        <v>03.3 Durée</v>
      </c>
      <c r="C87" s="244">
        <f>IF($A87="","",VLOOKUP($A87,'[2]3-Elaboration.O'!$A:$T,MATCH(C$1,'[2]150-Modele SGO'!$1:$1,0),FALSE))</f>
        <v>0</v>
      </c>
      <c r="D87" s="244">
        <f>IF($A87="","",VLOOKUP($A87,'[2]3-Elaboration.O'!$A:$T,MATCH(D$1,'[2]150-Modele SGO'!$1:$1,0),FALSE))</f>
        <v>0</v>
      </c>
      <c r="E87" s="241" t="s">
        <v>70</v>
      </c>
      <c r="F87" s="241"/>
      <c r="G87" s="251"/>
      <c r="H87" s="241" t="s">
        <v>30</v>
      </c>
      <c r="I87" s="237"/>
      <c r="J87" s="237"/>
      <c r="K87" s="237"/>
      <c r="L87" s="237"/>
      <c r="M87" s="241" t="s">
        <v>30</v>
      </c>
      <c r="N87" s="237"/>
      <c r="O87" s="237"/>
      <c r="P87" s="237"/>
      <c r="Q87" s="237" t="s">
        <v>30</v>
      </c>
      <c r="R87" s="237" t="s">
        <v>24</v>
      </c>
      <c r="S87" s="231" t="s">
        <v>24</v>
      </c>
      <c r="T87" s="237" t="s">
        <v>24</v>
      </c>
      <c r="U87" s="237" t="s">
        <v>24</v>
      </c>
      <c r="V87" s="241" t="s">
        <v>30</v>
      </c>
      <c r="W87" s="237"/>
      <c r="X87" s="237"/>
      <c r="Y87" s="237"/>
      <c r="Z87" s="237"/>
      <c r="AA87" s="239"/>
      <c r="AB87" s="237"/>
      <c r="AC87" s="237"/>
      <c r="AD87" s="241" t="s">
        <v>30</v>
      </c>
      <c r="AE87" s="251"/>
      <c r="AF87" s="251"/>
      <c r="AG87" s="252"/>
      <c r="AH87" s="251"/>
      <c r="AI87" s="251"/>
      <c r="AJ87" s="251"/>
      <c r="AK87" s="251"/>
      <c r="AL87" s="253" t="s">
        <v>30</v>
      </c>
      <c r="AM87" s="251"/>
      <c r="AN87" s="251"/>
    </row>
    <row r="88" spans="1:40" s="9" customFormat="1" ht="30" x14ac:dyDescent="0.25">
      <c r="A88" s="13" t="s">
        <v>284</v>
      </c>
      <c r="B88" s="229" t="str">
        <f>IF($A88="","",VLOOKUP($A88,'[2]3-Elaboration.O'!$A:$T,MATCH(B$1,'[2]150-Modele SGO'!$1:$1,0),FALSE))</f>
        <v>La durée du(es) marchés est-elle de 48 mois (toutes reconductions comprises) ?</v>
      </c>
      <c r="C88" s="229" t="str">
        <f>IF($A88="","",VLOOKUP($A88,'[2]3-Elaboration.O'!$A:$T,MATCH(C$1,'[2]150-Modele SGO'!$1:$1,0),FALSE))</f>
        <v>Oui, Durée de 48 mois; Non, dérogation à la durée de 48 mois</v>
      </c>
      <c r="D88" s="229" t="str">
        <f>IF($A88="","",VLOOKUP($A88,'[2]3-Elaboration.O'!$A:$T,MATCH(D$1,'[2]150-Modele SGO'!$1:$1,0),FALSE))</f>
        <v xml:space="preserve">Liste choix unique </v>
      </c>
      <c r="E88" s="230" t="s">
        <v>1521</v>
      </c>
      <c r="F88" s="230"/>
      <c r="G88" s="233" t="s">
        <v>285</v>
      </c>
      <c r="H88" s="232" t="s">
        <v>51</v>
      </c>
      <c r="I88" s="231"/>
      <c r="J88" s="231"/>
      <c r="K88" s="231"/>
      <c r="L88" s="231"/>
      <c r="M88" s="232" t="s">
        <v>51</v>
      </c>
      <c r="N88" s="231"/>
      <c r="O88" s="231"/>
      <c r="P88" s="231"/>
      <c r="Q88" s="231" t="s">
        <v>51</v>
      </c>
      <c r="R88" s="231" t="s">
        <v>24</v>
      </c>
      <c r="S88" s="231" t="s">
        <v>24</v>
      </c>
      <c r="T88" s="231" t="s">
        <v>24</v>
      </c>
      <c r="U88" s="231" t="s">
        <v>24</v>
      </c>
      <c r="V88" s="232" t="s">
        <v>51</v>
      </c>
      <c r="W88" s="231"/>
      <c r="X88" s="231"/>
      <c r="Y88" s="231"/>
      <c r="Z88" s="231"/>
      <c r="AA88" s="234"/>
      <c r="AB88" s="231"/>
      <c r="AC88" s="231"/>
      <c r="AD88" s="232" t="s">
        <v>51</v>
      </c>
      <c r="AE88" s="231"/>
      <c r="AF88" s="231"/>
      <c r="AG88" s="231"/>
      <c r="AH88" s="231"/>
      <c r="AI88" s="231"/>
      <c r="AJ88" s="231"/>
      <c r="AK88" s="231"/>
      <c r="AL88" s="234" t="s">
        <v>51</v>
      </c>
      <c r="AM88" s="231"/>
      <c r="AN88" s="231"/>
    </row>
    <row r="89" spans="1:40" s="9" customFormat="1" ht="409.5" x14ac:dyDescent="0.25">
      <c r="A89" s="13" t="s">
        <v>288</v>
      </c>
      <c r="B89" s="229" t="str">
        <f>IF($A89="","",VLOOKUP($A89,'[2]3-Elaboration.O'!$A:$T,MATCH(B$1,'[2]150-Modele SGO'!$1:$1,0),FALSE))</f>
        <v>Si non, préciser la durée du marché toutes reconductions comprises
(si durée autre que le choix sur liste, saisir directement le délai dans la réponse)</v>
      </c>
      <c r="C89" s="229" t="str">
        <f>IF($A89="","",VLOOKUP($A89,'[2]3-Elaboration.O'!$A:$T,MATCH(C$1,'[2]150-Modele SGO'!$1:$1,0),FALSE))</f>
        <v>Nombre de mois</v>
      </c>
      <c r="D89" s="229" t="str">
        <f>IF($A89="","",VLOOKUP($A89,'[2]3-Elaboration.O'!$A:$T,MATCH(D$1,'[2]150-Modele SGO'!$1:$1,0),FALSE))</f>
        <v xml:space="preserve">Liste de choix ou texte </v>
      </c>
      <c r="E89" s="230" t="s">
        <v>1521</v>
      </c>
      <c r="F89" s="230"/>
      <c r="G89" s="231"/>
      <c r="H89" s="232" t="s">
        <v>35</v>
      </c>
      <c r="I89" s="231"/>
      <c r="J89" s="231"/>
      <c r="K89" s="231"/>
      <c r="L89" s="231"/>
      <c r="M89" s="232" t="s">
        <v>35</v>
      </c>
      <c r="N89" s="231"/>
      <c r="O89" s="231"/>
      <c r="P89" s="231"/>
      <c r="Q89" s="231" t="s">
        <v>35</v>
      </c>
      <c r="R89" s="231" t="s">
        <v>24</v>
      </c>
      <c r="S89" s="231" t="s">
        <v>24</v>
      </c>
      <c r="T89" s="231" t="s">
        <v>24</v>
      </c>
      <c r="U89" s="231" t="s">
        <v>24</v>
      </c>
      <c r="V89" s="232" t="s">
        <v>35</v>
      </c>
      <c r="W89" s="231"/>
      <c r="X89" s="231"/>
      <c r="Y89" s="231"/>
      <c r="Z89" s="231"/>
      <c r="AA89" s="234"/>
      <c r="AB89" s="231"/>
      <c r="AC89" s="231"/>
      <c r="AD89" s="232" t="s">
        <v>26</v>
      </c>
      <c r="AE89" s="231"/>
      <c r="AF89" s="233" t="s">
        <v>46</v>
      </c>
      <c r="AG89" s="235" t="s">
        <v>1550</v>
      </c>
      <c r="AH89" s="233" t="s">
        <v>46</v>
      </c>
      <c r="AI89" s="233" t="s">
        <v>1551</v>
      </c>
      <c r="AJ89" s="233" t="s">
        <v>46</v>
      </c>
      <c r="AK89" s="233" t="s">
        <v>46</v>
      </c>
      <c r="AL89" s="235" t="s">
        <v>35</v>
      </c>
      <c r="AM89" s="231"/>
      <c r="AN89" s="233"/>
    </row>
    <row r="90" spans="1:40" s="9" customFormat="1" ht="15.75" x14ac:dyDescent="0.25">
      <c r="A90" s="13" t="s">
        <v>292</v>
      </c>
      <c r="B90" s="229" t="str">
        <f>IF($A90="","",VLOOKUP($A90,'[2]3-Elaboration.O'!$A:$T,MATCH(B$1,'[2]150-Modele SGO'!$1:$1,0),FALSE))</f>
        <v xml:space="preserve">Quelle est la durée initiale en mois du marché ? </v>
      </c>
      <c r="C90" s="229" t="str">
        <f>IF($A90="","",VLOOKUP($A90,'[2]3-Elaboration.O'!$A:$T,MATCH(C$1,'[2]150-Modele SGO'!$1:$1,0),FALSE))</f>
        <v>36 mois;autre</v>
      </c>
      <c r="D90" s="229" t="str">
        <f>IF($A90="","",VLOOKUP($A90,'[2]3-Elaboration.O'!$A:$T,MATCH(D$1,'[2]150-Modele SGO'!$1:$1,0),FALSE))</f>
        <v xml:space="preserve">Liste choix unique </v>
      </c>
      <c r="E90" s="230" t="s">
        <v>1521</v>
      </c>
      <c r="F90" s="230"/>
      <c r="G90" s="233" t="s">
        <v>293</v>
      </c>
      <c r="H90" s="232" t="s">
        <v>51</v>
      </c>
      <c r="I90" s="231"/>
      <c r="J90" s="231"/>
      <c r="K90" s="231"/>
      <c r="L90" s="231"/>
      <c r="M90" s="232" t="s">
        <v>51</v>
      </c>
      <c r="N90" s="231"/>
      <c r="O90" s="231"/>
      <c r="P90" s="231"/>
      <c r="Q90" s="231" t="s">
        <v>51</v>
      </c>
      <c r="R90" s="231" t="s">
        <v>24</v>
      </c>
      <c r="S90" s="231" t="s">
        <v>24</v>
      </c>
      <c r="T90" s="231" t="s">
        <v>24</v>
      </c>
      <c r="U90" s="231" t="s">
        <v>24</v>
      </c>
      <c r="V90" s="232" t="s">
        <v>51</v>
      </c>
      <c r="W90" s="231"/>
      <c r="X90" s="231"/>
      <c r="Y90" s="231"/>
      <c r="Z90" s="231"/>
      <c r="AA90" s="234"/>
      <c r="AB90" s="231"/>
      <c r="AC90" s="231"/>
      <c r="AD90" s="232" t="s">
        <v>51</v>
      </c>
      <c r="AE90" s="231"/>
      <c r="AF90" s="231"/>
      <c r="AG90" s="231"/>
      <c r="AH90" s="231"/>
      <c r="AI90" s="231"/>
      <c r="AJ90" s="231"/>
      <c r="AK90" s="231"/>
      <c r="AL90" s="234" t="s">
        <v>51</v>
      </c>
      <c r="AM90" s="231"/>
      <c r="AN90" s="231"/>
    </row>
    <row r="91" spans="1:40" s="9" customFormat="1" ht="15.75" x14ac:dyDescent="0.25">
      <c r="A91" s="13" t="s">
        <v>296</v>
      </c>
      <c r="B91" s="229" t="str">
        <f>IF($A91="","",VLOOKUP($A91,'[2]3-Elaboration.O'!$A:$T,MATCH(B$1,'[2]150-Modele SGO'!$1:$1,0),FALSE))</f>
        <v xml:space="preserve">Si autre, préciser la durée initiale </v>
      </c>
      <c r="C91" s="229" t="str">
        <f>IF($A91="","",VLOOKUP($A91,'[2]3-Elaboration.O'!$A:$T,MATCH(C$1,'[2]150-Modele SGO'!$1:$1,0),FALSE))</f>
        <v>Champ libre</v>
      </c>
      <c r="D91" s="229" t="str">
        <f>IF($A91="","",VLOOKUP($A91,'[2]3-Elaboration.O'!$A:$T,MATCH(D$1,'[2]150-Modele SGO'!$1:$1,0),FALSE))</f>
        <v>Texte</v>
      </c>
      <c r="E91" s="230" t="s">
        <v>1521</v>
      </c>
      <c r="F91" s="230"/>
      <c r="G91" s="231"/>
      <c r="H91" s="232" t="s">
        <v>35</v>
      </c>
      <c r="I91" s="231"/>
      <c r="J91" s="231"/>
      <c r="K91" s="231"/>
      <c r="L91" s="231"/>
      <c r="M91" s="232" t="s">
        <v>35</v>
      </c>
      <c r="N91" s="231"/>
      <c r="O91" s="231"/>
      <c r="P91" s="231"/>
      <c r="Q91" s="231" t="s">
        <v>35</v>
      </c>
      <c r="R91" s="231" t="s">
        <v>24</v>
      </c>
      <c r="S91" s="231" t="s">
        <v>24</v>
      </c>
      <c r="T91" s="231" t="s">
        <v>24</v>
      </c>
      <c r="U91" s="231" t="s">
        <v>24</v>
      </c>
      <c r="V91" s="232" t="s">
        <v>35</v>
      </c>
      <c r="W91" s="231"/>
      <c r="X91" s="231"/>
      <c r="Y91" s="231"/>
      <c r="Z91" s="231"/>
      <c r="AA91" s="234"/>
      <c r="AB91" s="231"/>
      <c r="AC91" s="231"/>
      <c r="AD91" s="232" t="s">
        <v>35</v>
      </c>
      <c r="AE91" s="231"/>
      <c r="AF91" s="231"/>
      <c r="AG91" s="231"/>
      <c r="AH91" s="231"/>
      <c r="AI91" s="231"/>
      <c r="AJ91" s="231"/>
      <c r="AK91" s="231"/>
      <c r="AL91" s="234" t="s">
        <v>35</v>
      </c>
      <c r="AM91" s="231"/>
      <c r="AN91" s="231"/>
    </row>
    <row r="92" spans="1:40" s="9" customFormat="1" ht="30" x14ac:dyDescent="0.25">
      <c r="A92" s="13" t="s">
        <v>298</v>
      </c>
      <c r="B92" s="229" t="str">
        <f>IF($A92="","",VLOOKUP($A92,'[2]3-Elaboration.O'!$A:$T,MATCH(B$1,'[2]150-Modele SGO'!$1:$1,0),FALSE))</f>
        <v>Le principe de reconduction s'applique t'il ?</v>
      </c>
      <c r="C92" s="229" t="str">
        <f>IF($A92="","",VLOOKUP($A92,'[2]3-Elaboration.O'!$A:$T,MATCH(C$1,'[2]150-Modele SGO'!$1:$1,0),FALSE))</f>
        <v>Oui, Le principe de reconduction s'applique;Non, dérogation au principe de reconduction</v>
      </c>
      <c r="D92" s="229" t="str">
        <f>IF($A92="","",VLOOKUP($A92,'[2]3-Elaboration.O'!$A:$T,MATCH(D$1,'[2]150-Modele SGO'!$1:$1,0),FALSE))</f>
        <v xml:space="preserve">Liste choix unique </v>
      </c>
      <c r="E92" s="230" t="s">
        <v>1521</v>
      </c>
      <c r="F92" s="230"/>
      <c r="G92" s="233" t="s">
        <v>299</v>
      </c>
      <c r="H92" s="232" t="s">
        <v>51</v>
      </c>
      <c r="I92" s="231"/>
      <c r="J92" s="231"/>
      <c r="K92" s="231"/>
      <c r="L92" s="231"/>
      <c r="M92" s="232" t="s">
        <v>51</v>
      </c>
      <c r="N92" s="231"/>
      <c r="O92" s="231"/>
      <c r="P92" s="231"/>
      <c r="Q92" s="231" t="s">
        <v>51</v>
      </c>
      <c r="R92" s="231" t="s">
        <v>24</v>
      </c>
      <c r="S92" s="231" t="s">
        <v>24</v>
      </c>
      <c r="T92" s="231" t="s">
        <v>24</v>
      </c>
      <c r="U92" s="231" t="s">
        <v>24</v>
      </c>
      <c r="V92" s="232" t="s">
        <v>51</v>
      </c>
      <c r="W92" s="231"/>
      <c r="X92" s="231"/>
      <c r="Y92" s="231"/>
      <c r="Z92" s="231"/>
      <c r="AA92" s="234"/>
      <c r="AB92" s="231"/>
      <c r="AC92" s="231"/>
      <c r="AD92" s="232" t="s">
        <v>51</v>
      </c>
      <c r="AE92" s="231"/>
      <c r="AF92" s="231"/>
      <c r="AG92" s="231"/>
      <c r="AH92" s="231"/>
      <c r="AI92" s="231"/>
      <c r="AJ92" s="231"/>
      <c r="AK92" s="231"/>
      <c r="AL92" s="234" t="s">
        <v>51</v>
      </c>
      <c r="AM92" s="231"/>
      <c r="AN92" s="231"/>
    </row>
    <row r="93" spans="1:40" s="9" customFormat="1" ht="32.1" customHeight="1" x14ac:dyDescent="0.25">
      <c r="A93" s="13" t="s">
        <v>302</v>
      </c>
      <c r="B93" s="229" t="str">
        <f>IF($A93="","",VLOOKUP($A93,'[2]3-Elaboration.O'!$A:$T,MATCH(B$1,'[2]150-Modele SGO'!$1:$1,0),FALSE))</f>
        <v>Si oui, expliquer les modalités de reconduction ?</v>
      </c>
      <c r="C93" s="229" t="str">
        <f>IF($A93="","",VLOOKUP($A93,'[2]3-Elaboration.O'!$A:$T,MATCH(C$1,'[2]150-Modele SGO'!$1:$1,0),FALSE))</f>
        <v>Expresse;Tacite</v>
      </c>
      <c r="D93" s="229" t="str">
        <f>IF($A93="","",VLOOKUP($A93,'[2]3-Elaboration.O'!$A:$T,MATCH(D$1,'[2]150-Modele SGO'!$1:$1,0),FALSE))</f>
        <v xml:space="preserve">Liste choix unique </v>
      </c>
      <c r="E93" s="230" t="s">
        <v>1521</v>
      </c>
      <c r="F93" s="230"/>
      <c r="G93" s="233" t="s">
        <v>303</v>
      </c>
      <c r="H93" s="232" t="s">
        <v>51</v>
      </c>
      <c r="I93" s="231"/>
      <c r="J93" s="231"/>
      <c r="K93" s="231"/>
      <c r="L93" s="231"/>
      <c r="M93" s="232" t="s">
        <v>51</v>
      </c>
      <c r="N93" s="231"/>
      <c r="O93" s="231"/>
      <c r="P93" s="231"/>
      <c r="Q93" s="231" t="s">
        <v>51</v>
      </c>
      <c r="R93" s="231" t="s">
        <v>24</v>
      </c>
      <c r="S93" s="231" t="s">
        <v>24</v>
      </c>
      <c r="T93" s="231" t="s">
        <v>24</v>
      </c>
      <c r="U93" s="231" t="s">
        <v>24</v>
      </c>
      <c r="V93" s="232" t="s">
        <v>51</v>
      </c>
      <c r="W93" s="231"/>
      <c r="X93" s="231"/>
      <c r="Y93" s="231"/>
      <c r="Z93" s="231"/>
      <c r="AA93" s="234"/>
      <c r="AB93" s="231"/>
      <c r="AC93" s="231"/>
      <c r="AD93" s="232" t="s">
        <v>51</v>
      </c>
      <c r="AE93" s="231"/>
      <c r="AF93" s="231"/>
      <c r="AG93" s="231"/>
      <c r="AH93" s="231"/>
      <c r="AI93" s="231"/>
      <c r="AJ93" s="231"/>
      <c r="AK93" s="231"/>
      <c r="AL93" s="234" t="s">
        <v>51</v>
      </c>
      <c r="AM93" s="231"/>
      <c r="AN93" s="231"/>
    </row>
    <row r="94" spans="1:40" s="9" customFormat="1" ht="69" customHeight="1" x14ac:dyDescent="0.25">
      <c r="A94" s="13" t="s">
        <v>306</v>
      </c>
      <c r="B94" s="229" t="str">
        <f>IF($A94="","",VLOOKUP($A94,'[2]3-Elaboration.O'!$A:$T,MATCH(B$1,'[2]150-Modele SGO'!$1:$1,0),FALSE))</f>
        <v xml:space="preserve">Si oui, Quel est le nombre de reconductions possibles ? </v>
      </c>
      <c r="C94" s="229" t="str">
        <f>IF($A94="","",VLOOKUP($A94,'[2]3-Elaboration.O'!$A:$T,MATCH(C$1,'[2]150-Modele SGO'!$1:$1,0),FALSE))</f>
        <v>1 reconduction;2 reconductions;3 reconductions; 4 reconductions</v>
      </c>
      <c r="D94" s="229" t="str">
        <f>IF($A94="","",VLOOKUP($A94,'[2]3-Elaboration.O'!$A:$T,MATCH(D$1,'[2]150-Modele SGO'!$1:$1,0),FALSE))</f>
        <v>Liste choix unique</v>
      </c>
      <c r="E94" s="230" t="s">
        <v>1521</v>
      </c>
      <c r="F94" s="230"/>
      <c r="G94" s="233" t="s">
        <v>307</v>
      </c>
      <c r="H94" s="232" t="s">
        <v>51</v>
      </c>
      <c r="I94" s="231"/>
      <c r="J94" s="231"/>
      <c r="K94" s="231"/>
      <c r="L94" s="231"/>
      <c r="M94" s="232" t="s">
        <v>51</v>
      </c>
      <c r="N94" s="231"/>
      <c r="O94" s="231"/>
      <c r="P94" s="231"/>
      <c r="Q94" s="231" t="s">
        <v>51</v>
      </c>
      <c r="R94" s="231" t="s">
        <v>24</v>
      </c>
      <c r="S94" s="231" t="s">
        <v>24</v>
      </c>
      <c r="T94" s="231" t="s">
        <v>24</v>
      </c>
      <c r="U94" s="231" t="s">
        <v>24</v>
      </c>
      <c r="V94" s="232" t="s">
        <v>51</v>
      </c>
      <c r="W94" s="231"/>
      <c r="X94" s="231"/>
      <c r="Y94" s="231"/>
      <c r="Z94" s="231"/>
      <c r="AA94" s="234"/>
      <c r="AB94" s="231"/>
      <c r="AC94" s="231"/>
      <c r="AD94" s="232" t="s">
        <v>51</v>
      </c>
      <c r="AE94" s="231"/>
      <c r="AF94" s="231"/>
      <c r="AG94" s="231"/>
      <c r="AH94" s="231"/>
      <c r="AI94" s="231"/>
      <c r="AJ94" s="231"/>
      <c r="AK94" s="231"/>
      <c r="AL94" s="234" t="s">
        <v>51</v>
      </c>
      <c r="AM94" s="231"/>
      <c r="AN94" s="231"/>
    </row>
    <row r="95" spans="1:40" s="9" customFormat="1" ht="30" x14ac:dyDescent="0.25">
      <c r="A95" s="13" t="s">
        <v>310</v>
      </c>
      <c r="B95" s="229" t="str">
        <f>IF($A95="","",VLOOKUP($A95,'[2]3-Elaboration.O'!$A:$T,MATCH(B$1,'[2]150-Modele SGO'!$1:$1,0),FALSE))</f>
        <v xml:space="preserve">Si oui, Quelle est la durée de chaque reconduction ? </v>
      </c>
      <c r="C95" s="229" t="str">
        <f>IF($A95="","",VLOOKUP($A95,'[2]3-Elaboration.O'!$A:$T,MATCH(C$1,'[2]150-Modele SGO'!$1:$1,0),FALSE))</f>
        <v>12 mois;6 mois;4 mois;3 mois;1 fois 6 mois et 2 fois 3 mois</v>
      </c>
      <c r="D95" s="229" t="str">
        <f>IF($A95="","",VLOOKUP($A95,'[2]3-Elaboration.O'!$A:$T,MATCH(D$1,'[2]150-Modele SGO'!$1:$1,0),FALSE))</f>
        <v>Liste choix unique</v>
      </c>
      <c r="E95" s="230" t="s">
        <v>1521</v>
      </c>
      <c r="F95" s="230"/>
      <c r="G95" s="233" t="s">
        <v>311</v>
      </c>
      <c r="H95" s="232" t="s">
        <v>51</v>
      </c>
      <c r="I95" s="231"/>
      <c r="J95" s="231"/>
      <c r="K95" s="231"/>
      <c r="L95" s="231"/>
      <c r="M95" s="232" t="s">
        <v>51</v>
      </c>
      <c r="N95" s="231"/>
      <c r="O95" s="231"/>
      <c r="P95" s="231"/>
      <c r="Q95" s="231" t="s">
        <v>51</v>
      </c>
      <c r="R95" s="231" t="s">
        <v>24</v>
      </c>
      <c r="S95" s="231" t="s">
        <v>24</v>
      </c>
      <c r="T95" s="231" t="s">
        <v>24</v>
      </c>
      <c r="U95" s="231" t="s">
        <v>24</v>
      </c>
      <c r="V95" s="232" t="s">
        <v>51</v>
      </c>
      <c r="W95" s="231"/>
      <c r="X95" s="231"/>
      <c r="Y95" s="231"/>
      <c r="Z95" s="231"/>
      <c r="AA95" s="234"/>
      <c r="AB95" s="231"/>
      <c r="AC95" s="231"/>
      <c r="AD95" s="232" t="s">
        <v>51</v>
      </c>
      <c r="AE95" s="231"/>
      <c r="AF95" s="231"/>
      <c r="AG95" s="231"/>
      <c r="AH95" s="231"/>
      <c r="AI95" s="231"/>
      <c r="AJ95" s="231"/>
      <c r="AK95" s="231"/>
      <c r="AL95" s="234" t="s">
        <v>51</v>
      </c>
      <c r="AM95" s="231"/>
      <c r="AN95" s="231"/>
    </row>
    <row r="96" spans="1:40" s="9" customFormat="1" ht="69" customHeight="1" x14ac:dyDescent="0.25">
      <c r="A96" s="13" t="s">
        <v>314</v>
      </c>
      <c r="B96" s="229" t="str">
        <f>IF($A96="","",VLOOKUP($A96,'[2]3-Elaboration.O'!$A:$T,MATCH(B$1,'[2]150-Modele SGO'!$1:$1,0),FALSE))</f>
        <v>Ces modalités  s'appliquent-elles à l'ensemble des lots ?</v>
      </c>
      <c r="C96" s="229" t="str">
        <f>IF($A96="","",VLOOKUP($A96,'[2]3-Elaboration.O'!$A:$T,MATCH(C$1,'[2]150-Modele SGO'!$1:$1,0),FALSE))</f>
        <v>Oui, ces modalités  s'appliquent à l'ensemble des lots; Non, ces modalités ne s'appliquent pas à l'ensemble des lots</v>
      </c>
      <c r="D96" s="229" t="str">
        <f>IF($A96="","",VLOOKUP($A96,'[2]3-Elaboration.O'!$A:$T,MATCH(D$1,'[2]150-Modele SGO'!$1:$1,0),FALSE))</f>
        <v>Liste choix unique</v>
      </c>
      <c r="E96" s="230" t="s">
        <v>1521</v>
      </c>
      <c r="F96" s="230"/>
      <c r="G96" s="231"/>
      <c r="H96" s="232" t="s">
        <v>35</v>
      </c>
      <c r="I96" s="231"/>
      <c r="J96" s="231"/>
      <c r="K96" s="231"/>
      <c r="L96" s="231"/>
      <c r="M96" s="232" t="s">
        <v>35</v>
      </c>
      <c r="N96" s="231"/>
      <c r="O96" s="231"/>
      <c r="P96" s="231"/>
      <c r="Q96" s="231" t="s">
        <v>35</v>
      </c>
      <c r="R96" s="231" t="s">
        <v>24</v>
      </c>
      <c r="S96" s="231" t="s">
        <v>24</v>
      </c>
      <c r="T96" s="231" t="s">
        <v>24</v>
      </c>
      <c r="U96" s="231" t="s">
        <v>24</v>
      </c>
      <c r="V96" s="232" t="s">
        <v>35</v>
      </c>
      <c r="W96" s="231"/>
      <c r="X96" s="231"/>
      <c r="Y96" s="231"/>
      <c r="Z96" s="231"/>
      <c r="AA96" s="234"/>
      <c r="AB96" s="231"/>
      <c r="AC96" s="231"/>
      <c r="AD96" s="232" t="s">
        <v>35</v>
      </c>
      <c r="AE96" s="231"/>
      <c r="AF96" s="231"/>
      <c r="AG96" s="231"/>
      <c r="AH96" s="231"/>
      <c r="AI96" s="231"/>
      <c r="AJ96" s="231"/>
      <c r="AK96" s="231"/>
      <c r="AL96" s="234" t="s">
        <v>35</v>
      </c>
      <c r="AM96" s="231"/>
      <c r="AN96" s="231"/>
    </row>
    <row r="97" spans="1:40" s="9" customFormat="1" ht="69" customHeight="1" x14ac:dyDescent="0.25">
      <c r="A97" s="13" t="s">
        <v>317</v>
      </c>
      <c r="B97" s="229" t="str">
        <f>IF($A97="","",VLOOKUP($A97,'[2]3-Elaboration.O'!$A:$T,MATCH(B$1,'[2]150-Modele SGO'!$1:$1,0),FALSE))</f>
        <v>Si non, préciser les modalités particlulières pour chaque lot</v>
      </c>
      <c r="C97" s="229" t="str">
        <f>IF($A97="","",VLOOKUP($A97,'[2]3-Elaboration.O'!$A:$T,MATCH(C$1,'[2]150-Modele SGO'!$1:$1,0),FALSE))</f>
        <v>Annexe 10 - Détail_Lots</v>
      </c>
      <c r="D97" s="229" t="str">
        <f>IF($A97="","",VLOOKUP($A97,'[2]3-Elaboration.O'!$A:$T,MATCH(D$1,'[2]150-Modele SGO'!$1:$1,0),FALSE))</f>
        <v>Annexe 10 - Détail lots</v>
      </c>
      <c r="E97" s="230" t="s">
        <v>1521</v>
      </c>
      <c r="F97" s="230"/>
      <c r="G97" s="231"/>
      <c r="H97" s="232" t="s">
        <v>35</v>
      </c>
      <c r="I97" s="231"/>
      <c r="J97" s="231"/>
      <c r="K97" s="231"/>
      <c r="L97" s="231"/>
      <c r="M97" s="232" t="s">
        <v>35</v>
      </c>
      <c r="N97" s="231"/>
      <c r="O97" s="231"/>
      <c r="P97" s="231"/>
      <c r="Q97" s="231" t="s">
        <v>35</v>
      </c>
      <c r="R97" s="231" t="s">
        <v>24</v>
      </c>
      <c r="S97" s="231" t="s">
        <v>24</v>
      </c>
      <c r="T97" s="231" t="s">
        <v>24</v>
      </c>
      <c r="U97" s="231" t="s">
        <v>24</v>
      </c>
      <c r="V97" s="232" t="s">
        <v>35</v>
      </c>
      <c r="W97" s="231"/>
      <c r="X97" s="231"/>
      <c r="Y97" s="231"/>
      <c r="Z97" s="231"/>
      <c r="AA97" s="234"/>
      <c r="AB97" s="231"/>
      <c r="AC97" s="231"/>
      <c r="AD97" s="232" t="s">
        <v>35</v>
      </c>
      <c r="AE97" s="231"/>
      <c r="AF97" s="231"/>
      <c r="AG97" s="231"/>
      <c r="AH97" s="231"/>
      <c r="AI97" s="231"/>
      <c r="AJ97" s="231"/>
      <c r="AK97" s="231"/>
      <c r="AL97" s="234" t="s">
        <v>35</v>
      </c>
      <c r="AM97" s="231"/>
      <c r="AN97" s="231"/>
    </row>
    <row r="98" spans="1:40" s="9" customFormat="1" ht="60" x14ac:dyDescent="0.25">
      <c r="A98" s="13" t="s">
        <v>319</v>
      </c>
      <c r="B98" s="229" t="str">
        <f>IF($A98="","",VLOOKUP($A98,'[2]3-Elaboration.O'!$A:$T,MATCH(B$1,'[2]150-Modele SGO'!$1:$1,0),FALSE))</f>
        <v xml:space="preserve">Durée d'exécution des bons de commande ou des marchés subséquents  dépassera t'elle la date de fin du support contractuel ? </v>
      </c>
      <c r="C98" s="229" t="str">
        <f>IF($A98="","",VLOOKUP($A98,'[2]3-Elaboration.O'!$A:$T,MATCH(C$1,'[2]150-Modele SGO'!$1:$1,0),FALSE))</f>
        <v>Oui, la durée des BDC demeure exécutable au-delà du support contractuel sur la base des durées annoncées dans le CCAP; Non, absence d'exécution des BDC ou MS au-delà du support contractuel</v>
      </c>
      <c r="D98" s="229" t="str">
        <f>IF($A98="","",VLOOKUP($A98,'[2]3-Elaboration.O'!$A:$T,MATCH(D$1,'[2]150-Modele SGO'!$1:$1,0),FALSE))</f>
        <v xml:space="preserve">Liste choix unique </v>
      </c>
      <c r="E98" s="230" t="s">
        <v>1521</v>
      </c>
      <c r="F98" s="230"/>
      <c r="G98" s="233" t="s">
        <v>320</v>
      </c>
      <c r="H98" s="232" t="s">
        <v>51</v>
      </c>
      <c r="I98" s="231"/>
      <c r="J98" s="231"/>
      <c r="K98" s="231"/>
      <c r="L98" s="231"/>
      <c r="M98" s="232" t="s">
        <v>51</v>
      </c>
      <c r="N98" s="231"/>
      <c r="O98" s="231"/>
      <c r="P98" s="231"/>
      <c r="Q98" s="231" t="s">
        <v>51</v>
      </c>
      <c r="R98" s="231" t="s">
        <v>24</v>
      </c>
      <c r="S98" s="231" t="s">
        <v>24</v>
      </c>
      <c r="T98" s="231" t="s">
        <v>24</v>
      </c>
      <c r="U98" s="231" t="s">
        <v>24</v>
      </c>
      <c r="V98" s="232" t="s">
        <v>51</v>
      </c>
      <c r="W98" s="231"/>
      <c r="X98" s="231"/>
      <c r="Y98" s="231"/>
      <c r="Z98" s="231"/>
      <c r="AA98" s="234"/>
      <c r="AB98" s="231"/>
      <c r="AC98" s="231"/>
      <c r="AD98" s="232" t="s">
        <v>51</v>
      </c>
      <c r="AE98" s="231"/>
      <c r="AF98" s="231"/>
      <c r="AG98" s="231"/>
      <c r="AH98" s="231"/>
      <c r="AI98" s="231"/>
      <c r="AJ98" s="231"/>
      <c r="AK98" s="231"/>
      <c r="AL98" s="234" t="s">
        <v>51</v>
      </c>
      <c r="AM98" s="231"/>
      <c r="AN98" s="231"/>
    </row>
    <row r="99" spans="1:40" s="9" customFormat="1" ht="30" x14ac:dyDescent="0.25">
      <c r="A99" s="13" t="s">
        <v>323</v>
      </c>
      <c r="B99" s="229" t="str">
        <f>IF($A99="","",VLOOKUP($A99,'[2]3-Elaboration.O'!$A:$T,MATCH(B$1,'[2]150-Modele SGO'!$1:$1,0),FALSE))</f>
        <v>Si oui, de combien de mois et sur quel périmètre (Ex : prestations de maintenance…) ?</v>
      </c>
      <c r="C99" s="229" t="str">
        <f>IF($A99="","",VLOOKUP($A99,'[2]3-Elaboration.O'!$A:$T,MATCH(C$1,'[2]150-Modele SGO'!$1:$1,0),FALSE))</f>
        <v>Champ libre</v>
      </c>
      <c r="D99" s="229" t="str">
        <f>IF($A99="","",VLOOKUP($A99,'[2]3-Elaboration.O'!$A:$T,MATCH(D$1,'[2]150-Modele SGO'!$1:$1,0),FALSE))</f>
        <v>Texte</v>
      </c>
      <c r="E99" s="230" t="s">
        <v>1521</v>
      </c>
      <c r="F99" s="230"/>
      <c r="G99" s="231"/>
      <c r="H99" s="232" t="s">
        <v>35</v>
      </c>
      <c r="I99" s="231"/>
      <c r="J99" s="231"/>
      <c r="K99" s="231"/>
      <c r="L99" s="231"/>
      <c r="M99" s="232" t="s">
        <v>35</v>
      </c>
      <c r="N99" s="231"/>
      <c r="O99" s="231"/>
      <c r="P99" s="231"/>
      <c r="Q99" s="231" t="s">
        <v>35</v>
      </c>
      <c r="R99" s="231" t="s">
        <v>24</v>
      </c>
      <c r="S99" s="231" t="s">
        <v>24</v>
      </c>
      <c r="T99" s="231" t="s">
        <v>24</v>
      </c>
      <c r="U99" s="231" t="s">
        <v>24</v>
      </c>
      <c r="V99" s="232" t="s">
        <v>35</v>
      </c>
      <c r="W99" s="231"/>
      <c r="X99" s="231"/>
      <c r="Y99" s="231"/>
      <c r="Z99" s="231"/>
      <c r="AA99" s="234"/>
      <c r="AB99" s="231"/>
      <c r="AC99" s="231"/>
      <c r="AD99" s="232" t="s">
        <v>35</v>
      </c>
      <c r="AE99" s="231"/>
      <c r="AF99" s="231"/>
      <c r="AG99" s="231"/>
      <c r="AH99" s="231"/>
      <c r="AI99" s="231"/>
      <c r="AJ99" s="231"/>
      <c r="AK99" s="231"/>
      <c r="AL99" s="234" t="s">
        <v>35</v>
      </c>
      <c r="AM99" s="231"/>
      <c r="AN99" s="231"/>
    </row>
    <row r="100" spans="1:40" s="9" customFormat="1" ht="69" customHeight="1" x14ac:dyDescent="0.25">
      <c r="A100" s="13" t="s">
        <v>325</v>
      </c>
      <c r="B100" s="229" t="str">
        <f>IF($A100="","",VLOOKUP($A100,'[2]3-Elaboration.O'!$A:$T,MATCH(B$1,'[2]150-Modele SGO'!$1:$1,0),FALSE))</f>
        <v>Si oui, ces modalités  s'appliquent-elles à l'ensemble des lots ?</v>
      </c>
      <c r="C100" s="229" t="str">
        <f>IF($A100="","",VLOOKUP($A100,'[2]3-Elaboration.O'!$A:$T,MATCH(C$1,'[2]150-Modele SGO'!$1:$1,0),FALSE))</f>
        <v>Oui, ces modalités  s'appliquent à l'ensemble des lots; Non, ces modalités ne s'appliquent pas à l'ensemble des lots</v>
      </c>
      <c r="D100" s="229" t="str">
        <f>IF($A100="","",VLOOKUP($A100,'[2]3-Elaboration.O'!$A:$T,MATCH(D$1,'[2]150-Modele SGO'!$1:$1,0),FALSE))</f>
        <v>Liste choix unique</v>
      </c>
      <c r="E100" s="230" t="s">
        <v>1521</v>
      </c>
      <c r="F100" s="230"/>
      <c r="G100" s="231"/>
      <c r="H100" s="232" t="s">
        <v>35</v>
      </c>
      <c r="I100" s="231"/>
      <c r="J100" s="231"/>
      <c r="K100" s="231"/>
      <c r="L100" s="231"/>
      <c r="M100" s="232" t="s">
        <v>35</v>
      </c>
      <c r="N100" s="231"/>
      <c r="O100" s="231"/>
      <c r="P100" s="231"/>
      <c r="Q100" s="231" t="s">
        <v>35</v>
      </c>
      <c r="R100" s="231" t="s">
        <v>24</v>
      </c>
      <c r="S100" s="231" t="s">
        <v>24</v>
      </c>
      <c r="T100" s="231" t="s">
        <v>24</v>
      </c>
      <c r="U100" s="231" t="s">
        <v>24</v>
      </c>
      <c r="V100" s="232" t="s">
        <v>35</v>
      </c>
      <c r="W100" s="231"/>
      <c r="X100" s="231"/>
      <c r="Y100" s="231"/>
      <c r="Z100" s="231"/>
      <c r="AA100" s="234"/>
      <c r="AB100" s="231"/>
      <c r="AC100" s="231"/>
      <c r="AD100" s="232" t="s">
        <v>35</v>
      </c>
      <c r="AE100" s="231"/>
      <c r="AF100" s="231"/>
      <c r="AG100" s="231"/>
      <c r="AH100" s="231"/>
      <c r="AI100" s="231"/>
      <c r="AJ100" s="231"/>
      <c r="AK100" s="231"/>
      <c r="AL100" s="234" t="s">
        <v>35</v>
      </c>
      <c r="AM100" s="231"/>
      <c r="AN100" s="231"/>
    </row>
    <row r="101" spans="1:40" s="9" customFormat="1" ht="69" customHeight="1" x14ac:dyDescent="0.25">
      <c r="A101" s="13" t="s">
        <v>327</v>
      </c>
      <c r="B101" s="229" t="str">
        <f>IF($A101="","",VLOOKUP($A101,'[2]3-Elaboration.O'!$A:$T,MATCH(B$1,'[2]150-Modele SGO'!$1:$1,0),FALSE))</f>
        <v>Si non, préciser les modalités particlulières pour chaque lot</v>
      </c>
      <c r="C101" s="229" t="str">
        <f>IF($A101="","",VLOOKUP($A101,'[2]3-Elaboration.O'!$A:$T,MATCH(C$1,'[2]150-Modele SGO'!$1:$1,0),FALSE))</f>
        <v>Annexe 10 - Détail_Lots</v>
      </c>
      <c r="D101" s="229" t="str">
        <f>IF($A101="","",VLOOKUP($A101,'[2]3-Elaboration.O'!$A:$T,MATCH(D$1,'[2]150-Modele SGO'!$1:$1,0),FALSE))</f>
        <v>Annexe 10 - Détail lots</v>
      </c>
      <c r="E101" s="230" t="s">
        <v>1521</v>
      </c>
      <c r="F101" s="230"/>
      <c r="G101" s="231"/>
      <c r="H101" s="232" t="s">
        <v>35</v>
      </c>
      <c r="I101" s="231"/>
      <c r="J101" s="231"/>
      <c r="K101" s="231"/>
      <c r="L101" s="231"/>
      <c r="M101" s="232" t="s">
        <v>35</v>
      </c>
      <c r="N101" s="231"/>
      <c r="O101" s="231"/>
      <c r="P101" s="231"/>
      <c r="Q101" s="231" t="s">
        <v>35</v>
      </c>
      <c r="R101" s="231" t="s">
        <v>24</v>
      </c>
      <c r="S101" s="231" t="s">
        <v>24</v>
      </c>
      <c r="T101" s="231" t="s">
        <v>24</v>
      </c>
      <c r="U101" s="231" t="s">
        <v>24</v>
      </c>
      <c r="V101" s="232" t="s">
        <v>35</v>
      </c>
      <c r="W101" s="231"/>
      <c r="X101" s="231"/>
      <c r="Y101" s="231"/>
      <c r="Z101" s="231"/>
      <c r="AA101" s="234"/>
      <c r="AB101" s="231"/>
      <c r="AC101" s="231"/>
      <c r="AD101" s="232" t="s">
        <v>35</v>
      </c>
      <c r="AE101" s="231"/>
      <c r="AF101" s="231"/>
      <c r="AG101" s="231"/>
      <c r="AH101" s="231"/>
      <c r="AI101" s="231"/>
      <c r="AJ101" s="231"/>
      <c r="AK101" s="231"/>
      <c r="AL101" s="234" t="s">
        <v>35</v>
      </c>
      <c r="AM101" s="231"/>
      <c r="AN101" s="231"/>
    </row>
    <row r="102" spans="1:40" s="9" customFormat="1" ht="84.6" customHeight="1" x14ac:dyDescent="0.25">
      <c r="A102" s="13" t="s">
        <v>328</v>
      </c>
      <c r="B102" s="229" t="str">
        <f>IF($A102="","",VLOOKUP($A102,'[2]3-Elaboration.O'!$A:$T,MATCH(B$1,'[2]150-Modele SGO'!$1:$1,0),FALSE))</f>
        <v>Des travaux d'interfacage ou de déploiement long sont-ils prévus nécessitant des échanges avec le titulaire avant ouverture du marché à la commercialisation ?</v>
      </c>
      <c r="C102" s="229" t="str">
        <f>IF($A102="","",VLOOKUP($A102,'[2]3-Elaboration.O'!$A:$T,MATCH(C$1,'[2]150-Modele SGO'!$1:$1,0),FALSE))</f>
        <v>Oui, travaux d'interfacage sont prévus; Oui, un déploiement long est prévu; Oui, des travaux d'interfaçage et de déploiement long sont prévus;  Non, absence de travaux d'interfacage ou de déploiement long</v>
      </c>
      <c r="D102" s="229" t="str">
        <f>IF($A102="","",VLOOKUP($A102,'[2]3-Elaboration.O'!$A:$T,MATCH(D$1,'[2]150-Modele SGO'!$1:$1,0),FALSE))</f>
        <v xml:space="preserve">Liste choix unique </v>
      </c>
      <c r="E102" s="230" t="s">
        <v>70</v>
      </c>
      <c r="F102" s="230"/>
      <c r="G102" s="231"/>
      <c r="H102" s="232" t="s">
        <v>26</v>
      </c>
      <c r="I102" s="231"/>
      <c r="J102" s="233" t="s">
        <v>1552</v>
      </c>
      <c r="K102" s="233" t="s">
        <v>1553</v>
      </c>
      <c r="L102" s="233" t="s">
        <v>1552</v>
      </c>
      <c r="M102" s="232" t="s">
        <v>26</v>
      </c>
      <c r="N102" s="231"/>
      <c r="O102" s="233" t="s">
        <v>329</v>
      </c>
      <c r="P102" s="233" t="s">
        <v>35</v>
      </c>
      <c r="Q102" s="233" t="s">
        <v>19</v>
      </c>
      <c r="R102" s="233" t="s">
        <v>1554</v>
      </c>
      <c r="S102" s="231" t="s">
        <v>24</v>
      </c>
      <c r="T102" s="231" t="s">
        <v>24</v>
      </c>
      <c r="U102" s="231" t="s">
        <v>24</v>
      </c>
      <c r="V102" s="232" t="s">
        <v>26</v>
      </c>
      <c r="W102" s="231"/>
      <c r="X102" s="233" t="s">
        <v>1555</v>
      </c>
      <c r="Y102" s="233" t="s">
        <v>329</v>
      </c>
      <c r="Z102" s="233" t="s">
        <v>1553</v>
      </c>
      <c r="AA102" s="233" t="s">
        <v>329</v>
      </c>
      <c r="AB102" s="233" t="s">
        <v>329</v>
      </c>
      <c r="AC102" s="233" t="s">
        <v>329</v>
      </c>
      <c r="AD102" s="232" t="s">
        <v>26</v>
      </c>
      <c r="AE102" s="231"/>
      <c r="AF102" s="233" t="s">
        <v>329</v>
      </c>
      <c r="AG102" s="233" t="s">
        <v>329</v>
      </c>
      <c r="AH102" s="233" t="s">
        <v>329</v>
      </c>
      <c r="AI102" s="233" t="s">
        <v>329</v>
      </c>
      <c r="AJ102" s="233" t="s">
        <v>329</v>
      </c>
      <c r="AK102" s="233" t="s">
        <v>1553</v>
      </c>
      <c r="AL102" s="235" t="s">
        <v>35</v>
      </c>
      <c r="AM102" s="231"/>
      <c r="AN102" s="231"/>
    </row>
    <row r="103" spans="1:40" s="9" customFormat="1" ht="15.75" x14ac:dyDescent="0.25">
      <c r="A103" s="108" t="s">
        <v>332</v>
      </c>
      <c r="B103" s="244" t="str">
        <f>IF($A103="","",VLOOKUP($A103,'[2]3-Elaboration.O'!$A:$T,MATCH(B$1,'[2]150-Modele SGO'!$1:$1,0),FALSE))</f>
        <v>03.4 Clause modificatives de marché</v>
      </c>
      <c r="C103" s="244">
        <f>IF($A103="","",VLOOKUP($A103,'[2]3-Elaboration.O'!$A:$T,MATCH(C$1,'[2]150-Modele SGO'!$1:$1,0),FALSE))</f>
        <v>0</v>
      </c>
      <c r="D103" s="244">
        <f>IF($A103="","",VLOOKUP($A103,'[2]3-Elaboration.O'!$A:$T,MATCH(D$1,'[2]150-Modele SGO'!$1:$1,0),FALSE))</f>
        <v>0</v>
      </c>
      <c r="E103" s="241" t="s">
        <v>70</v>
      </c>
      <c r="F103" s="241"/>
      <c r="G103" s="237"/>
      <c r="H103" s="241" t="s">
        <v>30</v>
      </c>
      <c r="I103" s="237"/>
      <c r="J103" s="237"/>
      <c r="K103" s="237"/>
      <c r="L103" s="237"/>
      <c r="M103" s="241" t="s">
        <v>30</v>
      </c>
      <c r="N103" s="237"/>
      <c r="O103" s="237"/>
      <c r="P103" s="237"/>
      <c r="Q103" s="237" t="s">
        <v>30</v>
      </c>
      <c r="R103" s="237" t="s">
        <v>24</v>
      </c>
      <c r="S103" s="231" t="s">
        <v>24</v>
      </c>
      <c r="T103" s="237" t="s">
        <v>24</v>
      </c>
      <c r="U103" s="237" t="s">
        <v>24</v>
      </c>
      <c r="V103" s="241" t="s">
        <v>30</v>
      </c>
      <c r="W103" s="237"/>
      <c r="X103" s="237"/>
      <c r="Y103" s="237"/>
      <c r="Z103" s="237"/>
      <c r="AA103" s="239"/>
      <c r="AB103" s="237"/>
      <c r="AC103" s="237"/>
      <c r="AD103" s="241" t="s">
        <v>30</v>
      </c>
      <c r="AE103" s="237"/>
      <c r="AF103" s="237"/>
      <c r="AG103" s="237"/>
      <c r="AH103" s="237"/>
      <c r="AI103" s="237"/>
      <c r="AJ103" s="237"/>
      <c r="AK103" s="237"/>
      <c r="AL103" s="239" t="s">
        <v>30</v>
      </c>
      <c r="AM103" s="237"/>
      <c r="AN103" s="237"/>
    </row>
    <row r="104" spans="1:40" s="9" customFormat="1" ht="45" x14ac:dyDescent="0.25">
      <c r="A104" s="13" t="s">
        <v>334</v>
      </c>
      <c r="B104" s="229" t="str">
        <f>IF($A104="","",VLOOKUP($A104,'[2]3-Elaboration.O'!$A:$T,MATCH(B$1,'[2]150-Modele SGO'!$1:$1,0),FALSE))</f>
        <v xml:space="preserve">Quelles sont les clauses modificatives applicables ?	</v>
      </c>
      <c r="C104" s="229" t="str">
        <f>IF($A104="","",VLOOKUP($A104,'[2]3-Elaboration.O'!$A:$T,MATCH(C$1,'[2]150-Modele SGO'!$1:$1,0),FALSE))</f>
        <v xml:space="preserve">Clause promo;Clause devis 5%;Clause de réexamen;Avenant;marchés de prestations similaires
</v>
      </c>
      <c r="D104" s="229" t="str">
        <f>IF($A104="","",VLOOKUP($A104,'[2]3-Elaboration.O'!$A:$T,MATCH(D$1,'[2]150-Modele SGO'!$1:$1,0),FALSE))</f>
        <v>Liste choix multiple</v>
      </c>
      <c r="E104" s="230" t="s">
        <v>70</v>
      </c>
      <c r="F104" s="230" t="s">
        <v>44</v>
      </c>
      <c r="G104" s="233" t="s">
        <v>335</v>
      </c>
      <c r="H104" s="232" t="s">
        <v>51</v>
      </c>
      <c r="I104" s="231"/>
      <c r="J104" s="231"/>
      <c r="K104" s="231"/>
      <c r="L104" s="231"/>
      <c r="M104" s="232" t="s">
        <v>51</v>
      </c>
      <c r="N104" s="231"/>
      <c r="O104" s="231"/>
      <c r="P104" s="231"/>
      <c r="Q104" s="231" t="s">
        <v>51</v>
      </c>
      <c r="R104" s="231" t="s">
        <v>24</v>
      </c>
      <c r="S104" s="231" t="s">
        <v>24</v>
      </c>
      <c r="T104" s="231" t="s">
        <v>24</v>
      </c>
      <c r="U104" s="231" t="s">
        <v>24</v>
      </c>
      <c r="V104" s="232" t="s">
        <v>51</v>
      </c>
      <c r="W104" s="231"/>
      <c r="X104" s="231"/>
      <c r="Y104" s="231"/>
      <c r="Z104" s="231"/>
      <c r="AA104" s="234"/>
      <c r="AB104" s="242"/>
      <c r="AC104" s="242"/>
      <c r="AD104" s="232" t="s">
        <v>51</v>
      </c>
      <c r="AE104" s="231"/>
      <c r="AF104" s="231"/>
      <c r="AG104" s="250"/>
      <c r="AH104" s="231"/>
      <c r="AI104" s="231"/>
      <c r="AJ104" s="231"/>
      <c r="AK104" s="231"/>
      <c r="AL104" s="234" t="s">
        <v>51</v>
      </c>
      <c r="AM104" s="231"/>
      <c r="AN104" s="231"/>
    </row>
    <row r="105" spans="1:40" s="9" customFormat="1" ht="15.75" x14ac:dyDescent="0.25">
      <c r="A105" s="142" t="s">
        <v>338</v>
      </c>
      <c r="B105" s="256" t="str">
        <f>IF($A105="","",VLOOKUP($A105,'[2]3-Elaboration.O'!$A:$T,MATCH(B$1,'[2]150-Modele SGO'!$1:$1,0),FALSE))</f>
        <v>03.4.1 Clause de réexamen</v>
      </c>
      <c r="C105" s="256">
        <f>IF($A105="","",VLOOKUP($A105,'[2]3-Elaboration.O'!$A:$T,MATCH(C$1,'[2]150-Modele SGO'!$1:$1,0),FALSE))</f>
        <v>0</v>
      </c>
      <c r="D105" s="256">
        <f>IF($A105="","",VLOOKUP($A105,'[2]3-Elaboration.O'!$A:$T,MATCH(D$1,'[2]150-Modele SGO'!$1:$1,0),FALSE))</f>
        <v>0</v>
      </c>
      <c r="E105" s="257" t="s">
        <v>70</v>
      </c>
      <c r="F105" s="257"/>
      <c r="G105" s="258"/>
      <c r="H105" s="257" t="s">
        <v>30</v>
      </c>
      <c r="I105" s="258"/>
      <c r="J105" s="258"/>
      <c r="K105" s="258"/>
      <c r="L105" s="258"/>
      <c r="M105" s="257" t="s">
        <v>30</v>
      </c>
      <c r="N105" s="258"/>
      <c r="O105" s="258"/>
      <c r="P105" s="258"/>
      <c r="Q105" s="258" t="s">
        <v>30</v>
      </c>
      <c r="R105" s="258" t="s">
        <v>24</v>
      </c>
      <c r="S105" s="231" t="s">
        <v>24</v>
      </c>
      <c r="T105" s="258" t="s">
        <v>24</v>
      </c>
      <c r="U105" s="258" t="s">
        <v>24</v>
      </c>
      <c r="V105" s="257" t="s">
        <v>30</v>
      </c>
      <c r="W105" s="258"/>
      <c r="X105" s="258"/>
      <c r="Y105" s="258"/>
      <c r="Z105" s="258"/>
      <c r="AA105" s="259"/>
      <c r="AB105" s="258"/>
      <c r="AC105" s="258"/>
      <c r="AD105" s="257" t="s">
        <v>30</v>
      </c>
      <c r="AE105" s="258"/>
      <c r="AF105" s="258"/>
      <c r="AG105" s="258"/>
      <c r="AH105" s="258"/>
      <c r="AI105" s="258"/>
      <c r="AJ105" s="258"/>
      <c r="AK105" s="258"/>
      <c r="AL105" s="259" t="s">
        <v>30</v>
      </c>
      <c r="AM105" s="258"/>
      <c r="AN105" s="258"/>
    </row>
    <row r="106" spans="1:40" s="9" customFormat="1" ht="144.6" customHeight="1" x14ac:dyDescent="0.25">
      <c r="A106" s="13" t="s">
        <v>340</v>
      </c>
      <c r="B106" s="229" t="str">
        <f>IF($A106="","",VLOOKUP($A106,'[2]3-Elaboration.O'!$A:$T,MATCH(B$1,'[2]150-Modele SGO'!$1:$1,0),FALSE))</f>
        <v xml:space="preserve">Si clause de réexamen applicable, quel est le périmètre de la clause de réexamen </v>
      </c>
      <c r="C106" s="229" t="str">
        <f>IF($A106="","",VLOOKUP($A106,'[2]3-Elaboration.O'!$A:$T,MATCH(C$1,'[2]150-Modele SGO'!$1:$1,0),FALSE))</f>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
      <c r="D106" s="229" t="str">
        <f>IF($A106="","",VLOOKUP($A106,'[2]3-Elaboration.O'!$A:$T,MATCH(D$1,'[2]150-Modele SGO'!$1:$1,0),FALSE))</f>
        <v>Liste choix multiple</v>
      </c>
      <c r="E106" s="230" t="s">
        <v>70</v>
      </c>
      <c r="F106" s="230" t="s">
        <v>44</v>
      </c>
      <c r="G106" s="233" t="s">
        <v>341</v>
      </c>
      <c r="H106" s="232" t="s">
        <v>51</v>
      </c>
      <c r="I106" s="231"/>
      <c r="J106" s="231"/>
      <c r="K106" s="231"/>
      <c r="L106" s="231"/>
      <c r="M106" s="232" t="s">
        <v>51</v>
      </c>
      <c r="N106" s="231"/>
      <c r="O106" s="231"/>
      <c r="P106" s="231"/>
      <c r="Q106" s="231" t="s">
        <v>51</v>
      </c>
      <c r="R106" s="231" t="s">
        <v>24</v>
      </c>
      <c r="S106" s="231" t="s">
        <v>24</v>
      </c>
      <c r="T106" s="231" t="s">
        <v>24</v>
      </c>
      <c r="U106" s="231" t="s">
        <v>24</v>
      </c>
      <c r="V106" s="232" t="s">
        <v>51</v>
      </c>
      <c r="W106" s="231"/>
      <c r="X106" s="231"/>
      <c r="Y106" s="231"/>
      <c r="Z106" s="231"/>
      <c r="AA106" s="234"/>
      <c r="AB106" s="231"/>
      <c r="AC106" s="231"/>
      <c r="AD106" s="232" t="s">
        <v>51</v>
      </c>
      <c r="AE106" s="231"/>
      <c r="AF106" s="231"/>
      <c r="AG106" s="231"/>
      <c r="AH106" s="231"/>
      <c r="AI106" s="231"/>
      <c r="AJ106" s="231"/>
      <c r="AK106" s="231"/>
      <c r="AL106" s="234" t="s">
        <v>51</v>
      </c>
      <c r="AM106" s="231"/>
      <c r="AN106" s="231"/>
    </row>
    <row r="107" spans="1:40" s="9" customFormat="1" ht="409.5" x14ac:dyDescent="0.25">
      <c r="A107" s="13" t="s">
        <v>344</v>
      </c>
      <c r="B107" s="229" t="str">
        <f>IF($A107="","",VLOOKUP($A107,'[2]3-Elaboration.O'!$A:$T,MATCH(B$1,'[2]150-Modele SGO'!$1:$1,0),FALSE))</f>
        <v>Si autre, expliquer le périmètre complémentaire applicable en matière de clause de réexamen</v>
      </c>
      <c r="C107" s="229" t="str">
        <f>IF($A107="","",VLOOKUP($A107,'[2]3-Elaboration.O'!$A:$T,MATCH(C$1,'[2]150-Modele SGO'!$1:$1,0),FALSE))</f>
        <v>Champ libre</v>
      </c>
      <c r="D107" s="229" t="str">
        <f>IF($A107="","",VLOOKUP($A107,'[2]3-Elaboration.O'!$A:$T,MATCH(D$1,'[2]150-Modele SGO'!$1:$1,0),FALSE))</f>
        <v>Texte</v>
      </c>
      <c r="E107" s="230" t="s">
        <v>70</v>
      </c>
      <c r="F107" s="230"/>
      <c r="G107" s="231"/>
      <c r="H107" s="232" t="s">
        <v>35</v>
      </c>
      <c r="I107" s="231"/>
      <c r="J107" s="231"/>
      <c r="K107" s="231"/>
      <c r="L107" s="231"/>
      <c r="M107" s="232" t="s">
        <v>35</v>
      </c>
      <c r="N107" s="231"/>
      <c r="O107" s="231"/>
      <c r="P107" s="231"/>
      <c r="Q107" s="231" t="s">
        <v>35</v>
      </c>
      <c r="R107" s="231" t="s">
        <v>24</v>
      </c>
      <c r="S107" s="231" t="s">
        <v>24</v>
      </c>
      <c r="T107" s="231" t="s">
        <v>24</v>
      </c>
      <c r="U107" s="231" t="s">
        <v>24</v>
      </c>
      <c r="V107" s="232" t="s">
        <v>35</v>
      </c>
      <c r="W107" s="231"/>
      <c r="X107" s="231"/>
      <c r="Y107" s="231"/>
      <c r="Z107" s="231"/>
      <c r="AA107" s="234"/>
      <c r="AB107" s="231"/>
      <c r="AC107" s="231"/>
      <c r="AD107" s="232" t="s">
        <v>35</v>
      </c>
      <c r="AE107" s="231"/>
      <c r="AF107" s="231" t="s">
        <v>1556</v>
      </c>
      <c r="AG107" s="231" t="s">
        <v>1556</v>
      </c>
      <c r="AH107" s="231" t="s">
        <v>1556</v>
      </c>
      <c r="AI107" s="231" t="s">
        <v>1556</v>
      </c>
      <c r="AJ107" s="231" t="s">
        <v>1556</v>
      </c>
      <c r="AK107" s="231"/>
      <c r="AL107" s="234" t="s">
        <v>35</v>
      </c>
      <c r="AM107" s="231"/>
      <c r="AN107" s="231"/>
    </row>
    <row r="108" spans="1:40" s="9" customFormat="1" ht="15.75" x14ac:dyDescent="0.25">
      <c r="A108" s="142" t="s">
        <v>346</v>
      </c>
      <c r="B108" s="256" t="str">
        <f>IF($A108="","",VLOOKUP($A108,'[2]3-Elaboration.O'!$A:$T,MATCH(B$1,'[2]150-Modele SGO'!$1:$1,0),FALSE))</f>
        <v>03.4.2 Clause promotionnelle</v>
      </c>
      <c r="C108" s="256">
        <f>IF($A108="","",VLOOKUP($A108,'[2]3-Elaboration.O'!$A:$T,MATCH(C$1,'[2]150-Modele SGO'!$1:$1,0),FALSE))</f>
        <v>0</v>
      </c>
      <c r="D108" s="256">
        <f>IF($A108="","",VLOOKUP($A108,'[2]3-Elaboration.O'!$A:$T,MATCH(D$1,'[2]150-Modele SGO'!$1:$1,0),FALSE))</f>
        <v>0</v>
      </c>
      <c r="E108" s="257" t="s">
        <v>70</v>
      </c>
      <c r="F108" s="257"/>
      <c r="G108" s="258"/>
      <c r="H108" s="257" t="s">
        <v>30</v>
      </c>
      <c r="I108" s="258"/>
      <c r="J108" s="258"/>
      <c r="K108" s="258"/>
      <c r="L108" s="258"/>
      <c r="M108" s="257" t="s">
        <v>30</v>
      </c>
      <c r="N108" s="258"/>
      <c r="O108" s="258"/>
      <c r="P108" s="258"/>
      <c r="Q108" s="258" t="s">
        <v>30</v>
      </c>
      <c r="R108" s="258" t="s">
        <v>24</v>
      </c>
      <c r="S108" s="231" t="s">
        <v>24</v>
      </c>
      <c r="T108" s="258" t="s">
        <v>24</v>
      </c>
      <c r="U108" s="258" t="s">
        <v>24</v>
      </c>
      <c r="V108" s="257" t="s">
        <v>30</v>
      </c>
      <c r="W108" s="258"/>
      <c r="X108" s="258"/>
      <c r="Y108" s="258"/>
      <c r="Z108" s="258"/>
      <c r="AA108" s="259"/>
      <c r="AB108" s="258"/>
      <c r="AC108" s="258"/>
      <c r="AD108" s="257" t="s">
        <v>30</v>
      </c>
      <c r="AE108" s="258"/>
      <c r="AF108" s="258"/>
      <c r="AG108" s="258"/>
      <c r="AH108" s="258"/>
      <c r="AI108" s="258"/>
      <c r="AJ108" s="258"/>
      <c r="AK108" s="258"/>
      <c r="AL108" s="259" t="s">
        <v>30</v>
      </c>
      <c r="AM108" s="258"/>
      <c r="AN108" s="258"/>
    </row>
    <row r="109" spans="1:40" s="9" customFormat="1" ht="130.5" customHeight="1" x14ac:dyDescent="0.25">
      <c r="A109" s="263" t="s">
        <v>348</v>
      </c>
      <c r="B109" s="229" t="str">
        <f>IF($A109="","",VLOOKUP($A109,'[2]3-Elaboration.O'!$A:$T,MATCH(B$1,'[2]150-Modele SGO'!$1:$1,0),FALSE))</f>
        <v>Si clause promotionnelle applicable, quel est le périmètre applicable ?</v>
      </c>
      <c r="C109" s="229" t="str">
        <f>IF($A109="","",VLOOKUP($A109,'[2]3-Elaboration.O'!$A:$T,MATCH(C$1,'[2]150-Modele SGO'!$1:$1,0),FALSE))</f>
        <v>Diminution du prix net d'un ou de plusieurs matériel(s)/prestations;La mise en place de conditionnements promotionnels (vente de lots);La mise en place de packages dit promotionnels regroupant plusieurs matériels, options, accessoires du marché</v>
      </c>
      <c r="D109" s="229" t="str">
        <f>IF($A109="","",VLOOKUP($A109,'[2]3-Elaboration.O'!$A:$T,MATCH(D$1,'[2]150-Modele SGO'!$1:$1,0),FALSE))</f>
        <v>Liste choix multiple</v>
      </c>
      <c r="E109" s="230" t="s">
        <v>70</v>
      </c>
      <c r="F109" s="230" t="s">
        <v>44</v>
      </c>
      <c r="G109" s="233" t="s">
        <v>349</v>
      </c>
      <c r="H109" s="232" t="s">
        <v>51</v>
      </c>
      <c r="I109" s="231"/>
      <c r="J109" s="231"/>
      <c r="K109" s="231"/>
      <c r="L109" s="231"/>
      <c r="M109" s="232" t="s">
        <v>51</v>
      </c>
      <c r="N109" s="231"/>
      <c r="O109" s="231"/>
      <c r="P109" s="231"/>
      <c r="Q109" s="231" t="s">
        <v>51</v>
      </c>
      <c r="R109" s="231" t="s">
        <v>24</v>
      </c>
      <c r="S109" s="231" t="s">
        <v>24</v>
      </c>
      <c r="T109" s="231" t="s">
        <v>24</v>
      </c>
      <c r="U109" s="231" t="s">
        <v>24</v>
      </c>
      <c r="V109" s="232" t="s">
        <v>51</v>
      </c>
      <c r="W109" s="231"/>
      <c r="X109" s="231"/>
      <c r="Y109" s="231"/>
      <c r="Z109" s="231"/>
      <c r="AA109" s="234"/>
      <c r="AB109" s="231"/>
      <c r="AC109" s="242"/>
      <c r="AD109" s="232" t="s">
        <v>51</v>
      </c>
      <c r="AE109" s="231"/>
      <c r="AF109" s="231"/>
      <c r="AG109" s="231"/>
      <c r="AH109" s="231"/>
      <c r="AI109" s="231"/>
      <c r="AJ109" s="231"/>
      <c r="AK109" s="231"/>
      <c r="AL109" s="234" t="s">
        <v>51</v>
      </c>
      <c r="AM109" s="231"/>
      <c r="AN109" s="231"/>
    </row>
    <row r="110" spans="1:40" s="9" customFormat="1" ht="15.75" x14ac:dyDescent="0.25">
      <c r="A110" s="108" t="s">
        <v>352</v>
      </c>
      <c r="B110" s="244" t="str">
        <f>IF($A110="","",VLOOKUP($A110,'[2]3-Elaboration.O'!$A:$T,MATCH(B$1,'[2]150-Modele SGO'!$1:$1,0),FALSE))</f>
        <v>03.5 Gestion de la fin de contrat client</v>
      </c>
      <c r="C110" s="244">
        <f>IF($A110="","",VLOOKUP($A110,'[2]3-Elaboration.O'!$A:$T,MATCH(C$1,'[2]150-Modele SGO'!$1:$1,0),FALSE))</f>
        <v>0</v>
      </c>
      <c r="D110" s="244">
        <f>IF($A110="","",VLOOKUP($A110,'[2]3-Elaboration.O'!$A:$T,MATCH(D$1,'[2]150-Modele SGO'!$1:$1,0),FALSE))</f>
        <v>0</v>
      </c>
      <c r="E110" s="241" t="s">
        <v>70</v>
      </c>
      <c r="F110" s="241"/>
      <c r="G110" s="237"/>
      <c r="H110" s="241" t="s">
        <v>30</v>
      </c>
      <c r="I110" s="237"/>
      <c r="J110" s="237"/>
      <c r="K110" s="237"/>
      <c r="L110" s="237"/>
      <c r="M110" s="241" t="s">
        <v>30</v>
      </c>
      <c r="N110" s="237"/>
      <c r="O110" s="237"/>
      <c r="P110" s="237"/>
      <c r="Q110" s="237" t="s">
        <v>30</v>
      </c>
      <c r="R110" s="237" t="s">
        <v>24</v>
      </c>
      <c r="S110" s="231" t="s">
        <v>24</v>
      </c>
      <c r="T110" s="237" t="s">
        <v>24</v>
      </c>
      <c r="U110" s="237" t="s">
        <v>24</v>
      </c>
      <c r="V110" s="241" t="s">
        <v>30</v>
      </c>
      <c r="W110" s="237"/>
      <c r="X110" s="237"/>
      <c r="Y110" s="237"/>
      <c r="Z110" s="237"/>
      <c r="AA110" s="239"/>
      <c r="AB110" s="237"/>
      <c r="AC110" s="237"/>
      <c r="AD110" s="241" t="s">
        <v>30</v>
      </c>
      <c r="AE110" s="237"/>
      <c r="AF110" s="237"/>
      <c r="AG110" s="252"/>
      <c r="AH110" s="237"/>
      <c r="AI110" s="237"/>
      <c r="AJ110" s="237"/>
      <c r="AK110" s="237"/>
      <c r="AL110" s="239" t="s">
        <v>30</v>
      </c>
      <c r="AM110" s="237"/>
      <c r="AN110" s="237"/>
    </row>
    <row r="111" spans="1:40" s="9" customFormat="1" ht="75" x14ac:dyDescent="0.25">
      <c r="A111" s="13" t="s">
        <v>354</v>
      </c>
      <c r="B111" s="229" t="str">
        <f>IF($A111="","",VLOOKUP($A111,'[2]3-Elaboration.O'!$A:$T,MATCH(B$1,'[2]150-Modele SGO'!$1:$1,0),FALSE))</f>
        <v>Des obligations particulières relatives à la gestion des fins de contrats sont-elles a préciser dans des documents contractuels, processus et ou pilotées  ?</v>
      </c>
      <c r="C111" s="229" t="str">
        <f>IF($A111="","",VLOOKUP($A111,'[2]3-Elaboration.O'!$A:$T,MATCH(C$1,'[2]150-Modele SGO'!$1:$1,0),FALSE))</f>
        <v>Oui, obligations particulières à la gestion des fins de contrats; Non, absence d'obligations particulières à la gestion des fins de contrats</v>
      </c>
      <c r="D111" s="229" t="str">
        <f>IF($A111="","",VLOOKUP($A111,'[2]3-Elaboration.O'!$A:$T,MATCH(D$1,'[2]150-Modele SGO'!$1:$1,0),FALSE))</f>
        <v xml:space="preserve">Liste choix unique </v>
      </c>
      <c r="E111" s="230" t="s">
        <v>70</v>
      </c>
      <c r="F111" s="230"/>
      <c r="G111" s="231"/>
      <c r="H111" s="232" t="s">
        <v>19</v>
      </c>
      <c r="I111" s="233" t="s">
        <v>1557</v>
      </c>
      <c r="J111" s="231"/>
      <c r="K111" s="231"/>
      <c r="L111" s="231"/>
      <c r="M111" s="232" t="s">
        <v>26</v>
      </c>
      <c r="N111" s="231"/>
      <c r="O111" s="233" t="s">
        <v>1557</v>
      </c>
      <c r="P111" s="233" t="s">
        <v>35</v>
      </c>
      <c r="Q111" s="233" t="s">
        <v>19</v>
      </c>
      <c r="R111" s="233" t="s">
        <v>355</v>
      </c>
      <c r="S111" s="231" t="s">
        <v>24</v>
      </c>
      <c r="T111" s="231" t="s">
        <v>24</v>
      </c>
      <c r="U111" s="231" t="s">
        <v>24</v>
      </c>
      <c r="V111" s="232" t="s">
        <v>26</v>
      </c>
      <c r="W111" s="231"/>
      <c r="X111" s="233" t="s">
        <v>355</v>
      </c>
      <c r="Y111" s="233" t="s">
        <v>355</v>
      </c>
      <c r="Z111" s="233" t="s">
        <v>1557</v>
      </c>
      <c r="AA111" s="235" t="s">
        <v>355</v>
      </c>
      <c r="AB111" s="233" t="s">
        <v>355</v>
      </c>
      <c r="AC111" s="233" t="s">
        <v>1557</v>
      </c>
      <c r="AD111" s="232" t="s">
        <v>26</v>
      </c>
      <c r="AE111" s="231"/>
      <c r="AF111" s="233" t="s">
        <v>1557</v>
      </c>
      <c r="AG111" s="233" t="s">
        <v>1557</v>
      </c>
      <c r="AH111" s="233" t="s">
        <v>1557</v>
      </c>
      <c r="AI111" s="233" t="s">
        <v>355</v>
      </c>
      <c r="AJ111" s="233" t="s">
        <v>1557</v>
      </c>
      <c r="AK111" s="233" t="s">
        <v>1557</v>
      </c>
      <c r="AL111" s="235" t="s">
        <v>35</v>
      </c>
      <c r="AM111" s="231"/>
      <c r="AN111" s="231"/>
    </row>
    <row r="112" spans="1:40" s="9" customFormat="1" ht="30" x14ac:dyDescent="0.25">
      <c r="A112" s="13" t="s">
        <v>358</v>
      </c>
      <c r="B112" s="229" t="str">
        <f>IF($A112="","",VLOOKUP($A112,'[2]3-Elaboration.O'!$A:$T,MATCH(B$1,'[2]150-Modele SGO'!$1:$1,0),FALSE))</f>
        <v>Si oui, préciser l'attendu après échanges avec les référents DCDT concernés</v>
      </c>
      <c r="C112" s="229" t="str">
        <f>IF($A112="","",VLOOKUP($A112,'[2]3-Elaboration.O'!$A:$T,MATCH(C$1,'[2]150-Modele SGO'!$1:$1,0),FALSE))</f>
        <v>Champ libre</v>
      </c>
      <c r="D112" s="229" t="str">
        <f>IF($A112="","",VLOOKUP($A112,'[2]3-Elaboration.O'!$A:$T,MATCH(D$1,'[2]150-Modele SGO'!$1:$1,0),FALSE))</f>
        <v>Texte</v>
      </c>
      <c r="E112" s="230" t="s">
        <v>70</v>
      </c>
      <c r="F112" s="230"/>
      <c r="G112" s="231"/>
      <c r="H112" s="232" t="s">
        <v>35</v>
      </c>
      <c r="I112" s="231"/>
      <c r="J112" s="231"/>
      <c r="K112" s="231"/>
      <c r="L112" s="231"/>
      <c r="M112" s="232" t="s">
        <v>35</v>
      </c>
      <c r="N112" s="231"/>
      <c r="O112" s="231"/>
      <c r="P112" s="231"/>
      <c r="Q112" s="231" t="s">
        <v>35</v>
      </c>
      <c r="R112" s="231" t="s">
        <v>24</v>
      </c>
      <c r="S112" s="231" t="s">
        <v>24</v>
      </c>
      <c r="T112" s="231" t="s">
        <v>24</v>
      </c>
      <c r="U112" s="231" t="s">
        <v>24</v>
      </c>
      <c r="V112" s="232" t="s">
        <v>35</v>
      </c>
      <c r="W112" s="231"/>
      <c r="X112" s="231"/>
      <c r="Y112" s="231"/>
      <c r="Z112" s="231"/>
      <c r="AA112" s="234"/>
      <c r="AB112" s="231"/>
      <c r="AC112" s="231"/>
      <c r="AD112" s="232" t="s">
        <v>35</v>
      </c>
      <c r="AE112" s="231"/>
      <c r="AF112" s="231"/>
      <c r="AG112" s="231"/>
      <c r="AH112" s="231"/>
      <c r="AI112" s="231"/>
      <c r="AJ112" s="231"/>
      <c r="AK112" s="231"/>
      <c r="AL112" s="234" t="s">
        <v>35</v>
      </c>
      <c r="AM112" s="231"/>
      <c r="AN112" s="231"/>
    </row>
    <row r="113" spans="1:40" s="9" customFormat="1" ht="75" x14ac:dyDescent="0.25">
      <c r="A113" s="13" t="s">
        <v>360</v>
      </c>
      <c r="B113" s="229" t="str">
        <f>IF($A113="","",VLOOKUP($A113,'[2]3-Elaboration.O'!$A:$T,MATCH(B$1,'[2]150-Modele SGO'!$1:$1,0),FALSE))</f>
        <v>Si oui, un accompagnement est-il souhaité pour la modélisation du plan de gestion des fins de contrat ?</v>
      </c>
      <c r="C113" s="229" t="str">
        <f>IF($A113="","",VLOOKUP($A113,'[2]3-Elaboration.O'!$A:$T,MATCH(C$1,'[2]150-Modele SGO'!$1:$1,0),FALSE))</f>
        <v>Oui, Accompagnement souhaité pour la gestion des fins de contrats; Non, absence d'accompagnement à la gestion des fins de contrats</v>
      </c>
      <c r="D113" s="229" t="str">
        <f>IF($A113="","",VLOOKUP($A113,'[2]3-Elaboration.O'!$A:$T,MATCH(D$1,'[2]150-Modele SGO'!$1:$1,0),FALSE))</f>
        <v xml:space="preserve">Liste choix unique </v>
      </c>
      <c r="E113" s="230" t="s">
        <v>70</v>
      </c>
      <c r="F113" s="230"/>
      <c r="G113" s="231"/>
      <c r="H113" s="232" t="s">
        <v>19</v>
      </c>
      <c r="I113" s="233" t="s">
        <v>361</v>
      </c>
      <c r="J113" s="231"/>
      <c r="K113" s="231"/>
      <c r="L113" s="231"/>
      <c r="M113" s="232" t="s">
        <v>26</v>
      </c>
      <c r="N113" s="231"/>
      <c r="O113" s="233" t="s">
        <v>361</v>
      </c>
      <c r="P113" s="233" t="s">
        <v>35</v>
      </c>
      <c r="Q113" s="233" t="s">
        <v>26</v>
      </c>
      <c r="R113" s="231" t="s">
        <v>24</v>
      </c>
      <c r="S113" s="233" t="s">
        <v>1558</v>
      </c>
      <c r="T113" s="233" t="s">
        <v>1558</v>
      </c>
      <c r="U113" s="233" t="s">
        <v>361</v>
      </c>
      <c r="V113" s="232" t="s">
        <v>26</v>
      </c>
      <c r="W113" s="231"/>
      <c r="X113" s="233" t="s">
        <v>1559</v>
      </c>
      <c r="Y113" s="233" t="s">
        <v>361</v>
      </c>
      <c r="Z113" s="233" t="s">
        <v>46</v>
      </c>
      <c r="AA113" s="235" t="s">
        <v>361</v>
      </c>
      <c r="AB113" s="233" t="s">
        <v>361</v>
      </c>
      <c r="AC113" s="233" t="s">
        <v>46</v>
      </c>
      <c r="AD113" s="232" t="s">
        <v>19</v>
      </c>
      <c r="AE113" s="233" t="s">
        <v>361</v>
      </c>
      <c r="AF113" s="231"/>
      <c r="AG113" s="231"/>
      <c r="AH113" s="231"/>
      <c r="AI113" s="231"/>
      <c r="AJ113" s="231"/>
      <c r="AK113" s="231"/>
      <c r="AL113" s="234" t="s">
        <v>35</v>
      </c>
      <c r="AM113" s="231"/>
      <c r="AN113" s="231"/>
    </row>
    <row r="114" spans="1:40" s="9" customFormat="1" ht="15.75" x14ac:dyDescent="0.25">
      <c r="A114" s="24" t="s">
        <v>364</v>
      </c>
      <c r="B114" s="249" t="str">
        <f>IF($A114="","",VLOOKUP($A114,'[2]3-Elaboration.O'!$A:$T,MATCH(B$1,'[2]150-Modele SGO'!$1:$1,0),FALSE))</f>
        <v>04.0 DEVIS ET COMMANDE</v>
      </c>
      <c r="C114" s="255">
        <f>IF($A114="","",VLOOKUP($A114,'[2]3-Elaboration.O'!$A:$T,MATCH(C$1,'[2]150-Modele SGO'!$1:$1,0),FALSE))</f>
        <v>0</v>
      </c>
      <c r="D114" s="255">
        <f>IF($A114="","",VLOOKUP($A114,'[2]3-Elaboration.O'!$A:$T,MATCH(D$1,'[2]150-Modele SGO'!$1:$1,0),FALSE))</f>
        <v>0</v>
      </c>
      <c r="E114" s="1" t="s">
        <v>70</v>
      </c>
      <c r="F114" s="1"/>
      <c r="G114" s="231"/>
      <c r="H114" s="238" t="s">
        <v>30</v>
      </c>
      <c r="I114" s="231"/>
      <c r="J114" s="231"/>
      <c r="K114" s="231"/>
      <c r="L114" s="231"/>
      <c r="M114" s="238" t="s">
        <v>30</v>
      </c>
      <c r="N114" s="231"/>
      <c r="O114" s="231"/>
      <c r="P114" s="231"/>
      <c r="Q114" s="231" t="s">
        <v>30</v>
      </c>
      <c r="R114" s="231" t="s">
        <v>24</v>
      </c>
      <c r="S114" s="231" t="s">
        <v>24</v>
      </c>
      <c r="T114" s="231" t="s">
        <v>24</v>
      </c>
      <c r="U114" s="231" t="s">
        <v>24</v>
      </c>
      <c r="V114" s="238" t="s">
        <v>30</v>
      </c>
      <c r="W114" s="231"/>
      <c r="X114" s="231"/>
      <c r="Y114" s="231"/>
      <c r="Z114" s="231"/>
      <c r="AA114" s="234"/>
      <c r="AB114" s="231"/>
      <c r="AC114" s="231"/>
      <c r="AD114" s="238" t="s">
        <v>30</v>
      </c>
      <c r="AE114" s="231"/>
      <c r="AF114" s="231"/>
      <c r="AG114" s="231"/>
      <c r="AH114" s="231"/>
      <c r="AI114" s="231"/>
      <c r="AJ114" s="231"/>
      <c r="AK114" s="231"/>
      <c r="AL114" s="234" t="s">
        <v>30</v>
      </c>
      <c r="AM114" s="231"/>
      <c r="AN114" s="231"/>
    </row>
    <row r="115" spans="1:40" s="9" customFormat="1" ht="15.75" x14ac:dyDescent="0.25">
      <c r="A115" s="108" t="s">
        <v>366</v>
      </c>
      <c r="B115" s="244" t="str">
        <f>IF($A115="","",VLOOKUP($A115,'[2]3-Elaboration.O'!$A:$T,MATCH(B$1,'[2]150-Modele SGO'!$1:$1,0),FALSE))</f>
        <v>04.1 Prérequis à l'établissement d'un devis</v>
      </c>
      <c r="C115" s="244">
        <f>IF($A115="","",VLOOKUP($A115,'[2]3-Elaboration.O'!$A:$T,MATCH(C$1,'[2]150-Modele SGO'!$1:$1,0),FALSE))</f>
        <v>0</v>
      </c>
      <c r="D115" s="244">
        <f>IF($A115="","",VLOOKUP($A115,'[2]3-Elaboration.O'!$A:$T,MATCH(D$1,'[2]150-Modele SGO'!$1:$1,0),FALSE))</f>
        <v>0</v>
      </c>
      <c r="E115" s="241" t="s">
        <v>70</v>
      </c>
      <c r="F115" s="241"/>
      <c r="G115" s="251"/>
      <c r="H115" s="241" t="s">
        <v>30</v>
      </c>
      <c r="I115" s="237"/>
      <c r="J115" s="237"/>
      <c r="K115" s="237"/>
      <c r="L115" s="237"/>
      <c r="M115" s="241" t="s">
        <v>30</v>
      </c>
      <c r="N115" s="237"/>
      <c r="O115" s="237"/>
      <c r="P115" s="237"/>
      <c r="Q115" s="237" t="s">
        <v>30</v>
      </c>
      <c r="R115" s="237" t="s">
        <v>24</v>
      </c>
      <c r="S115" s="231" t="s">
        <v>24</v>
      </c>
      <c r="T115" s="237" t="s">
        <v>24</v>
      </c>
      <c r="U115" s="237" t="s">
        <v>24</v>
      </c>
      <c r="V115" s="241" t="s">
        <v>30</v>
      </c>
      <c r="W115" s="237"/>
      <c r="X115" s="237"/>
      <c r="Y115" s="237"/>
      <c r="Z115" s="237"/>
      <c r="AA115" s="239"/>
      <c r="AB115" s="237"/>
      <c r="AC115" s="237"/>
      <c r="AD115" s="241" t="s">
        <v>30</v>
      </c>
      <c r="AE115" s="251"/>
      <c r="AF115" s="251"/>
      <c r="AG115" s="252"/>
      <c r="AH115" s="251"/>
      <c r="AI115" s="251"/>
      <c r="AJ115" s="251"/>
      <c r="AK115" s="251"/>
      <c r="AL115" s="253" t="s">
        <v>30</v>
      </c>
      <c r="AM115" s="251"/>
      <c r="AN115" s="251"/>
    </row>
    <row r="116" spans="1:40" s="9" customFormat="1" ht="30" x14ac:dyDescent="0.25">
      <c r="A116" s="13" t="s">
        <v>368</v>
      </c>
      <c r="B116" s="229" t="str">
        <f>IF($A116="","",VLOOKUP($A116,'[2]3-Elaboration.O'!$A:$T,MATCH(B$1,'[2]150-Modele SGO'!$1:$1,0),FALSE))</f>
        <v>L'offre prévoit-elle un devis UGAP  ?</v>
      </c>
      <c r="C116" s="229" t="str">
        <f>IF($A116="","",VLOOKUP($A116,'[2]3-Elaboration.O'!$A:$T,MATCH(C$1,'[2]150-Modele SGO'!$1:$1,0),FALSE))</f>
        <v>Oui, l'offre prévoit un devis UGAP; Non, la proposition du titulaire se substitue au devis UGAP</v>
      </c>
      <c r="D116" s="229" t="str">
        <f>IF($A116="","",VLOOKUP($A116,'[2]3-Elaboration.O'!$A:$T,MATCH(D$1,'[2]150-Modele SGO'!$1:$1,0),FALSE))</f>
        <v>Liste choix unique</v>
      </c>
      <c r="E116" s="230" t="s">
        <v>70</v>
      </c>
      <c r="F116" s="230"/>
      <c r="G116" s="233" t="s">
        <v>369</v>
      </c>
      <c r="H116" s="232" t="s">
        <v>51</v>
      </c>
      <c r="I116" s="231"/>
      <c r="J116" s="231"/>
      <c r="K116" s="231"/>
      <c r="L116" s="231"/>
      <c r="M116" s="232" t="s">
        <v>51</v>
      </c>
      <c r="N116" s="231"/>
      <c r="O116" s="231"/>
      <c r="P116" s="231"/>
      <c r="Q116" s="231" t="s">
        <v>51</v>
      </c>
      <c r="R116" s="231" t="s">
        <v>24</v>
      </c>
      <c r="S116" s="231" t="s">
        <v>24</v>
      </c>
      <c r="T116" s="231" t="s">
        <v>24</v>
      </c>
      <c r="U116" s="231" t="s">
        <v>24</v>
      </c>
      <c r="V116" s="232" t="s">
        <v>51</v>
      </c>
      <c r="W116" s="231"/>
      <c r="X116" s="231"/>
      <c r="Y116" s="231"/>
      <c r="Z116" s="231"/>
      <c r="AA116" s="234"/>
      <c r="AB116" s="231"/>
      <c r="AC116" s="247"/>
      <c r="AD116" s="232" t="s">
        <v>51</v>
      </c>
      <c r="AE116" s="231"/>
      <c r="AF116" s="231"/>
      <c r="AG116" s="231"/>
      <c r="AH116" s="231"/>
      <c r="AI116" s="231"/>
      <c r="AJ116" s="231"/>
      <c r="AK116" s="231"/>
      <c r="AL116" s="234" t="s">
        <v>51</v>
      </c>
      <c r="AM116" s="231"/>
      <c r="AN116" s="231"/>
    </row>
    <row r="117" spans="1:40" s="9" customFormat="1" ht="60" x14ac:dyDescent="0.25">
      <c r="A117" s="13" t="s">
        <v>372</v>
      </c>
      <c r="B117" s="229" t="str">
        <f>IF($A117="","",VLOOKUP($A117,'[2]3-Elaboration.O'!$A:$T,MATCH(B$1,'[2]150-Modele SGO'!$1:$1,0),FALSE))</f>
        <v>Existe-il des prérequis à l’établissement d’un devis ?</v>
      </c>
      <c r="C117" s="229" t="str">
        <f>IF($A117="","",VLOOKUP($A117,'[2]3-Elaboration.O'!$A:$T,MATCH(C$1,'[2]150-Modele SGO'!$1:$1,0),FALSE))</f>
        <v>Oui, prérequis à l'établissement d'un devis; Non, absence de prérequis à l'établissement d'un devis</v>
      </c>
      <c r="D117" s="229" t="str">
        <f>IF($A117="","",VLOOKUP($A117,'[2]3-Elaboration.O'!$A:$T,MATCH(D$1,'[2]150-Modele SGO'!$1:$1,0),FALSE))</f>
        <v xml:space="preserve">Liste choix unique </v>
      </c>
      <c r="E117" s="230" t="s">
        <v>1521</v>
      </c>
      <c r="F117" s="230"/>
      <c r="G117" s="231"/>
      <c r="H117" s="232" t="s">
        <v>26</v>
      </c>
      <c r="I117" s="231"/>
      <c r="J117" s="233" t="s">
        <v>373</v>
      </c>
      <c r="K117" s="233" t="s">
        <v>1560</v>
      </c>
      <c r="L117" s="233" t="s">
        <v>373</v>
      </c>
      <c r="M117" s="232" t="s">
        <v>26</v>
      </c>
      <c r="N117" s="231"/>
      <c r="O117" s="233" t="s">
        <v>1560</v>
      </c>
      <c r="P117" s="233" t="s">
        <v>35</v>
      </c>
      <c r="Q117" s="233" t="s">
        <v>19</v>
      </c>
      <c r="R117" s="233" t="s">
        <v>373</v>
      </c>
      <c r="S117" s="231" t="s">
        <v>24</v>
      </c>
      <c r="T117" s="231" t="s">
        <v>24</v>
      </c>
      <c r="U117" s="231" t="s">
        <v>24</v>
      </c>
      <c r="V117" s="232" t="s">
        <v>26</v>
      </c>
      <c r="W117" s="231"/>
      <c r="X117" s="233" t="s">
        <v>373</v>
      </c>
      <c r="Y117" s="233" t="s">
        <v>46</v>
      </c>
      <c r="Z117" s="233" t="s">
        <v>1560</v>
      </c>
      <c r="AA117" s="235" t="s">
        <v>373</v>
      </c>
      <c r="AB117" s="233" t="s">
        <v>373</v>
      </c>
      <c r="AC117" s="245" t="s">
        <v>373</v>
      </c>
      <c r="AD117" s="232" t="s">
        <v>26</v>
      </c>
      <c r="AE117" s="231"/>
      <c r="AF117" s="233" t="s">
        <v>373</v>
      </c>
      <c r="AG117" s="233" t="s">
        <v>373</v>
      </c>
      <c r="AH117" s="233" t="s">
        <v>1560</v>
      </c>
      <c r="AI117" s="233" t="s">
        <v>373</v>
      </c>
      <c r="AJ117" s="233" t="s">
        <v>1560</v>
      </c>
      <c r="AK117" s="233" t="s">
        <v>1560</v>
      </c>
      <c r="AL117" s="235" t="s">
        <v>35</v>
      </c>
      <c r="AM117" s="231"/>
      <c r="AN117" s="231"/>
    </row>
    <row r="118" spans="1:40" s="9" customFormat="1" ht="180" x14ac:dyDescent="0.25">
      <c r="A118" s="13" t="s">
        <v>376</v>
      </c>
      <c r="B118" s="229" t="str">
        <f>IF($A118="","",VLOOKUP($A118,'[2]3-Elaboration.O'!$A:$T,MATCH(B$1,'[2]150-Modele SGO'!$1:$1,0),FALSE))</f>
        <v>Si oui, préciser lesquels</v>
      </c>
      <c r="C118" s="229" t="str">
        <f>IF($A118="","",VLOOKUP($A118,'[2]3-Elaboration.O'!$A:$T,MATCH(C$1,'[2]150-Modele SGO'!$1:$1,0),FALSE))</f>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
      <c r="D118" s="229" t="str">
        <f>IF($A118="","",VLOOKUP($A118,'[2]3-Elaboration.O'!$A:$T,MATCH(D$1,'[2]150-Modele SGO'!$1:$1,0),FALSE))</f>
        <v>Liste choix multiple</v>
      </c>
      <c r="E118" s="230" t="s">
        <v>70</v>
      </c>
      <c r="F118" s="230" t="s">
        <v>44</v>
      </c>
      <c r="G118" s="231"/>
      <c r="H118" s="232" t="s">
        <v>26</v>
      </c>
      <c r="I118" s="231"/>
      <c r="J118" s="233" t="s">
        <v>1561</v>
      </c>
      <c r="K118" s="233" t="s">
        <v>46</v>
      </c>
      <c r="L118" s="233" t="s">
        <v>1561</v>
      </c>
      <c r="M118" s="232" t="s">
        <v>26</v>
      </c>
      <c r="N118" s="231"/>
      <c r="O118" s="233" t="s">
        <v>46</v>
      </c>
      <c r="P118" s="233" t="s">
        <v>35</v>
      </c>
      <c r="Q118" s="233" t="s">
        <v>19</v>
      </c>
      <c r="R118" s="233" t="s">
        <v>1562</v>
      </c>
      <c r="S118" s="231" t="s">
        <v>24</v>
      </c>
      <c r="T118" s="231" t="s">
        <v>24</v>
      </c>
      <c r="U118" s="231" t="s">
        <v>24</v>
      </c>
      <c r="V118" s="232" t="s">
        <v>26</v>
      </c>
      <c r="W118" s="231"/>
      <c r="X118" s="233" t="s">
        <v>1563</v>
      </c>
      <c r="Y118" s="233" t="s">
        <v>46</v>
      </c>
      <c r="Z118" s="233" t="s">
        <v>46</v>
      </c>
      <c r="AA118" s="235" t="s">
        <v>377</v>
      </c>
      <c r="AB118" s="233" t="s">
        <v>377</v>
      </c>
      <c r="AC118" s="245" t="s">
        <v>1564</v>
      </c>
      <c r="AD118" s="232" t="s">
        <v>26</v>
      </c>
      <c r="AE118" s="231"/>
      <c r="AF118" s="233" t="s">
        <v>1565</v>
      </c>
      <c r="AG118" s="233" t="s">
        <v>1566</v>
      </c>
      <c r="AH118" s="233" t="s">
        <v>46</v>
      </c>
      <c r="AI118" s="233" t="s">
        <v>1567</v>
      </c>
      <c r="AJ118" s="233" t="s">
        <v>46</v>
      </c>
      <c r="AK118" s="233" t="s">
        <v>46</v>
      </c>
      <c r="AL118" s="235" t="s">
        <v>35</v>
      </c>
      <c r="AM118" s="231"/>
      <c r="AN118" s="231"/>
    </row>
    <row r="119" spans="1:40" s="9" customFormat="1" ht="15.75" x14ac:dyDescent="0.25">
      <c r="A119" s="13" t="s">
        <v>380</v>
      </c>
      <c r="B119" s="229" t="str">
        <f>IF($A119="","",VLOOKUP($A119,'[2]3-Elaboration.O'!$A:$T,MATCH(B$1,'[2]150-Modele SGO'!$1:$1,0),FALSE))</f>
        <v>Si oui, pour quels lots</v>
      </c>
      <c r="C119" s="229" t="str">
        <f>IF($A119="","",VLOOKUP($A119,'[2]3-Elaboration.O'!$A:$T,MATCH(C$1,'[2]150-Modele SGO'!$1:$1,0),FALSE))</f>
        <v>Numéros de lots</v>
      </c>
      <c r="D119" s="229" t="str">
        <f>IF($A119="","",VLOOKUP($A119,'[2]3-Elaboration.O'!$A:$T,MATCH(D$1,'[2]150-Modele SGO'!$1:$1,0),FALSE))</f>
        <v>Texte</v>
      </c>
      <c r="E119" s="230" t="s">
        <v>1521</v>
      </c>
      <c r="F119" s="230"/>
      <c r="G119" s="231"/>
      <c r="H119" s="232" t="s">
        <v>35</v>
      </c>
      <c r="I119" s="231"/>
      <c r="J119" s="231"/>
      <c r="K119" s="231"/>
      <c r="L119" s="231"/>
      <c r="M119" s="232" t="s">
        <v>35</v>
      </c>
      <c r="N119" s="231"/>
      <c r="O119" s="231"/>
      <c r="P119" s="231"/>
      <c r="Q119" s="231" t="s">
        <v>35</v>
      </c>
      <c r="R119" s="231" t="s">
        <v>24</v>
      </c>
      <c r="S119" s="231" t="s">
        <v>24</v>
      </c>
      <c r="T119" s="231" t="s">
        <v>24</v>
      </c>
      <c r="U119" s="231" t="s">
        <v>24</v>
      </c>
      <c r="V119" s="232" t="s">
        <v>35</v>
      </c>
      <c r="W119" s="231"/>
      <c r="X119" s="231"/>
      <c r="Y119" s="231"/>
      <c r="Z119" s="231"/>
      <c r="AA119" s="234"/>
      <c r="AB119" s="231"/>
      <c r="AC119" s="231"/>
      <c r="AD119" s="232" t="s">
        <v>35</v>
      </c>
      <c r="AE119" s="231"/>
      <c r="AF119" s="231"/>
      <c r="AG119" s="231"/>
      <c r="AH119" s="231"/>
      <c r="AI119" s="231"/>
      <c r="AJ119" s="231"/>
      <c r="AK119" s="231"/>
      <c r="AL119" s="234" t="s">
        <v>35</v>
      </c>
      <c r="AM119" s="231"/>
      <c r="AN119" s="231"/>
    </row>
    <row r="120" spans="1:40" s="9" customFormat="1" ht="15.75" x14ac:dyDescent="0.25">
      <c r="A120" s="13" t="s">
        <v>383</v>
      </c>
      <c r="B120" s="229" t="str">
        <f>IF($A120="","",VLOOKUP($A120,'[2]3-Elaboration.O'!$A:$T,MATCH(B$1,'[2]150-Modele SGO'!$1:$1,0),FALSE))</f>
        <v>Si autre, préciser lesquels</v>
      </c>
      <c r="C120" s="229" t="str">
        <f>IF($A120="","",VLOOKUP($A120,'[2]3-Elaboration.O'!$A:$T,MATCH(C$1,'[2]150-Modele SGO'!$1:$1,0),FALSE))</f>
        <v>Champ libre</v>
      </c>
      <c r="D120" s="229" t="str">
        <f>IF($A120="","",VLOOKUP($A120,'[2]3-Elaboration.O'!$A:$T,MATCH(D$1,'[2]150-Modele SGO'!$1:$1,0),FALSE))</f>
        <v>Texte</v>
      </c>
      <c r="E120" s="230" t="s">
        <v>70</v>
      </c>
      <c r="F120" s="230"/>
      <c r="G120" s="231"/>
      <c r="H120" s="232" t="s">
        <v>35</v>
      </c>
      <c r="I120" s="231"/>
      <c r="J120" s="231"/>
      <c r="K120" s="231"/>
      <c r="L120" s="231"/>
      <c r="M120" s="232" t="s">
        <v>35</v>
      </c>
      <c r="N120" s="231"/>
      <c r="O120" s="231"/>
      <c r="P120" s="231"/>
      <c r="Q120" s="231" t="s">
        <v>35</v>
      </c>
      <c r="R120" s="231" t="s">
        <v>24</v>
      </c>
      <c r="S120" s="231" t="s">
        <v>24</v>
      </c>
      <c r="T120" s="231" t="s">
        <v>24</v>
      </c>
      <c r="U120" s="231" t="s">
        <v>24</v>
      </c>
      <c r="V120" s="232" t="s">
        <v>35</v>
      </c>
      <c r="W120" s="231"/>
      <c r="X120" s="231"/>
      <c r="Y120" s="231"/>
      <c r="Z120" s="231"/>
      <c r="AA120" s="234"/>
      <c r="AB120" s="231"/>
      <c r="AC120" s="231"/>
      <c r="AD120" s="232" t="s">
        <v>35</v>
      </c>
      <c r="AE120" s="231"/>
      <c r="AF120" s="231"/>
      <c r="AG120" s="231"/>
      <c r="AH120" s="231"/>
      <c r="AI120" s="231"/>
      <c r="AJ120" s="231"/>
      <c r="AK120" s="231"/>
      <c r="AL120" s="234" t="s">
        <v>35</v>
      </c>
      <c r="AM120" s="231"/>
      <c r="AN120" s="231"/>
    </row>
    <row r="121" spans="1:40" s="9" customFormat="1" ht="15.75" x14ac:dyDescent="0.25">
      <c r="A121" s="108" t="s">
        <v>385</v>
      </c>
      <c r="B121" s="244" t="str">
        <f>IF($A121="","",VLOOKUP($A121,'[2]3-Elaboration.O'!$A:$T,MATCH(B$1,'[2]150-Modele SGO'!$1:$1,0),FALSE))</f>
        <v>04-2 Canal d'enregistrement devis/commande / Minimum de commande</v>
      </c>
      <c r="C121" s="244">
        <f>IF($A121="","",VLOOKUP($A121,'[2]3-Elaboration.O'!$A:$T,MATCH(C$1,'[2]150-Modele SGO'!$1:$1,0),FALSE))</f>
        <v>0</v>
      </c>
      <c r="D121" s="244">
        <f>IF($A121="","",VLOOKUP($A121,'[2]3-Elaboration.O'!$A:$T,MATCH(D$1,'[2]150-Modele SGO'!$1:$1,0),FALSE))</f>
        <v>0</v>
      </c>
      <c r="E121" s="241" t="s">
        <v>70</v>
      </c>
      <c r="F121" s="241"/>
      <c r="G121" s="237"/>
      <c r="H121" s="241" t="s">
        <v>30</v>
      </c>
      <c r="I121" s="237"/>
      <c r="J121" s="237"/>
      <c r="K121" s="237"/>
      <c r="L121" s="237"/>
      <c r="M121" s="241" t="s">
        <v>30</v>
      </c>
      <c r="N121" s="237"/>
      <c r="O121" s="237"/>
      <c r="P121" s="237"/>
      <c r="Q121" s="237" t="s">
        <v>30</v>
      </c>
      <c r="R121" s="237" t="s">
        <v>24</v>
      </c>
      <c r="S121" s="231" t="s">
        <v>24</v>
      </c>
      <c r="T121" s="237" t="s">
        <v>24</v>
      </c>
      <c r="U121" s="237" t="s">
        <v>24</v>
      </c>
      <c r="V121" s="241" t="s">
        <v>30</v>
      </c>
      <c r="W121" s="237"/>
      <c r="X121" s="237"/>
      <c r="Y121" s="237"/>
      <c r="Z121" s="237"/>
      <c r="AA121" s="239"/>
      <c r="AB121" s="237"/>
      <c r="AC121" s="237"/>
      <c r="AD121" s="241" t="s">
        <v>30</v>
      </c>
      <c r="AE121" s="237"/>
      <c r="AF121" s="237"/>
      <c r="AG121" s="237"/>
      <c r="AH121" s="237"/>
      <c r="AI121" s="237"/>
      <c r="AJ121" s="237"/>
      <c r="AK121" s="237"/>
      <c r="AL121" s="253" t="s">
        <v>30</v>
      </c>
      <c r="AM121" s="237"/>
      <c r="AN121" s="237"/>
    </row>
    <row r="122" spans="1:40" s="9" customFormat="1" ht="60" x14ac:dyDescent="0.25">
      <c r="A122" s="13" t="s">
        <v>387</v>
      </c>
      <c r="B122" s="229" t="str">
        <f>IF($A122="","",VLOOKUP($A122,'[2]3-Elaboration.O'!$A:$T,MATCH(B$1,'[2]150-Modele SGO'!$1:$1,0),FALSE))</f>
        <v>Canal d’enregistrement des devis est-il identique à celui de la commande ?</v>
      </c>
      <c r="C122" s="229" t="str">
        <f>IF($A122="","",VLOOKUP($A122,'[2]3-Elaboration.O'!$A:$T,MATCH(C$1,'[2]150-Modele SGO'!$1:$1,0),FALSE))</f>
        <v>Oui, canal d'enregistrement des devis identique à la commande; Non, canal d'enregistrement distinct de celui de la commande</v>
      </c>
      <c r="D122" s="229" t="str">
        <f>IF($A122="","",VLOOKUP($A122,'[2]3-Elaboration.O'!$A:$T,MATCH(D$1,'[2]150-Modele SGO'!$1:$1,0),FALSE))</f>
        <v xml:space="preserve">Liste choix unique </v>
      </c>
      <c r="E122" s="230" t="s">
        <v>70</v>
      </c>
      <c r="F122" s="230"/>
      <c r="G122" s="231"/>
      <c r="H122" s="232" t="s">
        <v>19</v>
      </c>
      <c r="I122" s="233" t="s">
        <v>388</v>
      </c>
      <c r="J122" s="231"/>
      <c r="K122" s="231"/>
      <c r="L122" s="231"/>
      <c r="M122" s="232" t="s">
        <v>26</v>
      </c>
      <c r="N122" s="231"/>
      <c r="O122" s="233" t="s">
        <v>388</v>
      </c>
      <c r="P122" s="233" t="s">
        <v>35</v>
      </c>
      <c r="Q122" s="233" t="s">
        <v>26</v>
      </c>
      <c r="R122" s="231" t="s">
        <v>24</v>
      </c>
      <c r="S122" s="233" t="s">
        <v>388</v>
      </c>
      <c r="T122" s="233" t="s">
        <v>388</v>
      </c>
      <c r="U122" s="233" t="s">
        <v>1568</v>
      </c>
      <c r="V122" s="232" t="s">
        <v>26</v>
      </c>
      <c r="W122" s="231"/>
      <c r="X122" s="233" t="s">
        <v>1568</v>
      </c>
      <c r="Y122" s="233" t="s">
        <v>46</v>
      </c>
      <c r="Z122" s="233" t="s">
        <v>1568</v>
      </c>
      <c r="AA122" s="233" t="s">
        <v>388</v>
      </c>
      <c r="AB122" s="233" t="s">
        <v>388</v>
      </c>
      <c r="AC122" s="233" t="s">
        <v>388</v>
      </c>
      <c r="AD122" s="232" t="s">
        <v>19</v>
      </c>
      <c r="AE122" s="233" t="s">
        <v>388</v>
      </c>
      <c r="AF122" s="231"/>
      <c r="AG122" s="231"/>
      <c r="AH122" s="231"/>
      <c r="AI122" s="231"/>
      <c r="AJ122" s="231"/>
      <c r="AK122" s="231"/>
      <c r="AL122" s="234" t="s">
        <v>35</v>
      </c>
      <c r="AM122" s="231"/>
      <c r="AN122" s="231"/>
    </row>
    <row r="123" spans="1:40" s="9" customFormat="1" ht="63.6" customHeight="1" x14ac:dyDescent="0.25">
      <c r="A123" s="13" t="s">
        <v>391</v>
      </c>
      <c r="B123" s="229" t="str">
        <f>IF($A123="","",VLOOKUP($A123,'[2]3-Elaboration.O'!$A:$T,MATCH(B$1,'[2]150-Modele SGO'!$1:$1,0),FALSE))</f>
        <v>Si non, préciser lesquels</v>
      </c>
      <c r="C123" s="229" t="str">
        <f>IF($A123="","",VLOOKUP($A123,'[2]3-Elaboration.O'!$A:$T,MATCH(C$1,'[2]150-Modele SGO'!$1:$1,0),FALSE))</f>
        <v>Devis tripartite / CCM / E-commerce / réel constaté /Autre</v>
      </c>
      <c r="D123" s="229" t="str">
        <f>IF($A123="","",VLOOKUP($A123,'[2]3-Elaboration.O'!$A:$T,MATCH(D$1,'[2]150-Modele SGO'!$1:$1,0),FALSE))</f>
        <v>Liste choix multiple</v>
      </c>
      <c r="E123" s="230" t="s">
        <v>1521</v>
      </c>
      <c r="F123" s="230" t="s">
        <v>44</v>
      </c>
      <c r="G123" s="231"/>
      <c r="H123" s="232" t="s">
        <v>35</v>
      </c>
      <c r="I123" s="231"/>
      <c r="J123" s="231"/>
      <c r="K123" s="231"/>
      <c r="L123" s="231"/>
      <c r="M123" s="232" t="s">
        <v>35</v>
      </c>
      <c r="N123" s="231"/>
      <c r="O123" s="231"/>
      <c r="P123" s="231"/>
      <c r="Q123" s="233" t="s">
        <v>26</v>
      </c>
      <c r="R123" s="231" t="s">
        <v>24</v>
      </c>
      <c r="S123" s="233" t="s">
        <v>46</v>
      </c>
      <c r="T123" s="233" t="s">
        <v>46</v>
      </c>
      <c r="U123" s="233" t="s">
        <v>1569</v>
      </c>
      <c r="V123" s="232" t="s">
        <v>35</v>
      </c>
      <c r="W123" s="231"/>
      <c r="X123" s="231"/>
      <c r="Y123" s="231"/>
      <c r="Z123" s="231"/>
      <c r="AA123" s="234"/>
      <c r="AB123" s="231"/>
      <c r="AC123" s="231"/>
      <c r="AD123" s="232" t="s">
        <v>26</v>
      </c>
      <c r="AE123" s="231"/>
      <c r="AF123" s="233" t="s">
        <v>46</v>
      </c>
      <c r="AG123" s="233" t="s">
        <v>46</v>
      </c>
      <c r="AH123" s="233" t="s">
        <v>46</v>
      </c>
      <c r="AI123" s="233" t="s">
        <v>46</v>
      </c>
      <c r="AJ123" s="233" t="s">
        <v>46</v>
      </c>
      <c r="AK123" s="233" t="s">
        <v>46</v>
      </c>
      <c r="AL123" s="235" t="s">
        <v>35</v>
      </c>
      <c r="AM123" s="231"/>
      <c r="AN123" s="231"/>
    </row>
    <row r="124" spans="1:40" s="9" customFormat="1" ht="63.6" customHeight="1" x14ac:dyDescent="0.25">
      <c r="A124" s="13" t="s">
        <v>394</v>
      </c>
      <c r="B124" s="229" t="str">
        <f>IF($A124="","",VLOOKUP($A124,'[2]3-Elaboration.O'!$A:$T,MATCH(B$1,'[2]150-Modele SGO'!$1:$1,0),FALSE))</f>
        <v>Si autre, précisez</v>
      </c>
      <c r="C124" s="229"/>
      <c r="D124" s="229" t="str">
        <f>IF($A124="","",VLOOKUP($A124,'[2]3-Elaboration.O'!$A:$T,MATCH(D$1,'[2]150-Modele SGO'!$1:$1,0),FALSE))</f>
        <v>Texte</v>
      </c>
      <c r="E124" s="230"/>
      <c r="F124" s="230"/>
      <c r="G124" s="231"/>
      <c r="H124" s="232" t="s">
        <v>35</v>
      </c>
      <c r="I124" s="231"/>
      <c r="J124" s="231"/>
      <c r="K124" s="231"/>
      <c r="L124" s="231"/>
      <c r="M124" s="232" t="s">
        <v>35</v>
      </c>
      <c r="N124" s="231"/>
      <c r="O124" s="231"/>
      <c r="P124" s="231"/>
      <c r="Q124" s="231" t="s">
        <v>35</v>
      </c>
      <c r="R124" s="231" t="s">
        <v>24</v>
      </c>
      <c r="S124" s="231" t="s">
        <v>24</v>
      </c>
      <c r="T124" s="231" t="s">
        <v>24</v>
      </c>
      <c r="U124" s="231" t="s">
        <v>24</v>
      </c>
      <c r="V124" s="232" t="s">
        <v>35</v>
      </c>
      <c r="W124" s="231"/>
      <c r="X124" s="231"/>
      <c r="Y124" s="231"/>
      <c r="Z124" s="231"/>
      <c r="AA124" s="234"/>
      <c r="AB124" s="231"/>
      <c r="AC124" s="231"/>
      <c r="AD124" s="232" t="s">
        <v>26</v>
      </c>
      <c r="AE124" s="231"/>
      <c r="AF124" s="233" t="s">
        <v>46</v>
      </c>
      <c r="AG124" s="233" t="s">
        <v>46</v>
      </c>
      <c r="AH124" s="233" t="s">
        <v>46</v>
      </c>
      <c r="AI124" s="233" t="s">
        <v>46</v>
      </c>
      <c r="AJ124" s="233" t="s">
        <v>46</v>
      </c>
      <c r="AK124" s="233" t="s">
        <v>46</v>
      </c>
      <c r="AL124" s="235" t="s">
        <v>35</v>
      </c>
      <c r="AM124" s="231"/>
      <c r="AN124" s="231"/>
    </row>
    <row r="125" spans="1:40" s="9" customFormat="1" ht="30" x14ac:dyDescent="0.25">
      <c r="A125" s="13" t="s">
        <v>396</v>
      </c>
      <c r="B125" s="229" t="str">
        <f>IF($A125="","",VLOOKUP($A125,'[2]3-Elaboration.O'!$A:$T,MATCH(B$1,'[2]150-Modele SGO'!$1:$1,0),FALSE))</f>
        <v xml:space="preserve">Le marché prévoit-il une clause de devis tripartite ? </v>
      </c>
      <c r="C125" s="229" t="str">
        <f>IF($A125="","",VLOOKUP($A125,'[2]3-Elaboration.O'!$A:$T,MATCH(C$1,'[2]150-Modele SGO'!$1:$1,0),FALSE))</f>
        <v>Oui, clause obligatoire; Oui, clause facultative; Non, absence de clause</v>
      </c>
      <c r="D125" s="229" t="str">
        <f>IF($A125="","",VLOOKUP($A125,'[2]3-Elaboration.O'!$A:$T,MATCH(D$1,'[2]150-Modele SGO'!$1:$1,0),FALSE))</f>
        <v xml:space="preserve">Liste choix unique </v>
      </c>
      <c r="E125" s="230" t="s">
        <v>1521</v>
      </c>
      <c r="F125" s="230"/>
      <c r="G125" s="231"/>
      <c r="H125" s="232" t="s">
        <v>19</v>
      </c>
      <c r="I125" s="233" t="s">
        <v>397</v>
      </c>
      <c r="J125" s="231"/>
      <c r="K125" s="231"/>
      <c r="L125" s="231"/>
      <c r="M125" s="232" t="s">
        <v>26</v>
      </c>
      <c r="N125" s="231"/>
      <c r="O125" s="233" t="s">
        <v>397</v>
      </c>
      <c r="P125" s="233" t="s">
        <v>35</v>
      </c>
      <c r="Q125" s="233" t="s">
        <v>26</v>
      </c>
      <c r="R125" s="231" t="s">
        <v>24</v>
      </c>
      <c r="S125" s="233" t="s">
        <v>1570</v>
      </c>
      <c r="T125" s="233" t="s">
        <v>1570</v>
      </c>
      <c r="U125" s="233" t="s">
        <v>397</v>
      </c>
      <c r="V125" s="232" t="s">
        <v>26</v>
      </c>
      <c r="W125" s="231"/>
      <c r="X125" s="233" t="s">
        <v>1570</v>
      </c>
      <c r="Y125" s="233" t="s">
        <v>397</v>
      </c>
      <c r="Z125" s="245" t="s">
        <v>1570</v>
      </c>
      <c r="AA125" s="235" t="s">
        <v>397</v>
      </c>
      <c r="AB125" s="233" t="s">
        <v>397</v>
      </c>
      <c r="AC125" s="245" t="s">
        <v>1570</v>
      </c>
      <c r="AD125" s="232" t="s">
        <v>19</v>
      </c>
      <c r="AE125" s="233" t="s">
        <v>1570</v>
      </c>
      <c r="AF125" s="231"/>
      <c r="AG125" s="231"/>
      <c r="AH125" s="231"/>
      <c r="AI125" s="231"/>
      <c r="AJ125" s="231"/>
      <c r="AK125" s="231"/>
      <c r="AL125" s="234" t="s">
        <v>35</v>
      </c>
      <c r="AM125" s="231"/>
      <c r="AN125" s="231"/>
    </row>
    <row r="126" spans="1:40" s="9" customFormat="1" ht="15.75" x14ac:dyDescent="0.25">
      <c r="A126" s="108" t="s">
        <v>400</v>
      </c>
      <c r="B126" s="244" t="str">
        <f>IF($A126="","",VLOOKUP($A126,'[2]3-Elaboration.O'!$A:$T,MATCH(B$1,'[2]150-Modele SGO'!$1:$1,0),FALSE))</f>
        <v xml:space="preserve">04-3 Minimum de commande </v>
      </c>
      <c r="C126" s="244">
        <f>IF($A126="","",VLOOKUP($A126,'[2]3-Elaboration.O'!$A:$T,MATCH(C$1,'[2]150-Modele SGO'!$1:$1,0),FALSE))</f>
        <v>0</v>
      </c>
      <c r="D126" s="244">
        <f>IF($A126="","",VLOOKUP($A126,'[2]3-Elaboration.O'!$A:$T,MATCH(D$1,'[2]150-Modele SGO'!$1:$1,0),FALSE))</f>
        <v>0</v>
      </c>
      <c r="E126" s="241" t="s">
        <v>70</v>
      </c>
      <c r="F126" s="241"/>
      <c r="G126" s="237"/>
      <c r="H126" s="241" t="s">
        <v>30</v>
      </c>
      <c r="I126" s="237"/>
      <c r="J126" s="237"/>
      <c r="K126" s="237"/>
      <c r="L126" s="237"/>
      <c r="M126" s="241" t="s">
        <v>30</v>
      </c>
      <c r="N126" s="237"/>
      <c r="O126" s="237"/>
      <c r="P126" s="237"/>
      <c r="Q126" s="237" t="s">
        <v>30</v>
      </c>
      <c r="R126" s="237" t="s">
        <v>24</v>
      </c>
      <c r="S126" s="231" t="s">
        <v>24</v>
      </c>
      <c r="T126" s="237" t="s">
        <v>24</v>
      </c>
      <c r="U126" s="237" t="s">
        <v>24</v>
      </c>
      <c r="V126" s="241" t="s">
        <v>30</v>
      </c>
      <c r="W126" s="237"/>
      <c r="X126" s="237"/>
      <c r="Y126" s="237"/>
      <c r="Z126" s="237"/>
      <c r="AA126" s="239"/>
      <c r="AB126" s="237"/>
      <c r="AC126" s="237"/>
      <c r="AD126" s="241" t="s">
        <v>30</v>
      </c>
      <c r="AE126" s="237"/>
      <c r="AF126" s="237"/>
      <c r="AG126" s="237"/>
      <c r="AH126" s="237"/>
      <c r="AI126" s="237"/>
      <c r="AJ126" s="237"/>
      <c r="AK126" s="237"/>
      <c r="AL126" s="239" t="s">
        <v>30</v>
      </c>
      <c r="AM126" s="237"/>
      <c r="AN126" s="237"/>
    </row>
    <row r="127" spans="1:40" s="9" customFormat="1" ht="15.75" x14ac:dyDescent="0.25">
      <c r="A127" s="142" t="s">
        <v>402</v>
      </c>
      <c r="B127" s="256" t="str">
        <f>IF($A127="","",VLOOKUP($A127,'[2]3-Elaboration.O'!$A:$T,MATCH(B$1,'[2]150-Modele SGO'!$1:$1,0),FALSE))</f>
        <v>04.3.1 Client</v>
      </c>
      <c r="C127" s="256">
        <f>IF($A127="","",VLOOKUP($A127,'[2]3-Elaboration.O'!$A:$T,MATCH(C$1,'[2]150-Modele SGO'!$1:$1,0),FALSE))</f>
        <v>0</v>
      </c>
      <c r="D127" s="256">
        <f>IF($A127="","",VLOOKUP($A127,'[2]3-Elaboration.O'!$A:$T,MATCH(D$1,'[2]150-Modele SGO'!$1:$1,0),FALSE))</f>
        <v>0</v>
      </c>
      <c r="E127" s="257" t="s">
        <v>70</v>
      </c>
      <c r="F127" s="257"/>
      <c r="G127" s="258"/>
      <c r="H127" s="257" t="s">
        <v>30</v>
      </c>
      <c r="I127" s="258"/>
      <c r="J127" s="258"/>
      <c r="K127" s="258"/>
      <c r="L127" s="258"/>
      <c r="M127" s="257" t="s">
        <v>30</v>
      </c>
      <c r="N127" s="258"/>
      <c r="O127" s="258"/>
      <c r="P127" s="258"/>
      <c r="Q127" s="258" t="s">
        <v>30</v>
      </c>
      <c r="R127" s="258" t="s">
        <v>24</v>
      </c>
      <c r="S127" s="231" t="s">
        <v>24</v>
      </c>
      <c r="T127" s="258" t="s">
        <v>24</v>
      </c>
      <c r="U127" s="258" t="s">
        <v>24</v>
      </c>
      <c r="V127" s="257" t="s">
        <v>30</v>
      </c>
      <c r="W127" s="258"/>
      <c r="X127" s="258"/>
      <c r="Y127" s="258"/>
      <c r="Z127" s="258"/>
      <c r="AA127" s="259"/>
      <c r="AB127" s="258"/>
      <c r="AC127" s="258"/>
      <c r="AD127" s="257" t="s">
        <v>30</v>
      </c>
      <c r="AE127" s="258"/>
      <c r="AF127" s="258"/>
      <c r="AG127" s="258"/>
      <c r="AH127" s="258"/>
      <c r="AI127" s="258"/>
      <c r="AJ127" s="258"/>
      <c r="AK127" s="258"/>
      <c r="AL127" s="262" t="s">
        <v>30</v>
      </c>
      <c r="AM127" s="258"/>
      <c r="AN127" s="258"/>
    </row>
    <row r="128" spans="1:40" s="9" customFormat="1" ht="45" x14ac:dyDescent="0.25">
      <c r="A128" s="13" t="s">
        <v>404</v>
      </c>
      <c r="B128" s="229" t="str">
        <f>IF($A128="","",VLOOKUP($A128,'[2]3-Elaboration.O'!$A:$T,MATCH(B$1,'[2]150-Modele SGO'!$1:$1,0),FALSE))</f>
        <v xml:space="preserve">Un minimum de commande client géré par l'UGAP est-il en envisagé ? 	</v>
      </c>
      <c r="C128" s="229" t="str">
        <f>IF($A128="","",VLOOKUP($A128,'[2]3-Elaboration.O'!$A:$T,MATCH(C$1,'[2]150-Modele SGO'!$1:$1,0),FALSE))</f>
        <v>Oui, un minimum de commande client est envisagé;Non, absence de mimimum de commande client</v>
      </c>
      <c r="D128" s="229" t="str">
        <f>IF($A128="","",VLOOKUP($A128,'[2]3-Elaboration.O'!$A:$T,MATCH(D$1,'[2]150-Modele SGO'!$1:$1,0),FALSE))</f>
        <v xml:space="preserve">Liste choix unique </v>
      </c>
      <c r="E128" s="230" t="s">
        <v>70</v>
      </c>
      <c r="F128" s="230"/>
      <c r="G128" s="231"/>
      <c r="H128" s="232" t="s">
        <v>19</v>
      </c>
      <c r="I128" s="233" t="s">
        <v>405</v>
      </c>
      <c r="J128" s="231"/>
      <c r="K128" s="231"/>
      <c r="L128" s="231"/>
      <c r="M128" s="232" t="s">
        <v>26</v>
      </c>
      <c r="N128" s="231"/>
      <c r="O128" s="233" t="s">
        <v>405</v>
      </c>
      <c r="P128" s="233" t="s">
        <v>35</v>
      </c>
      <c r="Q128" s="233" t="s">
        <v>26</v>
      </c>
      <c r="R128" s="231" t="s">
        <v>24</v>
      </c>
      <c r="S128" s="233" t="s">
        <v>1571</v>
      </c>
      <c r="T128" s="233" t="s">
        <v>405</v>
      </c>
      <c r="U128" s="233" t="s">
        <v>405</v>
      </c>
      <c r="V128" s="232" t="s">
        <v>19</v>
      </c>
      <c r="W128" s="233" t="s">
        <v>405</v>
      </c>
      <c r="X128" s="231"/>
      <c r="Y128" s="231"/>
      <c r="Z128" s="231"/>
      <c r="AA128" s="234"/>
      <c r="AB128" s="231"/>
      <c r="AC128" s="242"/>
      <c r="AD128" s="232" t="s">
        <v>19</v>
      </c>
      <c r="AE128" s="264" t="s">
        <v>405</v>
      </c>
      <c r="AF128" s="231"/>
      <c r="AG128" s="231"/>
      <c r="AH128" s="231"/>
      <c r="AI128" s="231"/>
      <c r="AJ128" s="231"/>
      <c r="AK128" s="231"/>
      <c r="AL128" s="234" t="s">
        <v>35</v>
      </c>
      <c r="AM128" s="265"/>
      <c r="AN128" s="231"/>
    </row>
    <row r="129" spans="1:40" s="9" customFormat="1" ht="105" x14ac:dyDescent="0.25">
      <c r="A129" s="13" t="s">
        <v>408</v>
      </c>
      <c r="B129" s="229" t="str">
        <f>IF($A129="","",VLOOKUP($A129,'[2]3-Elaboration.O'!$A:$T,MATCH(B$1,'[2]150-Modele SGO'!$1:$1,0),FALSE))</f>
        <v>Si oui, s'agit-il d'un montant de commande en quantité ou en montant ?</v>
      </c>
      <c r="C129" s="229" t="str">
        <f>IF($A129="","",VLOOKUP($A129,'[2]3-Elaboration.O'!$A:$T,MATCH(C$1,'[2]150-Modele SGO'!$1:$1,0),FALSE))</f>
        <v>minimum en quantité ; minimum en montant</v>
      </c>
      <c r="D129" s="229" t="str">
        <f>IF($A129="","",VLOOKUP($A129,'[2]3-Elaboration.O'!$A:$T,MATCH(D$1,'[2]150-Modele SGO'!$1:$1,0),FALSE))</f>
        <v xml:space="preserve">Liste choix unique </v>
      </c>
      <c r="E129" s="230" t="s">
        <v>70</v>
      </c>
      <c r="F129" s="230"/>
      <c r="G129" s="231"/>
      <c r="H129" s="232" t="s">
        <v>19</v>
      </c>
      <c r="I129" s="233" t="s">
        <v>46</v>
      </c>
      <c r="J129" s="231"/>
      <c r="K129" s="231"/>
      <c r="L129" s="231"/>
      <c r="M129" s="232" t="s">
        <v>26</v>
      </c>
      <c r="N129" s="231"/>
      <c r="O129" s="233" t="s">
        <v>46</v>
      </c>
      <c r="P129" s="233" t="s">
        <v>35</v>
      </c>
      <c r="Q129" s="233" t="s">
        <v>26</v>
      </c>
      <c r="R129" s="231" t="s">
        <v>24</v>
      </c>
      <c r="S129" s="233" t="s">
        <v>1572</v>
      </c>
      <c r="T129" s="233" t="s">
        <v>179</v>
      </c>
      <c r="U129" s="233" t="s">
        <v>46</v>
      </c>
      <c r="V129" s="232" t="s">
        <v>19</v>
      </c>
      <c r="W129" s="233" t="s">
        <v>46</v>
      </c>
      <c r="X129" s="231"/>
      <c r="Y129" s="231"/>
      <c r="Z129" s="231"/>
      <c r="AA129" s="234"/>
      <c r="AB129" s="242"/>
      <c r="AC129" s="242"/>
      <c r="AD129" s="232" t="s">
        <v>19</v>
      </c>
      <c r="AE129" s="233" t="s">
        <v>46</v>
      </c>
      <c r="AF129" s="231"/>
      <c r="AG129" s="231"/>
      <c r="AH129" s="231"/>
      <c r="AI129" s="231"/>
      <c r="AJ129" s="231"/>
      <c r="AK129" s="231"/>
      <c r="AL129" s="234" t="s">
        <v>35</v>
      </c>
      <c r="AM129" s="231"/>
      <c r="AN129" s="231"/>
    </row>
    <row r="130" spans="1:40" s="9" customFormat="1" ht="105" x14ac:dyDescent="0.25">
      <c r="A130" s="13" t="s">
        <v>411</v>
      </c>
      <c r="B130" s="229" t="str">
        <f>IF($A130="","",VLOOKUP($A130,'[2]3-Elaboration.O'!$A:$T,MATCH(B$1,'[2]150-Modele SGO'!$1:$1,0),FALSE))</f>
        <v>Si oui, la gestion du minimum de commande nécessite-'elle des paramétrages informatiques ?</v>
      </c>
      <c r="C130" s="229" t="str">
        <f>IF($A130="","",VLOOKUP($A130,'[2]3-Elaboration.O'!$A:$T,MATCH(C$1,'[2]150-Modele SGO'!$1:$1,0),FALSE))</f>
        <v>Oui, paramétrages informatiques nécessaires; Non, aucun paramétrage nécessaire</v>
      </c>
      <c r="D130" s="229" t="str">
        <f>IF($A130="","",VLOOKUP($A130,'[2]3-Elaboration.O'!$A:$T,MATCH(D$1,'[2]150-Modele SGO'!$1:$1,0),FALSE))</f>
        <v xml:space="preserve">Liste choix unique </v>
      </c>
      <c r="E130" s="230" t="s">
        <v>70</v>
      </c>
      <c r="F130" s="230"/>
      <c r="G130" s="231"/>
      <c r="H130" s="232" t="s">
        <v>19</v>
      </c>
      <c r="I130" s="233" t="s">
        <v>46</v>
      </c>
      <c r="J130" s="231"/>
      <c r="K130" s="231"/>
      <c r="L130" s="231"/>
      <c r="M130" s="232" t="s">
        <v>35</v>
      </c>
      <c r="N130" s="231"/>
      <c r="O130" s="231"/>
      <c r="P130" s="231"/>
      <c r="Q130" s="233" t="s">
        <v>26</v>
      </c>
      <c r="R130" s="231" t="s">
        <v>24</v>
      </c>
      <c r="S130" s="233" t="s">
        <v>1573</v>
      </c>
      <c r="T130" s="233" t="s">
        <v>179</v>
      </c>
      <c r="U130" s="233" t="s">
        <v>46</v>
      </c>
      <c r="V130" s="232" t="s">
        <v>35</v>
      </c>
      <c r="W130" s="231"/>
      <c r="X130" s="231"/>
      <c r="Y130" s="231"/>
      <c r="Z130" s="231"/>
      <c r="AA130" s="234"/>
      <c r="AB130" s="242"/>
      <c r="AC130" s="242"/>
      <c r="AD130" s="232" t="s">
        <v>35</v>
      </c>
      <c r="AE130" s="231"/>
      <c r="AF130" s="231"/>
      <c r="AG130" s="231"/>
      <c r="AH130" s="231"/>
      <c r="AI130" s="231"/>
      <c r="AJ130" s="231"/>
      <c r="AK130" s="231"/>
      <c r="AL130" s="234" t="s">
        <v>35</v>
      </c>
      <c r="AM130" s="231"/>
      <c r="AN130" s="231"/>
    </row>
    <row r="131" spans="1:40" s="9" customFormat="1" ht="45" x14ac:dyDescent="0.25">
      <c r="A131" s="13" t="s">
        <v>414</v>
      </c>
      <c r="B131" s="229" t="str">
        <f>IF($A131="","",VLOOKUP($A131,'[2]3-Elaboration.O'!$A:$T,MATCH(B$1,'[2]150-Modele SGO'!$1:$1,0),FALSE))</f>
        <v xml:space="preserve">Modalités standard de commande </v>
      </c>
      <c r="C131" s="229" t="str">
        <f>IF($A131="","",VLOOKUP($A131,'[2]3-Elaboration.O'!$A:$T,MATCH(C$1,'[2]150-Modele SGO'!$1:$1,0),FALSE))</f>
        <v>Oui, modalités standard de commande; Non, dérogation au standard de commande</v>
      </c>
      <c r="D131" s="229" t="str">
        <f>IF($A131="","",VLOOKUP($A131,'[2]3-Elaboration.O'!$A:$T,MATCH(D$1,'[2]150-Modele SGO'!$1:$1,0),FALSE))</f>
        <v xml:space="preserve">Liste choix unique </v>
      </c>
      <c r="E131" s="230" t="s">
        <v>70</v>
      </c>
      <c r="F131" s="230"/>
      <c r="G131" s="231"/>
      <c r="H131" s="232" t="s">
        <v>19</v>
      </c>
      <c r="I131" s="233" t="s">
        <v>415</v>
      </c>
      <c r="J131" s="231"/>
      <c r="K131" s="231"/>
      <c r="L131" s="231"/>
      <c r="M131" s="232" t="s">
        <v>26</v>
      </c>
      <c r="N131" s="231"/>
      <c r="O131" s="233" t="s">
        <v>415</v>
      </c>
      <c r="P131" s="233" t="s">
        <v>35</v>
      </c>
      <c r="Q131" s="233" t="s">
        <v>26</v>
      </c>
      <c r="R131" s="231" t="s">
        <v>24</v>
      </c>
      <c r="S131" s="233" t="s">
        <v>415</v>
      </c>
      <c r="T131" s="233" t="s">
        <v>415</v>
      </c>
      <c r="U131" s="233" t="s">
        <v>1574</v>
      </c>
      <c r="V131" s="232" t="s">
        <v>26</v>
      </c>
      <c r="W131" s="231"/>
      <c r="X131" s="233" t="s">
        <v>415</v>
      </c>
      <c r="Y131" s="245" t="s">
        <v>1574</v>
      </c>
      <c r="Z131" s="233" t="s">
        <v>415</v>
      </c>
      <c r="AA131" s="235" t="s">
        <v>415</v>
      </c>
      <c r="AB131" s="233" t="s">
        <v>415</v>
      </c>
      <c r="AC131" s="233" t="s">
        <v>415</v>
      </c>
      <c r="AD131" s="232" t="s">
        <v>26</v>
      </c>
      <c r="AE131" s="231"/>
      <c r="AF131" s="233" t="s">
        <v>415</v>
      </c>
      <c r="AG131" s="233" t="s">
        <v>1574</v>
      </c>
      <c r="AH131" s="233" t="s">
        <v>415</v>
      </c>
      <c r="AI131" s="233" t="s">
        <v>1574</v>
      </c>
      <c r="AJ131" s="233" t="s">
        <v>415</v>
      </c>
      <c r="AK131" s="233" t="s">
        <v>415</v>
      </c>
      <c r="AL131" s="235" t="s">
        <v>35</v>
      </c>
      <c r="AM131" s="231"/>
      <c r="AN131" s="231"/>
    </row>
    <row r="132" spans="1:40" s="9" customFormat="1" ht="30" x14ac:dyDescent="0.25">
      <c r="A132" s="13" t="s">
        <v>418</v>
      </c>
      <c r="B132" s="229" t="str">
        <f>IF($A132="","",VLOOKUP($A132,'[2]3-Elaboration.O'!$A:$T,MATCH(B$1,'[2]150-Modele SGO'!$1:$1,0),FALSE))</f>
        <v>Si non, préciser les modalités particulières applicables</v>
      </c>
      <c r="C132" s="229" t="str">
        <f>IF($A132="","",VLOOKUP($A132,'[2]3-Elaboration.O'!$A:$T,MATCH(C$1,'[2]150-Modele SGO'!$1:$1,0),FALSE))</f>
        <v>Devis tripartite;CCM;E-commerce;réel constaté;Autre</v>
      </c>
      <c r="D132" s="229" t="str">
        <f>IF($A132="","",VLOOKUP($A132,'[2]3-Elaboration.O'!$A:$T,MATCH(D$1,'[2]150-Modele SGO'!$1:$1,0),FALSE))</f>
        <v>Liste choix multiple</v>
      </c>
      <c r="E132" s="230" t="s">
        <v>70</v>
      </c>
      <c r="F132" s="230" t="s">
        <v>44</v>
      </c>
      <c r="G132" s="231"/>
      <c r="H132" s="232" t="s">
        <v>35</v>
      </c>
      <c r="I132" s="231"/>
      <c r="J132" s="231"/>
      <c r="K132" s="231"/>
      <c r="L132" s="231"/>
      <c r="M132" s="232" t="s">
        <v>35</v>
      </c>
      <c r="N132" s="231"/>
      <c r="O132" s="231"/>
      <c r="P132" s="231"/>
      <c r="Q132" s="231" t="s">
        <v>35</v>
      </c>
      <c r="R132" s="231" t="s">
        <v>24</v>
      </c>
      <c r="S132" s="231" t="s">
        <v>24</v>
      </c>
      <c r="T132" s="231" t="s">
        <v>24</v>
      </c>
      <c r="U132" s="231" t="s">
        <v>24</v>
      </c>
      <c r="V132" s="232" t="s">
        <v>35</v>
      </c>
      <c r="W132" s="231"/>
      <c r="X132" s="231"/>
      <c r="Y132" s="231"/>
      <c r="Z132" s="231"/>
      <c r="AA132" s="234"/>
      <c r="AB132" s="231"/>
      <c r="AC132" s="231"/>
      <c r="AD132" s="232" t="s">
        <v>26</v>
      </c>
      <c r="AE132" s="231"/>
      <c r="AF132" s="233" t="s">
        <v>46</v>
      </c>
      <c r="AG132" s="233" t="s">
        <v>1575</v>
      </c>
      <c r="AH132" s="233" t="s">
        <v>46</v>
      </c>
      <c r="AI132" s="233" t="s">
        <v>1575</v>
      </c>
      <c r="AJ132" s="233" t="s">
        <v>46</v>
      </c>
      <c r="AK132" s="233" t="s">
        <v>46</v>
      </c>
      <c r="AL132" s="235" t="s">
        <v>35</v>
      </c>
      <c r="AM132" s="231"/>
      <c r="AN132" s="231"/>
    </row>
    <row r="133" spans="1:40" s="9" customFormat="1" ht="150" x14ac:dyDescent="0.25">
      <c r="A133" s="13" t="s">
        <v>421</v>
      </c>
      <c r="B133" s="229" t="str">
        <f>IF($A133="","",VLOOKUP($A133,'[2]3-Elaboration.O'!$A:$T,MATCH(B$1,'[2]150-Modele SGO'!$1:$1,0),FALSE))</f>
        <v>Si autre, préciser</v>
      </c>
      <c r="C133" s="229" t="str">
        <f>IF($A133="","",VLOOKUP($A133,'[2]3-Elaboration.O'!$A:$T,MATCH(C$1,'[2]150-Modele SGO'!$1:$1,0),FALSE))</f>
        <v>Champ libre</v>
      </c>
      <c r="D133" s="229" t="str">
        <f>IF($A133="","",VLOOKUP($A133,'[2]3-Elaboration.O'!$A:$T,MATCH(D$1,'[2]150-Modele SGO'!$1:$1,0),FALSE))</f>
        <v>Texte</v>
      </c>
      <c r="E133" s="230" t="s">
        <v>70</v>
      </c>
      <c r="F133" s="230"/>
      <c r="G133" s="231"/>
      <c r="H133" s="232" t="s">
        <v>35</v>
      </c>
      <c r="I133" s="231"/>
      <c r="J133" s="231"/>
      <c r="K133" s="231"/>
      <c r="L133" s="231"/>
      <c r="M133" s="232" t="s">
        <v>35</v>
      </c>
      <c r="N133" s="231"/>
      <c r="O133" s="231"/>
      <c r="P133" s="231"/>
      <c r="Q133" s="231" t="s">
        <v>35</v>
      </c>
      <c r="R133" s="231" t="s">
        <v>24</v>
      </c>
      <c r="S133" s="231" t="s">
        <v>24</v>
      </c>
      <c r="T133" s="231" t="s">
        <v>24</v>
      </c>
      <c r="U133" s="231" t="s">
        <v>24</v>
      </c>
      <c r="V133" s="232" t="s">
        <v>35</v>
      </c>
      <c r="W133" s="231"/>
      <c r="X133" s="231"/>
      <c r="Y133" s="231"/>
      <c r="Z133" s="231"/>
      <c r="AA133" s="234"/>
      <c r="AB133" s="231"/>
      <c r="AC133" s="231"/>
      <c r="AD133" s="232" t="s">
        <v>35</v>
      </c>
      <c r="AE133" s="231"/>
      <c r="AF133" s="231"/>
      <c r="AG133" s="231" t="s">
        <v>1576</v>
      </c>
      <c r="AH133" s="231"/>
      <c r="AI133" s="231" t="s">
        <v>1576</v>
      </c>
      <c r="AJ133" s="231"/>
      <c r="AK133" s="231"/>
      <c r="AL133" s="234" t="s">
        <v>35</v>
      </c>
      <c r="AM133" s="231"/>
      <c r="AN133" s="231"/>
    </row>
    <row r="134" spans="1:40" s="9" customFormat="1" ht="15.75" x14ac:dyDescent="0.25">
      <c r="A134" s="142" t="s">
        <v>423</v>
      </c>
      <c r="B134" s="256" t="str">
        <f>IF($A134="","",VLOOKUP($A134,'[2]3-Elaboration.O'!$A:$T,MATCH(B$1,'[2]150-Modele SGO'!$1:$1,0),FALSE))</f>
        <v>04.3.2 Fournisseur</v>
      </c>
      <c r="C134" s="256">
        <f>IF($A134="","",VLOOKUP($A134,'[2]3-Elaboration.O'!$A:$T,MATCH(C$1,'[2]150-Modele SGO'!$1:$1,0),FALSE))</f>
        <v>0</v>
      </c>
      <c r="D134" s="256">
        <f>IF($A134="","",VLOOKUP($A134,'[2]3-Elaboration.O'!$A:$T,MATCH(D$1,'[2]150-Modele SGO'!$1:$1,0),FALSE))</f>
        <v>0</v>
      </c>
      <c r="E134" s="257" t="s">
        <v>70</v>
      </c>
      <c r="F134" s="257"/>
      <c r="G134" s="258"/>
      <c r="H134" s="257" t="s">
        <v>30</v>
      </c>
      <c r="I134" s="258"/>
      <c r="J134" s="258"/>
      <c r="K134" s="258"/>
      <c r="L134" s="258"/>
      <c r="M134" s="257" t="s">
        <v>30</v>
      </c>
      <c r="N134" s="258"/>
      <c r="O134" s="258"/>
      <c r="P134" s="258"/>
      <c r="Q134" s="258" t="s">
        <v>30</v>
      </c>
      <c r="R134" s="258" t="s">
        <v>24</v>
      </c>
      <c r="S134" s="231" t="s">
        <v>24</v>
      </c>
      <c r="T134" s="258" t="s">
        <v>24</v>
      </c>
      <c r="U134" s="258" t="s">
        <v>24</v>
      </c>
      <c r="V134" s="257" t="s">
        <v>30</v>
      </c>
      <c r="W134" s="258"/>
      <c r="X134" s="258"/>
      <c r="Y134" s="258"/>
      <c r="Z134" s="258"/>
      <c r="AA134" s="259"/>
      <c r="AB134" s="258"/>
      <c r="AC134" s="258"/>
      <c r="AD134" s="257" t="s">
        <v>30</v>
      </c>
      <c r="AE134" s="258"/>
      <c r="AF134" s="258"/>
      <c r="AG134" s="258"/>
      <c r="AH134" s="258"/>
      <c r="AI134" s="258"/>
      <c r="AJ134" s="258"/>
      <c r="AK134" s="258"/>
      <c r="AL134" s="259" t="s">
        <v>30</v>
      </c>
      <c r="AM134" s="258"/>
      <c r="AN134" s="258"/>
    </row>
    <row r="135" spans="1:40" s="9" customFormat="1" ht="60" x14ac:dyDescent="0.25">
      <c r="A135" s="13" t="s">
        <v>425</v>
      </c>
      <c r="B135" s="229" t="str">
        <f>IF($A135="","",VLOOKUP($A135,'[2]3-Elaboration.O'!$A:$T,MATCH(B$1,'[2]150-Modele SGO'!$1:$1,0),FALSE))</f>
        <v xml:space="preserve">Un minimum de commande fournisseur géré par l'UGAP est-il en envisagé ? 	</v>
      </c>
      <c r="C135" s="229" t="str">
        <f>IF($A135="","",VLOOKUP($A135,'[2]3-Elaboration.O'!$A:$T,MATCH(C$1,'[2]150-Modele SGO'!$1:$1,0),FALSE))</f>
        <v>Oui, un minimum de commande fournisseur est envisagé;Non, absence de mimimum de commande fournisseur</v>
      </c>
      <c r="D135" s="229" t="str">
        <f>IF($A135="","",VLOOKUP($A135,'[2]3-Elaboration.O'!$A:$T,MATCH(D$1,'[2]150-Modele SGO'!$1:$1,0),FALSE))</f>
        <v xml:space="preserve">Liste choix unique </v>
      </c>
      <c r="E135" s="230" t="s">
        <v>70</v>
      </c>
      <c r="F135" s="230"/>
      <c r="G135" s="231"/>
      <c r="H135" s="232" t="s">
        <v>19</v>
      </c>
      <c r="I135" s="233" t="s">
        <v>426</v>
      </c>
      <c r="J135" s="231"/>
      <c r="K135" s="231"/>
      <c r="L135" s="231"/>
      <c r="M135" s="232" t="s">
        <v>26</v>
      </c>
      <c r="N135" s="231"/>
      <c r="O135" s="233" t="s">
        <v>426</v>
      </c>
      <c r="P135" s="233" t="s">
        <v>35</v>
      </c>
      <c r="Q135" s="233" t="s">
        <v>26</v>
      </c>
      <c r="R135" s="231" t="s">
        <v>24</v>
      </c>
      <c r="S135" s="233" t="s">
        <v>1577</v>
      </c>
      <c r="T135" s="233" t="s">
        <v>426</v>
      </c>
      <c r="U135" s="233" t="s">
        <v>426</v>
      </c>
      <c r="V135" s="232" t="s">
        <v>19</v>
      </c>
      <c r="W135" s="233" t="s">
        <v>426</v>
      </c>
      <c r="X135" s="231"/>
      <c r="Y135" s="231"/>
      <c r="Z135" s="231"/>
      <c r="AA135" s="234"/>
      <c r="AB135" s="242"/>
      <c r="AC135" s="242"/>
      <c r="AD135" s="232" t="s">
        <v>19</v>
      </c>
      <c r="AE135" s="264" t="s">
        <v>426</v>
      </c>
      <c r="AF135" s="231"/>
      <c r="AG135" s="231"/>
      <c r="AH135" s="231"/>
      <c r="AI135" s="231"/>
      <c r="AJ135" s="231"/>
      <c r="AK135" s="231"/>
      <c r="AL135" s="234" t="s">
        <v>35</v>
      </c>
      <c r="AM135" s="265"/>
      <c r="AN135" s="231"/>
    </row>
    <row r="136" spans="1:40" s="9" customFormat="1" ht="30" x14ac:dyDescent="0.25">
      <c r="A136" s="13" t="s">
        <v>429</v>
      </c>
      <c r="B136" s="229" t="str">
        <f>IF($A136="","",VLOOKUP($A136,'[2]3-Elaboration.O'!$A:$T,MATCH(B$1,'[2]150-Modele SGO'!$1:$1,0),FALSE))</f>
        <v>Si oui, s'agit-il d'un montant de commande en quantité ou en montant ?</v>
      </c>
      <c r="C136" s="229" t="str">
        <f>IF($A136="","",VLOOKUP($A136,'[2]3-Elaboration.O'!$A:$T,MATCH(C$1,'[2]150-Modele SGO'!$1:$1,0),FALSE))</f>
        <v>minimum en quantité ; minimum en montant</v>
      </c>
      <c r="D136" s="229" t="str">
        <f>IF($A136="","",VLOOKUP($A136,'[2]3-Elaboration.O'!$A:$T,MATCH(D$1,'[2]150-Modele SGO'!$1:$1,0),FALSE))</f>
        <v xml:space="preserve">Liste choix unique </v>
      </c>
      <c r="E136" s="230" t="s">
        <v>70</v>
      </c>
      <c r="F136" s="230"/>
      <c r="G136" s="231"/>
      <c r="H136" s="232" t="s">
        <v>19</v>
      </c>
      <c r="I136" s="233" t="s">
        <v>46</v>
      </c>
      <c r="J136" s="231"/>
      <c r="K136" s="231"/>
      <c r="L136" s="231"/>
      <c r="M136" s="232" t="s">
        <v>26</v>
      </c>
      <c r="N136" s="231"/>
      <c r="O136" s="233" t="s">
        <v>46</v>
      </c>
      <c r="P136" s="233" t="s">
        <v>35</v>
      </c>
      <c r="Q136" s="231" t="s">
        <v>35</v>
      </c>
      <c r="R136" s="231" t="s">
        <v>24</v>
      </c>
      <c r="S136" s="266" t="s">
        <v>24</v>
      </c>
      <c r="T136" s="231" t="s">
        <v>24</v>
      </c>
      <c r="U136" s="231" t="s">
        <v>24</v>
      </c>
      <c r="V136" s="232" t="s">
        <v>19</v>
      </c>
      <c r="W136" s="233" t="s">
        <v>46</v>
      </c>
      <c r="X136" s="231"/>
      <c r="Y136" s="231"/>
      <c r="Z136" s="231"/>
      <c r="AA136" s="234"/>
      <c r="AB136" s="242"/>
      <c r="AC136" s="242"/>
      <c r="AD136" s="232" t="s">
        <v>19</v>
      </c>
      <c r="AE136" s="233" t="s">
        <v>75</v>
      </c>
      <c r="AF136" s="231"/>
      <c r="AG136" s="231"/>
      <c r="AH136" s="231"/>
      <c r="AI136" s="231"/>
      <c r="AJ136" s="231"/>
      <c r="AK136" s="231"/>
      <c r="AL136" s="234" t="s">
        <v>35</v>
      </c>
      <c r="AM136" s="231"/>
      <c r="AN136" s="231"/>
    </row>
    <row r="137" spans="1:40" s="9" customFormat="1" ht="30" x14ac:dyDescent="0.25">
      <c r="A137" s="13" t="s">
        <v>430</v>
      </c>
      <c r="B137" s="229" t="str">
        <f>IF($A137="","",VLOOKUP($A137,'[2]3-Elaboration.O'!$A:$T,MATCH(B$1,'[2]150-Modele SGO'!$1:$1,0),FALSE))</f>
        <v>Si oui, la gestion du minimum de commande nécessite-'elle des paramétrages informatiques ?</v>
      </c>
      <c r="C137" s="229" t="str">
        <f>IF($A137="","",VLOOKUP($A137,'[2]3-Elaboration.O'!$A:$T,MATCH(C$1,'[2]150-Modele SGO'!$1:$1,0),FALSE))</f>
        <v>minimum en quantité ; minimum en montant</v>
      </c>
      <c r="D137" s="229" t="str">
        <f>IF($A137="","",VLOOKUP($A137,'[2]3-Elaboration.O'!$A:$T,MATCH(D$1,'[2]150-Modele SGO'!$1:$1,0),FALSE))</f>
        <v xml:space="preserve">Liste choix unique </v>
      </c>
      <c r="E137" s="230" t="s">
        <v>70</v>
      </c>
      <c r="F137" s="230"/>
      <c r="G137" s="231"/>
      <c r="H137" s="232" t="s">
        <v>19</v>
      </c>
      <c r="I137" s="233" t="s">
        <v>46</v>
      </c>
      <c r="J137" s="231"/>
      <c r="K137" s="231"/>
      <c r="L137" s="231"/>
      <c r="M137" s="232" t="s">
        <v>35</v>
      </c>
      <c r="N137" s="231"/>
      <c r="O137" s="231"/>
      <c r="P137" s="231"/>
      <c r="Q137" s="231" t="s">
        <v>35</v>
      </c>
      <c r="R137" s="231" t="s">
        <v>24</v>
      </c>
      <c r="S137" s="231" t="s">
        <v>24</v>
      </c>
      <c r="T137" s="231" t="s">
        <v>24</v>
      </c>
      <c r="U137" s="231" t="s">
        <v>24</v>
      </c>
      <c r="V137" s="232" t="s">
        <v>35</v>
      </c>
      <c r="W137" s="231"/>
      <c r="X137" s="231"/>
      <c r="Y137" s="231"/>
      <c r="Z137" s="231"/>
      <c r="AA137" s="234"/>
      <c r="AB137" s="242"/>
      <c r="AC137" s="242"/>
      <c r="AD137" s="232" t="s">
        <v>35</v>
      </c>
      <c r="AE137" s="231"/>
      <c r="AF137" s="231"/>
      <c r="AG137" s="231"/>
      <c r="AH137" s="231"/>
      <c r="AI137" s="231"/>
      <c r="AJ137" s="231"/>
      <c r="AK137" s="231"/>
      <c r="AL137" s="234" t="s">
        <v>35</v>
      </c>
      <c r="AM137" s="231"/>
      <c r="AN137" s="231"/>
    </row>
    <row r="138" spans="1:40" s="9" customFormat="1" ht="45" x14ac:dyDescent="0.25">
      <c r="A138" s="13" t="s">
        <v>431</v>
      </c>
      <c r="B138" s="229" t="str">
        <f>IF($A138="","",VLOOKUP($A138,'[2]3-Elaboration.O'!$A:$T,MATCH(B$1,'[2]150-Modele SGO'!$1:$1,0),FALSE))</f>
        <v>Minimum d’achat est-il applicable pour exonérer des frais de port est-il prévu / envisagé</v>
      </c>
      <c r="C138" s="229" t="str">
        <f>IF($A138="","",VLOOKUP($A138,'[2]3-Elaboration.O'!$A:$T,MATCH(C$1,'[2]150-Modele SGO'!$1:$1,0),FALSE))</f>
        <v>Oui, minimum d'achat pour l'exonération des frais de port;Non,Absence de minimum d'achat pour l'exonération des frais de port</v>
      </c>
      <c r="D138" s="229" t="str">
        <f>IF($A138="","",VLOOKUP($A138,'[2]3-Elaboration.O'!$A:$T,MATCH(D$1,'[2]150-Modele SGO'!$1:$1,0),FALSE))</f>
        <v xml:space="preserve">Liste choix unique </v>
      </c>
      <c r="E138" s="230" t="s">
        <v>70</v>
      </c>
      <c r="F138" s="230"/>
      <c r="G138" s="231"/>
      <c r="H138" s="232" t="s">
        <v>19</v>
      </c>
      <c r="I138" s="233" t="s">
        <v>432</v>
      </c>
      <c r="J138" s="231"/>
      <c r="K138" s="231"/>
      <c r="L138" s="231"/>
      <c r="M138" s="232" t="s">
        <v>26</v>
      </c>
      <c r="N138" s="231"/>
      <c r="O138" s="233" t="s">
        <v>432</v>
      </c>
      <c r="P138" s="233" t="s">
        <v>35</v>
      </c>
      <c r="Q138" s="233" t="s">
        <v>19</v>
      </c>
      <c r="R138" s="233" t="s">
        <v>46</v>
      </c>
      <c r="S138" s="231" t="s">
        <v>24</v>
      </c>
      <c r="T138" s="231" t="s">
        <v>24</v>
      </c>
      <c r="U138" s="231" t="s">
        <v>24</v>
      </c>
      <c r="V138" s="232" t="s">
        <v>19</v>
      </c>
      <c r="W138" s="233" t="s">
        <v>432</v>
      </c>
      <c r="X138" s="231"/>
      <c r="Y138" s="231"/>
      <c r="Z138" s="231"/>
      <c r="AA138" s="234"/>
      <c r="AB138" s="242"/>
      <c r="AC138" s="242"/>
      <c r="AD138" s="232" t="s">
        <v>19</v>
      </c>
      <c r="AE138" s="233" t="s">
        <v>432</v>
      </c>
      <c r="AF138" s="231"/>
      <c r="AG138" s="231"/>
      <c r="AH138" s="231"/>
      <c r="AI138" s="231"/>
      <c r="AJ138" s="231"/>
      <c r="AK138" s="231"/>
      <c r="AL138" s="234" t="s">
        <v>35</v>
      </c>
      <c r="AM138" s="231"/>
      <c r="AN138" s="231"/>
    </row>
    <row r="139" spans="1:40" s="9" customFormat="1" ht="15.75" x14ac:dyDescent="0.25">
      <c r="A139" s="108" t="s">
        <v>435</v>
      </c>
      <c r="B139" s="244" t="str">
        <f>IF($A139="","",VLOOKUP($A139,'[2]3-Elaboration.O'!$A:$T,MATCH(B$1,'[2]150-Modele SGO'!$1:$1,0),FALSE))</f>
        <v>04-4 Dématerialisation des devis / Commande</v>
      </c>
      <c r="C139" s="244">
        <f>IF($A139="","",VLOOKUP($A139,'[2]3-Elaboration.O'!$A:$T,MATCH(C$1,'[2]150-Modele SGO'!$1:$1,0),FALSE))</f>
        <v>0</v>
      </c>
      <c r="D139" s="244">
        <f>IF($A139="","",VLOOKUP($A139,'[2]3-Elaboration.O'!$A:$T,MATCH(D$1,'[2]150-Modele SGO'!$1:$1,0),FALSE))</f>
        <v>0</v>
      </c>
      <c r="E139" s="241" t="s">
        <v>70</v>
      </c>
      <c r="F139" s="241"/>
      <c r="G139" s="237"/>
      <c r="H139" s="241" t="s">
        <v>30</v>
      </c>
      <c r="I139" s="237"/>
      <c r="J139" s="237"/>
      <c r="K139" s="237"/>
      <c r="L139" s="237"/>
      <c r="M139" s="241" t="s">
        <v>30</v>
      </c>
      <c r="N139" s="237"/>
      <c r="O139" s="237"/>
      <c r="P139" s="237"/>
      <c r="Q139" s="237" t="s">
        <v>30</v>
      </c>
      <c r="R139" s="237" t="s">
        <v>24</v>
      </c>
      <c r="S139" s="231" t="s">
        <v>24</v>
      </c>
      <c r="T139" s="237" t="s">
        <v>24</v>
      </c>
      <c r="U139" s="237" t="s">
        <v>24</v>
      </c>
      <c r="V139" s="241" t="s">
        <v>30</v>
      </c>
      <c r="W139" s="237"/>
      <c r="X139" s="237"/>
      <c r="Y139" s="237"/>
      <c r="Z139" s="237"/>
      <c r="AA139" s="239"/>
      <c r="AB139" s="237"/>
      <c r="AC139" s="237"/>
      <c r="AD139" s="241" t="s">
        <v>30</v>
      </c>
      <c r="AE139" s="237"/>
      <c r="AF139" s="237"/>
      <c r="AG139" s="237"/>
      <c r="AH139" s="237"/>
      <c r="AI139" s="237"/>
      <c r="AJ139" s="237"/>
      <c r="AK139" s="237"/>
      <c r="AL139" s="239" t="s">
        <v>30</v>
      </c>
      <c r="AM139" s="237"/>
      <c r="AN139" s="237"/>
    </row>
    <row r="140" spans="1:40" s="9" customFormat="1" ht="95.85" customHeight="1" x14ac:dyDescent="0.25">
      <c r="A140" s="13" t="s">
        <v>437</v>
      </c>
      <c r="B140" s="229" t="str">
        <f>IF($A140="","",VLOOKUP($A140,'[2]3-Elaboration.O'!$A:$T,MATCH(B$1,'[2]150-Modele SGO'!$1:$1,0),FALSE))</f>
        <v>Une dématerialisation des commandes est-elle a mettre en place via SINOE ?</v>
      </c>
      <c r="C140" s="229" t="str">
        <f>IF($A140="","",VLOOKUP($A140,'[2]3-Elaboration.O'!$A:$T,MATCH(C$1,'[2]150-Modele SGO'!$1:$1,0),FALSE))</f>
        <v xml:space="preserve">Oui, dématerialisation des commandes; Non, Absence de dématerialisation des commandes </v>
      </c>
      <c r="D140" s="229" t="str">
        <f>IF($A140="","",VLOOKUP($A140,'[2]3-Elaboration.O'!$A:$T,MATCH(D$1,'[2]150-Modele SGO'!$1:$1,0),FALSE))</f>
        <v xml:space="preserve">Liste choix unique </v>
      </c>
      <c r="E140" s="230" t="s">
        <v>70</v>
      </c>
      <c r="F140" s="230"/>
      <c r="G140" s="233" t="s">
        <v>438</v>
      </c>
      <c r="H140" s="232" t="s">
        <v>51</v>
      </c>
      <c r="I140" s="231"/>
      <c r="J140" s="231"/>
      <c r="K140" s="231"/>
      <c r="L140" s="231"/>
      <c r="M140" s="232" t="s">
        <v>51</v>
      </c>
      <c r="N140" s="231"/>
      <c r="O140" s="231"/>
      <c r="P140" s="231"/>
      <c r="Q140" s="231" t="s">
        <v>51</v>
      </c>
      <c r="R140" s="231" t="s">
        <v>24</v>
      </c>
      <c r="S140" s="231" t="s">
        <v>24</v>
      </c>
      <c r="T140" s="231" t="s">
        <v>24</v>
      </c>
      <c r="U140" s="231" t="s">
        <v>24</v>
      </c>
      <c r="V140" s="232" t="s">
        <v>51</v>
      </c>
      <c r="W140" s="231"/>
      <c r="X140" s="231"/>
      <c r="Y140" s="231"/>
      <c r="Z140" s="231"/>
      <c r="AA140" s="234"/>
      <c r="AB140" s="231"/>
      <c r="AC140" s="231"/>
      <c r="AD140" s="232" t="s">
        <v>51</v>
      </c>
      <c r="AE140" s="231"/>
      <c r="AF140" s="231"/>
      <c r="AG140" s="231"/>
      <c r="AH140" s="231"/>
      <c r="AI140" s="231"/>
      <c r="AJ140" s="231"/>
      <c r="AK140" s="231"/>
      <c r="AL140" s="234" t="s">
        <v>51</v>
      </c>
      <c r="AM140" s="231"/>
      <c r="AN140" s="231"/>
    </row>
    <row r="141" spans="1:40" s="9" customFormat="1" ht="75" x14ac:dyDescent="0.25">
      <c r="A141" s="13" t="s">
        <v>441</v>
      </c>
      <c r="B141" s="229" t="str">
        <f>IF($A141="","",VLOOKUP($A141,'[2]3-Elaboration.O'!$A:$T,MATCH(B$1,'[2]150-Modele SGO'!$1:$1,0),FALSE))</f>
        <v>Si oui, le délai de transmission des informations (confirmation de commande, date prévisionnelle…) est-il conforme au délai standard de 3 jours ?</v>
      </c>
      <c r="C141" s="229" t="str">
        <f>IF($A141="","",VLOOKUP($A141,'[2]3-Elaboration.O'!$A:$T,MATCH(C$1,'[2]150-Modele SGO'!$1:$1,0),FALSE))</f>
        <v>Oui, Délai de transmission des informations liées à la commande ou à la livraisons conforme à 3 jours;Non, délai de transmission des informations liées à la commande ou à la livraisons non conforme au standard</v>
      </c>
      <c r="D141" s="229" t="str">
        <f>IF($A141="","",VLOOKUP($A141,'[2]3-Elaboration.O'!$A:$T,MATCH(D$1,'[2]150-Modele SGO'!$1:$1,0),FALSE))</f>
        <v xml:space="preserve">Liste choix unique </v>
      </c>
      <c r="E141" s="230" t="s">
        <v>70</v>
      </c>
      <c r="F141" s="230"/>
      <c r="G141" s="231"/>
      <c r="H141" s="232" t="s">
        <v>19</v>
      </c>
      <c r="I141" s="233" t="s">
        <v>1578</v>
      </c>
      <c r="J141" s="231"/>
      <c r="K141" s="231"/>
      <c r="L141" s="231"/>
      <c r="M141" s="232" t="s">
        <v>26</v>
      </c>
      <c r="N141" s="231"/>
      <c r="O141" s="233" t="s">
        <v>1579</v>
      </c>
      <c r="P141" s="233" t="s">
        <v>35</v>
      </c>
      <c r="Q141" s="231" t="s">
        <v>35</v>
      </c>
      <c r="R141" s="231" t="s">
        <v>24</v>
      </c>
      <c r="S141" s="266" t="s">
        <v>24</v>
      </c>
      <c r="T141" s="231" t="s">
        <v>24</v>
      </c>
      <c r="U141" s="231" t="s">
        <v>24</v>
      </c>
      <c r="V141" s="232" t="s">
        <v>35</v>
      </c>
      <c r="W141" s="231"/>
      <c r="X141" s="231"/>
      <c r="Y141" s="231"/>
      <c r="Z141" s="231"/>
      <c r="AA141" s="234"/>
      <c r="AB141" s="231"/>
      <c r="AC141" s="231"/>
      <c r="AD141" s="232" t="s">
        <v>19</v>
      </c>
      <c r="AE141" s="233" t="s">
        <v>1579</v>
      </c>
      <c r="AF141" s="231"/>
      <c r="AG141" s="231"/>
      <c r="AH141" s="231"/>
      <c r="AI141" s="231"/>
      <c r="AJ141" s="231"/>
      <c r="AK141" s="231"/>
      <c r="AL141" s="234" t="s">
        <v>35</v>
      </c>
      <c r="AM141" s="231"/>
      <c r="AN141" s="231"/>
    </row>
    <row r="142" spans="1:40" s="9" customFormat="1" ht="30" x14ac:dyDescent="0.25">
      <c r="A142" s="13" t="s">
        <v>444</v>
      </c>
      <c r="B142" s="229" t="str">
        <f>IF($A142="","",VLOOKUP($A142,'[2]3-Elaboration.O'!$A:$T,MATCH(B$1,'[2]150-Modele SGO'!$1:$1,0),FALSE))</f>
        <v>Si délai non conforme au standard, préciser le délai applicable</v>
      </c>
      <c r="C142" s="229" t="str">
        <f>IF($A142="","",VLOOKUP($A142,'[2]3-Elaboration.O'!$A:$T,MATCH(C$1,'[2]150-Modele SGO'!$1:$1,0),FALSE))</f>
        <v>Champ libre</v>
      </c>
      <c r="D142" s="229" t="str">
        <f>IF($A142="","",VLOOKUP($A142,'[2]3-Elaboration.O'!$A:$T,MATCH(D$1,'[2]150-Modele SGO'!$1:$1,0),FALSE))</f>
        <v>Texte</v>
      </c>
      <c r="E142" s="230" t="s">
        <v>70</v>
      </c>
      <c r="F142" s="230"/>
      <c r="G142" s="231"/>
      <c r="H142" s="232" t="s">
        <v>35</v>
      </c>
      <c r="I142" s="231"/>
      <c r="J142" s="231"/>
      <c r="K142" s="231"/>
      <c r="L142" s="231"/>
      <c r="M142" s="232" t="s">
        <v>35</v>
      </c>
      <c r="N142" s="231"/>
      <c r="O142" s="231"/>
      <c r="P142" s="231"/>
      <c r="Q142" s="231" t="s">
        <v>35</v>
      </c>
      <c r="R142" s="231" t="s">
        <v>24</v>
      </c>
      <c r="S142" s="231" t="s">
        <v>24</v>
      </c>
      <c r="T142" s="231" t="s">
        <v>24</v>
      </c>
      <c r="U142" s="231" t="s">
        <v>24</v>
      </c>
      <c r="V142" s="232" t="s">
        <v>35</v>
      </c>
      <c r="W142" s="231"/>
      <c r="X142" s="231"/>
      <c r="Y142" s="231"/>
      <c r="Z142" s="231"/>
      <c r="AA142" s="234"/>
      <c r="AB142" s="231"/>
      <c r="AC142" s="231"/>
      <c r="AD142" s="232" t="s">
        <v>35</v>
      </c>
      <c r="AE142" s="231"/>
      <c r="AF142" s="231"/>
      <c r="AG142" s="231"/>
      <c r="AH142" s="231"/>
      <c r="AI142" s="231"/>
      <c r="AJ142" s="231"/>
      <c r="AK142" s="231"/>
      <c r="AL142" s="234" t="s">
        <v>35</v>
      </c>
      <c r="AM142" s="231"/>
      <c r="AN142" s="231"/>
    </row>
    <row r="143" spans="1:40" s="9" customFormat="1" ht="77.849999999999994" customHeight="1" x14ac:dyDescent="0.25">
      <c r="A143" s="13" t="s">
        <v>446</v>
      </c>
      <c r="B143" s="229" t="str">
        <f>IF($A143="","",VLOOKUP($A143,'[2]3-Elaboration.O'!$A:$T,MATCH(B$1,'[2]150-Modele SGO'!$1:$1,0),FALSE))</f>
        <v xml:space="preserve">En cas d'émission de bons de commande dématérialisée autre que SINOE  : dans quels délais les informations (confirmation de la commande, date prévisionnelle…) doivent-elles être transmises ? </v>
      </c>
      <c r="C143" s="229" t="str">
        <f>IF($A143="","",VLOOKUP($A143,'[2]3-Elaboration.O'!$A:$T,MATCH(C$1,'[2]150-Modele SGO'!$1:$1,0),FALSE))</f>
        <v>Champ libre</v>
      </c>
      <c r="D143" s="229" t="str">
        <f>IF($A143="","",VLOOKUP($A143,'[2]3-Elaboration.O'!$A:$T,MATCH(D$1,'[2]150-Modele SGO'!$1:$1,0),FALSE))</f>
        <v>Texte</v>
      </c>
      <c r="E143" s="230" t="s">
        <v>1521</v>
      </c>
      <c r="F143" s="230"/>
      <c r="G143" s="231"/>
      <c r="H143" s="232" t="s">
        <v>35</v>
      </c>
      <c r="I143" s="231"/>
      <c r="J143" s="231"/>
      <c r="K143" s="231"/>
      <c r="L143" s="231"/>
      <c r="M143" s="232" t="s">
        <v>35</v>
      </c>
      <c r="N143" s="231"/>
      <c r="O143" s="231"/>
      <c r="P143" s="231"/>
      <c r="Q143" s="231" t="s">
        <v>35</v>
      </c>
      <c r="R143" s="231" t="s">
        <v>24</v>
      </c>
      <c r="S143" s="231" t="s">
        <v>24</v>
      </c>
      <c r="T143" s="231" t="s">
        <v>24</v>
      </c>
      <c r="U143" s="231" t="s">
        <v>24</v>
      </c>
      <c r="V143" s="232" t="s">
        <v>35</v>
      </c>
      <c r="W143" s="231"/>
      <c r="X143" s="231"/>
      <c r="Y143" s="231"/>
      <c r="Z143" s="231"/>
      <c r="AA143" s="234"/>
      <c r="AB143" s="231"/>
      <c r="AC143" s="231"/>
      <c r="AD143" s="232" t="s">
        <v>35</v>
      </c>
      <c r="AE143" s="231"/>
      <c r="AF143" s="231"/>
      <c r="AG143" s="231"/>
      <c r="AH143" s="231"/>
      <c r="AI143" s="231"/>
      <c r="AJ143" s="231"/>
      <c r="AK143" s="231"/>
      <c r="AL143" s="234" t="s">
        <v>35</v>
      </c>
      <c r="AM143" s="231"/>
      <c r="AN143" s="231"/>
    </row>
    <row r="144" spans="1:40" s="9" customFormat="1" ht="30" x14ac:dyDescent="0.25">
      <c r="A144" s="13" t="s">
        <v>448</v>
      </c>
      <c r="B144" s="229" t="str">
        <f>IF($A144="","",VLOOKUP($A144,'[2]3-Elaboration.O'!$A:$T,MATCH(B$1,'[2]150-Modele SGO'!$1:$1,0),FALSE))</f>
        <v>Quelle est la fréquence d'émission des bons de commandes ?</v>
      </c>
      <c r="C144" s="229" t="str">
        <f>IF($A144="","",VLOOKUP($A144,'[2]3-Elaboration.O'!$A:$T,MATCH(C$1,'[2]150-Modele SGO'!$1:$1,0),FALSE))</f>
        <v>A la survenance du besoin; A échéance (mensuelle, trimestrielle, annuelle); autre ou mixte</v>
      </c>
      <c r="D144" s="229" t="str">
        <f>IF($A144="","",VLOOKUP($A144,'[2]3-Elaboration.O'!$A:$T,MATCH(D$1,'[2]150-Modele SGO'!$1:$1,0),FALSE))</f>
        <v xml:space="preserve">Liste choix unique </v>
      </c>
      <c r="E144" s="230" t="s">
        <v>70</v>
      </c>
      <c r="F144" s="230"/>
      <c r="G144" s="231"/>
      <c r="H144" s="232" t="s">
        <v>19</v>
      </c>
      <c r="I144" s="233" t="s">
        <v>273</v>
      </c>
      <c r="J144" s="231"/>
      <c r="K144" s="231"/>
      <c r="L144" s="231"/>
      <c r="M144" s="232" t="s">
        <v>26</v>
      </c>
      <c r="N144" s="231"/>
      <c r="O144" s="233" t="s">
        <v>273</v>
      </c>
      <c r="P144" s="233" t="s">
        <v>35</v>
      </c>
      <c r="Q144" s="233" t="s">
        <v>26</v>
      </c>
      <c r="R144" s="231" t="s">
        <v>24</v>
      </c>
      <c r="S144" s="233" t="s">
        <v>1580</v>
      </c>
      <c r="T144" s="233" t="s">
        <v>273</v>
      </c>
      <c r="U144" s="233" t="s">
        <v>273</v>
      </c>
      <c r="V144" s="232" t="s">
        <v>19</v>
      </c>
      <c r="W144" s="233" t="s">
        <v>273</v>
      </c>
      <c r="X144" s="231"/>
      <c r="Y144" s="231"/>
      <c r="Z144" s="231"/>
      <c r="AA144" s="234"/>
      <c r="AB144" s="242"/>
      <c r="AC144" s="242"/>
      <c r="AD144" s="232" t="s">
        <v>19</v>
      </c>
      <c r="AE144" s="233" t="s">
        <v>1581</v>
      </c>
      <c r="AF144" s="231"/>
      <c r="AG144" s="231"/>
      <c r="AH144" s="231"/>
      <c r="AI144" s="231"/>
      <c r="AJ144" s="231"/>
      <c r="AK144" s="231"/>
      <c r="AL144" s="234" t="s">
        <v>35</v>
      </c>
      <c r="AM144" s="231"/>
      <c r="AN144" s="231"/>
    </row>
    <row r="145" spans="1:40" s="9" customFormat="1" ht="85.5" customHeight="1" x14ac:dyDescent="0.25">
      <c r="A145" s="13" t="s">
        <v>451</v>
      </c>
      <c r="B145" s="229" t="str">
        <f>IF($A145="","",VLOOKUP($A145,'[2]3-Elaboration.O'!$A:$T,MATCH(B$1,'[2]150-Modele SGO'!$1:$1,0),FALSE))</f>
        <v xml:space="preserve">Si fréquence d'émission "autre" ou "mixte" apporter des précisions après échanges auprès du référent devis/commande </v>
      </c>
      <c r="C145" s="229" t="str">
        <f>IF($A145="","",VLOOKUP($A145,'[2]3-Elaboration.O'!$A:$T,MATCH(C$1,'[2]150-Modele SGO'!$1:$1,0),FALSE))</f>
        <v>Champ libre</v>
      </c>
      <c r="D145" s="229" t="str">
        <f>IF($A145="","",VLOOKUP($A145,'[2]3-Elaboration.O'!$A:$T,MATCH(D$1,'[2]150-Modele SGO'!$1:$1,0),FALSE))</f>
        <v>Texte</v>
      </c>
      <c r="E145" s="230" t="s">
        <v>70</v>
      </c>
      <c r="F145" s="230"/>
      <c r="G145" s="231"/>
      <c r="H145" s="232" t="s">
        <v>35</v>
      </c>
      <c r="I145" s="231"/>
      <c r="J145" s="231"/>
      <c r="K145" s="231"/>
      <c r="L145" s="231"/>
      <c r="M145" s="232" t="s">
        <v>35</v>
      </c>
      <c r="N145" s="231"/>
      <c r="O145" s="231"/>
      <c r="P145" s="231"/>
      <c r="Q145" s="231" t="s">
        <v>35</v>
      </c>
      <c r="R145" s="231" t="s">
        <v>24</v>
      </c>
      <c r="S145" s="231" t="s">
        <v>24</v>
      </c>
      <c r="T145" s="231" t="s">
        <v>24</v>
      </c>
      <c r="U145" s="231" t="s">
        <v>24</v>
      </c>
      <c r="V145" s="232" t="s">
        <v>35</v>
      </c>
      <c r="W145" s="231"/>
      <c r="X145" s="231"/>
      <c r="Y145" s="231"/>
      <c r="Z145" s="231"/>
      <c r="AA145" s="234"/>
      <c r="AB145" s="231"/>
      <c r="AC145" s="231"/>
      <c r="AD145" s="232" t="s">
        <v>35</v>
      </c>
      <c r="AE145" s="231"/>
      <c r="AF145" s="231"/>
      <c r="AG145" s="231"/>
      <c r="AH145" s="231"/>
      <c r="AI145" s="231"/>
      <c r="AJ145" s="231"/>
      <c r="AK145" s="231"/>
      <c r="AL145" s="234" t="s">
        <v>35</v>
      </c>
      <c r="AM145" s="231"/>
      <c r="AN145" s="231"/>
    </row>
    <row r="146" spans="1:40" s="9" customFormat="1" ht="99.6" customHeight="1" x14ac:dyDescent="0.25">
      <c r="A146" s="13" t="s">
        <v>453</v>
      </c>
      <c r="B146" s="229" t="str">
        <f>IF($A146="","",VLOOKUP($A146,'[2]3-Elaboration.O'!$A:$T,MATCH(B$1,'[2]150-Modele SGO'!$1:$1,0),FALSE))</f>
        <v>En cas de BDC à échéance, préciser s'il s'agit d'une mono, multi échéance et pour quelle échéance l'UGAP émet-elle une commande ? (mensuelle, trimestrielle, semestrielle ou annuelle)</v>
      </c>
      <c r="C146" s="229" t="str">
        <f>IF($A146="","",VLOOKUP($A146,'[2]3-Elaboration.O'!$A:$T,MATCH(C$1,'[2]150-Modele SGO'!$1:$1,0),FALSE))</f>
        <v>mensuelle,trimestrielle,semestrielle;annuelle</v>
      </c>
      <c r="D146" s="229" t="str">
        <f>IF($A146="","",VLOOKUP($A146,'[2]3-Elaboration.O'!$A:$T,MATCH(D$1,'[2]150-Modele SGO'!$1:$1,0),FALSE))</f>
        <v>Liste choix multiple</v>
      </c>
      <c r="E146" s="230" t="s">
        <v>1521</v>
      </c>
      <c r="F146" s="230"/>
      <c r="G146" s="231"/>
      <c r="H146" s="232" t="s">
        <v>35</v>
      </c>
      <c r="I146" s="231"/>
      <c r="J146" s="231"/>
      <c r="K146" s="231"/>
      <c r="L146" s="231"/>
      <c r="M146" s="232" t="s">
        <v>35</v>
      </c>
      <c r="N146" s="231"/>
      <c r="O146" s="231"/>
      <c r="P146" s="231"/>
      <c r="Q146" s="231" t="s">
        <v>35</v>
      </c>
      <c r="R146" s="231" t="s">
        <v>24</v>
      </c>
      <c r="S146" s="231" t="s">
        <v>24</v>
      </c>
      <c r="T146" s="231" t="s">
        <v>24</v>
      </c>
      <c r="U146" s="231" t="s">
        <v>24</v>
      </c>
      <c r="V146" s="232" t="s">
        <v>35</v>
      </c>
      <c r="W146" s="231"/>
      <c r="X146" s="231"/>
      <c r="Y146" s="231"/>
      <c r="Z146" s="231"/>
      <c r="AA146" s="234"/>
      <c r="AB146" s="231"/>
      <c r="AC146" s="231"/>
      <c r="AD146" s="232" t="s">
        <v>35</v>
      </c>
      <c r="AE146" s="231"/>
      <c r="AF146" s="231" t="s">
        <v>1582</v>
      </c>
      <c r="AG146" s="231" t="s">
        <v>1583</v>
      </c>
      <c r="AH146" s="231" t="s">
        <v>1582</v>
      </c>
      <c r="AI146" s="231" t="s">
        <v>1584</v>
      </c>
      <c r="AJ146" s="231" t="s">
        <v>1582</v>
      </c>
      <c r="AK146" s="231" t="s">
        <v>1582</v>
      </c>
      <c r="AL146" s="234" t="s">
        <v>35</v>
      </c>
      <c r="AM146" s="231"/>
      <c r="AN146" s="231"/>
    </row>
    <row r="147" spans="1:40" s="9" customFormat="1" ht="15.75" x14ac:dyDescent="0.25">
      <c r="A147" s="108" t="s">
        <v>456</v>
      </c>
      <c r="B147" s="244" t="str">
        <f>IF($A147="","",VLOOKUP($A147,'[2]3-Elaboration.O'!$A:$T,MATCH(B$1,'[2]150-Modele SGO'!$1:$1,0),FALSE))</f>
        <v>04-5 Modification, resiliation, annulation des BDCs</v>
      </c>
      <c r="C147" s="244">
        <f>IF($A147="","",VLOOKUP($A147,'[2]3-Elaboration.O'!$A:$T,MATCH(C$1,'[2]150-Modele SGO'!$1:$1,0),FALSE))</f>
        <v>0</v>
      </c>
      <c r="D147" s="244">
        <f>IF($A147="","",VLOOKUP($A147,'[2]3-Elaboration.O'!$A:$T,MATCH(D$1,'[2]150-Modele SGO'!$1:$1,0),FALSE))</f>
        <v>0</v>
      </c>
      <c r="E147" s="241" t="s">
        <v>70</v>
      </c>
      <c r="F147" s="241"/>
      <c r="G147" s="237"/>
      <c r="H147" s="241" t="s">
        <v>30</v>
      </c>
      <c r="I147" s="237"/>
      <c r="J147" s="237"/>
      <c r="K147" s="237"/>
      <c r="L147" s="237"/>
      <c r="M147" s="241" t="s">
        <v>30</v>
      </c>
      <c r="N147" s="237"/>
      <c r="O147" s="237"/>
      <c r="P147" s="237"/>
      <c r="Q147" s="237" t="s">
        <v>30</v>
      </c>
      <c r="R147" s="237" t="s">
        <v>24</v>
      </c>
      <c r="S147" s="231" t="s">
        <v>24</v>
      </c>
      <c r="T147" s="237" t="s">
        <v>24</v>
      </c>
      <c r="U147" s="237" t="s">
        <v>24</v>
      </c>
      <c r="V147" s="241" t="s">
        <v>30</v>
      </c>
      <c r="W147" s="237"/>
      <c r="X147" s="231"/>
      <c r="Y147" s="231"/>
      <c r="Z147" s="231"/>
      <c r="AA147" s="234"/>
      <c r="AB147" s="231"/>
      <c r="AC147" s="231"/>
      <c r="AD147" s="241" t="s">
        <v>30</v>
      </c>
      <c r="AE147" s="237"/>
      <c r="AF147" s="237"/>
      <c r="AG147" s="237"/>
      <c r="AH147" s="237"/>
      <c r="AI147" s="237"/>
      <c r="AJ147" s="237"/>
      <c r="AK147" s="237"/>
      <c r="AL147" s="239" t="s">
        <v>30</v>
      </c>
      <c r="AM147" s="237"/>
      <c r="AN147" s="237"/>
    </row>
    <row r="148" spans="1:40" s="9" customFormat="1" ht="60" x14ac:dyDescent="0.25">
      <c r="A148" s="13" t="s">
        <v>458</v>
      </c>
      <c r="B148" s="229" t="str">
        <f>IF($A148="","",VLOOKUP($A148,'[2]3-Elaboration.O'!$A:$T,MATCH(B$1,'[2]150-Modele SGO'!$1:$1,0),FALSE))</f>
        <v xml:space="preserve">Le délai de modification/résiliation ou d'annulation du BDC fournisseur est-il conforme à la règle des 8 jours </v>
      </c>
      <c r="C148" s="229" t="str">
        <f>IF($A148="","",VLOOKUP($A148,'[2]3-Elaboration.O'!$A:$T,MATCH(C$1,'[2]150-Modele SGO'!$1:$1,0),FALSE))</f>
        <v>Oui, le délai de modification/résiliation ou d'annulation du BDC est conforme à la règle des 8 jours; Non, le délai de modification/résiliation ou d'annulation du BDC n'est pas conforme à la règle des 8 jours</v>
      </c>
      <c r="D148" s="229" t="str">
        <f>IF($A148="","",VLOOKUP($A148,'[2]3-Elaboration.O'!$A:$T,MATCH(D$1,'[2]150-Modele SGO'!$1:$1,0),FALSE))</f>
        <v xml:space="preserve">Liste choix unique </v>
      </c>
      <c r="E148" s="230" t="s">
        <v>1521</v>
      </c>
      <c r="F148" s="230"/>
      <c r="G148" s="233" t="s">
        <v>459</v>
      </c>
      <c r="H148" s="232" t="s">
        <v>51</v>
      </c>
      <c r="I148" s="231"/>
      <c r="J148" s="231"/>
      <c r="K148" s="231"/>
      <c r="L148" s="231"/>
      <c r="M148" s="232" t="s">
        <v>51</v>
      </c>
      <c r="N148" s="231"/>
      <c r="O148" s="231"/>
      <c r="P148" s="231"/>
      <c r="Q148" s="231" t="s">
        <v>51</v>
      </c>
      <c r="R148" s="231" t="s">
        <v>24</v>
      </c>
      <c r="S148" s="231" t="s">
        <v>24</v>
      </c>
      <c r="T148" s="231" t="s">
        <v>24</v>
      </c>
      <c r="U148" s="231" t="s">
        <v>24</v>
      </c>
      <c r="V148" s="232" t="s">
        <v>51</v>
      </c>
      <c r="W148" s="231"/>
      <c r="X148" s="231"/>
      <c r="Y148" s="231"/>
      <c r="Z148" s="231"/>
      <c r="AA148" s="234"/>
      <c r="AB148" s="231"/>
      <c r="AC148" s="231"/>
      <c r="AD148" s="232" t="s">
        <v>51</v>
      </c>
      <c r="AE148" s="231"/>
      <c r="AF148" s="231"/>
      <c r="AG148" s="231"/>
      <c r="AH148" s="231"/>
      <c r="AI148" s="231"/>
      <c r="AJ148" s="231"/>
      <c r="AK148" s="231"/>
      <c r="AL148" s="234" t="s">
        <v>51</v>
      </c>
      <c r="AM148" s="231"/>
      <c r="AN148" s="231"/>
    </row>
    <row r="149" spans="1:40" s="9" customFormat="1" ht="15.75" x14ac:dyDescent="0.25">
      <c r="A149" s="13" t="s">
        <v>462</v>
      </c>
      <c r="B149" s="229" t="str">
        <f>IF($A149="","",VLOOKUP($A149,'[2]3-Elaboration.O'!$A:$T,MATCH(B$1,'[2]150-Modele SGO'!$1:$1,0),FALSE))</f>
        <v>Et si non, quel est le délai</v>
      </c>
      <c r="C149" s="229" t="str">
        <f>IF($A149="","",VLOOKUP($A149,'[2]3-Elaboration.O'!$A:$T,MATCH(C$1,'[2]150-Modele SGO'!$1:$1,0),FALSE))</f>
        <v>Champ libre</v>
      </c>
      <c r="D149" s="229" t="str">
        <f>IF($A149="","",VLOOKUP($A149,'[2]3-Elaboration.O'!$A:$T,MATCH(D$1,'[2]150-Modele SGO'!$1:$1,0),FALSE))</f>
        <v>Texte</v>
      </c>
      <c r="E149" s="230" t="s">
        <v>1521</v>
      </c>
      <c r="F149" s="230"/>
      <c r="G149" s="231"/>
      <c r="H149" s="232" t="s">
        <v>35</v>
      </c>
      <c r="I149" s="231"/>
      <c r="J149" s="231"/>
      <c r="K149" s="231"/>
      <c r="L149" s="231"/>
      <c r="M149" s="232" t="s">
        <v>35</v>
      </c>
      <c r="N149" s="231"/>
      <c r="O149" s="231"/>
      <c r="P149" s="231"/>
      <c r="Q149" s="231" t="s">
        <v>35</v>
      </c>
      <c r="R149" s="231" t="s">
        <v>24</v>
      </c>
      <c r="S149" s="231" t="s">
        <v>24</v>
      </c>
      <c r="T149" s="231" t="s">
        <v>24</v>
      </c>
      <c r="U149" s="231" t="s">
        <v>24</v>
      </c>
      <c r="V149" s="232" t="s">
        <v>35</v>
      </c>
      <c r="W149" s="231"/>
      <c r="X149" s="231"/>
      <c r="Y149" s="231"/>
      <c r="Z149" s="231"/>
      <c r="AA149" s="234"/>
      <c r="AB149" s="231"/>
      <c r="AC149" s="231"/>
      <c r="AD149" s="232" t="s">
        <v>35</v>
      </c>
      <c r="AE149" s="231"/>
      <c r="AF149" s="231"/>
      <c r="AG149" s="231"/>
      <c r="AH149" s="231"/>
      <c r="AI149" s="231"/>
      <c r="AJ149" s="231"/>
      <c r="AK149" s="231"/>
      <c r="AL149" s="234" t="s">
        <v>35</v>
      </c>
      <c r="AM149" s="231"/>
      <c r="AN149" s="231"/>
    </row>
    <row r="150" spans="1:40" s="9" customFormat="1" ht="70.349999999999994" customHeight="1" x14ac:dyDescent="0.25">
      <c r="A150" s="13" t="s">
        <v>464</v>
      </c>
      <c r="B150" s="229" t="str">
        <f>IF($A150="","",VLOOKUP($A150,'[2]3-Elaboration.O'!$A:$T,MATCH(B$1,'[2]150-Modele SGO'!$1:$1,0),FALSE))</f>
        <v xml:space="preserve">En cas d’annulation/modification des bons de Commande client existe-t-il une dérogation aux CGV (=annulation le jour même)? 	</v>
      </c>
      <c r="C150" s="229" t="str">
        <f>IF($A150="","",VLOOKUP($A150,'[2]3-Elaboration.O'!$A:$T,MATCH(C$1,'[2]150-Modele SGO'!$1:$1,0),FALSE))</f>
        <v>Oui, la règle d'annulation/modification ou annulation déroge aux CGV; Non,la règle d'annulation/modification ou annulation est conforme aux CGV</v>
      </c>
      <c r="D150" s="229" t="str">
        <f>IF($A150="","",VLOOKUP($A150,'[2]3-Elaboration.O'!$A:$T,MATCH(D$1,'[2]150-Modele SGO'!$1:$1,0),FALSE))</f>
        <v xml:space="preserve">Liste choix unique </v>
      </c>
      <c r="E150" s="230" t="s">
        <v>70</v>
      </c>
      <c r="F150" s="230"/>
      <c r="G150" s="233" t="s">
        <v>465</v>
      </c>
      <c r="H150" s="232" t="s">
        <v>51</v>
      </c>
      <c r="I150" s="231"/>
      <c r="J150" s="231"/>
      <c r="K150" s="231"/>
      <c r="L150" s="231"/>
      <c r="M150" s="232" t="s">
        <v>51</v>
      </c>
      <c r="N150" s="231"/>
      <c r="O150" s="231"/>
      <c r="P150" s="231"/>
      <c r="Q150" s="231" t="s">
        <v>51</v>
      </c>
      <c r="R150" s="231" t="s">
        <v>24</v>
      </c>
      <c r="S150" s="231" t="s">
        <v>24</v>
      </c>
      <c r="T150" s="231" t="s">
        <v>24</v>
      </c>
      <c r="U150" s="231" t="s">
        <v>24</v>
      </c>
      <c r="V150" s="232" t="s">
        <v>51</v>
      </c>
      <c r="W150" s="231"/>
      <c r="X150" s="231"/>
      <c r="Y150" s="231"/>
      <c r="Z150" s="231"/>
      <c r="AA150" s="234"/>
      <c r="AB150" s="231"/>
      <c r="AC150" s="231"/>
      <c r="AD150" s="232" t="s">
        <v>51</v>
      </c>
      <c r="AE150" s="231"/>
      <c r="AF150" s="231"/>
      <c r="AG150" s="231"/>
      <c r="AH150" s="231"/>
      <c r="AI150" s="231"/>
      <c r="AJ150" s="231"/>
      <c r="AK150" s="231"/>
      <c r="AL150" s="234" t="s">
        <v>51</v>
      </c>
      <c r="AM150" s="231"/>
      <c r="AN150" s="231"/>
    </row>
    <row r="151" spans="1:40" s="9" customFormat="1" ht="409.5" x14ac:dyDescent="0.25">
      <c r="A151" s="13" t="s">
        <v>468</v>
      </c>
      <c r="B151" s="229" t="str">
        <f>IF($A151="","",VLOOKUP($A151,'[2]3-Elaboration.O'!$A:$T,MATCH(B$1,'[2]150-Modele SGO'!$1:$1,0),FALSE))</f>
        <v>Si oui, Précisez les modalités particulières de modifications/annulations qui s'appliquent</v>
      </c>
      <c r="C151" s="229" t="str">
        <f>IF($A151="","",VLOOKUP($A151,'[2]3-Elaboration.O'!$A:$T,MATCH(C$1,'[2]150-Modele SGO'!$1:$1,0),FALSE))</f>
        <v>Champ libre</v>
      </c>
      <c r="D151" s="229" t="str">
        <f>IF($A151="","",VLOOKUP($A151,'[2]3-Elaboration.O'!$A:$T,MATCH(D$1,'[2]150-Modele SGO'!$1:$1,0),FALSE))</f>
        <v>Texte</v>
      </c>
      <c r="E151" s="230" t="s">
        <v>70</v>
      </c>
      <c r="F151" s="230"/>
      <c r="G151" s="231"/>
      <c r="H151" s="232" t="s">
        <v>35</v>
      </c>
      <c r="I151" s="231"/>
      <c r="J151" s="231"/>
      <c r="K151" s="231"/>
      <c r="L151" s="231"/>
      <c r="M151" s="232" t="s">
        <v>35</v>
      </c>
      <c r="N151" s="231"/>
      <c r="O151" s="231"/>
      <c r="P151" s="231"/>
      <c r="Q151" s="231" t="s">
        <v>35</v>
      </c>
      <c r="R151" s="231" t="s">
        <v>24</v>
      </c>
      <c r="S151" s="231" t="s">
        <v>24</v>
      </c>
      <c r="T151" s="231" t="s">
        <v>24</v>
      </c>
      <c r="U151" s="231" t="s">
        <v>24</v>
      </c>
      <c r="V151" s="232" t="s">
        <v>35</v>
      </c>
      <c r="W151" s="231"/>
      <c r="X151" s="231"/>
      <c r="Y151" s="231"/>
      <c r="Z151" s="231"/>
      <c r="AA151" s="234"/>
      <c r="AB151" s="231"/>
      <c r="AC151" s="231"/>
      <c r="AD151" s="232" t="s">
        <v>35</v>
      </c>
      <c r="AE151" s="231"/>
      <c r="AF151" s="231"/>
      <c r="AG151" s="231" t="s">
        <v>1585</v>
      </c>
      <c r="AH151" s="231"/>
      <c r="AI151" s="231"/>
      <c r="AJ151" s="231" t="s">
        <v>1586</v>
      </c>
      <c r="AK151" s="231"/>
      <c r="AL151" s="234" t="s">
        <v>35</v>
      </c>
      <c r="AM151" s="231"/>
      <c r="AN151" s="231"/>
    </row>
    <row r="152" spans="1:40" s="9" customFormat="1" ht="15.75" x14ac:dyDescent="0.25">
      <c r="A152" s="24" t="s">
        <v>470</v>
      </c>
      <c r="B152" s="249" t="str">
        <f>IF($A152="","",VLOOKUP($A152,'[2]3-Elaboration.O'!$A:$T,MATCH(B$1,'[2]150-Modele SGO'!$1:$1,0),FALSE))</f>
        <v>05.0 GARANTIE _SAV_MAINTENANCE</v>
      </c>
      <c r="C152" s="255">
        <f>IF($A152="","",VLOOKUP($A152,'[2]3-Elaboration.O'!$A:$T,MATCH(C$1,'[2]150-Modele SGO'!$1:$1,0),FALSE))</f>
        <v>0</v>
      </c>
      <c r="D152" s="255">
        <f>IF($A152="","",VLOOKUP($A152,'[2]3-Elaboration.O'!$A:$T,MATCH(D$1,'[2]150-Modele SGO'!$1:$1,0),FALSE))</f>
        <v>0</v>
      </c>
      <c r="E152" s="1" t="s">
        <v>70</v>
      </c>
      <c r="F152" s="1"/>
      <c r="G152" s="231"/>
      <c r="H152" s="238" t="s">
        <v>30</v>
      </c>
      <c r="I152" s="231"/>
      <c r="J152" s="231"/>
      <c r="K152" s="231"/>
      <c r="L152" s="231"/>
      <c r="M152" s="238" t="s">
        <v>30</v>
      </c>
      <c r="N152" s="231"/>
      <c r="O152" s="231"/>
      <c r="P152" s="231"/>
      <c r="Q152" s="231" t="s">
        <v>30</v>
      </c>
      <c r="R152" s="231" t="s">
        <v>24</v>
      </c>
      <c r="S152" s="231" t="s">
        <v>24</v>
      </c>
      <c r="T152" s="231" t="s">
        <v>24</v>
      </c>
      <c r="U152" s="231" t="s">
        <v>24</v>
      </c>
      <c r="V152" s="238" t="s">
        <v>30</v>
      </c>
      <c r="W152" s="231"/>
      <c r="X152" s="231"/>
      <c r="Y152" s="231"/>
      <c r="Z152" s="231"/>
      <c r="AA152" s="234"/>
      <c r="AB152" s="231"/>
      <c r="AC152" s="231"/>
      <c r="AD152" s="238" t="s">
        <v>30</v>
      </c>
      <c r="AE152" s="231"/>
      <c r="AF152" s="231"/>
      <c r="AG152" s="231"/>
      <c r="AH152" s="231"/>
      <c r="AI152" s="231"/>
      <c r="AJ152" s="231"/>
      <c r="AK152" s="231"/>
      <c r="AL152" s="234" t="s">
        <v>30</v>
      </c>
      <c r="AM152" s="231"/>
      <c r="AN152" s="231"/>
    </row>
    <row r="153" spans="1:40" s="9" customFormat="1" ht="30" x14ac:dyDescent="0.25">
      <c r="A153" s="13" t="s">
        <v>472</v>
      </c>
      <c r="B153" s="229" t="str">
        <f>IF($A153="","",VLOOKUP($A153,'[2]3-Elaboration.O'!$A:$T,MATCH(B$1,'[2]150-Modele SGO'!$1:$1,0),FALSE))</f>
        <v xml:space="preserve">Ce chapitre est-il applicable </v>
      </c>
      <c r="C153" s="229" t="str">
        <f>IF($A153="","",VLOOKUP($A153,'[2]3-Elaboration.O'!$A:$T,MATCH(C$1,'[2]150-Modele SGO'!$1:$1,0),FALSE))</f>
        <v>Oui, ce chapitre est applicable;Non,ce chapitre est non applicable</v>
      </c>
      <c r="D153" s="229" t="str">
        <f>IF($A153="","",VLOOKUP($A153,'[2]3-Elaboration.O'!$A:$T,MATCH(D$1,'[2]150-Modele SGO'!$1:$1,0),FALSE))</f>
        <v xml:space="preserve">Liste choix unique </v>
      </c>
      <c r="E153" s="230" t="s">
        <v>70</v>
      </c>
      <c r="F153" s="230"/>
      <c r="G153" s="233"/>
      <c r="H153" s="232" t="s">
        <v>19</v>
      </c>
      <c r="I153" s="233" t="s">
        <v>1587</v>
      </c>
      <c r="J153" s="231"/>
      <c r="K153" s="231"/>
      <c r="L153" s="231"/>
      <c r="M153" s="232" t="s">
        <v>35</v>
      </c>
      <c r="N153" s="231"/>
      <c r="O153" s="231"/>
      <c r="P153" s="231"/>
      <c r="Q153" s="233" t="s">
        <v>19</v>
      </c>
      <c r="R153" s="233" t="s">
        <v>473</v>
      </c>
      <c r="S153" s="231" t="s">
        <v>24</v>
      </c>
      <c r="T153" s="231" t="s">
        <v>24</v>
      </c>
      <c r="U153" s="231" t="s">
        <v>24</v>
      </c>
      <c r="V153" s="267" t="s">
        <v>26</v>
      </c>
      <c r="W153" s="231"/>
      <c r="X153" s="233" t="s">
        <v>473</v>
      </c>
      <c r="Y153" s="233" t="s">
        <v>473</v>
      </c>
      <c r="Z153" s="233" t="s">
        <v>473</v>
      </c>
      <c r="AA153" s="233" t="s">
        <v>473</v>
      </c>
      <c r="AB153" s="233" t="s">
        <v>473</v>
      </c>
      <c r="AC153" s="233" t="s">
        <v>473</v>
      </c>
      <c r="AD153" s="232" t="s">
        <v>19</v>
      </c>
      <c r="AE153" s="233" t="s">
        <v>1587</v>
      </c>
      <c r="AF153" s="231"/>
      <c r="AG153" s="231"/>
      <c r="AH153" s="231"/>
      <c r="AI153" s="231"/>
      <c r="AJ153" s="231"/>
      <c r="AK153" s="231"/>
      <c r="AL153" s="234"/>
      <c r="AM153" s="233"/>
      <c r="AN153" s="233"/>
    </row>
    <row r="154" spans="1:40" s="9" customFormat="1" ht="15.75" x14ac:dyDescent="0.25">
      <c r="A154" s="108" t="s">
        <v>476</v>
      </c>
      <c r="B154" s="244" t="str">
        <f>IF($A154="","",VLOOKUP($A154,'[2]3-Elaboration.O'!$A:$T,MATCH(B$1,'[2]150-Modele SGO'!$1:$1,0),FALSE))</f>
        <v>05.1 Garantie contractuelle de base</v>
      </c>
      <c r="C154" s="244">
        <f>IF($A154="","",VLOOKUP($A154,'[2]3-Elaboration.O'!$A:$T,MATCH(C$1,'[2]150-Modele SGO'!$1:$1,0),FALSE))</f>
        <v>0</v>
      </c>
      <c r="D154" s="244">
        <f>IF($A154="","",VLOOKUP($A154,'[2]3-Elaboration.O'!$A:$T,MATCH(D$1,'[2]150-Modele SGO'!$1:$1,0),FALSE))</f>
        <v>0</v>
      </c>
      <c r="E154" s="241" t="s">
        <v>70</v>
      </c>
      <c r="F154" s="241"/>
      <c r="G154" s="237"/>
      <c r="H154" s="241" t="s">
        <v>30</v>
      </c>
      <c r="I154" s="237"/>
      <c r="J154" s="237"/>
      <c r="K154" s="237"/>
      <c r="L154" s="237"/>
      <c r="M154" s="241" t="s">
        <v>30</v>
      </c>
      <c r="N154" s="237"/>
      <c r="O154" s="237"/>
      <c r="P154" s="237"/>
      <c r="Q154" s="237" t="s">
        <v>30</v>
      </c>
      <c r="R154" s="237" t="s">
        <v>24</v>
      </c>
      <c r="S154" s="231" t="s">
        <v>24</v>
      </c>
      <c r="T154" s="237" t="s">
        <v>24</v>
      </c>
      <c r="U154" s="237" t="s">
        <v>24</v>
      </c>
      <c r="V154" s="241" t="s">
        <v>30</v>
      </c>
      <c r="W154" s="237"/>
      <c r="X154" s="237"/>
      <c r="Y154" s="237"/>
      <c r="Z154" s="237"/>
      <c r="AA154" s="239"/>
      <c r="AB154" s="237"/>
      <c r="AC154" s="237"/>
      <c r="AD154" s="241" t="s">
        <v>30</v>
      </c>
      <c r="AE154" s="237"/>
      <c r="AF154" s="237"/>
      <c r="AG154" s="237"/>
      <c r="AH154" s="237"/>
      <c r="AI154" s="237"/>
      <c r="AJ154" s="237"/>
      <c r="AK154" s="237"/>
      <c r="AL154" s="239" t="s">
        <v>30</v>
      </c>
      <c r="AM154" s="237"/>
      <c r="AN154" s="237"/>
    </row>
    <row r="155" spans="1:40" s="9" customFormat="1" ht="60" x14ac:dyDescent="0.25">
      <c r="A155" s="13" t="s">
        <v>478</v>
      </c>
      <c r="B155" s="229" t="str">
        <f>IF($A155="","",VLOOKUP($A155,'[2]3-Elaboration.O'!$A:$T,MATCH(B$1,'[2]150-Modele SGO'!$1:$1,0),FALSE))</f>
        <v>Une garantie commerciale contractuelle ou une garantie de bon fonctionnement en cas de logiciel est-elle en place et applicable pour l'ensemble des lots ?</v>
      </c>
      <c r="C155" s="229" t="str">
        <f>IF($A155="","",VLOOKUP($A155,'[2]3-Elaboration.O'!$A:$T,MATCH(C$1,'[2]150-Modele SGO'!$1:$1,0),FALSE))</f>
        <v>Oui, Garantie commerciale contractuelle applicable; Non, absence de garantie commerciale contractuelle ; Oui, Garantie de bon fonctionnement du logiciel ; Non, absence de garantie de bon fonctionnement du logiciel</v>
      </c>
      <c r="D155" s="229" t="str">
        <f>IF($A155="","",VLOOKUP($A155,'[2]3-Elaboration.O'!$A:$T,MATCH(D$1,'[2]150-Modele SGO'!$1:$1,0),FALSE))</f>
        <v xml:space="preserve">Liste choix unique </v>
      </c>
      <c r="E155" s="230" t="s">
        <v>70</v>
      </c>
      <c r="F155" s="230"/>
      <c r="G155" s="231"/>
      <c r="H155" s="232" t="s">
        <v>19</v>
      </c>
      <c r="I155" s="233" t="s">
        <v>1588</v>
      </c>
      <c r="J155" s="231"/>
      <c r="K155" s="231"/>
      <c r="L155" s="231"/>
      <c r="M155" s="232" t="s">
        <v>26</v>
      </c>
      <c r="N155" s="231"/>
      <c r="O155" s="233" t="s">
        <v>1588</v>
      </c>
      <c r="P155" s="233" t="s">
        <v>35</v>
      </c>
      <c r="Q155" s="233" t="s">
        <v>19</v>
      </c>
      <c r="R155" s="233" t="s">
        <v>46</v>
      </c>
      <c r="S155" s="231" t="s">
        <v>24</v>
      </c>
      <c r="T155" s="231" t="s">
        <v>24</v>
      </c>
      <c r="U155" s="231" t="s">
        <v>24</v>
      </c>
      <c r="V155" s="267" t="s">
        <v>26</v>
      </c>
      <c r="W155" s="231"/>
      <c r="X155" s="233" t="s">
        <v>1588</v>
      </c>
      <c r="Y155" s="233" t="s">
        <v>1589</v>
      </c>
      <c r="Z155" s="233" t="s">
        <v>1588</v>
      </c>
      <c r="AA155" s="235" t="s">
        <v>479</v>
      </c>
      <c r="AB155" s="233" t="s">
        <v>1589</v>
      </c>
      <c r="AC155" s="233" t="s">
        <v>1588</v>
      </c>
      <c r="AD155" s="232" t="s">
        <v>19</v>
      </c>
      <c r="AE155" s="233" t="s">
        <v>1588</v>
      </c>
      <c r="AF155" s="231"/>
      <c r="AG155" s="231"/>
      <c r="AH155" s="231"/>
      <c r="AI155" s="231"/>
      <c r="AJ155" s="231"/>
      <c r="AK155" s="231"/>
      <c r="AL155" s="234" t="s">
        <v>35</v>
      </c>
      <c r="AM155" s="231"/>
      <c r="AN155" s="231"/>
    </row>
    <row r="156" spans="1:40" s="9" customFormat="1" ht="45" x14ac:dyDescent="0.25">
      <c r="A156" s="13" t="s">
        <v>482</v>
      </c>
      <c r="B156" s="229" t="str">
        <f>IF($A156="","",VLOOKUP($A156,'[2]3-Elaboration.O'!$A:$T,MATCH(B$1,'[2]150-Modele SGO'!$1:$1,0),FALSE))</f>
        <v>Si oui, préciser si les durées sont conformes au standard (≤ 2 ans pour les produits neufs et ≤ 1 an pour les produits reconditionnés)</v>
      </c>
      <c r="C156" s="229" t="str">
        <f>IF($A156="","",VLOOKUP($A156,'[2]3-Elaboration.O'!$A:$T,MATCH(C$1,'[2]150-Modele SGO'!$1:$1,0),FALSE))</f>
        <v>oui, durée standard applicable ; non, durée spécifique applicable</v>
      </c>
      <c r="D156" s="229" t="str">
        <f>IF($A156="","",VLOOKUP($A156,'[2]3-Elaboration.O'!$A:$T,MATCH(D$1,'[2]150-Modele SGO'!$1:$1,0),FALSE))</f>
        <v xml:space="preserve">Liste choix unique </v>
      </c>
      <c r="E156" s="230" t="s">
        <v>70</v>
      </c>
      <c r="F156" s="230"/>
      <c r="G156" s="233" t="s">
        <v>483</v>
      </c>
      <c r="H156" s="248" t="s">
        <v>51</v>
      </c>
      <c r="I156" s="231"/>
      <c r="J156" s="231"/>
      <c r="K156" s="231"/>
      <c r="L156" s="231"/>
      <c r="M156" s="248" t="s">
        <v>51</v>
      </c>
      <c r="N156" s="231"/>
      <c r="O156" s="231"/>
      <c r="P156" s="231"/>
      <c r="Q156" s="231" t="s">
        <v>51</v>
      </c>
      <c r="R156" s="231" t="s">
        <v>24</v>
      </c>
      <c r="S156" s="231" t="s">
        <v>24</v>
      </c>
      <c r="T156" s="231" t="s">
        <v>24</v>
      </c>
      <c r="U156" s="231" t="s">
        <v>24</v>
      </c>
      <c r="V156" s="248" t="s">
        <v>51</v>
      </c>
      <c r="W156" s="231"/>
      <c r="X156" s="231"/>
      <c r="Y156" s="231"/>
      <c r="Z156" s="231"/>
      <c r="AA156" s="234"/>
      <c r="AB156" s="231"/>
      <c r="AC156" s="231"/>
      <c r="AD156" s="248" t="s">
        <v>51</v>
      </c>
      <c r="AE156" s="231"/>
      <c r="AF156" s="231"/>
      <c r="AG156" s="231"/>
      <c r="AH156" s="231"/>
      <c r="AI156" s="231"/>
      <c r="AJ156" s="231"/>
      <c r="AK156" s="231"/>
      <c r="AL156" s="234" t="s">
        <v>51</v>
      </c>
      <c r="AM156" s="231"/>
      <c r="AN156" s="231"/>
    </row>
    <row r="157" spans="1:40" s="9" customFormat="1" ht="30" x14ac:dyDescent="0.25">
      <c r="A157" s="13" t="s">
        <v>486</v>
      </c>
      <c r="B157" s="229" t="str">
        <f>IF($A157="","",VLOOKUP($A157,'[2]3-Elaboration.O'!$A:$T,MATCH(B$1,'[2]150-Modele SGO'!$1:$1,0),FALSE))</f>
        <v>Si non, préciser les durées applicabes</v>
      </c>
      <c r="C157" s="229" t="str">
        <f>IF($A157="","",VLOOKUP($A157,'[2]3-Elaboration.O'!$A:$T,MATCH(C$1,'[2]150-Modele SGO'!$1:$1,0),FALSE))</f>
        <v>Champ libre</v>
      </c>
      <c r="D157" s="229" t="str">
        <f>IF($A157="","",VLOOKUP($A157,'[2]3-Elaboration.O'!$A:$T,MATCH(D$1,'[2]150-Modele SGO'!$1:$1,0),FALSE))</f>
        <v>Texte</v>
      </c>
      <c r="E157" s="230" t="s">
        <v>70</v>
      </c>
      <c r="F157" s="230"/>
      <c r="G157" s="231"/>
      <c r="H157" s="232" t="s">
        <v>19</v>
      </c>
      <c r="I157" s="233" t="s">
        <v>1590</v>
      </c>
      <c r="J157" s="231"/>
      <c r="K157" s="231"/>
      <c r="L157" s="231"/>
      <c r="M157" s="232" t="s">
        <v>35</v>
      </c>
      <c r="N157" s="231"/>
      <c r="O157" s="231"/>
      <c r="P157" s="231"/>
      <c r="Q157" s="233" t="s">
        <v>19</v>
      </c>
      <c r="R157" s="233" t="s">
        <v>46</v>
      </c>
      <c r="S157" s="231" t="s">
        <v>24</v>
      </c>
      <c r="T157" s="231" t="s">
        <v>24</v>
      </c>
      <c r="U157" s="231" t="s">
        <v>24</v>
      </c>
      <c r="V157" s="232" t="s">
        <v>35</v>
      </c>
      <c r="W157" s="231"/>
      <c r="X157" s="231"/>
      <c r="Y157" s="231"/>
      <c r="Z157" s="231"/>
      <c r="AA157" s="234"/>
      <c r="AB157" s="231"/>
      <c r="AC157" s="242"/>
      <c r="AD157" s="232" t="s">
        <v>35</v>
      </c>
      <c r="AE157" s="231"/>
      <c r="AF157" s="231"/>
      <c r="AG157" s="231"/>
      <c r="AH157" s="231"/>
      <c r="AI157" s="231"/>
      <c r="AJ157" s="231"/>
      <c r="AK157" s="231"/>
      <c r="AL157" s="234" t="s">
        <v>35</v>
      </c>
      <c r="AM157" s="231"/>
      <c r="AN157" s="231"/>
    </row>
    <row r="158" spans="1:40" s="9" customFormat="1" ht="30" x14ac:dyDescent="0.25">
      <c r="A158" s="13" t="s">
        <v>488</v>
      </c>
      <c r="B158" s="229" t="str">
        <f>IF($A158="","",VLOOKUP($A158,'[2]3-Elaboration.O'!$A:$T,MATCH(B$1,'[2]150-Modele SGO'!$1:$1,0),FALSE))</f>
        <v xml:space="preserve">Si oui, préciser par qui elle est assurée </v>
      </c>
      <c r="C158" s="229" t="str">
        <f>IF($A158="","",VLOOKUP($A158,'[2]3-Elaboration.O'!$A:$T,MATCH(C$1,'[2]150-Modele SGO'!$1:$1,0),FALSE))</f>
        <v>Titulaire/Constructeur/Tiers</v>
      </c>
      <c r="D158" s="229" t="str">
        <f>IF($A158="","",VLOOKUP($A158,'[2]3-Elaboration.O'!$A:$T,MATCH(D$1,'[2]150-Modele SGO'!$1:$1,0),FALSE))</f>
        <v>Liste choix multiple</v>
      </c>
      <c r="E158" s="230" t="s">
        <v>70</v>
      </c>
      <c r="F158" s="230" t="s">
        <v>44</v>
      </c>
      <c r="G158" s="231"/>
      <c r="H158" s="232" t="s">
        <v>26</v>
      </c>
      <c r="I158" s="231"/>
      <c r="J158" s="233" t="s">
        <v>1591</v>
      </c>
      <c r="K158" s="233" t="s">
        <v>1591</v>
      </c>
      <c r="L158" s="233" t="s">
        <v>489</v>
      </c>
      <c r="M158" s="232" t="s">
        <v>26</v>
      </c>
      <c r="N158" s="231"/>
      <c r="O158" s="233" t="s">
        <v>1591</v>
      </c>
      <c r="P158" s="233" t="s">
        <v>35</v>
      </c>
      <c r="Q158" s="233" t="s">
        <v>19</v>
      </c>
      <c r="R158" s="233" t="s">
        <v>46</v>
      </c>
      <c r="S158" s="231" t="s">
        <v>24</v>
      </c>
      <c r="T158" s="231" t="s">
        <v>24</v>
      </c>
      <c r="U158" s="231" t="s">
        <v>24</v>
      </c>
      <c r="V158" s="232" t="s">
        <v>26</v>
      </c>
      <c r="W158" s="231"/>
      <c r="X158" s="233" t="s">
        <v>489</v>
      </c>
      <c r="Y158" s="233" t="s">
        <v>46</v>
      </c>
      <c r="Z158" s="233" t="s">
        <v>489</v>
      </c>
      <c r="AA158" s="235" t="s">
        <v>489</v>
      </c>
      <c r="AB158" s="233" t="s">
        <v>46</v>
      </c>
      <c r="AC158" s="245" t="s">
        <v>1591</v>
      </c>
      <c r="AD158" s="232" t="s">
        <v>19</v>
      </c>
      <c r="AE158" s="233" t="s">
        <v>489</v>
      </c>
      <c r="AF158" s="231"/>
      <c r="AG158" s="231"/>
      <c r="AH158" s="231"/>
      <c r="AI158" s="231"/>
      <c r="AJ158" s="231"/>
      <c r="AK158" s="231"/>
      <c r="AL158" s="234" t="s">
        <v>35</v>
      </c>
      <c r="AM158" s="231"/>
      <c r="AN158" s="231"/>
    </row>
    <row r="159" spans="1:40" s="9" customFormat="1" ht="30" x14ac:dyDescent="0.25">
      <c r="A159" s="13" t="s">
        <v>492</v>
      </c>
      <c r="B159" s="229" t="str">
        <f>IF($A159="","",VLOOKUP($A159,'[2]3-Elaboration.O'!$A:$T,MATCH(B$1,'[2]150-Modele SGO'!$1:$1,0),FALSE))</f>
        <v>Le détail de la garantie est-il commun à l'ensemble des lots de la procédure</v>
      </c>
      <c r="C159" s="229" t="str">
        <f>IF($A159="","",VLOOKUP($A159,'[2]3-Elaboration.O'!$A:$T,MATCH(C$1,'[2]150-Modele SGO'!$1:$1,0),FALSE))</f>
        <v>Oui, le détail de la garantie est commun à l'ensemble des lots;Non, le détail de la garantie varie selon  les lots</v>
      </c>
      <c r="D159" s="229" t="str">
        <f>IF($A159="","",VLOOKUP($A159,'[2]3-Elaboration.O'!$A:$T,MATCH(D$1,'[2]150-Modele SGO'!$1:$1,0),FALSE))</f>
        <v xml:space="preserve">Liste choix unique </v>
      </c>
      <c r="E159" s="230" t="s">
        <v>70</v>
      </c>
      <c r="F159" s="230"/>
      <c r="G159" s="231"/>
      <c r="H159" s="232" t="s">
        <v>35</v>
      </c>
      <c r="I159" s="231"/>
      <c r="J159" s="231"/>
      <c r="K159" s="231"/>
      <c r="L159" s="231"/>
      <c r="M159" s="232" t="s">
        <v>35</v>
      </c>
      <c r="N159" s="231"/>
      <c r="O159" s="231"/>
      <c r="P159" s="231"/>
      <c r="Q159" s="233" t="s">
        <v>19</v>
      </c>
      <c r="R159" s="233" t="s">
        <v>46</v>
      </c>
      <c r="S159" s="231" t="s">
        <v>24</v>
      </c>
      <c r="T159" s="231" t="s">
        <v>24</v>
      </c>
      <c r="U159" s="231" t="s">
        <v>24</v>
      </c>
      <c r="V159" s="232" t="s">
        <v>35</v>
      </c>
      <c r="W159" s="231"/>
      <c r="X159" s="231"/>
      <c r="Y159" s="231"/>
      <c r="Z159" s="231"/>
      <c r="AA159" s="234"/>
      <c r="AB159" s="231"/>
      <c r="AC159" s="231"/>
      <c r="AD159" s="232" t="s">
        <v>35</v>
      </c>
      <c r="AE159" s="231"/>
      <c r="AF159" s="231"/>
      <c r="AG159" s="231"/>
      <c r="AH159" s="231"/>
      <c r="AI159" s="231"/>
      <c r="AJ159" s="231"/>
      <c r="AK159" s="231"/>
      <c r="AL159" s="234" t="s">
        <v>35</v>
      </c>
      <c r="AM159" s="231"/>
      <c r="AN159" s="231"/>
    </row>
    <row r="160" spans="1:40" s="9" customFormat="1" ht="30" x14ac:dyDescent="0.25">
      <c r="A160" s="13" t="s">
        <v>495</v>
      </c>
      <c r="B160" s="229" t="str">
        <f>IF($A160="","",VLOOKUP($A160,'[2]3-Elaboration.O'!$A:$T,MATCH(B$1,'[2]150-Modele SGO'!$1:$1,0),FALSE))</f>
        <v>Si oui, préciser le détail de la garantie</v>
      </c>
      <c r="C160" s="229" t="str">
        <f>IF($A160="","",VLOOKUP($A160,'[2]3-Elaboration.O'!$A:$T,MATCH(C$1,'[2]150-Modele SGO'!$1:$1,0),FALSE))</f>
        <v>Champ libre</v>
      </c>
      <c r="D160" s="229" t="str">
        <f>IF($A160="","",VLOOKUP($A160,'[2]3-Elaboration.O'!$A:$T,MATCH(D$1,'[2]150-Modele SGO'!$1:$1,0),FALSE))</f>
        <v>Texte</v>
      </c>
      <c r="E160" s="230" t="s">
        <v>70</v>
      </c>
      <c r="F160" s="230"/>
      <c r="G160" s="231"/>
      <c r="H160" s="232" t="s">
        <v>35</v>
      </c>
      <c r="I160" s="231"/>
      <c r="J160" s="231"/>
      <c r="K160" s="231"/>
      <c r="L160" s="231"/>
      <c r="M160" s="232" t="s">
        <v>35</v>
      </c>
      <c r="N160" s="231"/>
      <c r="O160" s="231"/>
      <c r="P160" s="231"/>
      <c r="Q160" s="233" t="s">
        <v>19</v>
      </c>
      <c r="R160" s="233" t="s">
        <v>46</v>
      </c>
      <c r="S160" s="231" t="s">
        <v>24</v>
      </c>
      <c r="T160" s="231" t="s">
        <v>24</v>
      </c>
      <c r="U160" s="231" t="s">
        <v>24</v>
      </c>
      <c r="V160" s="232" t="s">
        <v>35</v>
      </c>
      <c r="W160" s="231"/>
      <c r="X160" s="231"/>
      <c r="Y160" s="231"/>
      <c r="Z160" s="231"/>
      <c r="AA160" s="234"/>
      <c r="AB160" s="231"/>
      <c r="AC160" s="231"/>
      <c r="AD160" s="232" t="s">
        <v>35</v>
      </c>
      <c r="AE160" s="231"/>
      <c r="AF160" s="231"/>
      <c r="AG160" s="231"/>
      <c r="AH160" s="231"/>
      <c r="AI160" s="231"/>
      <c r="AJ160" s="231"/>
      <c r="AK160" s="231"/>
      <c r="AL160" s="234" t="s">
        <v>35</v>
      </c>
      <c r="AM160" s="231"/>
      <c r="AN160" s="231"/>
    </row>
    <row r="161" spans="1:40" s="9" customFormat="1" ht="30" x14ac:dyDescent="0.25">
      <c r="A161" s="13" t="s">
        <v>497</v>
      </c>
      <c r="B161" s="229" t="str">
        <f>IF($A161="","",VLOOKUP($A161,'[2]3-Elaboration.O'!$A:$T,MATCH(B$1,'[2]150-Modele SGO'!$1:$1,0),FALSE))</f>
        <v xml:space="preserve">Si non, préciser pour chaque lot la durée de cette garantie, les conditions de garantie </v>
      </c>
      <c r="C161" s="229" t="str">
        <f>IF($A161="","",VLOOKUP($A161,'[2]3-Elaboration.O'!$A:$T,MATCH(C$1,'[2]150-Modele SGO'!$1:$1,0),FALSE))</f>
        <v>Annexe 10 - Détail_Lots</v>
      </c>
      <c r="D161" s="229" t="str">
        <f>IF($A161="","",VLOOKUP($A161,'[2]3-Elaboration.O'!$A:$T,MATCH(D$1,'[2]150-Modele SGO'!$1:$1,0),FALSE))</f>
        <v>Annexe 10 - Détail lots</v>
      </c>
      <c r="E161" s="230" t="s">
        <v>70</v>
      </c>
      <c r="F161" s="230"/>
      <c r="G161" s="231"/>
      <c r="H161" s="232" t="s">
        <v>35</v>
      </c>
      <c r="I161" s="231"/>
      <c r="J161" s="231"/>
      <c r="K161" s="231"/>
      <c r="L161" s="231"/>
      <c r="M161" s="232" t="s">
        <v>35</v>
      </c>
      <c r="N161" s="231"/>
      <c r="O161" s="231"/>
      <c r="P161" s="231"/>
      <c r="Q161" s="231" t="s">
        <v>35</v>
      </c>
      <c r="R161" s="231"/>
      <c r="S161" s="231" t="s">
        <v>24</v>
      </c>
      <c r="T161" s="231" t="s">
        <v>24</v>
      </c>
      <c r="U161" s="231" t="s">
        <v>24</v>
      </c>
      <c r="V161" s="232" t="s">
        <v>35</v>
      </c>
      <c r="W161" s="231"/>
      <c r="X161" s="231"/>
      <c r="Y161" s="231"/>
      <c r="Z161" s="231"/>
      <c r="AA161" s="234"/>
      <c r="AB161" s="231"/>
      <c r="AC161" s="231"/>
      <c r="AD161" s="232" t="s">
        <v>35</v>
      </c>
      <c r="AE161" s="231"/>
      <c r="AF161" s="231"/>
      <c r="AG161" s="231"/>
      <c r="AH161" s="231"/>
      <c r="AI161" s="231"/>
      <c r="AJ161" s="231"/>
      <c r="AK161" s="231"/>
      <c r="AL161" s="234" t="s">
        <v>35</v>
      </c>
      <c r="AM161" s="231"/>
      <c r="AN161" s="231"/>
    </row>
    <row r="162" spans="1:40" s="9" customFormat="1" ht="64.349999999999994" customHeight="1" x14ac:dyDescent="0.25">
      <c r="A162" s="13" t="s">
        <v>499</v>
      </c>
      <c r="B162" s="229" t="str">
        <f>IF($A162="","",VLOOKUP($A162,'[2]3-Elaboration.O'!$A:$T,MATCH(B$1,'[2]150-Modele SGO'!$1:$1,0),FALSE))</f>
        <v xml:space="preserve">Quelles sont les conditions de garantie ? </v>
      </c>
      <c r="C162" s="229" t="str">
        <f>IF($A162="","",VLOOKUP($A162,'[2]3-Elaboration.O'!$A:$T,MATCH(C$1,'[2]150-Modele SGO'!$1:$1,0),FALSE))</f>
        <v>Sur site client ;Sur les lieux d'utilisation du matériel; Sur site bénéficiaire;Sur site ou en retour atelier (frais logistiques A/R à la charge du titulaire), chez le titulaire ou tiers (agent, concessionnaire, distributeur…), à distance (logiciel)</v>
      </c>
      <c r="D162" s="229" t="str">
        <f>IF($A162="","",VLOOKUP($A162,'[2]3-Elaboration.O'!$A:$T,MATCH(D$1,'[2]150-Modele SGO'!$1:$1,0),FALSE))</f>
        <v>Liste choix multiple</v>
      </c>
      <c r="E162" s="230" t="s">
        <v>1521</v>
      </c>
      <c r="F162" s="230" t="s">
        <v>44</v>
      </c>
      <c r="G162" s="231"/>
      <c r="H162" s="232" t="s">
        <v>19</v>
      </c>
      <c r="I162" s="233" t="s">
        <v>1592</v>
      </c>
      <c r="J162" s="231"/>
      <c r="K162" s="231"/>
      <c r="L162" s="231"/>
      <c r="M162" s="232" t="s">
        <v>35</v>
      </c>
      <c r="N162" s="231"/>
      <c r="O162" s="231"/>
      <c r="P162" s="231"/>
      <c r="Q162" s="233" t="s">
        <v>19</v>
      </c>
      <c r="R162" s="233" t="s">
        <v>46</v>
      </c>
      <c r="S162" s="231" t="s">
        <v>24</v>
      </c>
      <c r="T162" s="231" t="s">
        <v>24</v>
      </c>
      <c r="U162" s="231" t="s">
        <v>24</v>
      </c>
      <c r="V162" s="248" t="s">
        <v>26</v>
      </c>
      <c r="W162" s="231"/>
      <c r="X162" s="233" t="s">
        <v>1593</v>
      </c>
      <c r="Y162" s="233" t="s">
        <v>46</v>
      </c>
      <c r="Z162" s="233" t="s">
        <v>1593</v>
      </c>
      <c r="AA162" s="235" t="s">
        <v>500</v>
      </c>
      <c r="AB162" s="233" t="s">
        <v>46</v>
      </c>
      <c r="AC162" s="233" t="s">
        <v>1593</v>
      </c>
      <c r="AD162" s="248" t="s">
        <v>19</v>
      </c>
      <c r="AE162" s="233" t="s">
        <v>1592</v>
      </c>
      <c r="AF162" s="231"/>
      <c r="AG162" s="231"/>
      <c r="AH162" s="231"/>
      <c r="AI162" s="231"/>
      <c r="AJ162" s="231"/>
      <c r="AK162" s="231"/>
      <c r="AL162" s="234" t="s">
        <v>35</v>
      </c>
      <c r="AM162" s="231"/>
      <c r="AN162" s="231"/>
    </row>
    <row r="163" spans="1:40" s="9" customFormat="1" ht="243" customHeight="1" x14ac:dyDescent="0.25">
      <c r="A163" s="13" t="s">
        <v>503</v>
      </c>
      <c r="B163" s="229" t="str">
        <f>IF($A163="","",VLOOKUP($A163,'[2]3-Elaboration.O'!$A:$T,MATCH(B$1,'[2]150-Modele SGO'!$1:$1,0),FALSE))</f>
        <v>Sous quel délai minimal le titulaire doit assurer la résolution du SAV (hors refabrication complète du matériel)</v>
      </c>
      <c r="C163" s="229" t="str">
        <f>IF($A163="","",VLOOKUP($A163,'[2]3-Elaboration.O'!$A:$T,MATCH(C$1,'[2]150-Modele SGO'!$1:$1,0),FALSE))</f>
        <v>Sous un délai de résolution fixé à 21 jours;Sous un délai de résolution fixé à 30 jours;Différent de 30 jours</v>
      </c>
      <c r="D163" s="229" t="str">
        <f>IF($A163="","",VLOOKUP($A163,'[2]3-Elaboration.O'!$A:$T,MATCH(D$1,'[2]150-Modele SGO'!$1:$1,0),FALSE))</f>
        <v>Liste choix multiple</v>
      </c>
      <c r="E163" s="230" t="s">
        <v>1521</v>
      </c>
      <c r="F163" s="230"/>
      <c r="G163" s="231"/>
      <c r="H163" s="232" t="s">
        <v>19</v>
      </c>
      <c r="I163" s="233" t="s">
        <v>1594</v>
      </c>
      <c r="J163" s="231"/>
      <c r="K163" s="231"/>
      <c r="L163" s="231"/>
      <c r="M163" s="232" t="s">
        <v>26</v>
      </c>
      <c r="N163" s="231"/>
      <c r="O163" s="233" t="s">
        <v>1595</v>
      </c>
      <c r="P163" s="233" t="s">
        <v>35</v>
      </c>
      <c r="Q163" s="233" t="s">
        <v>19</v>
      </c>
      <c r="R163" s="233" t="s">
        <v>46</v>
      </c>
      <c r="S163" s="231" t="s">
        <v>24</v>
      </c>
      <c r="T163" s="231" t="s">
        <v>24</v>
      </c>
      <c r="U163" s="231" t="s">
        <v>24</v>
      </c>
      <c r="V163" s="232" t="s">
        <v>35</v>
      </c>
      <c r="W163" s="231"/>
      <c r="X163" s="231"/>
      <c r="Y163" s="231"/>
      <c r="Z163" s="231"/>
      <c r="AA163" s="234"/>
      <c r="AB163" s="231"/>
      <c r="AC163" s="231"/>
      <c r="AD163" s="232" t="s">
        <v>35</v>
      </c>
      <c r="AE163" s="231"/>
      <c r="AF163" s="231"/>
      <c r="AG163" s="231"/>
      <c r="AH163" s="231"/>
      <c r="AI163" s="231"/>
      <c r="AJ163" s="231"/>
      <c r="AK163" s="231"/>
      <c r="AL163" s="234" t="s">
        <v>35</v>
      </c>
      <c r="AM163" s="231"/>
      <c r="AN163" s="231"/>
    </row>
    <row r="164" spans="1:40" s="9" customFormat="1" ht="243" customHeight="1" x14ac:dyDescent="0.25">
      <c r="A164" s="13" t="s">
        <v>506</v>
      </c>
      <c r="B164" s="229" t="str">
        <f>IF($A164="","",VLOOKUP($A164,'[2]3-Elaboration.O'!$A:$T,MATCH(B$1,'[2]150-Modele SGO'!$1:$1,0),FALSE))</f>
        <v>Si délai minimal du titulaire pour assurer la résolution du SAV est non conforme au standard, préciser le délai applicable</v>
      </c>
      <c r="C164" s="229" t="str">
        <f>IF($A164="","",VLOOKUP($A164,'[2]3-Elaboration.O'!$A:$T,MATCH(C$1,'[2]150-Modele SGO'!$1:$1,0),FALSE))</f>
        <v>Champ libre</v>
      </c>
      <c r="D164" s="229" t="str">
        <f>IF($A164="","",VLOOKUP($A164,'[2]3-Elaboration.O'!$A:$T,MATCH(D$1,'[2]150-Modele SGO'!$1:$1,0),FALSE))</f>
        <v>Texte</v>
      </c>
      <c r="E164" s="230" t="s">
        <v>70</v>
      </c>
      <c r="F164" s="230"/>
      <c r="G164" s="231"/>
      <c r="H164" s="232" t="s">
        <v>35</v>
      </c>
      <c r="I164" s="231"/>
      <c r="J164" s="231"/>
      <c r="K164" s="231"/>
      <c r="L164" s="231"/>
      <c r="M164" s="232" t="s">
        <v>35</v>
      </c>
      <c r="N164" s="231"/>
      <c r="O164" s="231"/>
      <c r="P164" s="231"/>
      <c r="Q164" s="233" t="s">
        <v>19</v>
      </c>
      <c r="R164" s="233" t="s">
        <v>46</v>
      </c>
      <c r="S164" s="231" t="s">
        <v>24</v>
      </c>
      <c r="T164" s="231" t="s">
        <v>24</v>
      </c>
      <c r="U164" s="231" t="s">
        <v>24</v>
      </c>
      <c r="V164" s="232" t="s">
        <v>35</v>
      </c>
      <c r="W164" s="231"/>
      <c r="X164" s="231"/>
      <c r="Y164" s="231"/>
      <c r="Z164" s="231"/>
      <c r="AA164" s="234"/>
      <c r="AB164" s="231"/>
      <c r="AC164" s="231"/>
      <c r="AD164" s="232" t="s">
        <v>35</v>
      </c>
      <c r="AE164" s="231"/>
      <c r="AF164" s="231"/>
      <c r="AG164" s="231"/>
      <c r="AH164" s="231"/>
      <c r="AI164" s="231"/>
      <c r="AJ164" s="231"/>
      <c r="AK164" s="231"/>
      <c r="AL164" s="234" t="s">
        <v>35</v>
      </c>
      <c r="AM164" s="231"/>
      <c r="AN164" s="231"/>
    </row>
    <row r="165" spans="1:40" s="9" customFormat="1" ht="15.75" x14ac:dyDescent="0.25">
      <c r="A165" s="108" t="s">
        <v>508</v>
      </c>
      <c r="B165" s="244" t="str">
        <f>IF($A165="","",VLOOKUP($A165,'[2]3-Elaboration.O'!$A:$T,MATCH(B$1,'[2]150-Modele SGO'!$1:$1,0),FALSE))</f>
        <v>05.2 Etendue de la garantie</v>
      </c>
      <c r="C165" s="244">
        <f>IF($A165="","",VLOOKUP($A165,'[2]3-Elaboration.O'!$A:$T,MATCH(C$1,'[2]150-Modele SGO'!$1:$1,0),FALSE))</f>
        <v>0</v>
      </c>
      <c r="D165" s="244">
        <f>IF($A165="","",VLOOKUP($A165,'[2]3-Elaboration.O'!$A:$T,MATCH(D$1,'[2]150-Modele SGO'!$1:$1,0),FALSE))</f>
        <v>0</v>
      </c>
      <c r="E165" s="241" t="s">
        <v>70</v>
      </c>
      <c r="F165" s="241"/>
      <c r="G165" s="237"/>
      <c r="H165" s="241" t="s">
        <v>30</v>
      </c>
      <c r="I165" s="237"/>
      <c r="J165" s="237"/>
      <c r="K165" s="237"/>
      <c r="L165" s="237"/>
      <c r="M165" s="241" t="s">
        <v>30</v>
      </c>
      <c r="N165" s="237"/>
      <c r="O165" s="237"/>
      <c r="P165" s="237"/>
      <c r="Q165" s="237" t="s">
        <v>30</v>
      </c>
      <c r="R165" s="237" t="s">
        <v>24</v>
      </c>
      <c r="S165" s="231" t="s">
        <v>24</v>
      </c>
      <c r="T165" s="237" t="s">
        <v>24</v>
      </c>
      <c r="U165" s="237" t="s">
        <v>24</v>
      </c>
      <c r="V165" s="241" t="s">
        <v>30</v>
      </c>
      <c r="W165" s="237"/>
      <c r="X165" s="237"/>
      <c r="Y165" s="237"/>
      <c r="Z165" s="237"/>
      <c r="AA165" s="239"/>
      <c r="AB165" s="237"/>
      <c r="AC165" s="237"/>
      <c r="AD165" s="241" t="s">
        <v>30</v>
      </c>
      <c r="AE165" s="237"/>
      <c r="AF165" s="237"/>
      <c r="AG165" s="237"/>
      <c r="AH165" s="237"/>
      <c r="AI165" s="237"/>
      <c r="AJ165" s="237"/>
      <c r="AK165" s="237"/>
      <c r="AL165" s="239" t="s">
        <v>30</v>
      </c>
      <c r="AM165" s="237"/>
      <c r="AN165" s="237"/>
    </row>
    <row r="166" spans="1:40" s="9" customFormat="1" ht="60" x14ac:dyDescent="0.25">
      <c r="A166" s="13" t="s">
        <v>510</v>
      </c>
      <c r="B166" s="229" t="str">
        <f>IF($A166="","",VLOOKUP($A166,'[2]3-Elaboration.O'!$A:$T,MATCH(B$1,'[2]150-Modele SGO'!$1:$1,0),FALSE))</f>
        <v>Dans le cadre de la garantie le délai de prise en charge du SAV par le titulaire est-il conforme au standard (48h en France Continentale et Corse / 72h pour DROM COM)</v>
      </c>
      <c r="C166" s="229" t="str">
        <f>IF($A166="","",VLOOKUP($A166,'[2]3-Elaboration.O'!$A:$T,MATCH(C$1,'[2]150-Modele SGO'!$1:$1,0),FALSE))</f>
        <v>Oui, délai de prise en charge du SAV par le titulaire conforme au standard (48h en France Continentale et Corse / 72h pour DROM COM);Non, délai de prise en charge dy SAV par le titulaire dérogatoire au standard</v>
      </c>
      <c r="D166" s="229" t="str">
        <f>IF($A166="","",VLOOKUP($A166,'[2]3-Elaboration.O'!$A:$T,MATCH(D$1,'[2]150-Modele SGO'!$1:$1,0),FALSE))</f>
        <v xml:space="preserve">Liste choix unique </v>
      </c>
      <c r="E166" s="230" t="s">
        <v>1521</v>
      </c>
      <c r="F166" s="230"/>
      <c r="G166" s="233" t="s">
        <v>511</v>
      </c>
      <c r="H166" s="232" t="s">
        <v>51</v>
      </c>
      <c r="I166" s="231"/>
      <c r="J166" s="231"/>
      <c r="K166" s="231"/>
      <c r="L166" s="231"/>
      <c r="M166" s="232" t="s">
        <v>51</v>
      </c>
      <c r="N166" s="231"/>
      <c r="O166" s="231"/>
      <c r="P166" s="231"/>
      <c r="Q166" s="231" t="s">
        <v>51</v>
      </c>
      <c r="R166" s="231" t="s">
        <v>24</v>
      </c>
      <c r="S166" s="231" t="s">
        <v>24</v>
      </c>
      <c r="T166" s="231" t="s">
        <v>24</v>
      </c>
      <c r="U166" s="231" t="s">
        <v>24</v>
      </c>
      <c r="V166" s="232" t="s">
        <v>51</v>
      </c>
      <c r="W166" s="234"/>
      <c r="X166" s="234"/>
      <c r="Y166" s="234"/>
      <c r="Z166" s="234"/>
      <c r="AA166" s="234"/>
      <c r="AB166" s="234"/>
      <c r="AC166" s="234"/>
      <c r="AD166" s="232" t="s">
        <v>51</v>
      </c>
      <c r="AE166" s="231"/>
      <c r="AF166" s="231"/>
      <c r="AG166" s="231"/>
      <c r="AH166" s="231"/>
      <c r="AI166" s="231"/>
      <c r="AJ166" s="231"/>
      <c r="AK166" s="231"/>
      <c r="AL166" s="234" t="s">
        <v>51</v>
      </c>
      <c r="AM166" s="231"/>
      <c r="AN166" s="231"/>
    </row>
    <row r="167" spans="1:40" s="9" customFormat="1" ht="30" x14ac:dyDescent="0.25">
      <c r="A167" s="13" t="s">
        <v>514</v>
      </c>
      <c r="B167" s="229" t="str">
        <f>IF($A167="","",VLOOKUP($A167,'[2]3-Elaboration.O'!$A:$T,MATCH(B$1,'[2]150-Modele SGO'!$1:$1,0),FALSE))</f>
        <v xml:space="preserve">Si non, préciser le(s) délai(s) </v>
      </c>
      <c r="C167" s="229" t="str">
        <f>IF($A167="","",VLOOKUP($A167,'[2]3-Elaboration.O'!$A:$T,MATCH(C$1,'[2]150-Modele SGO'!$1:$1,0),FALSE))</f>
        <v>Champ libre</v>
      </c>
      <c r="D167" s="229" t="str">
        <f>IF($A167="","",VLOOKUP($A167,'[2]3-Elaboration.O'!$A:$T,MATCH(D$1,'[2]150-Modele SGO'!$1:$1,0),FALSE))</f>
        <v>Texte</v>
      </c>
      <c r="E167" s="230" t="s">
        <v>70</v>
      </c>
      <c r="F167" s="230"/>
      <c r="G167" s="231"/>
      <c r="H167" s="232" t="s">
        <v>35</v>
      </c>
      <c r="I167" s="231"/>
      <c r="J167" s="231"/>
      <c r="K167" s="231"/>
      <c r="L167" s="231"/>
      <c r="M167" s="232" t="s">
        <v>35</v>
      </c>
      <c r="N167" s="231"/>
      <c r="O167" s="231"/>
      <c r="P167" s="231"/>
      <c r="Q167" s="233" t="s">
        <v>19</v>
      </c>
      <c r="R167" s="233" t="s">
        <v>46</v>
      </c>
      <c r="S167" s="231" t="s">
        <v>24</v>
      </c>
      <c r="T167" s="231" t="s">
        <v>24</v>
      </c>
      <c r="U167" s="231" t="s">
        <v>24</v>
      </c>
      <c r="V167" s="232" t="s">
        <v>35</v>
      </c>
      <c r="W167" s="231"/>
      <c r="X167" s="231"/>
      <c r="Y167" s="231"/>
      <c r="Z167" s="231"/>
      <c r="AA167" s="234"/>
      <c r="AB167" s="231"/>
      <c r="AC167" s="231"/>
      <c r="AD167" s="232" t="s">
        <v>35</v>
      </c>
      <c r="AE167" s="231"/>
      <c r="AF167" s="231"/>
      <c r="AG167" s="231"/>
      <c r="AH167" s="231"/>
      <c r="AI167" s="231"/>
      <c r="AJ167" s="231"/>
      <c r="AK167" s="231"/>
      <c r="AL167" s="234" t="s">
        <v>35</v>
      </c>
      <c r="AM167" s="231"/>
      <c r="AN167" s="231"/>
    </row>
    <row r="168" spans="1:40" s="9" customFormat="1" ht="45" x14ac:dyDescent="0.25">
      <c r="A168" s="13" t="s">
        <v>516</v>
      </c>
      <c r="B168" s="229" t="str">
        <f>IF($A168="","",VLOOKUP($A168,'[2]3-Elaboration.O'!$A:$T,MATCH(B$1,'[2]150-Modele SGO'!$1:$1,0),FALSE))</f>
        <v>Existe t'il une Garantie en Temps de rétablissement (GTR)</v>
      </c>
      <c r="C168" s="229" t="str">
        <f>IF($A168="","",VLOOKUP($A168,'[2]3-Elaboration.O'!$A:$T,MATCH(C$1,'[2]150-Modele SGO'!$1:$1,0),FALSE))</f>
        <v>Non, Absence d'une Garantie en Temps de Rétablissement (GTR);Oui, Existence d'une garantie en Temps de Rétablissement</v>
      </c>
      <c r="D168" s="229" t="str">
        <f>IF($A168="","",VLOOKUP($A168,'[2]3-Elaboration.O'!$A:$T,MATCH(D$1,'[2]150-Modele SGO'!$1:$1,0),FALSE))</f>
        <v xml:space="preserve">Liste choix unique </v>
      </c>
      <c r="E168" s="230" t="s">
        <v>1521</v>
      </c>
      <c r="F168" s="230"/>
      <c r="G168" s="231"/>
      <c r="H168" s="232" t="s">
        <v>19</v>
      </c>
      <c r="I168" s="233" t="s">
        <v>517</v>
      </c>
      <c r="J168" s="231"/>
      <c r="K168" s="231"/>
      <c r="L168" s="231"/>
      <c r="M168" s="232" t="s">
        <v>26</v>
      </c>
      <c r="N168" s="231"/>
      <c r="O168" s="233" t="s">
        <v>46</v>
      </c>
      <c r="P168" s="233" t="s">
        <v>35</v>
      </c>
      <c r="Q168" s="233" t="s">
        <v>19</v>
      </c>
      <c r="R168" s="233" t="s">
        <v>46</v>
      </c>
      <c r="S168" s="231" t="s">
        <v>24</v>
      </c>
      <c r="T168" s="231" t="s">
        <v>24</v>
      </c>
      <c r="U168" s="231" t="s">
        <v>24</v>
      </c>
      <c r="V168" s="232" t="s">
        <v>26</v>
      </c>
      <c r="W168" s="231"/>
      <c r="X168" s="233" t="s">
        <v>517</v>
      </c>
      <c r="Y168" s="233" t="s">
        <v>1596</v>
      </c>
      <c r="Z168" s="233" t="s">
        <v>517</v>
      </c>
      <c r="AA168" s="235" t="s">
        <v>517</v>
      </c>
      <c r="AB168" s="233" t="s">
        <v>517</v>
      </c>
      <c r="AC168" s="233" t="s">
        <v>1596</v>
      </c>
      <c r="AD168" s="232" t="s">
        <v>19</v>
      </c>
      <c r="AE168" s="233" t="s">
        <v>517</v>
      </c>
      <c r="AF168" s="231"/>
      <c r="AG168" s="231"/>
      <c r="AH168" s="231"/>
      <c r="AI168" s="231"/>
      <c r="AJ168" s="231"/>
      <c r="AK168" s="231"/>
      <c r="AL168" s="234" t="s">
        <v>35</v>
      </c>
      <c r="AM168" s="231"/>
      <c r="AN168" s="231"/>
    </row>
    <row r="169" spans="1:40" s="9" customFormat="1" ht="30" x14ac:dyDescent="0.25">
      <c r="A169" s="13" t="s">
        <v>520</v>
      </c>
      <c r="B169" s="229" t="str">
        <f>IF($A169="","",VLOOKUP($A169,'[2]3-Elaboration.O'!$A:$T,MATCH(B$1,'[2]150-Modele SGO'!$1:$1,0),FALSE))</f>
        <v>Y-a t'il des produits en stock</v>
      </c>
      <c r="C169" s="229" t="str">
        <f>IF($A169="","",VLOOKUP($A169,'[2]3-Elaboration.O'!$A:$T,MATCH(C$1,'[2]150-Modele SGO'!$1:$1,0),FALSE))</f>
        <v>Non, Absence de produits en stock; Oui, Existence de produits en stock</v>
      </c>
      <c r="D169" s="229" t="str">
        <f>IF($A169="","",VLOOKUP($A169,'[2]3-Elaboration.O'!$A:$T,MATCH(D$1,'[2]150-Modele SGO'!$1:$1,0),FALSE))</f>
        <v xml:space="preserve">Liste choix unique </v>
      </c>
      <c r="E169" s="230" t="s">
        <v>70</v>
      </c>
      <c r="F169" s="230"/>
      <c r="G169" s="231"/>
      <c r="H169" s="232" t="s">
        <v>19</v>
      </c>
      <c r="I169" s="233" t="s">
        <v>521</v>
      </c>
      <c r="J169" s="231"/>
      <c r="K169" s="231"/>
      <c r="L169" s="231"/>
      <c r="M169" s="232" t="s">
        <v>26</v>
      </c>
      <c r="N169" s="231"/>
      <c r="O169" s="233" t="s">
        <v>1597</v>
      </c>
      <c r="P169" s="233" t="s">
        <v>35</v>
      </c>
      <c r="Q169" s="233" t="s">
        <v>19</v>
      </c>
      <c r="R169" s="233" t="s">
        <v>46</v>
      </c>
      <c r="S169" s="231" t="s">
        <v>24</v>
      </c>
      <c r="T169" s="231" t="s">
        <v>24</v>
      </c>
      <c r="U169" s="231" t="s">
        <v>24</v>
      </c>
      <c r="V169" s="232" t="s">
        <v>19</v>
      </c>
      <c r="W169" s="233" t="s">
        <v>521</v>
      </c>
      <c r="X169" s="231"/>
      <c r="Y169" s="231"/>
      <c r="Z169" s="231"/>
      <c r="AA169" s="234"/>
      <c r="AB169" s="242"/>
      <c r="AC169" s="242"/>
      <c r="AD169" s="232" t="s">
        <v>19</v>
      </c>
      <c r="AE169" s="233" t="s">
        <v>521</v>
      </c>
      <c r="AF169" s="231"/>
      <c r="AG169" s="231"/>
      <c r="AH169" s="231"/>
      <c r="AI169" s="231"/>
      <c r="AJ169" s="231"/>
      <c r="AK169" s="231"/>
      <c r="AL169" s="234" t="s">
        <v>35</v>
      </c>
      <c r="AM169" s="231"/>
      <c r="AN169" s="231"/>
    </row>
    <row r="170" spans="1:40" s="9" customFormat="1" ht="30" x14ac:dyDescent="0.25">
      <c r="A170" s="13" t="s">
        <v>524</v>
      </c>
      <c r="B170" s="229" t="str">
        <f>IF($A170="","",VLOOKUP($A170,'[2]3-Elaboration.O'!$A:$T,MATCH(B$1,'[2]150-Modele SGO'!$1:$1,0),FALSE))</f>
        <v>Une fiche SAV est-elle exigée ?</v>
      </c>
      <c r="C170" s="229" t="str">
        <f>IF($A170="","",VLOOKUP($A170,'[2]3-Elaboration.O'!$A:$T,MATCH(C$1,'[2]150-Modele SGO'!$1:$1,0),FALSE))</f>
        <v>Oui, Fiche SAV exigée;Non, Fiche SAV non exigée</v>
      </c>
      <c r="D170" s="229" t="str">
        <f>IF($A170="","",VLOOKUP($A170,'[2]3-Elaboration.O'!$A:$T,MATCH(D$1,'[2]150-Modele SGO'!$1:$1,0),FALSE))</f>
        <v xml:space="preserve">Liste choix unique </v>
      </c>
      <c r="E170" s="230" t="s">
        <v>1521</v>
      </c>
      <c r="F170" s="230"/>
      <c r="G170" s="231"/>
      <c r="H170" s="232" t="s">
        <v>19</v>
      </c>
      <c r="I170" s="233" t="s">
        <v>1598</v>
      </c>
      <c r="J170" s="231"/>
      <c r="K170" s="231"/>
      <c r="L170" s="231"/>
      <c r="M170" s="232" t="s">
        <v>26</v>
      </c>
      <c r="N170" s="231"/>
      <c r="O170" s="233" t="s">
        <v>1598</v>
      </c>
      <c r="P170" s="233" t="s">
        <v>35</v>
      </c>
      <c r="Q170" s="233" t="s">
        <v>19</v>
      </c>
      <c r="R170" s="233" t="s">
        <v>46</v>
      </c>
      <c r="S170" s="231" t="s">
        <v>24</v>
      </c>
      <c r="T170" s="231" t="s">
        <v>24</v>
      </c>
      <c r="U170" s="231" t="s">
        <v>24</v>
      </c>
      <c r="V170" s="232" t="s">
        <v>26</v>
      </c>
      <c r="W170" s="231"/>
      <c r="X170" s="233" t="s">
        <v>1598</v>
      </c>
      <c r="Y170" s="233" t="s">
        <v>1599</v>
      </c>
      <c r="Z170" s="233" t="s">
        <v>1598</v>
      </c>
      <c r="AA170" s="235" t="s">
        <v>46</v>
      </c>
      <c r="AB170" s="233" t="s">
        <v>46</v>
      </c>
      <c r="AC170" s="233" t="s">
        <v>1598</v>
      </c>
      <c r="AD170" s="232" t="s">
        <v>26</v>
      </c>
      <c r="AE170" s="231"/>
      <c r="AF170" s="233" t="s">
        <v>1598</v>
      </c>
      <c r="AG170" s="233" t="s">
        <v>1598</v>
      </c>
      <c r="AH170" s="233" t="s">
        <v>1598</v>
      </c>
      <c r="AI170" s="233" t="s">
        <v>1598</v>
      </c>
      <c r="AJ170" s="233" t="s">
        <v>1599</v>
      </c>
      <c r="AK170" s="233" t="s">
        <v>1599</v>
      </c>
      <c r="AL170" s="235" t="s">
        <v>35</v>
      </c>
      <c r="AM170" s="231"/>
      <c r="AN170" s="231"/>
    </row>
    <row r="171" spans="1:40" s="9" customFormat="1" ht="45" x14ac:dyDescent="0.25">
      <c r="A171" s="13" t="s">
        <v>527</v>
      </c>
      <c r="B171" s="229" t="str">
        <f>IF($A171="","",VLOOKUP($A171,'[2]3-Elaboration.O'!$A:$T,MATCH(B$1,'[2]150-Modele SGO'!$1:$1,0),FALSE))</f>
        <v>Y-a-t-il une garantie minimum de base du véhicule complet hors batterie ?</v>
      </c>
      <c r="C171" s="229" t="str">
        <f>IF($A171="","",VLOOKUP($A171,'[2]3-Elaboration.O'!$A:$T,MATCH(C$1,'[2]150-Modele SGO'!$1:$1,0),FALSE))</f>
        <v>Non, absence de garantie minimum de base du véhicule complet hors batterie; Oui, existence d'une garantie minimum de base du véhicule complet hors batterie</v>
      </c>
      <c r="D171" s="229" t="str">
        <f>IF($A171="","",VLOOKUP($A171,'[2]3-Elaboration.O'!$A:$T,MATCH(D$1,'[2]150-Modele SGO'!$1:$1,0),FALSE))</f>
        <v xml:space="preserve">Liste choix unique </v>
      </c>
      <c r="E171" s="230" t="s">
        <v>1521</v>
      </c>
      <c r="F171" s="230"/>
      <c r="G171" s="231"/>
      <c r="H171" s="232" t="s">
        <v>35</v>
      </c>
      <c r="I171" s="231"/>
      <c r="J171" s="231"/>
      <c r="K171" s="231"/>
      <c r="L171" s="231"/>
      <c r="M171" s="232" t="s">
        <v>35</v>
      </c>
      <c r="N171" s="231"/>
      <c r="O171" s="231"/>
      <c r="P171" s="231"/>
      <c r="Q171" s="231" t="s">
        <v>35</v>
      </c>
      <c r="R171" s="231" t="s">
        <v>24</v>
      </c>
      <c r="S171" s="231" t="s">
        <v>24</v>
      </c>
      <c r="T171" s="231" t="s">
        <v>24</v>
      </c>
      <c r="U171" s="231" t="s">
        <v>24</v>
      </c>
      <c r="V171" s="232" t="s">
        <v>35</v>
      </c>
      <c r="W171" s="231"/>
      <c r="X171" s="231"/>
      <c r="Y171" s="231"/>
      <c r="Z171" s="231"/>
      <c r="AA171" s="234"/>
      <c r="AB171" s="231"/>
      <c r="AC171" s="231"/>
      <c r="AD171" s="232" t="s">
        <v>35</v>
      </c>
      <c r="AE171" s="231"/>
      <c r="AF171" s="231"/>
      <c r="AG171" s="231"/>
      <c r="AH171" s="231"/>
      <c r="AI171" s="231"/>
      <c r="AJ171" s="231"/>
      <c r="AK171" s="231"/>
      <c r="AL171" s="234" t="s">
        <v>35</v>
      </c>
      <c r="AM171" s="231"/>
      <c r="AN171" s="231"/>
    </row>
    <row r="172" spans="1:40" s="9" customFormat="1" ht="68.849999999999994" customHeight="1" x14ac:dyDescent="0.25">
      <c r="A172" s="13" t="s">
        <v>530</v>
      </c>
      <c r="B172" s="229" t="str">
        <f>IF($A172="","",VLOOKUP($A172,'[2]3-Elaboration.O'!$A:$T,MATCH(B$1,'[2]150-Modele SGO'!$1:$1,0),FALSE))</f>
        <v>Si oui, quelle est la durée de garantie minimum de base du véhicule complet hors batterie ?</v>
      </c>
      <c r="C172" s="229" t="str">
        <f>IF($A172="","",VLOOKUP($A172,'[2]3-Elaboration.O'!$A:$T,MATCH(C$1,'[2]150-Modele SGO'!$1:$1,0),FALSE))</f>
        <v>Annexe 10 - Détail_Lots</v>
      </c>
      <c r="D172" s="229" t="str">
        <f>IF($A172="","",VLOOKUP($A172,'[2]3-Elaboration.O'!$A:$T,MATCH(D$1,'[2]150-Modele SGO'!$1:$1,0),FALSE))</f>
        <v>Annexe 10 - Détail lots</v>
      </c>
      <c r="E172" s="230" t="s">
        <v>70</v>
      </c>
      <c r="F172" s="230"/>
      <c r="G172" s="231"/>
      <c r="H172" s="232" t="s">
        <v>35</v>
      </c>
      <c r="I172" s="231"/>
      <c r="J172" s="231"/>
      <c r="K172" s="231"/>
      <c r="L172" s="231"/>
      <c r="M172" s="232" t="s">
        <v>35</v>
      </c>
      <c r="N172" s="231"/>
      <c r="O172" s="231"/>
      <c r="P172" s="231"/>
      <c r="Q172" s="231" t="s">
        <v>35</v>
      </c>
      <c r="R172" s="231" t="s">
        <v>24</v>
      </c>
      <c r="S172" s="231" t="s">
        <v>24</v>
      </c>
      <c r="T172" s="231" t="s">
        <v>24</v>
      </c>
      <c r="U172" s="231" t="s">
        <v>24</v>
      </c>
      <c r="V172" s="232" t="s">
        <v>35</v>
      </c>
      <c r="W172" s="231"/>
      <c r="X172" s="231"/>
      <c r="Y172" s="231"/>
      <c r="Z172" s="231"/>
      <c r="AA172" s="234"/>
      <c r="AB172" s="231"/>
      <c r="AC172" s="231"/>
      <c r="AD172" s="232" t="s">
        <v>35</v>
      </c>
      <c r="AE172" s="231"/>
      <c r="AF172" s="231"/>
      <c r="AG172" s="231"/>
      <c r="AH172" s="231"/>
      <c r="AI172" s="231"/>
      <c r="AJ172" s="231"/>
      <c r="AK172" s="231"/>
      <c r="AL172" s="234" t="s">
        <v>35</v>
      </c>
      <c r="AM172" s="231"/>
      <c r="AN172" s="231"/>
    </row>
    <row r="173" spans="1:40" s="9" customFormat="1" ht="45" x14ac:dyDescent="0.25">
      <c r="A173" s="13" t="s">
        <v>532</v>
      </c>
      <c r="B173" s="229" t="str">
        <f>IF($A173="","",VLOOKUP($A173,'[2]3-Elaboration.O'!$A:$T,MATCH(B$1,'[2]150-Modele SGO'!$1:$1,0),FALSE))</f>
        <v>Y-a-t-il une garantie de disponibilité du véhicule pour chaque véhicule immobilisé à cause d’une défaillance prise en charge au titre de la garantie ?</v>
      </c>
      <c r="C173" s="229" t="str">
        <f>IF($A173="","",VLOOKUP($A173,'[2]3-Elaboration.O'!$A:$T,MATCH(C$1,'[2]150-Modele SGO'!$1:$1,0),FALSE))</f>
        <v>Non, absence de garantie de disponibilité;Oui, existence d'une garantie de disponibilité</v>
      </c>
      <c r="D173" s="229" t="str">
        <f>IF($A173="","",VLOOKUP($A173,'[2]3-Elaboration.O'!$A:$T,MATCH(D$1,'[2]150-Modele SGO'!$1:$1,0),FALSE))</f>
        <v xml:space="preserve">Liste choix unique </v>
      </c>
      <c r="E173" s="230" t="s">
        <v>1521</v>
      </c>
      <c r="F173" s="230"/>
      <c r="G173" s="231"/>
      <c r="H173" s="232" t="s">
        <v>19</v>
      </c>
      <c r="I173" s="233" t="s">
        <v>1600</v>
      </c>
      <c r="J173" s="231"/>
      <c r="K173" s="231"/>
      <c r="L173" s="231"/>
      <c r="M173" s="232" t="s">
        <v>26</v>
      </c>
      <c r="N173" s="231"/>
      <c r="O173" s="233" t="s">
        <v>46</v>
      </c>
      <c r="P173" s="233" t="s">
        <v>46</v>
      </c>
      <c r="Q173" s="233" t="s">
        <v>19</v>
      </c>
      <c r="R173" s="233" t="s">
        <v>46</v>
      </c>
      <c r="S173" s="231" t="s">
        <v>24</v>
      </c>
      <c r="T173" s="231" t="s">
        <v>24</v>
      </c>
      <c r="U173" s="231" t="s">
        <v>24</v>
      </c>
      <c r="V173" s="232" t="s">
        <v>19</v>
      </c>
      <c r="W173" s="233" t="s">
        <v>46</v>
      </c>
      <c r="X173" s="231"/>
      <c r="Y173" s="231"/>
      <c r="Z173" s="231"/>
      <c r="AA173" s="234"/>
      <c r="AB173" s="231"/>
      <c r="AC173" s="231"/>
      <c r="AD173" s="232" t="s">
        <v>26</v>
      </c>
      <c r="AE173" s="231"/>
      <c r="AF173" s="233" t="s">
        <v>1600</v>
      </c>
      <c r="AG173" s="233" t="s">
        <v>1600</v>
      </c>
      <c r="AH173" s="233" t="s">
        <v>1600</v>
      </c>
      <c r="AI173" s="233" t="s">
        <v>1601</v>
      </c>
      <c r="AJ173" s="233" t="s">
        <v>1600</v>
      </c>
      <c r="AK173" s="233" t="s">
        <v>1600</v>
      </c>
      <c r="AL173" s="235" t="s">
        <v>35</v>
      </c>
      <c r="AM173" s="231"/>
      <c r="AN173" s="231"/>
    </row>
    <row r="174" spans="1:40" s="9" customFormat="1" ht="68.849999999999994" customHeight="1" x14ac:dyDescent="0.25">
      <c r="A174" s="13" t="s">
        <v>535</v>
      </c>
      <c r="B174" s="229" t="str">
        <f>IF($A174="","",VLOOKUP($A174,'[2]3-Elaboration.O'!$A:$T,MATCH(B$1,'[2]150-Modele SGO'!$1:$1,0),FALSE))</f>
        <v>Si oui, quelle est la durée maximum de jours d’immobilisation du véhicule par année ? (adapter et multiplier selon le nombre de lots)</v>
      </c>
      <c r="C174" s="229" t="str">
        <f>IF($A174="","",VLOOKUP($A174,'[2]3-Elaboration.O'!$A:$T,MATCH(C$1,'[2]150-Modele SGO'!$1:$1,0),FALSE))</f>
        <v>Annexe 10 - Détail_Lots</v>
      </c>
      <c r="D174" s="229" t="str">
        <f>IF($A174="","",VLOOKUP($A174,'[2]3-Elaboration.O'!$A:$T,MATCH(D$1,'[2]150-Modele SGO'!$1:$1,0),FALSE))</f>
        <v>Annexe 10 - Détail lots</v>
      </c>
      <c r="E174" s="230" t="s">
        <v>70</v>
      </c>
      <c r="F174" s="230"/>
      <c r="G174" s="231"/>
      <c r="H174" s="232" t="s">
        <v>35</v>
      </c>
      <c r="I174" s="231"/>
      <c r="J174" s="231"/>
      <c r="K174" s="231"/>
      <c r="L174" s="231"/>
      <c r="M174" s="232" t="s">
        <v>35</v>
      </c>
      <c r="N174" s="231"/>
      <c r="O174" s="231" t="s">
        <v>46</v>
      </c>
      <c r="P174" s="231"/>
      <c r="Q174" s="231" t="s">
        <v>35</v>
      </c>
      <c r="R174" s="231"/>
      <c r="S174" s="231" t="s">
        <v>24</v>
      </c>
      <c r="T174" s="231" t="s">
        <v>24</v>
      </c>
      <c r="U174" s="231" t="s">
        <v>24</v>
      </c>
      <c r="V174" s="232" t="s">
        <v>19</v>
      </c>
      <c r="W174" s="233" t="s">
        <v>46</v>
      </c>
      <c r="X174" s="231"/>
      <c r="Y174" s="231"/>
      <c r="Z174" s="231"/>
      <c r="AA174" s="234"/>
      <c r="AB174" s="231"/>
      <c r="AC174" s="231"/>
      <c r="AD174" s="232" t="s">
        <v>35</v>
      </c>
      <c r="AE174" s="231"/>
      <c r="AF174" s="231"/>
      <c r="AG174" s="231"/>
      <c r="AH174" s="231"/>
      <c r="AI174" s="231"/>
      <c r="AJ174" s="231"/>
      <c r="AK174" s="231"/>
      <c r="AL174" s="234" t="s">
        <v>35</v>
      </c>
      <c r="AM174" s="231"/>
      <c r="AN174" s="231"/>
    </row>
    <row r="175" spans="1:40" s="9" customFormat="1" ht="30" x14ac:dyDescent="0.25">
      <c r="A175" s="13" t="s">
        <v>537</v>
      </c>
      <c r="B175" s="229" t="str">
        <f>IF($A175="","",VLOOKUP($A175,'[2]3-Elaboration.O'!$A:$T,MATCH(B$1,'[2]150-Modele SGO'!$1:$1,0),FALSE))</f>
        <v>Y-a-t-il une garantie de base d'autonomie de l'ensemble batterie ?</v>
      </c>
      <c r="C175" s="229" t="str">
        <f>IF($A175="","",VLOOKUP($A175,'[2]3-Elaboration.O'!$A:$T,MATCH(C$1,'[2]150-Modele SGO'!$1:$1,0),FALSE))</f>
        <v>Oui, Existence d'une garantie autonomie de l'ensemble batterie; Non, Absence de garantie autonomie de l'ensemble batterie</v>
      </c>
      <c r="D175" s="229" t="str">
        <f>IF($A175="","",VLOOKUP($A175,'[2]3-Elaboration.O'!$A:$T,MATCH(D$1,'[2]150-Modele SGO'!$1:$1,0),FALSE))</f>
        <v xml:space="preserve">Liste choix unique </v>
      </c>
      <c r="E175" s="230" t="s">
        <v>1521</v>
      </c>
      <c r="F175" s="230"/>
      <c r="G175" s="231"/>
      <c r="H175" s="232" t="s">
        <v>19</v>
      </c>
      <c r="I175" s="233" t="s">
        <v>1602</v>
      </c>
      <c r="J175" s="231"/>
      <c r="K175" s="231"/>
      <c r="L175" s="231"/>
      <c r="M175" s="232" t="s">
        <v>26</v>
      </c>
      <c r="N175" s="231"/>
      <c r="O175" s="233" t="s">
        <v>46</v>
      </c>
      <c r="P175" s="233" t="s">
        <v>46</v>
      </c>
      <c r="Q175" s="233" t="s">
        <v>19</v>
      </c>
      <c r="R175" s="233" t="s">
        <v>46</v>
      </c>
      <c r="S175" s="231" t="s">
        <v>24</v>
      </c>
      <c r="T175" s="231" t="s">
        <v>24</v>
      </c>
      <c r="U175" s="231" t="s">
        <v>24</v>
      </c>
      <c r="V175" s="232" t="s">
        <v>19</v>
      </c>
      <c r="W175" s="233" t="s">
        <v>46</v>
      </c>
      <c r="X175" s="231"/>
      <c r="Y175" s="231"/>
      <c r="Z175" s="231"/>
      <c r="AA175" s="234"/>
      <c r="AB175" s="242"/>
      <c r="AC175" s="242"/>
      <c r="AD175" s="232" t="s">
        <v>19</v>
      </c>
      <c r="AE175" s="233" t="s">
        <v>46</v>
      </c>
      <c r="AF175" s="231"/>
      <c r="AG175" s="231"/>
      <c r="AH175" s="231"/>
      <c r="AI175" s="231"/>
      <c r="AJ175" s="231"/>
      <c r="AK175" s="231"/>
      <c r="AL175" s="234" t="s">
        <v>35</v>
      </c>
      <c r="AM175" s="231"/>
      <c r="AN175" s="231"/>
    </row>
    <row r="176" spans="1:40" s="9" customFormat="1" ht="60" x14ac:dyDescent="0.25">
      <c r="A176" s="13" t="s">
        <v>540</v>
      </c>
      <c r="B176" s="229" t="str">
        <f>IF($A176="","",VLOOKUP($A176,'[2]3-Elaboration.O'!$A:$T,MATCH(B$1,'[2]150-Modele SGO'!$1:$1,0),FALSE))</f>
        <v>Si oui, quelle est la durée de garantie d'autonomie minimum de base (80% de la charge initiale de l'ensemble batterie)? (adapter et multiplier selon le nombre de lots)</v>
      </c>
      <c r="C176" s="229" t="str">
        <f>IF($A176="","",VLOOKUP($A176,'[2]3-Elaboration.O'!$A:$T,MATCH(C$1,'[2]150-Modele SGO'!$1:$1,0),FALSE))</f>
        <v>Annexe 10 - Détail_Lots</v>
      </c>
      <c r="D176" s="229" t="str">
        <f>IF($A176="","",VLOOKUP($A176,'[2]3-Elaboration.O'!$A:$T,MATCH(D$1,'[2]150-Modele SGO'!$1:$1,0),FALSE))</f>
        <v>Annexe 10 - Détail lots</v>
      </c>
      <c r="E176" s="230" t="s">
        <v>1521</v>
      </c>
      <c r="F176" s="230"/>
      <c r="G176" s="231"/>
      <c r="H176" s="232" t="s">
        <v>35</v>
      </c>
      <c r="I176" s="231"/>
      <c r="J176" s="231"/>
      <c r="K176" s="231"/>
      <c r="L176" s="231"/>
      <c r="M176" s="232" t="s">
        <v>26</v>
      </c>
      <c r="N176" s="231"/>
      <c r="O176" s="233" t="s">
        <v>46</v>
      </c>
      <c r="P176" s="233" t="s">
        <v>46</v>
      </c>
      <c r="Q176" s="231" t="s">
        <v>35</v>
      </c>
      <c r="R176" s="231"/>
      <c r="S176" s="231" t="s">
        <v>24</v>
      </c>
      <c r="T176" s="231" t="s">
        <v>24</v>
      </c>
      <c r="U176" s="231" t="s">
        <v>24</v>
      </c>
      <c r="V176" s="232" t="s">
        <v>19</v>
      </c>
      <c r="W176" s="233" t="s">
        <v>46</v>
      </c>
      <c r="X176" s="231"/>
      <c r="Y176" s="231"/>
      <c r="Z176" s="231"/>
      <c r="AA176" s="234"/>
      <c r="AB176" s="242"/>
      <c r="AC176" s="242"/>
      <c r="AD176" s="232" t="s">
        <v>19</v>
      </c>
      <c r="AE176" s="233" t="s">
        <v>46</v>
      </c>
      <c r="AF176" s="231"/>
      <c r="AG176" s="231"/>
      <c r="AH176" s="231"/>
      <c r="AI176" s="231"/>
      <c r="AJ176" s="231"/>
      <c r="AK176" s="231"/>
      <c r="AL176" s="234" t="s">
        <v>35</v>
      </c>
      <c r="AM176" s="231"/>
      <c r="AN176" s="231"/>
    </row>
    <row r="177" spans="1:40" s="9" customFormat="1" ht="30" x14ac:dyDescent="0.25">
      <c r="A177" s="13" t="s">
        <v>542</v>
      </c>
      <c r="B177" s="229" t="str">
        <f>IF($A177="","",VLOOKUP($A177,'[2]3-Elaboration.O'!$A:$T,MATCH(B$1,'[2]150-Modele SGO'!$1:$1,0),FALSE))</f>
        <v>Y-a-t-il une garantie contractuelle anticorrosion ?</v>
      </c>
      <c r="C177" s="229" t="str">
        <f>IF($A177="","",VLOOKUP($A177,'[2]3-Elaboration.O'!$A:$T,MATCH(C$1,'[2]150-Modele SGO'!$1:$1,0),FALSE))</f>
        <v>Oui, Existence d'une garantie contractuelle anticorrosion; Non, Absence de garantie contractuelle anticorrosion</v>
      </c>
      <c r="D177" s="229" t="str">
        <f>IF($A177="","",VLOOKUP($A177,'[2]3-Elaboration.O'!$A:$T,MATCH(D$1,'[2]150-Modele SGO'!$1:$1,0),FALSE))</f>
        <v xml:space="preserve">Liste choix unique </v>
      </c>
      <c r="E177" s="230" t="s">
        <v>1521</v>
      </c>
      <c r="F177" s="230"/>
      <c r="G177" s="231"/>
      <c r="H177" s="232" t="s">
        <v>19</v>
      </c>
      <c r="I177" s="233" t="s">
        <v>1603</v>
      </c>
      <c r="J177" s="231"/>
      <c r="K177" s="231"/>
      <c r="L177" s="231"/>
      <c r="M177" s="232" t="s">
        <v>26</v>
      </c>
      <c r="N177" s="231"/>
      <c r="O177" s="233" t="s">
        <v>46</v>
      </c>
      <c r="P177" s="233" t="s">
        <v>46</v>
      </c>
      <c r="Q177" s="233" t="s">
        <v>19</v>
      </c>
      <c r="R177" s="233" t="s">
        <v>46</v>
      </c>
      <c r="S177" s="231" t="s">
        <v>24</v>
      </c>
      <c r="T177" s="231" t="s">
        <v>24</v>
      </c>
      <c r="U177" s="231" t="s">
        <v>24</v>
      </c>
      <c r="V177" s="232" t="s">
        <v>19</v>
      </c>
      <c r="W177" s="233" t="s">
        <v>46</v>
      </c>
      <c r="X177" s="231"/>
      <c r="Y177" s="231"/>
      <c r="Z177" s="231"/>
      <c r="AA177" s="234"/>
      <c r="AB177" s="242"/>
      <c r="AC177" s="242"/>
      <c r="AD177" s="232" t="s">
        <v>19</v>
      </c>
      <c r="AE177" s="233" t="s">
        <v>46</v>
      </c>
      <c r="AF177" s="231"/>
      <c r="AG177" s="231"/>
      <c r="AH177" s="231"/>
      <c r="AI177" s="231"/>
      <c r="AJ177" s="231"/>
      <c r="AK177" s="231"/>
      <c r="AL177" s="234" t="s">
        <v>35</v>
      </c>
      <c r="AM177" s="231"/>
      <c r="AN177" s="231"/>
    </row>
    <row r="178" spans="1:40" s="9" customFormat="1" ht="45" x14ac:dyDescent="0.25">
      <c r="A178" s="13" t="s">
        <v>545</v>
      </c>
      <c r="B178" s="229" t="str">
        <f>IF($A178="","",VLOOKUP($A178,'[2]3-Elaboration.O'!$A:$T,MATCH(B$1,'[2]150-Modele SGO'!$1:$1,0),FALSE))</f>
        <v>Si oui, quelle est la durée garantie minimum de base (en mois/ année/ km) ? (adapter et multiplier selon le nombre de lots)</v>
      </c>
      <c r="C178" s="229" t="str">
        <f>IF($A178="","",VLOOKUP($A178,'[2]3-Elaboration.O'!$A:$T,MATCH(C$1,'[2]150-Modele SGO'!$1:$1,0),FALSE))</f>
        <v>Annexe 10 - Détail_Lots</v>
      </c>
      <c r="D178" s="229" t="str">
        <f>IF($A178="","",VLOOKUP($A178,'[2]3-Elaboration.O'!$A:$T,MATCH(D$1,'[2]150-Modele SGO'!$1:$1,0),FALSE))</f>
        <v>Annexe 10 - Détail lots</v>
      </c>
      <c r="E178" s="230" t="s">
        <v>1521</v>
      </c>
      <c r="F178" s="230"/>
      <c r="G178" s="231"/>
      <c r="H178" s="232" t="s">
        <v>35</v>
      </c>
      <c r="I178" s="231"/>
      <c r="J178" s="231"/>
      <c r="K178" s="231"/>
      <c r="L178" s="231"/>
      <c r="M178" s="232" t="s">
        <v>26</v>
      </c>
      <c r="N178" s="231"/>
      <c r="O178" s="233" t="s">
        <v>46</v>
      </c>
      <c r="P178" s="233" t="s">
        <v>46</v>
      </c>
      <c r="Q178" s="231" t="s">
        <v>35</v>
      </c>
      <c r="R178" s="231"/>
      <c r="S178" s="231" t="s">
        <v>24</v>
      </c>
      <c r="T178" s="231" t="s">
        <v>24</v>
      </c>
      <c r="U178" s="231" t="s">
        <v>24</v>
      </c>
      <c r="V178" s="232" t="s">
        <v>19</v>
      </c>
      <c r="W178" s="233" t="s">
        <v>46</v>
      </c>
      <c r="X178" s="231"/>
      <c r="Y178" s="231"/>
      <c r="Z178" s="231"/>
      <c r="AA178" s="234"/>
      <c r="AB178" s="242"/>
      <c r="AC178" s="242"/>
      <c r="AD178" s="232" t="s">
        <v>19</v>
      </c>
      <c r="AE178" s="233" t="s">
        <v>46</v>
      </c>
      <c r="AF178" s="231"/>
      <c r="AG178" s="231"/>
      <c r="AH178" s="231"/>
      <c r="AI178" s="231"/>
      <c r="AJ178" s="231"/>
      <c r="AK178" s="231"/>
      <c r="AL178" s="234" t="s">
        <v>35</v>
      </c>
      <c r="AM178" s="231"/>
      <c r="AN178" s="231"/>
    </row>
    <row r="179" spans="1:40" s="9" customFormat="1" ht="45" x14ac:dyDescent="0.25">
      <c r="A179" s="13" t="s">
        <v>547</v>
      </c>
      <c r="B179" s="229" t="str">
        <f>IF($A179="","",VLOOKUP($A179,'[2]3-Elaboration.O'!$A:$T,MATCH(B$1,'[2]150-Modele SGO'!$1:$1,0),FALSE))</f>
        <v xml:space="preserve">Le titulaire est-il tenu de fournir les pièces détachées nécessaires à la réparation du matériel ? </v>
      </c>
      <c r="C179" s="229" t="str">
        <f>IF($A179="","",VLOOKUP($A179,'[2]3-Elaboration.O'!$A:$T,MATCH(C$1,'[2]150-Modele SGO'!$1:$1,0),FALSE))</f>
        <v>Oui, Fourniture par le titulaire de pièces détachées;Non, Absence de fourniture de pièces détachées par le titulaire</v>
      </c>
      <c r="D179" s="229" t="str">
        <f>IF($A179="","",VLOOKUP($A179,'[2]3-Elaboration.O'!$A:$T,MATCH(D$1,'[2]150-Modele SGO'!$1:$1,0),FALSE))</f>
        <v xml:space="preserve">Liste choix unique </v>
      </c>
      <c r="E179" s="230" t="s">
        <v>1521</v>
      </c>
      <c r="F179" s="230"/>
      <c r="G179" s="231"/>
      <c r="H179" s="232" t="s">
        <v>19</v>
      </c>
      <c r="I179" s="233" t="s">
        <v>548</v>
      </c>
      <c r="J179" s="231"/>
      <c r="K179" s="231"/>
      <c r="L179" s="231"/>
      <c r="M179" s="232" t="s">
        <v>26</v>
      </c>
      <c r="N179" s="231"/>
      <c r="O179" s="233" t="s">
        <v>548</v>
      </c>
      <c r="P179" s="233" t="s">
        <v>35</v>
      </c>
      <c r="Q179" s="233" t="s">
        <v>19</v>
      </c>
      <c r="R179" s="233" t="s">
        <v>46</v>
      </c>
      <c r="S179" s="231" t="s">
        <v>24</v>
      </c>
      <c r="T179" s="231" t="s">
        <v>24</v>
      </c>
      <c r="U179" s="231" t="s">
        <v>24</v>
      </c>
      <c r="V179" s="232" t="s">
        <v>19</v>
      </c>
      <c r="W179" s="233" t="s">
        <v>548</v>
      </c>
      <c r="X179" s="231"/>
      <c r="Y179" s="231"/>
      <c r="Z179" s="231"/>
      <c r="AA179" s="234"/>
      <c r="AB179" s="242"/>
      <c r="AC179" s="242"/>
      <c r="AD179" s="232" t="s">
        <v>26</v>
      </c>
      <c r="AE179" s="231"/>
      <c r="AF179" s="233" t="s">
        <v>548</v>
      </c>
      <c r="AG179" s="233" t="s">
        <v>548</v>
      </c>
      <c r="AH179" s="233" t="s">
        <v>548</v>
      </c>
      <c r="AI179" s="233" t="s">
        <v>548</v>
      </c>
      <c r="AJ179" s="233" t="s">
        <v>1604</v>
      </c>
      <c r="AK179" s="233" t="s">
        <v>1604</v>
      </c>
      <c r="AL179" s="235" t="s">
        <v>35</v>
      </c>
      <c r="AM179" s="231"/>
      <c r="AN179" s="231"/>
    </row>
    <row r="180" spans="1:40" s="9" customFormat="1" ht="30" x14ac:dyDescent="0.25">
      <c r="A180" s="13" t="s">
        <v>551</v>
      </c>
      <c r="B180" s="229" t="str">
        <f>IF($A180="","",VLOOKUP($A180,'[2]3-Elaboration.O'!$A:$T,MATCH(B$1,'[2]150-Modele SGO'!$1:$1,0),FALSE))</f>
        <v xml:space="preserve">Si oui, quel est le délai correspondant après la fin de la fabrication du dernier matériel  ?  </v>
      </c>
      <c r="C180" s="229" t="str">
        <f>IF($A180="","",VLOOKUP($A180,'[2]3-Elaboration.O'!$A:$T,MATCH(C$1,'[2]150-Modele SGO'!$1:$1,0),FALSE))</f>
        <v>5 ans; 10 ans; autre;Non concerné pour l'offre</v>
      </c>
      <c r="D180" s="229" t="str">
        <f>IF($A180="","",VLOOKUP($A180,'[2]3-Elaboration.O'!$A:$T,MATCH(D$1,'[2]150-Modele SGO'!$1:$1,0),FALSE))</f>
        <v xml:space="preserve">Liste choix unique </v>
      </c>
      <c r="E180" s="230" t="s">
        <v>1521</v>
      </c>
      <c r="F180" s="230"/>
      <c r="G180" s="231"/>
      <c r="H180" s="232" t="s">
        <v>35</v>
      </c>
      <c r="I180" s="231"/>
      <c r="J180" s="231"/>
      <c r="K180" s="231"/>
      <c r="L180" s="231"/>
      <c r="M180" s="232" t="s">
        <v>26</v>
      </c>
      <c r="N180" s="231"/>
      <c r="O180" s="233" t="s">
        <v>1605</v>
      </c>
      <c r="P180" s="233" t="s">
        <v>35</v>
      </c>
      <c r="Q180" s="233" t="s">
        <v>19</v>
      </c>
      <c r="R180" s="233" t="s">
        <v>46</v>
      </c>
      <c r="S180" s="231" t="s">
        <v>24</v>
      </c>
      <c r="T180" s="231" t="s">
        <v>24</v>
      </c>
      <c r="U180" s="231" t="s">
        <v>24</v>
      </c>
      <c r="V180" s="232" t="s">
        <v>35</v>
      </c>
      <c r="W180" s="231"/>
      <c r="X180" s="231"/>
      <c r="Y180" s="231"/>
      <c r="Z180" s="231"/>
      <c r="AA180" s="234"/>
      <c r="AB180" s="242"/>
      <c r="AC180" s="242"/>
      <c r="AD180" s="232" t="s">
        <v>35</v>
      </c>
      <c r="AE180" s="231"/>
      <c r="AF180" s="231"/>
      <c r="AG180" s="231"/>
      <c r="AH180" s="231"/>
      <c r="AI180" s="231"/>
      <c r="AJ180" s="231"/>
      <c r="AK180" s="231"/>
      <c r="AL180" s="234" t="s">
        <v>35</v>
      </c>
      <c r="AM180" s="231"/>
      <c r="AN180" s="231"/>
    </row>
    <row r="181" spans="1:40" s="9" customFormat="1" ht="15.75" x14ac:dyDescent="0.25">
      <c r="A181" s="13" t="s">
        <v>554</v>
      </c>
      <c r="B181" s="229" t="str">
        <f>IF($A181="","",VLOOKUP($A181,'[2]3-Elaboration.O'!$A:$T,MATCH(B$1,'[2]150-Modele SGO'!$1:$1,0),FALSE))</f>
        <v>Si autre, préciser le délai applicable</v>
      </c>
      <c r="C181" s="229" t="str">
        <f>IF($A181="","",VLOOKUP($A181,'[2]3-Elaboration.O'!$A:$T,MATCH(C$1,'[2]150-Modele SGO'!$1:$1,0),FALSE))</f>
        <v>Champ libre</v>
      </c>
      <c r="D181" s="229" t="str">
        <f>IF($A181="","",VLOOKUP($A181,'[2]3-Elaboration.O'!$A:$T,MATCH(D$1,'[2]150-Modele SGO'!$1:$1,0),FALSE))</f>
        <v>Texte</v>
      </c>
      <c r="E181" s="230" t="s">
        <v>1521</v>
      </c>
      <c r="F181" s="230"/>
      <c r="G181" s="231"/>
      <c r="H181" s="232" t="s">
        <v>35</v>
      </c>
      <c r="I181" s="231"/>
      <c r="J181" s="231"/>
      <c r="K181" s="231"/>
      <c r="L181" s="231"/>
      <c r="M181" s="232" t="s">
        <v>35</v>
      </c>
      <c r="N181" s="231"/>
      <c r="O181" s="231"/>
      <c r="P181" s="231"/>
      <c r="Q181" s="233" t="s">
        <v>35</v>
      </c>
      <c r="R181" s="231" t="s">
        <v>24</v>
      </c>
      <c r="S181" s="231" t="s">
        <v>24</v>
      </c>
      <c r="T181" s="231" t="s">
        <v>24</v>
      </c>
      <c r="U181" s="231" t="s">
        <v>24</v>
      </c>
      <c r="V181" s="232" t="s">
        <v>35</v>
      </c>
      <c r="W181" s="231"/>
      <c r="X181" s="231"/>
      <c r="Y181" s="231"/>
      <c r="Z181" s="231"/>
      <c r="AA181" s="234"/>
      <c r="AB181" s="242"/>
      <c r="AC181" s="242"/>
      <c r="AD181" s="232" t="s">
        <v>35</v>
      </c>
      <c r="AE181" s="231"/>
      <c r="AF181" s="231"/>
      <c r="AG181" s="231"/>
      <c r="AH181" s="231"/>
      <c r="AI181" s="231"/>
      <c r="AJ181" s="231"/>
      <c r="AK181" s="231"/>
      <c r="AL181" s="234" t="s">
        <v>35</v>
      </c>
      <c r="AM181" s="231"/>
      <c r="AN181" s="231"/>
    </row>
    <row r="182" spans="1:40" s="9" customFormat="1" ht="15.75" x14ac:dyDescent="0.25">
      <c r="A182" s="108" t="s">
        <v>556</v>
      </c>
      <c r="B182" s="244" t="str">
        <f>IF($A182="","",VLOOKUP($A182,'[2]3-Elaboration.O'!$A:$T,MATCH(B$1,'[2]150-Modele SGO'!$1:$1,0),FALSE))</f>
        <v>05.3 Extension de la garantie</v>
      </c>
      <c r="C182" s="244">
        <f>IF($A182="","",VLOOKUP($A182,'[2]3-Elaboration.O'!$A:$T,MATCH(C$1,'[2]150-Modele SGO'!$1:$1,0),FALSE))</f>
        <v>0</v>
      </c>
      <c r="D182" s="244">
        <f>IF($A182="","",VLOOKUP($A182,'[2]3-Elaboration.O'!$A:$T,MATCH(D$1,'[2]150-Modele SGO'!$1:$1,0),FALSE))</f>
        <v>0</v>
      </c>
      <c r="E182" s="241" t="s">
        <v>70</v>
      </c>
      <c r="F182" s="241"/>
      <c r="G182" s="237"/>
      <c r="H182" s="241" t="s">
        <v>30</v>
      </c>
      <c r="I182" s="237"/>
      <c r="J182" s="237"/>
      <c r="K182" s="237"/>
      <c r="L182" s="237"/>
      <c r="M182" s="241" t="s">
        <v>30</v>
      </c>
      <c r="N182" s="237"/>
      <c r="O182" s="237"/>
      <c r="P182" s="237"/>
      <c r="Q182" s="237" t="s">
        <v>30</v>
      </c>
      <c r="R182" s="237" t="s">
        <v>24</v>
      </c>
      <c r="S182" s="231" t="s">
        <v>24</v>
      </c>
      <c r="T182" s="237" t="s">
        <v>24</v>
      </c>
      <c r="U182" s="237" t="s">
        <v>24</v>
      </c>
      <c r="V182" s="241" t="s">
        <v>30</v>
      </c>
      <c r="W182" s="237"/>
      <c r="X182" s="237"/>
      <c r="Y182" s="237"/>
      <c r="Z182" s="237"/>
      <c r="AA182" s="239"/>
      <c r="AB182" s="237"/>
      <c r="AC182" s="237"/>
      <c r="AD182" s="241" t="s">
        <v>30</v>
      </c>
      <c r="AE182" s="237"/>
      <c r="AF182" s="237"/>
      <c r="AG182" s="237"/>
      <c r="AH182" s="237"/>
      <c r="AI182" s="237"/>
      <c r="AJ182" s="237"/>
      <c r="AK182" s="237"/>
      <c r="AL182" s="239" t="s">
        <v>30</v>
      </c>
      <c r="AM182" s="237"/>
      <c r="AN182" s="237"/>
    </row>
    <row r="183" spans="1:40" s="9" customFormat="1" ht="45" x14ac:dyDescent="0.25">
      <c r="A183" s="13" t="s">
        <v>558</v>
      </c>
      <c r="B183" s="229" t="str">
        <f>IF($A183="","",VLOOKUP($A183,'[2]3-Elaboration.O'!$A:$T,MATCH(B$1,'[2]150-Modele SGO'!$1:$1,0),FALSE))</f>
        <v>Une extension de garantie doit-elle être mise en place ?</v>
      </c>
      <c r="C183" s="229" t="str">
        <f>IF($A183="","",VLOOKUP($A183,'[2]3-Elaboration.O'!$A:$T,MATCH(C$1,'[2]150-Modele SGO'!$1:$1,0),FALSE))</f>
        <v>Oui, une extension de garantie doit être mise en place; Non, absence d'extension de garantie</v>
      </c>
      <c r="D183" s="229" t="str">
        <f>IF($A183="","",VLOOKUP($A183,'[2]3-Elaboration.O'!$A:$T,MATCH(D$1,'[2]150-Modele SGO'!$1:$1,0),FALSE))</f>
        <v xml:space="preserve">Liste choix unique </v>
      </c>
      <c r="E183" s="230" t="s">
        <v>1521</v>
      </c>
      <c r="F183" s="230"/>
      <c r="G183" s="231"/>
      <c r="H183" s="232" t="s">
        <v>19</v>
      </c>
      <c r="I183" s="233" t="s">
        <v>1606</v>
      </c>
      <c r="J183" s="231"/>
      <c r="K183" s="231"/>
      <c r="L183" s="231"/>
      <c r="M183" s="232" t="s">
        <v>26</v>
      </c>
      <c r="N183" s="231"/>
      <c r="O183" s="233" t="s">
        <v>1607</v>
      </c>
      <c r="P183" s="233" t="s">
        <v>35</v>
      </c>
      <c r="Q183" s="233" t="s">
        <v>19</v>
      </c>
      <c r="R183" s="233" t="s">
        <v>46</v>
      </c>
      <c r="S183" s="231" t="s">
        <v>24</v>
      </c>
      <c r="T183" s="231" t="s">
        <v>24</v>
      </c>
      <c r="U183" s="231" t="s">
        <v>24</v>
      </c>
      <c r="V183" s="232" t="s">
        <v>26</v>
      </c>
      <c r="W183" s="231"/>
      <c r="X183" s="233" t="s">
        <v>1606</v>
      </c>
      <c r="Y183" s="233" t="s">
        <v>46</v>
      </c>
      <c r="Z183" s="233" t="s">
        <v>1606</v>
      </c>
      <c r="AA183" s="235" t="s">
        <v>46</v>
      </c>
      <c r="AB183" s="233" t="s">
        <v>46</v>
      </c>
      <c r="AC183" s="245" t="s">
        <v>1607</v>
      </c>
      <c r="AD183" s="232" t="s">
        <v>26</v>
      </c>
      <c r="AE183" s="231"/>
      <c r="AF183" s="233" t="s">
        <v>1606</v>
      </c>
      <c r="AG183" s="233" t="s">
        <v>1606</v>
      </c>
      <c r="AH183" s="233" t="s">
        <v>1606</v>
      </c>
      <c r="AI183" s="233" t="s">
        <v>1606</v>
      </c>
      <c r="AJ183" s="233" t="s">
        <v>1607</v>
      </c>
      <c r="AK183" s="233" t="s">
        <v>1607</v>
      </c>
      <c r="AL183" s="235" t="s">
        <v>35</v>
      </c>
      <c r="AM183" s="231"/>
      <c r="AN183" s="231"/>
    </row>
    <row r="184" spans="1:40" s="9" customFormat="1" ht="60" x14ac:dyDescent="0.25">
      <c r="A184" s="13" t="s">
        <v>561</v>
      </c>
      <c r="B184" s="229" t="str">
        <f>IF($A184="","",VLOOKUP($A184,'[2]3-Elaboration.O'!$A:$T,MATCH(B$1,'[2]150-Modele SGO'!$1:$1,0),FALSE))</f>
        <v>Si oui, concerne t'elle un matériel référencé  par le titulaire auprès du constructeur ?</v>
      </c>
      <c r="C184" s="229" t="str">
        <f>IF($A184="","",VLOOKUP($A184,'[2]3-Elaboration.O'!$A:$T,MATCH(C$1,'[2]150-Modele SGO'!$1:$1,0),FALSE))</f>
        <v>Oui, elle concerne du matériel référencé au prix proposé par le titulaire ;Non, elle ne concerne pas du matériel référencé au prix renseigné par le titulaire</v>
      </c>
      <c r="D184" s="229" t="str">
        <f>IF($A184="","",VLOOKUP($A184,'[2]3-Elaboration.O'!$A:$T,MATCH(D$1,'[2]150-Modele SGO'!$1:$1,0),FALSE))</f>
        <v xml:space="preserve">Liste choix unique </v>
      </c>
      <c r="E184" s="230" t="s">
        <v>1521</v>
      </c>
      <c r="F184" s="230"/>
      <c r="G184" s="231"/>
      <c r="H184" s="232" t="s">
        <v>19</v>
      </c>
      <c r="I184" s="233" t="s">
        <v>1608</v>
      </c>
      <c r="J184" s="231"/>
      <c r="K184" s="231"/>
      <c r="L184" s="231"/>
      <c r="M184" s="232" t="s">
        <v>26</v>
      </c>
      <c r="N184" s="231"/>
      <c r="O184" s="233" t="s">
        <v>46</v>
      </c>
      <c r="P184" s="233" t="s">
        <v>35</v>
      </c>
      <c r="Q184" s="233" t="s">
        <v>19</v>
      </c>
      <c r="R184" s="233" t="s">
        <v>46</v>
      </c>
      <c r="S184" s="231" t="s">
        <v>24</v>
      </c>
      <c r="T184" s="231" t="s">
        <v>24</v>
      </c>
      <c r="U184" s="231" t="s">
        <v>24</v>
      </c>
      <c r="V184" s="232" t="s">
        <v>26</v>
      </c>
      <c r="W184" s="231"/>
      <c r="X184" s="233" t="s">
        <v>1609</v>
      </c>
      <c r="Y184" s="233" t="s">
        <v>46</v>
      </c>
      <c r="Z184" s="233" t="s">
        <v>1609</v>
      </c>
      <c r="AA184" s="235" t="s">
        <v>46</v>
      </c>
      <c r="AB184" s="233" t="s">
        <v>46</v>
      </c>
      <c r="AC184" s="245" t="s">
        <v>1609</v>
      </c>
      <c r="AD184" s="248" t="s">
        <v>19</v>
      </c>
      <c r="AE184" s="233" t="s">
        <v>46</v>
      </c>
      <c r="AF184" s="231"/>
      <c r="AG184" s="231"/>
      <c r="AH184" s="231"/>
      <c r="AI184" s="231"/>
      <c r="AJ184" s="231"/>
      <c r="AK184" s="231"/>
      <c r="AL184" s="234" t="s">
        <v>35</v>
      </c>
      <c r="AM184" s="231"/>
      <c r="AN184" s="231"/>
    </row>
    <row r="185" spans="1:40" s="9" customFormat="1" ht="45" x14ac:dyDescent="0.25">
      <c r="A185" s="13" t="s">
        <v>564</v>
      </c>
      <c r="B185" s="229" t="str">
        <f>IF($A185="","",VLOOKUP($A185,'[2]3-Elaboration.O'!$A:$T,MATCH(B$1,'[2]150-Modele SGO'!$1:$1,0),FALSE))</f>
        <v>Si oui, s'agit-il d'une extension de garantie contrôlée ?</v>
      </c>
      <c r="C185" s="229" t="str">
        <f>IF($A185="","",VLOOKUP($A185,'[2]3-Elaboration.O'!$A:$T,MATCH(C$1,'[2]150-Modele SGO'!$1:$1,0),FALSE))</f>
        <v>Oui, Extension de garantie contrôlée;Non, absence d'extension de garantie contrôlée</v>
      </c>
      <c r="D185" s="229" t="str">
        <f>IF($A185="","",VLOOKUP($A185,'[2]3-Elaboration.O'!$A:$T,MATCH(D$1,'[2]150-Modele SGO'!$1:$1,0),FALSE))</f>
        <v xml:space="preserve">Liste choix unique </v>
      </c>
      <c r="E185" s="230" t="s">
        <v>1521</v>
      </c>
      <c r="F185" s="230"/>
      <c r="G185" s="231"/>
      <c r="H185" s="232" t="s">
        <v>19</v>
      </c>
      <c r="I185" s="233" t="s">
        <v>1610</v>
      </c>
      <c r="J185" s="231"/>
      <c r="K185" s="231"/>
      <c r="L185" s="231"/>
      <c r="M185" s="232" t="s">
        <v>26</v>
      </c>
      <c r="N185" s="231"/>
      <c r="O185" s="233" t="s">
        <v>46</v>
      </c>
      <c r="P185" s="233" t="s">
        <v>35</v>
      </c>
      <c r="Q185" s="233" t="s">
        <v>19</v>
      </c>
      <c r="R185" s="233" t="s">
        <v>46</v>
      </c>
      <c r="S185" s="231" t="s">
        <v>24</v>
      </c>
      <c r="T185" s="231" t="s">
        <v>24</v>
      </c>
      <c r="U185" s="231" t="s">
        <v>24</v>
      </c>
      <c r="V185" s="232" t="s">
        <v>26</v>
      </c>
      <c r="W185" s="231"/>
      <c r="X185" s="233" t="s">
        <v>1610</v>
      </c>
      <c r="Y185" s="233" t="s">
        <v>46</v>
      </c>
      <c r="Z185" s="233" t="s">
        <v>1611</v>
      </c>
      <c r="AA185" s="235" t="s">
        <v>46</v>
      </c>
      <c r="AB185" s="233" t="s">
        <v>46</v>
      </c>
      <c r="AC185" s="245" t="s">
        <v>1610</v>
      </c>
      <c r="AD185" s="232" t="s">
        <v>26</v>
      </c>
      <c r="AE185" s="231"/>
      <c r="AF185" s="233" t="s">
        <v>1610</v>
      </c>
      <c r="AG185" s="233" t="s">
        <v>1610</v>
      </c>
      <c r="AH185" s="233" t="s">
        <v>1610</v>
      </c>
      <c r="AI185" s="233" t="s">
        <v>1610</v>
      </c>
      <c r="AJ185" s="233" t="s">
        <v>1610</v>
      </c>
      <c r="AK185" s="233" t="s">
        <v>1610</v>
      </c>
      <c r="AL185" s="235" t="s">
        <v>35</v>
      </c>
      <c r="AM185" s="231"/>
      <c r="AN185" s="231"/>
    </row>
    <row r="186" spans="1:40" s="9" customFormat="1" ht="16.350000000000001" customHeight="1" x14ac:dyDescent="0.25">
      <c r="A186" s="13" t="s">
        <v>567</v>
      </c>
      <c r="B186" s="229" t="str">
        <f>IF($A186="","",VLOOKUP($A186,'[2]3-Elaboration.O'!$A:$T,MATCH(B$1,'[2]150-Modele SGO'!$1:$1,0),FALSE))</f>
        <v xml:space="preserve">Si oui, préciser la ou les durées de garantie par lot </v>
      </c>
      <c r="C186" s="229" t="str">
        <f>IF($A186="","",VLOOKUP($A186,'[2]3-Elaboration.O'!$A:$T,MATCH(C$1,'[2]150-Modele SGO'!$1:$1,0),FALSE))</f>
        <v>Annexe 10 - Détail_Lots</v>
      </c>
      <c r="D186" s="229" t="str">
        <f>IF($A186="","",VLOOKUP($A186,'[2]3-Elaboration.O'!$A:$T,MATCH(D$1,'[2]150-Modele SGO'!$1:$1,0),FALSE))</f>
        <v>Annexe 10 - Détail lots</v>
      </c>
      <c r="E186" s="230" t="s">
        <v>70</v>
      </c>
      <c r="F186" s="230"/>
      <c r="G186" s="231"/>
      <c r="H186" s="232" t="s">
        <v>35</v>
      </c>
      <c r="I186" s="231"/>
      <c r="J186" s="231"/>
      <c r="K186" s="231"/>
      <c r="L186" s="231"/>
      <c r="M186" s="232" t="s">
        <v>26</v>
      </c>
      <c r="N186" s="231"/>
      <c r="O186" s="233" t="s">
        <v>46</v>
      </c>
      <c r="P186" s="233" t="s">
        <v>35</v>
      </c>
      <c r="Q186" s="231" t="s">
        <v>35</v>
      </c>
      <c r="R186" s="231"/>
      <c r="S186" s="231" t="s">
        <v>24</v>
      </c>
      <c r="T186" s="231" t="s">
        <v>24</v>
      </c>
      <c r="U186" s="231" t="s">
        <v>24</v>
      </c>
      <c r="V186" s="232" t="s">
        <v>35</v>
      </c>
      <c r="W186" s="231"/>
      <c r="X186" s="231"/>
      <c r="Y186" s="231"/>
      <c r="Z186" s="231"/>
      <c r="AA186" s="234"/>
      <c r="AB186" s="231"/>
      <c r="AC186" s="231"/>
      <c r="AD186" s="232" t="s">
        <v>35</v>
      </c>
      <c r="AE186" s="231"/>
      <c r="AF186" s="231"/>
      <c r="AG186" s="231"/>
      <c r="AH186" s="231"/>
      <c r="AI186" s="231"/>
      <c r="AJ186" s="231"/>
      <c r="AK186" s="231"/>
      <c r="AL186" s="234" t="s">
        <v>35</v>
      </c>
      <c r="AM186" s="231"/>
      <c r="AN186" s="231"/>
    </row>
    <row r="187" spans="1:40" s="9" customFormat="1" ht="15.75" x14ac:dyDescent="0.25">
      <c r="A187" s="108" t="s">
        <v>569</v>
      </c>
      <c r="B187" s="244" t="str">
        <f>IF($A187="","",VLOOKUP($A187,'[2]3-Elaboration.O'!$A:$T,MATCH(B$1,'[2]150-Modele SGO'!$1:$1,0),FALSE))</f>
        <v>05.4 Maintenance</v>
      </c>
      <c r="C187" s="244">
        <f>IF($A187="","",VLOOKUP($A187,'[2]3-Elaboration.O'!$A:$T,MATCH(C$1,'[2]150-Modele SGO'!$1:$1,0),FALSE))</f>
        <v>0</v>
      </c>
      <c r="D187" s="244">
        <f>IF($A187="","",VLOOKUP($A187,'[2]3-Elaboration.O'!$A:$T,MATCH(D$1,'[2]150-Modele SGO'!$1:$1,0),FALSE))</f>
        <v>0</v>
      </c>
      <c r="E187" s="241" t="s">
        <v>70</v>
      </c>
      <c r="F187" s="241"/>
      <c r="G187" s="237"/>
      <c r="H187" s="241" t="s">
        <v>30</v>
      </c>
      <c r="I187" s="237"/>
      <c r="J187" s="237"/>
      <c r="K187" s="237"/>
      <c r="L187" s="237"/>
      <c r="M187" s="241" t="s">
        <v>30</v>
      </c>
      <c r="N187" s="237"/>
      <c r="O187" s="237"/>
      <c r="P187" s="237"/>
      <c r="Q187" s="237" t="s">
        <v>30</v>
      </c>
      <c r="R187" s="237" t="s">
        <v>24</v>
      </c>
      <c r="S187" s="231" t="s">
        <v>24</v>
      </c>
      <c r="T187" s="237" t="s">
        <v>24</v>
      </c>
      <c r="U187" s="237" t="s">
        <v>24</v>
      </c>
      <c r="V187" s="241" t="s">
        <v>30</v>
      </c>
      <c r="W187" s="237"/>
      <c r="X187" s="237"/>
      <c r="Y187" s="237"/>
      <c r="Z187" s="237"/>
      <c r="AA187" s="239"/>
      <c r="AB187" s="237"/>
      <c r="AC187" s="237"/>
      <c r="AD187" s="241" t="s">
        <v>30</v>
      </c>
      <c r="AE187" s="237"/>
      <c r="AF187" s="237"/>
      <c r="AG187" s="237"/>
      <c r="AH187" s="237"/>
      <c r="AI187" s="237"/>
      <c r="AJ187" s="237"/>
      <c r="AK187" s="237"/>
      <c r="AL187" s="239" t="s">
        <v>30</v>
      </c>
      <c r="AM187" s="237"/>
      <c r="AN187" s="237"/>
    </row>
    <row r="188" spans="1:40" s="9" customFormat="1" ht="79.349999999999994" customHeight="1" x14ac:dyDescent="0.25">
      <c r="A188" s="13" t="s">
        <v>571</v>
      </c>
      <c r="B188" s="229" t="str">
        <f>IF($A188="","",VLOOKUP($A188,'[2]3-Elaboration.O'!$A:$T,MATCH(B$1,'[2]150-Modele SGO'!$1:$1,0),FALSE))</f>
        <v>Des prestations de maintenance  et/ou location - maintenance sont-elles à prévoir ?</v>
      </c>
      <c r="C188" s="229" t="str">
        <f>IF($A188="","",VLOOKUP($A188,'[2]3-Elaboration.O'!$A:$T,MATCH(C$1,'[2]150-Modele SGO'!$1:$1,0),FALSE))</f>
        <v>Oui, prestations de maintenance prévue à l'offre;Non, absence de prestations de maintenance</v>
      </c>
      <c r="D188" s="229" t="str">
        <f>IF($A188="","",VLOOKUP($A188,'[2]3-Elaboration.O'!$A:$T,MATCH(D$1,'[2]150-Modele SGO'!$1:$1,0),FALSE))</f>
        <v xml:space="preserve">Liste choix unique </v>
      </c>
      <c r="E188" s="230" t="s">
        <v>70</v>
      </c>
      <c r="F188" s="230"/>
      <c r="G188" s="231"/>
      <c r="H188" s="232" t="s">
        <v>19</v>
      </c>
      <c r="I188" s="233" t="s">
        <v>572</v>
      </c>
      <c r="J188" s="231"/>
      <c r="K188" s="231"/>
      <c r="L188" s="231"/>
      <c r="M188" s="232" t="s">
        <v>26</v>
      </c>
      <c r="N188" s="231"/>
      <c r="O188" s="233" t="s">
        <v>1612</v>
      </c>
      <c r="P188" s="233" t="s">
        <v>35</v>
      </c>
      <c r="Q188" s="233" t="s">
        <v>26</v>
      </c>
      <c r="R188" s="231" t="s">
        <v>24</v>
      </c>
      <c r="S188" s="233" t="s">
        <v>1612</v>
      </c>
      <c r="T188" s="233" t="s">
        <v>179</v>
      </c>
      <c r="U188" s="233" t="s">
        <v>46</v>
      </c>
      <c r="V188" s="232" t="s">
        <v>26</v>
      </c>
      <c r="W188" s="231"/>
      <c r="X188" s="233" t="s">
        <v>572</v>
      </c>
      <c r="Y188" s="233" t="s">
        <v>46</v>
      </c>
      <c r="Z188" s="233" t="s">
        <v>1612</v>
      </c>
      <c r="AA188" s="235" t="s">
        <v>572</v>
      </c>
      <c r="AB188" s="233" t="s">
        <v>1612</v>
      </c>
      <c r="AC188" s="233" t="s">
        <v>572</v>
      </c>
      <c r="AD188" s="232" t="s">
        <v>26</v>
      </c>
      <c r="AE188" s="231"/>
      <c r="AF188" s="233" t="s">
        <v>572</v>
      </c>
      <c r="AG188" s="233" t="s">
        <v>572</v>
      </c>
      <c r="AH188" s="233" t="s">
        <v>572</v>
      </c>
      <c r="AI188" s="233" t="s">
        <v>572</v>
      </c>
      <c r="AJ188" s="233" t="s">
        <v>1612</v>
      </c>
      <c r="AK188" s="233" t="s">
        <v>1612</v>
      </c>
      <c r="AL188" s="235" t="s">
        <v>35</v>
      </c>
      <c r="AM188" s="231"/>
      <c r="AN188" s="231"/>
    </row>
    <row r="189" spans="1:40" s="271" customFormat="1" ht="15.75" x14ac:dyDescent="0.25">
      <c r="A189" s="268" t="s">
        <v>575</v>
      </c>
      <c r="B189" s="269" t="str">
        <f>IF($A189="","",VLOOKUP($A189,'[2]3-Elaboration.O'!$A:$T,MATCH(B$1,'[2]150-Modele SGO'!$1:$1,0),FALSE))</f>
        <v>05.4.1 Typologie, prix et durée de la maintenance</v>
      </c>
      <c r="C189" s="269">
        <f>IF($A189="","",VLOOKUP($A189,'[2]3-Elaboration.O'!$A:$T,MATCH(C$1,'[2]150-Modele SGO'!$1:$1,0),FALSE))</f>
        <v>0</v>
      </c>
      <c r="D189" s="269">
        <f>IF($A189="","",VLOOKUP($A189,'[2]3-Elaboration.O'!$A:$T,MATCH(D$1,'[2]150-Modele SGO'!$1:$1,0),FALSE))</f>
        <v>0</v>
      </c>
      <c r="E189" s="270"/>
      <c r="F189" s="270"/>
      <c r="G189" s="242"/>
      <c r="H189" s="270" t="s">
        <v>30</v>
      </c>
      <c r="I189" s="242"/>
      <c r="J189" s="242"/>
      <c r="K189" s="242"/>
      <c r="L189" s="242"/>
      <c r="M189" s="270" t="s">
        <v>30</v>
      </c>
      <c r="N189" s="242"/>
      <c r="O189" s="242"/>
      <c r="P189" s="242"/>
      <c r="Q189" s="242" t="s">
        <v>30</v>
      </c>
      <c r="R189" s="242" t="s">
        <v>24</v>
      </c>
      <c r="S189" s="231" t="s">
        <v>24</v>
      </c>
      <c r="T189" s="242" t="s">
        <v>24</v>
      </c>
      <c r="U189" s="242" t="s">
        <v>24</v>
      </c>
      <c r="V189" s="270" t="s">
        <v>30</v>
      </c>
      <c r="W189" s="242"/>
      <c r="X189" s="242"/>
      <c r="Y189" s="242"/>
      <c r="Z189" s="242"/>
      <c r="AA189" s="243"/>
      <c r="AB189" s="242"/>
      <c r="AC189" s="242"/>
      <c r="AD189" s="270" t="s">
        <v>30</v>
      </c>
      <c r="AE189" s="242"/>
      <c r="AF189" s="242"/>
      <c r="AG189" s="242"/>
      <c r="AH189" s="242"/>
      <c r="AI189" s="242"/>
      <c r="AJ189" s="242"/>
      <c r="AK189" s="242"/>
      <c r="AL189" s="243" t="s">
        <v>30</v>
      </c>
      <c r="AM189" s="242"/>
      <c r="AN189" s="242"/>
    </row>
    <row r="190" spans="1:40" s="9" customFormat="1" ht="60" x14ac:dyDescent="0.25">
      <c r="A190" s="13" t="s">
        <v>577</v>
      </c>
      <c r="B190" s="229" t="str">
        <f>IF($A190="","",VLOOKUP($A190,'[2]3-Elaboration.O'!$A:$T,MATCH(B$1,'[2]150-Modele SGO'!$1:$1,0),FALSE))</f>
        <v>Quelles sont les typologies de commande de maintenance?</v>
      </c>
      <c r="C190" s="229" t="str">
        <f>IF($A190="","",VLOOKUP($A190,'[2]3-Elaboration.O'!$A:$T,MATCH(C$1,'[2]150-Modele SGO'!$1:$1,0),FALSE))</f>
        <v>Location maintenance ;Acquisition maintenance;Full service;Non concerné pour l'offre</v>
      </c>
      <c r="D190" s="229" t="str">
        <f>IF($A190="","",VLOOKUP($A190,'[2]3-Elaboration.O'!$A:$T,MATCH(D$1,'[2]150-Modele SGO'!$1:$1,0),FALSE))</f>
        <v>Liste choix multiple</v>
      </c>
      <c r="E190" s="230" t="s">
        <v>1521</v>
      </c>
      <c r="F190" s="230" t="s">
        <v>44</v>
      </c>
      <c r="G190" s="231"/>
      <c r="H190" s="232" t="s">
        <v>26</v>
      </c>
      <c r="I190" s="231"/>
      <c r="J190" s="233" t="s">
        <v>1613</v>
      </c>
      <c r="K190" s="233" t="s">
        <v>46</v>
      </c>
      <c r="L190" s="233" t="s">
        <v>1613</v>
      </c>
      <c r="M190" s="232" t="s">
        <v>26</v>
      </c>
      <c r="N190" s="231"/>
      <c r="O190" s="233" t="s">
        <v>46</v>
      </c>
      <c r="P190" s="233" t="s">
        <v>35</v>
      </c>
      <c r="Q190" s="233" t="s">
        <v>19</v>
      </c>
      <c r="R190" s="233" t="s">
        <v>46</v>
      </c>
      <c r="S190" s="231" t="s">
        <v>24</v>
      </c>
      <c r="T190" s="231" t="s">
        <v>24</v>
      </c>
      <c r="U190" s="231" t="s">
        <v>24</v>
      </c>
      <c r="V190" s="232" t="s">
        <v>26</v>
      </c>
      <c r="W190" s="231"/>
      <c r="X190" s="233" t="s">
        <v>578</v>
      </c>
      <c r="Y190" s="233" t="s">
        <v>46</v>
      </c>
      <c r="Z190" s="233" t="s">
        <v>46</v>
      </c>
      <c r="AA190" s="233" t="s">
        <v>578</v>
      </c>
      <c r="AB190" s="233" t="s">
        <v>46</v>
      </c>
      <c r="AC190" s="233" t="s">
        <v>578</v>
      </c>
      <c r="AD190" s="232" t="s">
        <v>26</v>
      </c>
      <c r="AE190" s="231"/>
      <c r="AF190" s="233" t="s">
        <v>1614</v>
      </c>
      <c r="AG190" s="233" t="s">
        <v>1615</v>
      </c>
      <c r="AH190" s="233" t="s">
        <v>1614</v>
      </c>
      <c r="AI190" s="233" t="s">
        <v>1615</v>
      </c>
      <c r="AJ190" s="233" t="s">
        <v>46</v>
      </c>
      <c r="AK190" s="233" t="s">
        <v>1613</v>
      </c>
      <c r="AL190" s="235" t="s">
        <v>35</v>
      </c>
      <c r="AM190" s="231"/>
      <c r="AN190" s="231"/>
    </row>
    <row r="191" spans="1:40" s="9" customFormat="1" ht="45" x14ac:dyDescent="0.25">
      <c r="A191" s="13" t="s">
        <v>581</v>
      </c>
      <c r="B191" s="229" t="str">
        <f>IF($A191="","",VLOOKUP($A191,'[2]3-Elaboration.O'!$A:$T,MATCH(B$1,'[2]150-Modele SGO'!$1:$1,0),FALSE))</f>
        <v xml:space="preserve">Quelles sont les modalités de maintenance (préventive, corrective…) prévues ? </v>
      </c>
      <c r="C191" s="229" t="str">
        <f>IF($A191="","",VLOOKUP($A191,'[2]3-Elaboration.O'!$A:$T,MATCH(C$1,'[2]150-Modele SGO'!$1:$1,0),FALSE))</f>
        <v>préventive;corrective/curative</v>
      </c>
      <c r="D191" s="229" t="str">
        <f>IF($A191="","",VLOOKUP($A191,'[2]3-Elaboration.O'!$A:$T,MATCH(D$1,'[2]150-Modele SGO'!$1:$1,0),FALSE))</f>
        <v>Liste choix multiple</v>
      </c>
      <c r="E191" s="230" t="s">
        <v>1521</v>
      </c>
      <c r="F191" s="230" t="s">
        <v>44</v>
      </c>
      <c r="G191" s="231"/>
      <c r="H191" s="232" t="s">
        <v>26</v>
      </c>
      <c r="I191" s="231"/>
      <c r="J191" s="233" t="s">
        <v>582</v>
      </c>
      <c r="K191" s="233" t="s">
        <v>46</v>
      </c>
      <c r="L191" s="233" t="s">
        <v>46</v>
      </c>
      <c r="M191" s="232" t="s">
        <v>26</v>
      </c>
      <c r="N191" s="231"/>
      <c r="O191" s="233" t="s">
        <v>46</v>
      </c>
      <c r="P191" s="233" t="s">
        <v>35</v>
      </c>
      <c r="Q191" s="233" t="s">
        <v>19</v>
      </c>
      <c r="R191" s="233" t="s">
        <v>46</v>
      </c>
      <c r="S191" s="231" t="s">
        <v>24</v>
      </c>
      <c r="T191" s="231" t="s">
        <v>24</v>
      </c>
      <c r="U191" s="231" t="s">
        <v>24</v>
      </c>
      <c r="V191" s="232" t="s">
        <v>26</v>
      </c>
      <c r="W191" s="237"/>
      <c r="X191" s="233" t="s">
        <v>582</v>
      </c>
      <c r="Y191" s="233" t="s">
        <v>582</v>
      </c>
      <c r="Z191" s="233" t="s">
        <v>46</v>
      </c>
      <c r="AA191" s="235" t="s">
        <v>582</v>
      </c>
      <c r="AB191" s="233" t="s">
        <v>46</v>
      </c>
      <c r="AC191" s="233" t="s">
        <v>582</v>
      </c>
      <c r="AD191" s="232" t="s">
        <v>26</v>
      </c>
      <c r="AE191" s="231"/>
      <c r="AF191" s="233" t="s">
        <v>1616</v>
      </c>
      <c r="AG191" s="233" t="s">
        <v>1616</v>
      </c>
      <c r="AH191" s="233" t="s">
        <v>1616</v>
      </c>
      <c r="AI191" s="233" t="s">
        <v>1616</v>
      </c>
      <c r="AJ191" s="233" t="s">
        <v>46</v>
      </c>
      <c r="AK191" s="233" t="s">
        <v>1616</v>
      </c>
      <c r="AL191" s="235" t="s">
        <v>35</v>
      </c>
      <c r="AM191" s="231"/>
      <c r="AN191" s="231"/>
    </row>
    <row r="192" spans="1:40" s="9" customFormat="1" ht="30" x14ac:dyDescent="0.25">
      <c r="A192" s="13" t="s">
        <v>585</v>
      </c>
      <c r="B192" s="229" t="str">
        <f>IF($A192="","",VLOOKUP($A192,'[2]3-Elaboration.O'!$A:$T,MATCH(B$1,'[2]150-Modele SGO'!$1:$1,0),FALSE))</f>
        <v>Préciser la durée ?</v>
      </c>
      <c r="C192" s="229" t="str">
        <f>IF($A192="","",VLOOKUP($A192,'[2]3-Elaboration.O'!$A:$T,MATCH(C$1,'[2]150-Modele SGO'!$1:$1,0),FALSE))</f>
        <v>Annexe 10 - Détail_Lots</v>
      </c>
      <c r="D192" s="229" t="str">
        <f>IF($A192="","",VLOOKUP($A192,'[2]3-Elaboration.O'!$A:$T,MATCH(D$1,'[2]150-Modele SGO'!$1:$1,0),FALSE))</f>
        <v>Annexe 10 - Détail lots</v>
      </c>
      <c r="E192" s="230" t="s">
        <v>1521</v>
      </c>
      <c r="F192" s="230"/>
      <c r="G192" s="231"/>
      <c r="H192" s="232" t="s">
        <v>35</v>
      </c>
      <c r="I192" s="231"/>
      <c r="J192" s="231"/>
      <c r="K192" s="231"/>
      <c r="L192" s="231"/>
      <c r="M192" s="232" t="s">
        <v>35</v>
      </c>
      <c r="N192" s="231"/>
      <c r="O192" s="231"/>
      <c r="P192" s="231"/>
      <c r="Q192" s="231" t="s">
        <v>35</v>
      </c>
      <c r="R192" s="231"/>
      <c r="S192" s="231" t="s">
        <v>24</v>
      </c>
      <c r="T192" s="231" t="s">
        <v>24</v>
      </c>
      <c r="U192" s="231" t="s">
        <v>24</v>
      </c>
      <c r="V192" s="232" t="s">
        <v>35</v>
      </c>
      <c r="W192" s="231"/>
      <c r="X192" s="231"/>
      <c r="Y192" s="231"/>
      <c r="Z192" s="231"/>
      <c r="AA192" s="234"/>
      <c r="AB192" s="231"/>
      <c r="AC192" s="231"/>
      <c r="AD192" s="232" t="s">
        <v>35</v>
      </c>
      <c r="AE192" s="231"/>
      <c r="AF192" s="231"/>
      <c r="AG192" s="231" t="s">
        <v>1617</v>
      </c>
      <c r="AH192" s="231"/>
      <c r="AI192" s="231"/>
      <c r="AJ192" s="231"/>
      <c r="AK192" s="231"/>
      <c r="AL192" s="234" t="s">
        <v>35</v>
      </c>
      <c r="AM192" s="231"/>
      <c r="AN192" s="231"/>
    </row>
    <row r="193" spans="1:40" s="9" customFormat="1" ht="75" x14ac:dyDescent="0.25">
      <c r="A193" s="13" t="s">
        <v>587</v>
      </c>
      <c r="B193" s="229" t="str">
        <f>IF($A193="","",VLOOKUP($A193,'[2]3-Elaboration.O'!$A:$T,MATCH(B$1,'[2]150-Modele SGO'!$1:$1,0),FALSE))</f>
        <v>Si maintenance corrective/curative son prix est-il inclus dans le prix du matériel/Logiciel/fourniture ?</v>
      </c>
      <c r="C193" s="229" t="str">
        <f>IF($A193="","",VLOOKUP($A193,'[2]3-Elaboration.O'!$A:$T,MATCH(C$1,'[2]150-Modele SGO'!$1:$1,0),FALSE))</f>
        <v>Oui, le prix de la maintenance corrective/curative est-elle incluse dans le prix;Non, Le prix de la maintenance corrective/curative n'est pas comprise dans le prix ; Non concerné pour l'offre</v>
      </c>
      <c r="D193" s="229" t="str">
        <f>IF($A193="","",VLOOKUP($A193,'[2]3-Elaboration.O'!$A:$T,MATCH(D$1,'[2]150-Modele SGO'!$1:$1,0),FALSE))</f>
        <v xml:space="preserve">Liste choix unique </v>
      </c>
      <c r="E193" s="230" t="s">
        <v>1521</v>
      </c>
      <c r="F193" s="230"/>
      <c r="G193" s="231"/>
      <c r="H193" s="232" t="s">
        <v>26</v>
      </c>
      <c r="I193" s="231"/>
      <c r="J193" s="233" t="s">
        <v>1618</v>
      </c>
      <c r="K193" s="233" t="s">
        <v>46</v>
      </c>
      <c r="L193" s="233" t="s">
        <v>46</v>
      </c>
      <c r="M193" s="232" t="s">
        <v>26</v>
      </c>
      <c r="N193" s="231"/>
      <c r="O193" s="233" t="s">
        <v>46</v>
      </c>
      <c r="P193" s="233" t="s">
        <v>35</v>
      </c>
      <c r="Q193" s="233" t="s">
        <v>19</v>
      </c>
      <c r="R193" s="233" t="s">
        <v>46</v>
      </c>
      <c r="S193" s="231" t="s">
        <v>24</v>
      </c>
      <c r="T193" s="231" t="s">
        <v>24</v>
      </c>
      <c r="U193" s="231" t="s">
        <v>24</v>
      </c>
      <c r="V193" s="232" t="s">
        <v>26</v>
      </c>
      <c r="W193" s="231"/>
      <c r="X193" s="233" t="s">
        <v>588</v>
      </c>
      <c r="Y193" s="233" t="s">
        <v>1619</v>
      </c>
      <c r="Z193" s="233" t="s">
        <v>46</v>
      </c>
      <c r="AA193" s="233" t="s">
        <v>588</v>
      </c>
      <c r="AB193" s="233" t="s">
        <v>46</v>
      </c>
      <c r="AC193" s="233" t="s">
        <v>588</v>
      </c>
      <c r="AD193" s="232" t="s">
        <v>26</v>
      </c>
      <c r="AE193" s="231"/>
      <c r="AF193" s="233" t="s">
        <v>588</v>
      </c>
      <c r="AG193" s="233" t="s">
        <v>588</v>
      </c>
      <c r="AH193" s="233" t="s">
        <v>588</v>
      </c>
      <c r="AI193" s="233" t="s">
        <v>588</v>
      </c>
      <c r="AJ193" s="233" t="s">
        <v>46</v>
      </c>
      <c r="AK193" s="233" t="s">
        <v>588</v>
      </c>
      <c r="AL193" s="235" t="s">
        <v>35</v>
      </c>
      <c r="AM193" s="231"/>
      <c r="AN193" s="231"/>
    </row>
    <row r="194" spans="1:40" s="9" customFormat="1" ht="60" x14ac:dyDescent="0.25">
      <c r="A194" s="13" t="s">
        <v>591</v>
      </c>
      <c r="B194" s="229" t="str">
        <f>IF($A194="","",VLOOKUP($A194,'[2]3-Elaboration.O'!$A:$T,MATCH(B$1,'[2]150-Modele SGO'!$1:$1,0),FALSE))</f>
        <v>Si maintenance corrective/curative, l'intervention du titulaire vise quelle remise en état ?</v>
      </c>
      <c r="C194" s="229" t="str">
        <f>IF($A194="","",VLOOKUP($A194,'[2]3-Elaboration.O'!$A:$T,MATCH(C$1,'[2]150-Modele SGO'!$1:$1,0),FALSE))</f>
        <v xml:space="preserve">remise en état des Matériels;remise en état des Installations et logiciels </v>
      </c>
      <c r="D194" s="229" t="str">
        <f>IF($A194="","",VLOOKUP($A194,'[2]3-Elaboration.O'!$A:$T,MATCH(D$1,'[2]150-Modele SGO'!$1:$1,0),FALSE))</f>
        <v>Liste choix multiple</v>
      </c>
      <c r="E194" s="230" t="s">
        <v>1521</v>
      </c>
      <c r="F194" s="230"/>
      <c r="G194" s="231"/>
      <c r="H194" s="232" t="s">
        <v>35</v>
      </c>
      <c r="I194" s="231"/>
      <c r="J194" s="231"/>
      <c r="K194" s="231"/>
      <c r="L194" s="231"/>
      <c r="M194" s="232" t="s">
        <v>35</v>
      </c>
      <c r="N194" s="231"/>
      <c r="O194" s="231"/>
      <c r="P194" s="231"/>
      <c r="Q194" s="233" t="s">
        <v>19</v>
      </c>
      <c r="R194" s="233" t="s">
        <v>46</v>
      </c>
      <c r="S194" s="231" t="s">
        <v>24</v>
      </c>
      <c r="T194" s="231" t="s">
        <v>24</v>
      </c>
      <c r="U194" s="231" t="s">
        <v>24</v>
      </c>
      <c r="V194" s="232" t="s">
        <v>35</v>
      </c>
      <c r="W194" s="231"/>
      <c r="X194" s="231"/>
      <c r="Y194" s="231"/>
      <c r="Z194" s="231"/>
      <c r="AA194" s="234"/>
      <c r="AB194" s="231"/>
      <c r="AC194" s="231"/>
      <c r="AD194" s="232" t="s">
        <v>26</v>
      </c>
      <c r="AE194" s="231"/>
      <c r="AF194" s="233" t="s">
        <v>1620</v>
      </c>
      <c r="AG194" s="233" t="s">
        <v>1620</v>
      </c>
      <c r="AH194" s="233" t="s">
        <v>1620</v>
      </c>
      <c r="AI194" s="233" t="s">
        <v>1620</v>
      </c>
      <c r="AJ194" s="233" t="s">
        <v>46</v>
      </c>
      <c r="AK194" s="233" t="s">
        <v>1620</v>
      </c>
      <c r="AL194" s="235" t="s">
        <v>35</v>
      </c>
      <c r="AM194" s="231"/>
      <c r="AN194" s="231"/>
    </row>
    <row r="195" spans="1:40" s="9" customFormat="1" ht="60" x14ac:dyDescent="0.25">
      <c r="A195" s="13" t="s">
        <v>594</v>
      </c>
      <c r="B195" s="229" t="str">
        <f>IF($A195="","",VLOOKUP($A195,'[2]3-Elaboration.O'!$A:$T,MATCH(B$1,'[2]150-Modele SGO'!$1:$1,0),FALSE))</f>
        <v xml:space="preserve">En cas de dysfonctionnement, sous quel délai le titulaire doit-il intervenir en France métropolitaine pour des prestations de maintenance corrective/curative  ? </v>
      </c>
      <c r="C195" s="229" t="str">
        <f>IF($A195="","",VLOOKUP($A195,'[2]3-Elaboration.O'!$A:$T,MATCH(C$1,'[2]150-Modele SGO'!$1:$1,0),FALSE))</f>
        <v>Champ libre</v>
      </c>
      <c r="D195" s="229" t="str">
        <f>IF($A195="","",VLOOKUP($A195,'[2]3-Elaboration.O'!$A:$T,MATCH(D$1,'[2]150-Modele SGO'!$1:$1,0),FALSE))</f>
        <v>Texte</v>
      </c>
      <c r="E195" s="230" t="s">
        <v>1521</v>
      </c>
      <c r="F195" s="230"/>
      <c r="G195" s="231"/>
      <c r="H195" s="232" t="s">
        <v>35</v>
      </c>
      <c r="I195" s="231"/>
      <c r="J195" s="231"/>
      <c r="K195" s="231"/>
      <c r="L195" s="231"/>
      <c r="M195" s="232" t="s">
        <v>35</v>
      </c>
      <c r="N195" s="231"/>
      <c r="O195" s="231"/>
      <c r="P195" s="231"/>
      <c r="Q195" s="233" t="s">
        <v>19</v>
      </c>
      <c r="R195" s="233" t="s">
        <v>46</v>
      </c>
      <c r="S195" s="231" t="s">
        <v>24</v>
      </c>
      <c r="T195" s="231" t="s">
        <v>24</v>
      </c>
      <c r="U195" s="231" t="s">
        <v>24</v>
      </c>
      <c r="V195" s="232" t="s">
        <v>35</v>
      </c>
      <c r="W195" s="231"/>
      <c r="X195" s="231"/>
      <c r="Y195" s="231"/>
      <c r="Z195" s="231"/>
      <c r="AA195" s="234"/>
      <c r="AB195" s="231"/>
      <c r="AC195" s="231"/>
      <c r="AD195" s="232" t="s">
        <v>35</v>
      </c>
      <c r="AE195" s="231"/>
      <c r="AF195" s="231"/>
      <c r="AG195" s="231"/>
      <c r="AH195" s="231"/>
      <c r="AI195" s="231"/>
      <c r="AJ195" s="231"/>
      <c r="AK195" s="231"/>
      <c r="AL195" s="234" t="s">
        <v>35</v>
      </c>
      <c r="AM195" s="231"/>
      <c r="AN195" s="231"/>
    </row>
    <row r="196" spans="1:40" s="9" customFormat="1" ht="60" x14ac:dyDescent="0.25">
      <c r="A196" s="13" t="s">
        <v>596</v>
      </c>
      <c r="B196" s="229" t="str">
        <f>IF($A196="","",VLOOKUP($A196,'[2]3-Elaboration.O'!$A:$T,MATCH(B$1,'[2]150-Modele SGO'!$1:$1,0),FALSE))</f>
        <v xml:space="preserve">En cas de dysfonctionnement, sous quel délai le titulaire doit-il intervenir en outre-mer pour des prestations de maintenance corrective/curative  ?  ? </v>
      </c>
      <c r="C196" s="229" t="str">
        <f>IF($A196="","",VLOOKUP($A196,'[2]3-Elaboration.O'!$A:$T,MATCH(C$1,'[2]150-Modele SGO'!$1:$1,0),FALSE))</f>
        <v>Champ libre</v>
      </c>
      <c r="D196" s="229" t="str">
        <f>IF($A196="","",VLOOKUP($A196,'[2]3-Elaboration.O'!$A:$T,MATCH(D$1,'[2]150-Modele SGO'!$1:$1,0),FALSE))</f>
        <v>Texte</v>
      </c>
      <c r="E196" s="230" t="s">
        <v>1521</v>
      </c>
      <c r="F196" s="230"/>
      <c r="G196" s="231"/>
      <c r="H196" s="232" t="s">
        <v>35</v>
      </c>
      <c r="I196" s="231"/>
      <c r="J196" s="231"/>
      <c r="K196" s="231"/>
      <c r="L196" s="231"/>
      <c r="M196" s="232" t="s">
        <v>35</v>
      </c>
      <c r="N196" s="231"/>
      <c r="O196" s="231"/>
      <c r="P196" s="231"/>
      <c r="Q196" s="233" t="s">
        <v>19</v>
      </c>
      <c r="R196" s="233" t="s">
        <v>46</v>
      </c>
      <c r="S196" s="231" t="s">
        <v>24</v>
      </c>
      <c r="T196" s="231" t="s">
        <v>24</v>
      </c>
      <c r="U196" s="231" t="s">
        <v>24</v>
      </c>
      <c r="V196" s="232" t="s">
        <v>35</v>
      </c>
      <c r="W196" s="231"/>
      <c r="X196" s="231"/>
      <c r="Y196" s="231"/>
      <c r="Z196" s="231"/>
      <c r="AA196" s="234"/>
      <c r="AB196" s="231"/>
      <c r="AC196" s="231"/>
      <c r="AD196" s="232" t="s">
        <v>35</v>
      </c>
      <c r="AE196" s="231"/>
      <c r="AF196" s="231"/>
      <c r="AG196" s="231"/>
      <c r="AH196" s="231"/>
      <c r="AI196" s="231"/>
      <c r="AJ196" s="231"/>
      <c r="AK196" s="231"/>
      <c r="AL196" s="234" t="s">
        <v>35</v>
      </c>
      <c r="AM196" s="231"/>
      <c r="AN196" s="231"/>
    </row>
    <row r="197" spans="1:40" s="9" customFormat="1" ht="90" x14ac:dyDescent="0.25">
      <c r="A197" s="13" t="s">
        <v>598</v>
      </c>
      <c r="B197" s="229" t="str">
        <f>IF($A197="","",VLOOKUP($A197,'[2]3-Elaboration.O'!$A:$T,MATCH(B$1,'[2]150-Modele SGO'!$1:$1,0),FALSE))</f>
        <v xml:space="preserve">La prestation de maintenance s'étend-elle à la fourniture et l'installation d'accessoires et options ajoutés ? </v>
      </c>
      <c r="C197" s="229" t="str">
        <f>IF($A197="","",VLOOKUP($A197,'[2]3-Elaboration.O'!$A:$T,MATCH(C$1,'[2]150-Modele SGO'!$1:$1,0),FALSE))</f>
        <v>Oui, la prestation de maintenance s'étend à la fourniture et à l'installation d'accessoires et options; Non, la prestation de maintenance ne s'étend pas à la fourniture et l'installation d'accessoires et options</v>
      </c>
      <c r="D197" s="229" t="str">
        <f>IF($A197="","",VLOOKUP($A197,'[2]3-Elaboration.O'!$A:$T,MATCH(D$1,'[2]150-Modele SGO'!$1:$1,0),FALSE))</f>
        <v xml:space="preserve">Liste choix unique </v>
      </c>
      <c r="E197" s="230" t="s">
        <v>1521</v>
      </c>
      <c r="F197" s="230"/>
      <c r="G197" s="231"/>
      <c r="H197" s="232" t="s">
        <v>19</v>
      </c>
      <c r="I197" s="233" t="s">
        <v>1621</v>
      </c>
      <c r="J197" s="231"/>
      <c r="K197" s="231"/>
      <c r="L197" s="231"/>
      <c r="M197" s="232" t="s">
        <v>26</v>
      </c>
      <c r="N197" s="231"/>
      <c r="O197" s="233" t="s">
        <v>46</v>
      </c>
      <c r="P197" s="233" t="s">
        <v>35</v>
      </c>
      <c r="Q197" s="233" t="s">
        <v>19</v>
      </c>
      <c r="R197" s="233" t="s">
        <v>46</v>
      </c>
      <c r="S197" s="231" t="s">
        <v>24</v>
      </c>
      <c r="T197" s="231" t="s">
        <v>24</v>
      </c>
      <c r="U197" s="231" t="s">
        <v>24</v>
      </c>
      <c r="V197" s="232" t="s">
        <v>26</v>
      </c>
      <c r="W197" s="231"/>
      <c r="X197" s="233" t="s">
        <v>1621</v>
      </c>
      <c r="Y197" s="233" t="s">
        <v>1622</v>
      </c>
      <c r="Z197" s="233" t="s">
        <v>46</v>
      </c>
      <c r="AA197" s="235" t="s">
        <v>46</v>
      </c>
      <c r="AB197" s="233" t="s">
        <v>46</v>
      </c>
      <c r="AC197" s="233" t="s">
        <v>1622</v>
      </c>
      <c r="AD197" s="232" t="s">
        <v>26</v>
      </c>
      <c r="AE197" s="231"/>
      <c r="AF197" s="233" t="s">
        <v>1621</v>
      </c>
      <c r="AG197" s="233" t="s">
        <v>1621</v>
      </c>
      <c r="AH197" s="233" t="s">
        <v>1621</v>
      </c>
      <c r="AI197" s="233" t="s">
        <v>1621</v>
      </c>
      <c r="AJ197" s="233" t="s">
        <v>46</v>
      </c>
      <c r="AK197" s="233" t="s">
        <v>1621</v>
      </c>
      <c r="AL197" s="235" t="s">
        <v>35</v>
      </c>
      <c r="AM197" s="231"/>
      <c r="AN197" s="231"/>
    </row>
    <row r="198" spans="1:40" s="9" customFormat="1" ht="45" x14ac:dyDescent="0.25">
      <c r="A198" s="13" t="s">
        <v>601</v>
      </c>
      <c r="B198" s="229" t="str">
        <f>IF($A198="","",VLOOKUP($A198,'[2]3-Elaboration.O'!$A:$T,MATCH(B$1,'[2]150-Modele SGO'!$1:$1,0),FALSE))</f>
        <v xml:space="preserve">La maintenance des équipements couvre-t-elle les bris ? </v>
      </c>
      <c r="C198" s="229" t="str">
        <f>IF($A198="","",VLOOKUP($A198,'[2]3-Elaboration.O'!$A:$T,MATCH(C$1,'[2]150-Modele SGO'!$1:$1,0),FALSE))</f>
        <v>Oui, la maintenance des équipements couvre les bris;Non, la maintenance des équipements ne couvre pas les bris</v>
      </c>
      <c r="D198" s="229" t="str">
        <f>IF($A198="","",VLOOKUP($A198,'[2]3-Elaboration.O'!$A:$T,MATCH(D$1,'[2]150-Modele SGO'!$1:$1,0),FALSE))</f>
        <v xml:space="preserve">Liste choix unique </v>
      </c>
      <c r="E198" s="230" t="s">
        <v>1521</v>
      </c>
      <c r="F198" s="230"/>
      <c r="G198" s="231"/>
      <c r="H198" s="232" t="s">
        <v>19</v>
      </c>
      <c r="I198" s="233" t="s">
        <v>1623</v>
      </c>
      <c r="J198" s="231"/>
      <c r="K198" s="231"/>
      <c r="L198" s="231"/>
      <c r="M198" s="232" t="s">
        <v>26</v>
      </c>
      <c r="N198" s="231"/>
      <c r="O198" s="233" t="s">
        <v>46</v>
      </c>
      <c r="P198" s="233" t="s">
        <v>35</v>
      </c>
      <c r="Q198" s="233" t="s">
        <v>19</v>
      </c>
      <c r="R198" s="233" t="s">
        <v>46</v>
      </c>
      <c r="S198" s="231" t="s">
        <v>24</v>
      </c>
      <c r="T198" s="231" t="s">
        <v>24</v>
      </c>
      <c r="U198" s="231" t="s">
        <v>24</v>
      </c>
      <c r="V198" s="232" t="s">
        <v>19</v>
      </c>
      <c r="W198" s="233" t="s">
        <v>46</v>
      </c>
      <c r="X198" s="272"/>
      <c r="Y198" s="272"/>
      <c r="Z198" s="272"/>
      <c r="AA198" s="273"/>
      <c r="AB198" s="272"/>
      <c r="AC198" s="272"/>
      <c r="AD198" s="232" t="s">
        <v>26</v>
      </c>
      <c r="AE198" s="231"/>
      <c r="AF198" s="233" t="s">
        <v>1624</v>
      </c>
      <c r="AG198" s="233" t="s">
        <v>1624</v>
      </c>
      <c r="AH198" s="233" t="s">
        <v>1624</v>
      </c>
      <c r="AI198" s="233" t="s">
        <v>1624</v>
      </c>
      <c r="AJ198" s="233" t="s">
        <v>46</v>
      </c>
      <c r="AK198" s="233" t="s">
        <v>1624</v>
      </c>
      <c r="AL198" s="235" t="s">
        <v>35</v>
      </c>
      <c r="AM198" s="231"/>
      <c r="AN198" s="231"/>
    </row>
    <row r="199" spans="1:40" s="271" customFormat="1" ht="15.75" x14ac:dyDescent="0.25">
      <c r="A199" s="123" t="s">
        <v>604</v>
      </c>
      <c r="B199" s="269" t="str">
        <f>IF($A199="","",VLOOKUP($A199,'[2]3-Elaboration.O'!$A:$T,MATCH(B$1,'[2]150-Modele SGO'!$1:$1,0),FALSE))</f>
        <v>05.4.2 Commande de maintenance</v>
      </c>
      <c r="C199" s="269">
        <f>IF($A199="","",VLOOKUP($A199,'[2]3-Elaboration.O'!$A:$T,MATCH(C$1,'[2]150-Modele SGO'!$1:$1,0),FALSE))</f>
        <v>0</v>
      </c>
      <c r="D199" s="269">
        <f>IF($A199="","",VLOOKUP($A199,'[2]3-Elaboration.O'!$A:$T,MATCH(D$1,'[2]150-Modele SGO'!$1:$1,0),FALSE))</f>
        <v>0</v>
      </c>
      <c r="E199" s="270"/>
      <c r="F199" s="270"/>
      <c r="G199" s="242"/>
      <c r="H199" s="270" t="s">
        <v>30</v>
      </c>
      <c r="I199" s="242"/>
      <c r="J199" s="242"/>
      <c r="K199" s="242"/>
      <c r="L199" s="242"/>
      <c r="M199" s="270" t="s">
        <v>30</v>
      </c>
      <c r="N199" s="242"/>
      <c r="O199" s="242"/>
      <c r="P199" s="242"/>
      <c r="Q199" s="242" t="s">
        <v>30</v>
      </c>
      <c r="R199" s="242" t="s">
        <v>24</v>
      </c>
      <c r="S199" s="231" t="s">
        <v>24</v>
      </c>
      <c r="T199" s="242" t="s">
        <v>24</v>
      </c>
      <c r="U199" s="242" t="s">
        <v>24</v>
      </c>
      <c r="V199" s="270" t="s">
        <v>30</v>
      </c>
      <c r="W199" s="242"/>
      <c r="X199" s="274"/>
      <c r="Y199" s="274"/>
      <c r="Z199" s="274"/>
      <c r="AA199" s="275"/>
      <c r="AB199" s="274"/>
      <c r="AC199" s="274"/>
      <c r="AD199" s="270" t="s">
        <v>30</v>
      </c>
      <c r="AE199" s="242"/>
      <c r="AF199" s="242"/>
      <c r="AG199" s="242"/>
      <c r="AH199" s="242"/>
      <c r="AI199" s="242"/>
      <c r="AJ199" s="242"/>
      <c r="AK199" s="242"/>
      <c r="AL199" s="243" t="s">
        <v>30</v>
      </c>
      <c r="AM199" s="242"/>
      <c r="AN199" s="242"/>
    </row>
    <row r="200" spans="1:40" s="9" customFormat="1" ht="120" x14ac:dyDescent="0.25">
      <c r="A200" s="13" t="s">
        <v>606</v>
      </c>
      <c r="B200" s="229" t="str">
        <f>IF($A200="","",VLOOKUP($A200,'[2]3-Elaboration.O'!$A:$T,MATCH(B$1,'[2]150-Modele SGO'!$1:$1,0),FALSE))</f>
        <v>Préciser l'élément déclencheur des commandes (concomitant à la commande, livraison, carte grise…), les formats de commande envisagés (mono ou multi échéance) et la périodicité des commande (unique, mensuelle, trimestrielle, annuelle, autre…)</v>
      </c>
      <c r="C200" s="229" t="str">
        <f>IF($A200="","",VLOOKUP($A200,'[2]3-Elaboration.O'!$A:$T,MATCH(C$1,'[2]150-Modele SGO'!$1:$1,0),FALSE))</f>
        <v>concomitant à la commande (volet 1) et à l’issue de l’admission du matériel (volet 2); la fin de la période de garantie; la fin de la période d'extension de garantie; Autre</v>
      </c>
      <c r="D200" s="229" t="str">
        <f>IF($A200="","",VLOOKUP($A200,'[2]3-Elaboration.O'!$A:$T,MATCH(D$1,'[2]150-Modele SGO'!$1:$1,0),FALSE))</f>
        <v>Liste choix multiple</v>
      </c>
      <c r="E200" s="230" t="s">
        <v>70</v>
      </c>
      <c r="F200" s="230"/>
      <c r="G200" s="231"/>
      <c r="H200" s="232" t="s">
        <v>26</v>
      </c>
      <c r="I200" s="231"/>
      <c r="J200" s="233" t="s">
        <v>1625</v>
      </c>
      <c r="K200" s="233" t="s">
        <v>46</v>
      </c>
      <c r="L200" s="233" t="s">
        <v>1625</v>
      </c>
      <c r="M200" s="232" t="s">
        <v>26</v>
      </c>
      <c r="N200" s="231"/>
      <c r="O200" s="233" t="s">
        <v>46</v>
      </c>
      <c r="P200" s="233" t="s">
        <v>35</v>
      </c>
      <c r="Q200" s="233" t="s">
        <v>19</v>
      </c>
      <c r="R200" s="233" t="s">
        <v>46</v>
      </c>
      <c r="S200" s="231" t="s">
        <v>24</v>
      </c>
      <c r="T200" s="231" t="s">
        <v>24</v>
      </c>
      <c r="U200" s="231" t="s">
        <v>24</v>
      </c>
      <c r="V200" s="232" t="s">
        <v>35</v>
      </c>
      <c r="W200" s="231"/>
      <c r="X200" s="231"/>
      <c r="Y200" s="231"/>
      <c r="Z200" s="231"/>
      <c r="AA200" s="234"/>
      <c r="AB200" s="231"/>
      <c r="AC200" s="231"/>
      <c r="AD200" s="232" t="s">
        <v>26</v>
      </c>
      <c r="AE200" s="231"/>
      <c r="AF200" s="233" t="s">
        <v>1626</v>
      </c>
      <c r="AG200" s="233" t="s">
        <v>1626</v>
      </c>
      <c r="AH200" s="233" t="s">
        <v>1626</v>
      </c>
      <c r="AI200" s="233" t="s">
        <v>1626</v>
      </c>
      <c r="AJ200" s="233" t="s">
        <v>46</v>
      </c>
      <c r="AK200" s="233" t="s">
        <v>1575</v>
      </c>
      <c r="AL200" s="235" t="s">
        <v>35</v>
      </c>
      <c r="AM200" s="231"/>
      <c r="AN200" s="231"/>
    </row>
    <row r="201" spans="1:40" s="9" customFormat="1" ht="45" x14ac:dyDescent="0.25">
      <c r="A201" s="13" t="s">
        <v>609</v>
      </c>
      <c r="B201" s="229" t="str">
        <f>IF($A201="","",VLOOKUP($A201,'[2]3-Elaboration.O'!$A:$T,MATCH(B$1,'[2]150-Modele SGO'!$1:$1,0),FALSE))</f>
        <v>Si "autre" préciser l'élément déclencheur des commandes, les formats de commande envisagés et la périodicité</v>
      </c>
      <c r="C201" s="229" t="str">
        <f>IF($A201="","",VLOOKUP($A201,'[2]3-Elaboration.O'!$A:$T,MATCH(C$1,'[2]150-Modele SGO'!$1:$1,0),FALSE))</f>
        <v>Champ libre</v>
      </c>
      <c r="D201" s="229" t="str">
        <f>IF($A201="","",VLOOKUP($A201,'[2]3-Elaboration.O'!$A:$T,MATCH(D$1,'[2]150-Modele SGO'!$1:$1,0),FALSE))</f>
        <v>Texte</v>
      </c>
      <c r="E201" s="230" t="s">
        <v>70</v>
      </c>
      <c r="F201" s="230"/>
      <c r="G201" s="231"/>
      <c r="H201" s="232" t="s">
        <v>35</v>
      </c>
      <c r="I201" s="231"/>
      <c r="J201" s="231"/>
      <c r="K201" s="231"/>
      <c r="L201" s="231"/>
      <c r="M201" s="232" t="s">
        <v>35</v>
      </c>
      <c r="N201" s="231"/>
      <c r="O201" s="231"/>
      <c r="P201" s="231"/>
      <c r="Q201" s="233" t="s">
        <v>19</v>
      </c>
      <c r="R201" s="233" t="s">
        <v>46</v>
      </c>
      <c r="S201" s="231" t="s">
        <v>24</v>
      </c>
      <c r="T201" s="231" t="s">
        <v>24</v>
      </c>
      <c r="U201" s="231" t="s">
        <v>24</v>
      </c>
      <c r="V201" s="232" t="s">
        <v>35</v>
      </c>
      <c r="W201" s="231"/>
      <c r="X201" s="231"/>
      <c r="Y201" s="231"/>
      <c r="Z201" s="231"/>
      <c r="AA201" s="234"/>
      <c r="AB201" s="231"/>
      <c r="AC201" s="231"/>
      <c r="AD201" s="232" t="s">
        <v>35</v>
      </c>
      <c r="AE201" s="231"/>
      <c r="AF201" s="231"/>
      <c r="AG201" s="231"/>
      <c r="AH201" s="231"/>
      <c r="AI201" s="231"/>
      <c r="AJ201" s="231"/>
      <c r="AK201" s="231"/>
      <c r="AL201" s="234" t="s">
        <v>35</v>
      </c>
      <c r="AM201" s="231"/>
      <c r="AN201" s="231"/>
    </row>
    <row r="202" spans="1:40" s="9" customFormat="1" ht="45" x14ac:dyDescent="0.25">
      <c r="A202" s="13" t="s">
        <v>611</v>
      </c>
      <c r="B202" s="229" t="str">
        <f>IF($A202="","",VLOOKUP($A202,'[2]3-Elaboration.O'!$A:$T,MATCH(B$1,'[2]150-Modele SGO'!$1:$1,0),FALSE))</f>
        <v>Quel est le(s) format(s) d'émission de commande d’achat envisagé(s) pour les prestations de location/maintenance ?</v>
      </c>
      <c r="C202" s="229" t="str">
        <f>IF($A202="","",VLOOKUP($A202,'[2]3-Elaboration.O'!$A:$T,MATCH(C$1,'[2]150-Modele SGO'!$1:$1,0),FALSE))</f>
        <v>Mono échéance; Multi échéance; Mixte (Mono et Multi échéance)</v>
      </c>
      <c r="D202" s="229" t="str">
        <f>IF($A202="","",VLOOKUP($A202,'[2]3-Elaboration.O'!$A:$T,MATCH(D$1,'[2]150-Modele SGO'!$1:$1,0),FALSE))</f>
        <v>Liste choix unique</v>
      </c>
      <c r="E202" s="230" t="s">
        <v>1521</v>
      </c>
      <c r="F202" s="230" t="s">
        <v>44</v>
      </c>
      <c r="G202" s="231"/>
      <c r="H202" s="232" t="s">
        <v>26</v>
      </c>
      <c r="I202" s="231"/>
      <c r="J202" s="233" t="s">
        <v>1627</v>
      </c>
      <c r="K202" s="233" t="s">
        <v>1628</v>
      </c>
      <c r="L202" s="233" t="s">
        <v>1628</v>
      </c>
      <c r="M202" s="232" t="s">
        <v>26</v>
      </c>
      <c r="N202" s="231"/>
      <c r="O202" s="233" t="s">
        <v>612</v>
      </c>
      <c r="P202" s="233" t="s">
        <v>35</v>
      </c>
      <c r="Q202" s="233" t="s">
        <v>19</v>
      </c>
      <c r="R202" s="233" t="s">
        <v>46</v>
      </c>
      <c r="S202" s="231" t="s">
        <v>24</v>
      </c>
      <c r="T202" s="231" t="s">
        <v>24</v>
      </c>
      <c r="U202" s="231" t="s">
        <v>24</v>
      </c>
      <c r="V202" s="232" t="s">
        <v>26</v>
      </c>
      <c r="W202" s="231"/>
      <c r="X202" s="233" t="s">
        <v>612</v>
      </c>
      <c r="Y202" s="233" t="s">
        <v>46</v>
      </c>
      <c r="Z202" s="233" t="s">
        <v>46</v>
      </c>
      <c r="AA202" s="233" t="s">
        <v>612</v>
      </c>
      <c r="AB202" s="233" t="s">
        <v>612</v>
      </c>
      <c r="AC202" s="233" t="s">
        <v>612</v>
      </c>
      <c r="AD202" s="248" t="s">
        <v>26</v>
      </c>
      <c r="AE202" s="231"/>
      <c r="AF202" s="233" t="s">
        <v>1628</v>
      </c>
      <c r="AG202" s="233" t="s">
        <v>1628</v>
      </c>
      <c r="AH202" s="233" t="s">
        <v>1628</v>
      </c>
      <c r="AI202" s="233" t="s">
        <v>1628</v>
      </c>
      <c r="AJ202" s="233" t="s">
        <v>46</v>
      </c>
      <c r="AK202" s="233" t="s">
        <v>1628</v>
      </c>
      <c r="AL202" s="235" t="s">
        <v>35</v>
      </c>
      <c r="AM202" s="231"/>
      <c r="AN202" s="231"/>
    </row>
    <row r="203" spans="1:40" s="9" customFormat="1" ht="45" x14ac:dyDescent="0.25">
      <c r="A203" s="13" t="s">
        <v>615</v>
      </c>
      <c r="B203" s="229" t="str">
        <f>IF($A203="","",VLOOKUP($A203,'[2]3-Elaboration.O'!$A:$T,MATCH(B$1,'[2]150-Modele SGO'!$1:$1,0),FALSE))</f>
        <v xml:space="preserve">Quelle est la périodicité de commande d’achat envisagée en Multi échéance ?
</v>
      </c>
      <c r="C203" s="229" t="str">
        <f>IF($A203="","",VLOOKUP($A203,'[2]3-Elaboration.O'!$A:$T,MATCH(C$1,'[2]150-Modele SGO'!$1:$1,0),FALSE))</f>
        <v>Unique;Mensuelle;Trimestrielle;Annuelle;Autre</v>
      </c>
      <c r="D203" s="229" t="str">
        <f>IF($A203="","",VLOOKUP($A203,'[2]3-Elaboration.O'!$A:$T,MATCH(D$1,'[2]150-Modele SGO'!$1:$1,0),FALSE))</f>
        <v>Liste choix unique</v>
      </c>
      <c r="E203" s="230" t="s">
        <v>70</v>
      </c>
      <c r="F203" s="230"/>
      <c r="G203" s="231"/>
      <c r="H203" s="232" t="s">
        <v>26</v>
      </c>
      <c r="I203" s="231"/>
      <c r="J203" s="233" t="s">
        <v>46</v>
      </c>
      <c r="K203" s="233" t="s">
        <v>46</v>
      </c>
      <c r="L203" s="233" t="s">
        <v>46</v>
      </c>
      <c r="M203" s="232" t="s">
        <v>26</v>
      </c>
      <c r="N203" s="231"/>
      <c r="O203" s="233" t="s">
        <v>1629</v>
      </c>
      <c r="P203" s="233" t="s">
        <v>35</v>
      </c>
      <c r="Q203" s="233" t="s">
        <v>19</v>
      </c>
      <c r="R203" s="233" t="s">
        <v>46</v>
      </c>
      <c r="S203" s="231" t="s">
        <v>24</v>
      </c>
      <c r="T203" s="231" t="s">
        <v>24</v>
      </c>
      <c r="U203" s="231" t="s">
        <v>24</v>
      </c>
      <c r="V203" s="232" t="s">
        <v>35</v>
      </c>
      <c r="W203" s="231"/>
      <c r="X203" s="231"/>
      <c r="Y203" s="231"/>
      <c r="Z203" s="231"/>
      <c r="AA203" s="234"/>
      <c r="AB203" s="231"/>
      <c r="AC203" s="231"/>
      <c r="AD203" s="232" t="s">
        <v>26</v>
      </c>
      <c r="AE203" s="231"/>
      <c r="AF203" s="233" t="s">
        <v>1630</v>
      </c>
      <c r="AG203" s="233" t="s">
        <v>46</v>
      </c>
      <c r="AH203" s="233" t="s">
        <v>46</v>
      </c>
      <c r="AI203" s="233" t="s">
        <v>46</v>
      </c>
      <c r="AJ203" s="233" t="s">
        <v>46</v>
      </c>
      <c r="AK203" s="233" t="s">
        <v>46</v>
      </c>
      <c r="AL203" s="235" t="s">
        <v>35</v>
      </c>
      <c r="AM203" s="231"/>
      <c r="AN203" s="231"/>
    </row>
    <row r="204" spans="1:40" s="9" customFormat="1" ht="15.75" x14ac:dyDescent="0.25">
      <c r="A204" s="24" t="s">
        <v>618</v>
      </c>
      <c r="B204" s="249" t="str">
        <f>IF($A204="","",VLOOKUP($A204,'[2]3-Elaboration.O'!$A:$T,MATCH(B$1,'[2]150-Modele SGO'!$1:$1,0),FALSE))</f>
        <v>06.0 EXECUTION FINANCIERE</v>
      </c>
      <c r="C204" s="255">
        <f>IF($A204="","",VLOOKUP($A204,'[2]3-Elaboration.O'!$A:$T,MATCH(C$1,'[2]150-Modele SGO'!$1:$1,0),FALSE))</f>
        <v>0</v>
      </c>
      <c r="D204" s="255">
        <f>IF($A204="","",VLOOKUP($A204,'[2]3-Elaboration.O'!$A:$T,MATCH(D$1,'[2]150-Modele SGO'!$1:$1,0),FALSE))</f>
        <v>0</v>
      </c>
      <c r="E204" s="1" t="s">
        <v>70</v>
      </c>
      <c r="F204" s="1"/>
      <c r="G204" s="231"/>
      <c r="H204" s="238" t="s">
        <v>30</v>
      </c>
      <c r="I204" s="231"/>
      <c r="J204" s="231"/>
      <c r="K204" s="231"/>
      <c r="L204" s="231"/>
      <c r="M204" s="238" t="s">
        <v>30</v>
      </c>
      <c r="N204" s="231"/>
      <c r="O204" s="231"/>
      <c r="P204" s="231"/>
      <c r="Q204" s="231" t="s">
        <v>30</v>
      </c>
      <c r="R204" s="231" t="s">
        <v>24</v>
      </c>
      <c r="S204" s="231" t="s">
        <v>24</v>
      </c>
      <c r="T204" s="231" t="s">
        <v>24</v>
      </c>
      <c r="U204" s="231" t="s">
        <v>24</v>
      </c>
      <c r="V204" s="238" t="s">
        <v>30</v>
      </c>
      <c r="W204" s="231"/>
      <c r="X204" s="231"/>
      <c r="Y204" s="231"/>
      <c r="Z204" s="231"/>
      <c r="AA204" s="234"/>
      <c r="AB204" s="231"/>
      <c r="AC204" s="231"/>
      <c r="AD204" s="238" t="s">
        <v>30</v>
      </c>
      <c r="AE204" s="231"/>
      <c r="AF204" s="231"/>
      <c r="AG204" s="231"/>
      <c r="AH204" s="231"/>
      <c r="AI204" s="231"/>
      <c r="AJ204" s="231"/>
      <c r="AK204" s="231"/>
      <c r="AL204" s="234" t="s">
        <v>30</v>
      </c>
      <c r="AM204" s="231"/>
      <c r="AN204" s="231"/>
    </row>
    <row r="205" spans="1:40" s="9" customFormat="1" ht="15.75" x14ac:dyDescent="0.25">
      <c r="A205" s="108" t="s">
        <v>620</v>
      </c>
      <c r="B205" s="244" t="str">
        <f>IF($A205="","",VLOOKUP($A205,'[2]3-Elaboration.O'!$A:$T,MATCH(B$1,'[2]150-Modele SGO'!$1:$1,0),FALSE))</f>
        <v>06.1 Schéma de rémunération de l'UGAP</v>
      </c>
      <c r="C205" s="244">
        <f>IF($A205="","",VLOOKUP($A205,'[2]3-Elaboration.O'!$A:$T,MATCH(C$1,'[2]150-Modele SGO'!$1:$1,0),FALSE))</f>
        <v>0</v>
      </c>
      <c r="D205" s="244">
        <f>IF($A205="","",VLOOKUP($A205,'[2]3-Elaboration.O'!$A:$T,MATCH(D$1,'[2]150-Modele SGO'!$1:$1,0),FALSE))</f>
        <v>0</v>
      </c>
      <c r="E205" s="241" t="s">
        <v>70</v>
      </c>
      <c r="F205" s="241"/>
      <c r="G205" s="237"/>
      <c r="H205" s="241" t="s">
        <v>30</v>
      </c>
      <c r="I205" s="237"/>
      <c r="J205" s="237"/>
      <c r="K205" s="237"/>
      <c r="L205" s="237"/>
      <c r="M205" s="241" t="s">
        <v>30</v>
      </c>
      <c r="N205" s="237"/>
      <c r="O205" s="237"/>
      <c r="P205" s="237"/>
      <c r="Q205" s="237" t="s">
        <v>30</v>
      </c>
      <c r="R205" s="237" t="s">
        <v>24</v>
      </c>
      <c r="S205" s="231" t="s">
        <v>24</v>
      </c>
      <c r="T205" s="237" t="s">
        <v>24</v>
      </c>
      <c r="U205" s="237" t="s">
        <v>24</v>
      </c>
      <c r="V205" s="241" t="s">
        <v>30</v>
      </c>
      <c r="W205" s="237"/>
      <c r="X205" s="237"/>
      <c r="Y205" s="237"/>
      <c r="Z205" s="237"/>
      <c r="AA205" s="239"/>
      <c r="AB205" s="237"/>
      <c r="AC205" s="237"/>
      <c r="AD205" s="241" t="s">
        <v>30</v>
      </c>
      <c r="AE205" s="237"/>
      <c r="AF205" s="237"/>
      <c r="AG205" s="252"/>
      <c r="AH205" s="237"/>
      <c r="AI205" s="237"/>
      <c r="AJ205" s="237"/>
      <c r="AK205" s="237"/>
      <c r="AL205" s="239" t="s">
        <v>30</v>
      </c>
      <c r="AM205" s="237"/>
      <c r="AN205" s="237"/>
    </row>
    <row r="206" spans="1:40" s="9" customFormat="1" ht="45" x14ac:dyDescent="0.25">
      <c r="A206" s="13" t="s">
        <v>622</v>
      </c>
      <c r="B206" s="229" t="str">
        <f>IF($A206="","",VLOOKUP($A206,'[2]3-Elaboration.O'!$A:$T,MATCH(B$1,'[2]150-Modele SGO'!$1:$1,0),FALSE))</f>
        <v>La rémunération par le titulaire en contrepartie d’un service rendu correspond-elle a la contribution standard 1%-4000€-Trimestriel ?</v>
      </c>
      <c r="C206" s="229" t="str">
        <f>IF($A206="","",VLOOKUP($A206,'[2]3-Elaboration.O'!$A:$T,MATCH(C$1,'[2]150-Modele SGO'!$1:$1,0),FALSE))</f>
        <v>Oui, Application de la contribution standard : 1% - 4000 € - Trimestriel;Non, dérogation à la contribution standard</v>
      </c>
      <c r="D206" s="229" t="str">
        <f>IF($A206="","",VLOOKUP($A206,'[2]3-Elaboration.O'!$A:$T,MATCH(D$1,'[2]150-Modele SGO'!$1:$1,0),FALSE))</f>
        <v xml:space="preserve">Liste choix unique </v>
      </c>
      <c r="E206" s="230" t="s">
        <v>70</v>
      </c>
      <c r="F206" s="230"/>
      <c r="G206" s="233" t="s">
        <v>623</v>
      </c>
      <c r="H206" s="232" t="s">
        <v>51</v>
      </c>
      <c r="I206" s="231"/>
      <c r="J206" s="231"/>
      <c r="K206" s="231"/>
      <c r="L206" s="231"/>
      <c r="M206" s="232" t="s">
        <v>51</v>
      </c>
      <c r="N206" s="231"/>
      <c r="O206" s="231"/>
      <c r="P206" s="231"/>
      <c r="Q206" s="231" t="s">
        <v>51</v>
      </c>
      <c r="R206" s="231" t="s">
        <v>24</v>
      </c>
      <c r="S206" s="231" t="s">
        <v>24</v>
      </c>
      <c r="T206" s="231" t="s">
        <v>24</v>
      </c>
      <c r="U206" s="231" t="s">
        <v>24</v>
      </c>
      <c r="V206" s="232" t="s">
        <v>51</v>
      </c>
      <c r="W206" s="231"/>
      <c r="X206" s="231"/>
      <c r="Y206" s="231"/>
      <c r="Z206" s="231"/>
      <c r="AA206" s="234"/>
      <c r="AB206" s="231"/>
      <c r="AC206" s="231"/>
      <c r="AD206" s="232" t="s">
        <v>51</v>
      </c>
      <c r="AE206" s="231"/>
      <c r="AF206" s="231"/>
      <c r="AG206" s="231"/>
      <c r="AH206" s="231"/>
      <c r="AI206" s="231"/>
      <c r="AJ206" s="231"/>
      <c r="AK206" s="231"/>
      <c r="AL206" s="234" t="s">
        <v>51</v>
      </c>
      <c r="AM206" s="231"/>
      <c r="AN206" s="231"/>
    </row>
    <row r="207" spans="1:40" s="9" customFormat="1" ht="90" x14ac:dyDescent="0.25">
      <c r="A207" s="13" t="s">
        <v>626</v>
      </c>
      <c r="B207" s="229" t="str">
        <f>IF($A207="","",VLOOKUP($A207,'[2]3-Elaboration.O'!$A:$T,MATCH(B$1,'[2]150-Modele SGO'!$1:$1,0),FALSE))</f>
        <v>Si non, préciser quel schéma de rémunération s'applique à l'offre (exemple: ristourne, délégation de marge pour compte...) justifier de cette la dérogation et préciser les modalités de calcul associées - périodicité - seuil mini d'application ou l'absence de rémunération</v>
      </c>
      <c r="C207" s="229" t="str">
        <f>IF($A207="","",VLOOKUP($A207,'[2]3-Elaboration.O'!$A:$T,MATCH(C$1,'[2]150-Modele SGO'!$1:$1,0),FALSE))</f>
        <v>Champ libre</v>
      </c>
      <c r="D207" s="229" t="str">
        <f>IF($A207="","",VLOOKUP($A207,'[2]3-Elaboration.O'!$A:$T,MATCH(D$1,'[2]150-Modele SGO'!$1:$1,0),FALSE))</f>
        <v>Texte</v>
      </c>
      <c r="E207" s="230" t="s">
        <v>70</v>
      </c>
      <c r="F207" s="230"/>
      <c r="G207" s="250"/>
      <c r="H207" s="232" t="s">
        <v>35</v>
      </c>
      <c r="I207" s="231"/>
      <c r="J207" s="231"/>
      <c r="K207" s="231"/>
      <c r="L207" s="231"/>
      <c r="M207" s="232" t="s">
        <v>35</v>
      </c>
      <c r="N207" s="231"/>
      <c r="O207" s="231"/>
      <c r="P207" s="231"/>
      <c r="Q207" s="231" t="s">
        <v>35</v>
      </c>
      <c r="R207" s="231" t="s">
        <v>24</v>
      </c>
      <c r="S207" s="231" t="s">
        <v>24</v>
      </c>
      <c r="T207" s="231" t="s">
        <v>24</v>
      </c>
      <c r="U207" s="231" t="s">
        <v>24</v>
      </c>
      <c r="V207" s="232" t="s">
        <v>35</v>
      </c>
      <c r="W207" s="231"/>
      <c r="X207" s="231"/>
      <c r="Y207" s="231"/>
      <c r="Z207" s="231"/>
      <c r="AA207" s="234"/>
      <c r="AB207" s="231"/>
      <c r="AC207" s="231"/>
      <c r="AD207" s="232" t="s">
        <v>35</v>
      </c>
      <c r="AE207" s="231"/>
      <c r="AF207" s="231"/>
      <c r="AG207" s="250"/>
      <c r="AH207" s="231"/>
      <c r="AI207" s="137" t="s">
        <v>1631</v>
      </c>
      <c r="AJ207" s="231"/>
      <c r="AK207" s="231"/>
      <c r="AL207" s="234" t="s">
        <v>35</v>
      </c>
      <c r="AM207" s="231"/>
      <c r="AN207" s="231"/>
    </row>
    <row r="208" spans="1:40" s="9" customFormat="1" ht="70.349999999999994" customHeight="1" x14ac:dyDescent="0.25">
      <c r="A208" s="13" t="s">
        <v>628</v>
      </c>
      <c r="B208" s="229" t="str">
        <f>IF($A208="","",VLOOKUP($A208,'[2]3-Elaboration.O'!$A:$T,MATCH(B$1,'[2]150-Modele SGO'!$1:$1,0),FALSE))</f>
        <v>La rémunération par le client correspond-elle au standard (Taux de marge applicable au PA) avec distinction grands comptes - partenaire ?</v>
      </c>
      <c r="C208" s="229" t="str">
        <f>IF($A208="","",VLOOKUP($A208,'[2]3-Elaboration.O'!$A:$T,MATCH(C$1,'[2]150-Modele SGO'!$1:$1,0),FALSE))</f>
        <v>Oui, Rémunération par le client standard avec distinction Grands comptes et partenaire;Non, dérogation à la rémunération client standard</v>
      </c>
      <c r="D208" s="229" t="str">
        <f>IF($A208="","",VLOOKUP($A208,'[2]3-Elaboration.O'!$A:$T,MATCH(D$1,'[2]150-Modele SGO'!$1:$1,0),FALSE))</f>
        <v xml:space="preserve">Liste choix unique </v>
      </c>
      <c r="E208" s="230" t="s">
        <v>70</v>
      </c>
      <c r="F208" s="230"/>
      <c r="G208" s="233" t="s">
        <v>629</v>
      </c>
      <c r="H208" s="232" t="s">
        <v>51</v>
      </c>
      <c r="I208" s="231"/>
      <c r="J208" s="231"/>
      <c r="K208" s="231"/>
      <c r="L208" s="231"/>
      <c r="M208" s="232" t="s">
        <v>51</v>
      </c>
      <c r="N208" s="231"/>
      <c r="O208" s="231"/>
      <c r="P208" s="231"/>
      <c r="Q208" s="231" t="s">
        <v>51</v>
      </c>
      <c r="R208" s="231" t="s">
        <v>24</v>
      </c>
      <c r="S208" s="231" t="s">
        <v>24</v>
      </c>
      <c r="T208" s="231" t="s">
        <v>24</v>
      </c>
      <c r="U208" s="231" t="s">
        <v>24</v>
      </c>
      <c r="V208" s="232" t="s">
        <v>51</v>
      </c>
      <c r="W208" s="231"/>
      <c r="X208" s="231"/>
      <c r="Y208" s="231"/>
      <c r="Z208" s="231"/>
      <c r="AA208" s="234"/>
      <c r="AB208" s="231"/>
      <c r="AC208" s="231"/>
      <c r="AD208" s="232" t="s">
        <v>51</v>
      </c>
      <c r="AE208" s="231"/>
      <c r="AF208" s="231"/>
      <c r="AG208" s="231"/>
      <c r="AH208" s="231"/>
      <c r="AI208" s="231"/>
      <c r="AJ208" s="231"/>
      <c r="AK208" s="231"/>
      <c r="AL208" s="234" t="s">
        <v>51</v>
      </c>
      <c r="AM208" s="231"/>
      <c r="AN208" s="231"/>
    </row>
    <row r="209" spans="1:40" s="9" customFormat="1" ht="45" x14ac:dyDescent="0.25">
      <c r="A209" s="13" t="s">
        <v>632</v>
      </c>
      <c r="B209" s="229" t="str">
        <f>IF($A209="","",VLOOKUP($A209,'[2]3-Elaboration.O'!$A:$T,MATCH(B$1,'[2]150-Modele SGO'!$1:$1,0),FALSE))</f>
        <v>Si non, préciser la marge spécifique applicable (ex : taux unique, PA=PV...) et justifier de cette dérogation</v>
      </c>
      <c r="C209" s="229" t="str">
        <f>IF($A209="","",VLOOKUP($A209,'[2]3-Elaboration.O'!$A:$T,MATCH(C$1,'[2]150-Modele SGO'!$1:$1,0),FALSE))</f>
        <v>Champ libre</v>
      </c>
      <c r="D209" s="229" t="str">
        <f>IF($A209="","",VLOOKUP($A209,'[2]3-Elaboration.O'!$A:$T,MATCH(D$1,'[2]150-Modele SGO'!$1:$1,0),FALSE))</f>
        <v>Texte</v>
      </c>
      <c r="E209" s="230" t="s">
        <v>70</v>
      </c>
      <c r="F209" s="230"/>
      <c r="G209" s="231"/>
      <c r="H209" s="232" t="s">
        <v>35</v>
      </c>
      <c r="I209" s="231"/>
      <c r="J209" s="231"/>
      <c r="K209" s="231"/>
      <c r="L209" s="231"/>
      <c r="M209" s="232" t="s">
        <v>35</v>
      </c>
      <c r="N209" s="231"/>
      <c r="O209" s="231"/>
      <c r="P209" s="231"/>
      <c r="Q209" s="231" t="s">
        <v>35</v>
      </c>
      <c r="R209" s="231" t="s">
        <v>24</v>
      </c>
      <c r="S209" s="231" t="s">
        <v>24</v>
      </c>
      <c r="T209" s="231" t="s">
        <v>24</v>
      </c>
      <c r="U209" s="231" t="s">
        <v>24</v>
      </c>
      <c r="V209" s="232" t="s">
        <v>35</v>
      </c>
      <c r="W209" s="231"/>
      <c r="X209" s="231"/>
      <c r="Y209" s="231"/>
      <c r="Z209" s="231"/>
      <c r="AA209" s="234"/>
      <c r="AB209" s="231"/>
      <c r="AC209" s="231"/>
      <c r="AD209" s="232" t="s">
        <v>35</v>
      </c>
      <c r="AE209" s="231"/>
      <c r="AF209" s="231"/>
      <c r="AG209" s="231"/>
      <c r="AH209" s="231"/>
      <c r="AI209" s="231" t="s">
        <v>1632</v>
      </c>
      <c r="AJ209" s="231"/>
      <c r="AK209" s="231"/>
      <c r="AL209" s="234" t="s">
        <v>35</v>
      </c>
      <c r="AM209" s="231"/>
      <c r="AN209" s="231"/>
    </row>
    <row r="210" spans="1:40" s="9" customFormat="1" ht="30" x14ac:dyDescent="0.25">
      <c r="A210" s="13" t="s">
        <v>634</v>
      </c>
      <c r="B210" s="229" t="str">
        <f>IF($A210="","",VLOOKUP($A210,'[2]3-Elaboration.O'!$A:$T,MATCH(B$1,'[2]150-Modele SGO'!$1:$1,0),FALSE))</f>
        <v>Une partie de l'offre fait-elle l'objet d'une exclusion de marge</v>
      </c>
      <c r="C210" s="229" t="str">
        <f>IF($A210="","",VLOOKUP($A210,'[2]3-Elaboration.O'!$A:$T,MATCH(C$1,'[2]150-Modele SGO'!$1:$1,0),FALSE))</f>
        <v>Oui, exclusion de marge; Non, absence d'exclusion de marge</v>
      </c>
      <c r="D210" s="229" t="str">
        <f>IF($A210="","",VLOOKUP($A210,'[2]3-Elaboration.O'!$A:$T,MATCH(D$1,'[2]150-Modele SGO'!$1:$1,0),FALSE))</f>
        <v xml:space="preserve">Liste choix unique </v>
      </c>
      <c r="E210" s="230" t="s">
        <v>70</v>
      </c>
      <c r="F210" s="230"/>
      <c r="G210" s="231"/>
      <c r="H210" s="232" t="s">
        <v>19</v>
      </c>
      <c r="I210" s="233" t="s">
        <v>1633</v>
      </c>
      <c r="J210" s="231"/>
      <c r="K210" s="231"/>
      <c r="L210" s="231"/>
      <c r="M210" s="232" t="s">
        <v>26</v>
      </c>
      <c r="N210" s="231"/>
      <c r="O210" s="233" t="s">
        <v>1633</v>
      </c>
      <c r="P210" s="233" t="s">
        <v>35</v>
      </c>
      <c r="Q210" s="233" t="s">
        <v>26</v>
      </c>
      <c r="R210" s="231" t="s">
        <v>24</v>
      </c>
      <c r="S210" s="233" t="s">
        <v>635</v>
      </c>
      <c r="T210" s="233" t="s">
        <v>1633</v>
      </c>
      <c r="U210" s="233" t="s">
        <v>1633</v>
      </c>
      <c r="V210" s="232" t="s">
        <v>19</v>
      </c>
      <c r="W210" s="233" t="s">
        <v>635</v>
      </c>
      <c r="X210" s="231"/>
      <c r="Y210" s="231"/>
      <c r="Z210" s="231"/>
      <c r="AA210" s="234"/>
      <c r="AB210" s="242"/>
      <c r="AC210" s="242"/>
      <c r="AD210" s="232" t="s">
        <v>19</v>
      </c>
      <c r="AE210" s="233" t="s">
        <v>635</v>
      </c>
      <c r="AF210" s="231"/>
      <c r="AG210" s="231"/>
      <c r="AH210" s="231"/>
      <c r="AI210" s="231"/>
      <c r="AJ210" s="231"/>
      <c r="AK210" s="231"/>
      <c r="AL210" s="234" t="s">
        <v>35</v>
      </c>
      <c r="AM210" s="231"/>
      <c r="AN210" s="231"/>
    </row>
    <row r="211" spans="1:40" s="9" customFormat="1" ht="70.349999999999994" customHeight="1" x14ac:dyDescent="0.25">
      <c r="A211" s="13" t="s">
        <v>638</v>
      </c>
      <c r="B211" s="229" t="str">
        <f>IF($A211="","",VLOOKUP($A211,'[2]3-Elaboration.O'!$A:$T,MATCH(B$1,'[2]150-Modele SGO'!$1:$1,0),FALSE))</f>
        <v>Si oui, préciser le contenu de l'offre concerné par l'exclusion (ex : prestation d'assurance)</v>
      </c>
      <c r="C211" s="229" t="str">
        <f>IF($A211="","",VLOOKUP($A211,'[2]3-Elaboration.O'!$A:$T,MATCH(C$1,'[2]150-Modele SGO'!$1:$1,0),FALSE))</f>
        <v>Absence d'application de marge sur les taxes d'immatriculation;Surcoût Drom Com;Indeminité et annulation et modification de commande ;Reprise de matériel</v>
      </c>
      <c r="D211" s="229" t="str">
        <f>IF($A211="","",VLOOKUP($A211,'[2]3-Elaboration.O'!$A:$T,MATCH(D$1,'[2]150-Modele SGO'!$1:$1,0),FALSE))</f>
        <v>Liste choix multiple</v>
      </c>
      <c r="E211" s="230" t="s">
        <v>70</v>
      </c>
      <c r="F211" s="230" t="s">
        <v>44</v>
      </c>
      <c r="G211" s="231"/>
      <c r="H211" s="232" t="s">
        <v>19</v>
      </c>
      <c r="I211" s="233" t="s">
        <v>1634</v>
      </c>
      <c r="J211" s="231"/>
      <c r="K211" s="231"/>
      <c r="L211" s="231"/>
      <c r="M211" s="232" t="s">
        <v>26</v>
      </c>
      <c r="N211" s="231"/>
      <c r="O211" s="233" t="s">
        <v>1635</v>
      </c>
      <c r="P211" s="233" t="s">
        <v>35</v>
      </c>
      <c r="Q211" s="231" t="s">
        <v>35</v>
      </c>
      <c r="R211" s="231" t="s">
        <v>24</v>
      </c>
      <c r="S211" s="266" t="s">
        <v>24</v>
      </c>
      <c r="T211" s="231" t="s">
        <v>24</v>
      </c>
      <c r="U211" s="231" t="s">
        <v>24</v>
      </c>
      <c r="V211" s="232" t="s">
        <v>19</v>
      </c>
      <c r="W211" s="233" t="s">
        <v>46</v>
      </c>
      <c r="X211" s="231"/>
      <c r="Y211" s="231"/>
      <c r="Z211" s="231"/>
      <c r="AA211" s="234"/>
      <c r="AB211" s="231"/>
      <c r="AC211" s="231"/>
      <c r="AD211" s="232" t="s">
        <v>35</v>
      </c>
      <c r="AE211" s="231"/>
      <c r="AF211" s="231"/>
      <c r="AG211" s="231"/>
      <c r="AH211" s="231"/>
      <c r="AI211" s="231"/>
      <c r="AJ211" s="231"/>
      <c r="AK211" s="231"/>
      <c r="AL211" s="234" t="s">
        <v>35</v>
      </c>
      <c r="AM211" s="231"/>
      <c r="AN211" s="231"/>
    </row>
    <row r="212" spans="1:40" s="9" customFormat="1" ht="70.349999999999994" customHeight="1" x14ac:dyDescent="0.25">
      <c r="A212" s="13" t="s">
        <v>641</v>
      </c>
      <c r="B212" s="229" t="str">
        <f>IF($A212="","",VLOOKUP($A212,'[2]3-Elaboration.O'!$A:$T,MATCH(B$1,'[2]150-Modele SGO'!$1:$1,0),FALSE))</f>
        <v>Si autre, préciser le contenu de l'offre concerné par l'exclusion (ex : prestation d'assurance)</v>
      </c>
      <c r="C212" s="229" t="str">
        <f>IF($A212="","",VLOOKUP($A212,'[2]3-Elaboration.O'!$A:$T,MATCH(C$1,'[2]150-Modele SGO'!$1:$1,0),FALSE))</f>
        <v>Champ libre</v>
      </c>
      <c r="D212" s="229" t="str">
        <f>IF($A212="","",VLOOKUP($A212,'[2]3-Elaboration.O'!$A:$T,MATCH(D$1,'[2]150-Modele SGO'!$1:$1,0),FALSE))</f>
        <v>Texte</v>
      </c>
      <c r="E212" s="230" t="s">
        <v>70</v>
      </c>
      <c r="F212" s="230"/>
      <c r="G212" s="231"/>
      <c r="H212" s="232" t="s">
        <v>35</v>
      </c>
      <c r="I212" s="231"/>
      <c r="J212" s="231"/>
      <c r="K212" s="231"/>
      <c r="L212" s="231"/>
      <c r="M212" s="232" t="s">
        <v>35</v>
      </c>
      <c r="N212" s="231"/>
      <c r="O212" s="231"/>
      <c r="P212" s="231"/>
      <c r="Q212" s="231" t="s">
        <v>35</v>
      </c>
      <c r="R212" s="231" t="s">
        <v>24</v>
      </c>
      <c r="S212" s="231" t="s">
        <v>24</v>
      </c>
      <c r="T212" s="231" t="s">
        <v>24</v>
      </c>
      <c r="U212" s="231" t="s">
        <v>24</v>
      </c>
      <c r="V212" s="232" t="s">
        <v>19</v>
      </c>
      <c r="W212" s="233" t="s">
        <v>46</v>
      </c>
      <c r="X212" s="231"/>
      <c r="Y212" s="231"/>
      <c r="Z212" s="231"/>
      <c r="AA212" s="234"/>
      <c r="AB212" s="231"/>
      <c r="AC212" s="231"/>
      <c r="AD212" s="232" t="s">
        <v>35</v>
      </c>
      <c r="AE212" s="231"/>
      <c r="AF212" s="231"/>
      <c r="AG212" s="231"/>
      <c r="AH212" s="231"/>
      <c r="AI212" s="231"/>
      <c r="AJ212" s="231"/>
      <c r="AK212" s="231"/>
      <c r="AL212" s="234" t="s">
        <v>35</v>
      </c>
      <c r="AM212" s="231"/>
      <c r="AN212" s="231"/>
    </row>
    <row r="213" spans="1:40" s="9" customFormat="1" ht="15.75" x14ac:dyDescent="0.25">
      <c r="A213" s="108" t="s">
        <v>643</v>
      </c>
      <c r="B213" s="244" t="str">
        <f>IF($A213="","",VLOOKUP($A213,'[2]3-Elaboration.O'!$A:$T,MATCH(B$1,'[2]150-Modele SGO'!$1:$1,0),FALSE))</f>
        <v>06.2 Flux de facturation client</v>
      </c>
      <c r="C213" s="244">
        <f>IF($A213="","",VLOOKUP($A213,'[2]3-Elaboration.O'!$A:$T,MATCH(C$1,'[2]150-Modele SGO'!$1:$1,0),FALSE))</f>
        <v>0</v>
      </c>
      <c r="D213" s="244">
        <f>IF($A213="","",VLOOKUP($A213,'[2]3-Elaboration.O'!$A:$T,MATCH(D$1,'[2]150-Modele SGO'!$1:$1,0),FALSE))</f>
        <v>0</v>
      </c>
      <c r="E213" s="241" t="s">
        <v>70</v>
      </c>
      <c r="F213" s="241"/>
      <c r="G213" s="237"/>
      <c r="H213" s="241" t="s">
        <v>30</v>
      </c>
      <c r="I213" s="237"/>
      <c r="J213" s="237"/>
      <c r="K213" s="237"/>
      <c r="L213" s="237"/>
      <c r="M213" s="241" t="s">
        <v>30</v>
      </c>
      <c r="N213" s="237"/>
      <c r="O213" s="237"/>
      <c r="P213" s="237"/>
      <c r="Q213" s="237" t="s">
        <v>30</v>
      </c>
      <c r="R213" s="237" t="s">
        <v>24</v>
      </c>
      <c r="S213" s="231" t="s">
        <v>24</v>
      </c>
      <c r="T213" s="237" t="s">
        <v>24</v>
      </c>
      <c r="U213" s="237" t="s">
        <v>24</v>
      </c>
      <c r="V213" s="241" t="s">
        <v>30</v>
      </c>
      <c r="W213" s="237"/>
      <c r="X213" s="237"/>
      <c r="Y213" s="237"/>
      <c r="Z213" s="237"/>
      <c r="AA213" s="239"/>
      <c r="AB213" s="237"/>
      <c r="AC213" s="237"/>
      <c r="AD213" s="241" t="s">
        <v>30</v>
      </c>
      <c r="AE213" s="237"/>
      <c r="AF213" s="237"/>
      <c r="AG213" s="237"/>
      <c r="AH213" s="237"/>
      <c r="AI213" s="237"/>
      <c r="AJ213" s="237"/>
      <c r="AK213" s="237"/>
      <c r="AL213" s="239" t="s">
        <v>30</v>
      </c>
      <c r="AM213" s="237"/>
      <c r="AN213" s="237"/>
    </row>
    <row r="214" spans="1:40" s="9" customFormat="1" ht="34.35" customHeight="1" x14ac:dyDescent="0.25">
      <c r="A214" s="13" t="s">
        <v>645</v>
      </c>
      <c r="B214" s="229" t="str">
        <f>IF($A214="","",VLOOKUP($A214,'[2]3-Elaboration.O'!$A:$T,MATCH(B$1,'[2]150-Modele SGO'!$1:$1,0),FALSE))</f>
        <v>Flux facturation Client standard (Facturation fournisseur déclenche facturation client)</v>
      </c>
      <c r="C214" s="229" t="str">
        <f>IF($A214="","",VLOOKUP($A214,'[2]3-Elaboration.O'!$A:$T,MATCH(C$1,'[2]150-Modele SGO'!$1:$1,0),FALSE))</f>
        <v>Oui, flux facturation client standard; Non, flux facturation client dérogatoire</v>
      </c>
      <c r="D214" s="229" t="str">
        <f>IF($A214="","",VLOOKUP($A214,'[2]3-Elaboration.O'!$A:$T,MATCH(D$1,'[2]150-Modele SGO'!$1:$1,0),FALSE))</f>
        <v xml:space="preserve">Liste choix unique </v>
      </c>
      <c r="E214" s="230" t="s">
        <v>70</v>
      </c>
      <c r="F214" s="230"/>
      <c r="G214" s="233" t="s">
        <v>646</v>
      </c>
      <c r="H214" s="232" t="s">
        <v>51</v>
      </c>
      <c r="I214" s="231"/>
      <c r="J214" s="231"/>
      <c r="K214" s="231"/>
      <c r="L214" s="231"/>
      <c r="M214" s="232" t="s">
        <v>51</v>
      </c>
      <c r="N214" s="231"/>
      <c r="O214" s="231"/>
      <c r="P214" s="231"/>
      <c r="Q214" s="231" t="s">
        <v>51</v>
      </c>
      <c r="R214" s="231" t="s">
        <v>24</v>
      </c>
      <c r="S214" s="231" t="s">
        <v>24</v>
      </c>
      <c r="T214" s="231" t="s">
        <v>24</v>
      </c>
      <c r="U214" s="231" t="s">
        <v>24</v>
      </c>
      <c r="V214" s="232" t="s">
        <v>51</v>
      </c>
      <c r="W214" s="231"/>
      <c r="X214" s="231"/>
      <c r="Y214" s="231"/>
      <c r="Z214" s="231"/>
      <c r="AA214" s="234"/>
      <c r="AB214" s="231"/>
      <c r="AC214" s="231"/>
      <c r="AD214" s="232" t="s">
        <v>51</v>
      </c>
      <c r="AE214" s="231"/>
      <c r="AF214" s="231"/>
      <c r="AG214" s="250"/>
      <c r="AH214" s="231"/>
      <c r="AI214" s="231"/>
      <c r="AJ214" s="231"/>
      <c r="AK214" s="231"/>
      <c r="AL214" s="234" t="s">
        <v>51</v>
      </c>
      <c r="AM214" s="231"/>
      <c r="AN214" s="231"/>
    </row>
    <row r="215" spans="1:40" s="9" customFormat="1" ht="45" x14ac:dyDescent="0.25">
      <c r="A215" s="13" t="s">
        <v>649</v>
      </c>
      <c r="B215" s="229" t="str">
        <f>IF($A215="","",VLOOKUP($A215,'[2]3-Elaboration.O'!$A:$T,MATCH(B$1,'[2]150-Modele SGO'!$1:$1,0),FALSE))</f>
        <v>Si non, est-il prévu un autre élément déclencheur de la facture client et si oui, préciser lequel (ex :  le motif de commande - CF Annexe)</v>
      </c>
      <c r="C215" s="229" t="str">
        <f>IF($A215="","",VLOOKUP($A215,'[2]3-Elaboration.O'!$A:$T,MATCH(C$1,'[2]150-Modele SGO'!$1:$1,0),FALSE))</f>
        <v>Champ libre</v>
      </c>
      <c r="D215" s="229" t="str">
        <f>IF($A215="","",VLOOKUP($A215,'[2]3-Elaboration.O'!$A:$T,MATCH(D$1,'[2]150-Modele SGO'!$1:$1,0),FALSE))</f>
        <v>Texte</v>
      </c>
      <c r="E215" s="230" t="s">
        <v>70</v>
      </c>
      <c r="F215" s="230"/>
      <c r="G215" s="231"/>
      <c r="H215" s="232" t="s">
        <v>35</v>
      </c>
      <c r="I215" s="231"/>
      <c r="J215" s="231"/>
      <c r="K215" s="231"/>
      <c r="L215" s="231"/>
      <c r="M215" s="232" t="s">
        <v>35</v>
      </c>
      <c r="N215" s="231"/>
      <c r="O215" s="231"/>
      <c r="P215" s="231"/>
      <c r="Q215" s="231" t="s">
        <v>35</v>
      </c>
      <c r="R215" s="231" t="s">
        <v>24</v>
      </c>
      <c r="S215" s="231" t="s">
        <v>24</v>
      </c>
      <c r="T215" s="231" t="s">
        <v>24</v>
      </c>
      <c r="U215" s="231" t="s">
        <v>24</v>
      </c>
      <c r="V215" s="232" t="s">
        <v>35</v>
      </c>
      <c r="W215" s="231"/>
      <c r="X215" s="231"/>
      <c r="Y215" s="231"/>
      <c r="Z215" s="231"/>
      <c r="AA215" s="234"/>
      <c r="AB215" s="231"/>
      <c r="AC215" s="231"/>
      <c r="AD215" s="232" t="s">
        <v>35</v>
      </c>
      <c r="AE215" s="231"/>
      <c r="AF215" s="231"/>
      <c r="AG215" s="231"/>
      <c r="AH215" s="231"/>
      <c r="AI215" s="231"/>
      <c r="AJ215" s="231"/>
      <c r="AK215" s="231"/>
      <c r="AL215" s="234" t="s">
        <v>35</v>
      </c>
      <c r="AM215" s="231"/>
      <c r="AN215" s="231"/>
    </row>
    <row r="216" spans="1:40" s="9" customFormat="1" ht="30" x14ac:dyDescent="0.25">
      <c r="A216" s="276" t="s">
        <v>651</v>
      </c>
      <c r="B216" s="229" t="str">
        <f>IF($A216="","",VLOOKUP($A216,'[2]3-Elaboration.O'!$A:$T,MATCH(B$1,'[2]150-Modele SGO'!$1:$1,0),FALSE))</f>
        <v>Si non, s'agit-il d'une commande à échéance ?</v>
      </c>
      <c r="C216" s="229" t="str">
        <f>IF($A216="","",VLOOKUP($A216,'[2]3-Elaboration.O'!$A:$T,MATCH(C$1,'[2]150-Modele SGO'!$1:$1,0),FALSE))</f>
        <v>Oui, il s'agit d'une commande à échéance;Non, il ne s'agit pas d'une commande à échéance</v>
      </c>
      <c r="D216" s="229" t="str">
        <f>IF($A216="","",VLOOKUP($A216,'[2]3-Elaboration.O'!$A:$T,MATCH(D$1,'[2]150-Modele SGO'!$1:$1,0),FALSE))</f>
        <v xml:space="preserve">Liste choix unique </v>
      </c>
      <c r="E216" s="230" t="s">
        <v>70</v>
      </c>
      <c r="F216" s="230"/>
      <c r="G216" s="231"/>
      <c r="H216" s="232" t="s">
        <v>35</v>
      </c>
      <c r="I216" s="231"/>
      <c r="J216" s="231"/>
      <c r="K216" s="231"/>
      <c r="L216" s="231"/>
      <c r="M216" s="232" t="s">
        <v>35</v>
      </c>
      <c r="N216" s="231"/>
      <c r="O216" s="231"/>
      <c r="P216" s="231"/>
      <c r="Q216" s="231" t="s">
        <v>35</v>
      </c>
      <c r="R216" s="231" t="s">
        <v>24</v>
      </c>
      <c r="S216" s="231"/>
      <c r="T216" s="231" t="s">
        <v>24</v>
      </c>
      <c r="U216" s="231" t="s">
        <v>24</v>
      </c>
      <c r="V216" s="232" t="s">
        <v>35</v>
      </c>
      <c r="W216" s="231"/>
      <c r="X216" s="231"/>
      <c r="Y216" s="231"/>
      <c r="Z216" s="231"/>
      <c r="AA216" s="234"/>
      <c r="AB216" s="231"/>
      <c r="AC216" s="231"/>
      <c r="AD216" s="232" t="s">
        <v>35</v>
      </c>
      <c r="AE216" s="231"/>
      <c r="AF216" s="231"/>
      <c r="AG216" s="231"/>
      <c r="AH216" s="231"/>
      <c r="AI216" s="231"/>
      <c r="AJ216" s="231"/>
      <c r="AK216" s="231"/>
      <c r="AL216" s="234" t="s">
        <v>35</v>
      </c>
      <c r="AM216" s="231"/>
      <c r="AN216" s="231"/>
    </row>
    <row r="217" spans="1:40" s="9" customFormat="1" ht="53.25" customHeight="1" x14ac:dyDescent="0.25">
      <c r="A217" s="276" t="s">
        <v>654</v>
      </c>
      <c r="B217" s="229" t="str">
        <f>IF($A217="","",VLOOKUP($A217,'[2]3-Elaboration.O'!$A:$T,MATCH(B$1,'[2]150-Modele SGO'!$1:$1,0),FALSE))</f>
        <v>Si oui, quel est le terme applicable</v>
      </c>
      <c r="C217" s="229" t="str">
        <f>IF($A217="","",VLOOKUP($A217,'[2]3-Elaboration.O'!$A:$T,MATCH(C$1,'[2]150-Modele SGO'!$1:$1,0),FALSE))</f>
        <v>Terme échoir;Terme échu;Multi terme (échu et échoir)</v>
      </c>
      <c r="D217" s="229" t="str">
        <f>IF($A217="","",VLOOKUP($A217,'[2]3-Elaboration.O'!$A:$T,MATCH(D$1,'[2]150-Modele SGO'!$1:$1,0),FALSE))</f>
        <v>Liste choix multiple</v>
      </c>
      <c r="E217" s="230" t="s">
        <v>70</v>
      </c>
      <c r="F217" s="230"/>
      <c r="G217" s="231"/>
      <c r="H217" s="232" t="s">
        <v>19</v>
      </c>
      <c r="I217" s="233" t="s">
        <v>655</v>
      </c>
      <c r="J217" s="231"/>
      <c r="K217" s="231"/>
      <c r="L217" s="231"/>
      <c r="M217" s="232" t="s">
        <v>26</v>
      </c>
      <c r="N217" s="231"/>
      <c r="O217" s="233" t="s">
        <v>1636</v>
      </c>
      <c r="P217" s="233" t="s">
        <v>35</v>
      </c>
      <c r="Q217" s="231" t="s">
        <v>35</v>
      </c>
      <c r="R217" s="231" t="s">
        <v>24</v>
      </c>
      <c r="S217" s="231" t="s">
        <v>1637</v>
      </c>
      <c r="T217" s="231" t="s">
        <v>24</v>
      </c>
      <c r="U217" s="231" t="s">
        <v>24</v>
      </c>
      <c r="V217" s="232" t="s">
        <v>26</v>
      </c>
      <c r="W217" s="231"/>
      <c r="X217" s="233" t="s">
        <v>1636</v>
      </c>
      <c r="Y217" s="233" t="s">
        <v>655</v>
      </c>
      <c r="Z217" s="233" t="s">
        <v>1636</v>
      </c>
      <c r="AA217" s="233" t="s">
        <v>655</v>
      </c>
      <c r="AB217" s="233" t="s">
        <v>655</v>
      </c>
      <c r="AC217" s="233" t="s">
        <v>655</v>
      </c>
      <c r="AD217" s="248" t="s">
        <v>26</v>
      </c>
      <c r="AE217" s="231"/>
      <c r="AF217" s="233" t="s">
        <v>657</v>
      </c>
      <c r="AG217" s="233" t="s">
        <v>657</v>
      </c>
      <c r="AH217" s="233" t="s">
        <v>657</v>
      </c>
      <c r="AI217" s="233" t="s">
        <v>657</v>
      </c>
      <c r="AJ217" s="233" t="s">
        <v>657</v>
      </c>
      <c r="AK217" s="233" t="s">
        <v>657</v>
      </c>
      <c r="AL217" s="235" t="s">
        <v>35</v>
      </c>
      <c r="AM217" s="231"/>
      <c r="AN217" s="231"/>
    </row>
    <row r="218" spans="1:40" s="9" customFormat="1" ht="53.25" customHeight="1" x14ac:dyDescent="0.25">
      <c r="A218" s="276" t="s">
        <v>658</v>
      </c>
      <c r="B218" s="229" t="str">
        <f>IF($A218="","",VLOOKUP($A218,'[2]3-Elaboration.O'!$A:$T,MATCH(B$1,'[2]150-Modele SGO'!$1:$1,0),FALSE))</f>
        <v>tototototo</v>
      </c>
      <c r="C218" s="229">
        <f>IF($A218="","",VLOOKUP($A218,'[2]3-Elaboration.O'!$A:$T,MATCH(C$1,'[2]150-Modele SGO'!$1:$1,0),FALSE))</f>
        <v>0</v>
      </c>
      <c r="D218" s="229" t="str">
        <f>IF($A218="","",VLOOKUP($A218,'[2]3-Elaboration.O'!$A:$T,MATCH(D$1,'[2]150-Modele SGO'!$1:$1,0),FALSE))</f>
        <v>Texte</v>
      </c>
      <c r="E218" s="230"/>
      <c r="F218" s="230"/>
      <c r="G218" s="231"/>
      <c r="H218" s="248" t="s">
        <v>35</v>
      </c>
      <c r="I218" s="231" t="s">
        <v>1638</v>
      </c>
      <c r="J218" s="231" t="s">
        <v>1638</v>
      </c>
      <c r="K218" s="231" t="s">
        <v>1638</v>
      </c>
      <c r="L218" s="231" t="s">
        <v>1638</v>
      </c>
      <c r="M218" s="248" t="s">
        <v>35</v>
      </c>
      <c r="N218" s="231"/>
      <c r="O218" s="231" t="s">
        <v>1639</v>
      </c>
      <c r="P218" s="231" t="s">
        <v>35</v>
      </c>
      <c r="Q218" s="231" t="s">
        <v>35</v>
      </c>
      <c r="R218" s="231" t="s">
        <v>24</v>
      </c>
      <c r="S218" s="231" t="s">
        <v>1636</v>
      </c>
      <c r="T218" s="231" t="s">
        <v>24</v>
      </c>
      <c r="U218" s="231" t="s">
        <v>24</v>
      </c>
      <c r="V218" s="232" t="s">
        <v>26</v>
      </c>
      <c r="W218" s="231"/>
      <c r="X218" s="233" t="s">
        <v>659</v>
      </c>
      <c r="Y218" s="233" t="s">
        <v>1629</v>
      </c>
      <c r="Z218" s="233" t="s">
        <v>659</v>
      </c>
      <c r="AA218" s="233" t="s">
        <v>659</v>
      </c>
      <c r="AB218" s="233" t="s">
        <v>659</v>
      </c>
      <c r="AC218" s="245" t="s">
        <v>1640</v>
      </c>
      <c r="AD218" s="248" t="s">
        <v>26</v>
      </c>
      <c r="AE218" s="231" t="s">
        <v>1641</v>
      </c>
      <c r="AF218" s="233"/>
      <c r="AG218" s="233"/>
      <c r="AH218" s="233"/>
      <c r="AI218" s="233"/>
      <c r="AJ218" s="233"/>
      <c r="AK218" s="233"/>
      <c r="AL218" s="235" t="s">
        <v>35</v>
      </c>
      <c r="AM218" s="231"/>
      <c r="AN218" s="231"/>
    </row>
    <row r="219" spans="1:40" s="9" customFormat="1" ht="69.75" customHeight="1" x14ac:dyDescent="0.25">
      <c r="A219" s="276" t="s">
        <v>661</v>
      </c>
      <c r="B219" s="229" t="str">
        <f>IF($A219="","",VLOOKUP($A219,'[2]3-Elaboration.O'!$A:$T,MATCH(B$1,'[2]150-Modele SGO'!$1:$1,0),FALSE))</f>
        <v>Si oui, préciser la périodicité applicable</v>
      </c>
      <c r="C219" s="229" t="str">
        <f>IF($A219="","",VLOOKUP($A219,'[2]3-Elaboration.O'!$A:$T,MATCH(C$1,'[2]150-Modele SGO'!$1:$1,0),FALSE))</f>
        <v>Mensuelle; trimestrielle; semestrielle, annuelle</v>
      </c>
      <c r="D219" s="229" t="str">
        <f>IF($A219="","",VLOOKUP($A219,'[2]3-Elaboration.O'!$A:$T,MATCH(D$1,'[2]150-Modele SGO'!$1:$1,0),FALSE))</f>
        <v>Liste choix multiple</v>
      </c>
      <c r="E219" s="230"/>
      <c r="F219" s="230"/>
      <c r="G219" s="231"/>
      <c r="H219" s="248" t="s">
        <v>35</v>
      </c>
      <c r="I219" s="231"/>
      <c r="J219" s="231"/>
      <c r="K219" s="231"/>
      <c r="L219" s="231"/>
      <c r="M219" s="248" t="s">
        <v>35</v>
      </c>
      <c r="N219" s="231"/>
      <c r="O219" s="231"/>
      <c r="P219" s="231"/>
      <c r="Q219" s="231" t="s">
        <v>35</v>
      </c>
      <c r="R219" s="231" t="s">
        <v>24</v>
      </c>
      <c r="S219" s="231" t="s">
        <v>1636</v>
      </c>
      <c r="T219" s="231" t="s">
        <v>24</v>
      </c>
      <c r="U219" s="231" t="s">
        <v>24</v>
      </c>
      <c r="V219" s="232" t="s">
        <v>26</v>
      </c>
      <c r="W219" s="231"/>
      <c r="X219" s="233" t="s">
        <v>659</v>
      </c>
      <c r="Y219" s="233" t="s">
        <v>1629</v>
      </c>
      <c r="Z219" s="233" t="s">
        <v>659</v>
      </c>
      <c r="AA219" s="233" t="s">
        <v>659</v>
      </c>
      <c r="AB219" s="233" t="s">
        <v>659</v>
      </c>
      <c r="AC219" s="245" t="s">
        <v>1640</v>
      </c>
      <c r="AD219" s="248" t="s">
        <v>26</v>
      </c>
      <c r="AE219" s="231"/>
      <c r="AF219" s="233" t="s">
        <v>1630</v>
      </c>
      <c r="AG219" s="233" t="s">
        <v>1630</v>
      </c>
      <c r="AH219" s="233" t="s">
        <v>1630</v>
      </c>
      <c r="AI219" s="233" t="s">
        <v>1630</v>
      </c>
      <c r="AJ219" s="233" t="s">
        <v>1630</v>
      </c>
      <c r="AK219" s="233" t="s">
        <v>1630</v>
      </c>
      <c r="AL219" s="235" t="s">
        <v>35</v>
      </c>
      <c r="AM219" s="231"/>
      <c r="AN219" s="231"/>
    </row>
    <row r="220" spans="1:40" s="9" customFormat="1" ht="15.75" x14ac:dyDescent="0.25">
      <c r="A220" s="108" t="s">
        <v>664</v>
      </c>
      <c r="B220" s="244" t="str">
        <f>IF($A220="","",VLOOKUP($A220,'[2]3-Elaboration.O'!$A:$T,MATCH(B$1,'[2]150-Modele SGO'!$1:$1,0),FALSE))</f>
        <v>06.3 Flux de facturation fournisseur</v>
      </c>
      <c r="C220" s="244">
        <f>IF($A220="","",VLOOKUP($A220,'[2]3-Elaboration.O'!$A:$T,MATCH(C$1,'[2]150-Modele SGO'!$1:$1,0),FALSE))</f>
        <v>0</v>
      </c>
      <c r="D220" s="244">
        <f>IF($A220="","",VLOOKUP($A220,'[2]3-Elaboration.O'!$A:$T,MATCH(D$1,'[2]150-Modele SGO'!$1:$1,0),FALSE))</f>
        <v>0</v>
      </c>
      <c r="E220" s="241" t="s">
        <v>70</v>
      </c>
      <c r="F220" s="241"/>
      <c r="G220" s="237"/>
      <c r="H220" s="241" t="s">
        <v>30</v>
      </c>
      <c r="I220" s="237"/>
      <c r="J220" s="237"/>
      <c r="K220" s="237"/>
      <c r="L220" s="237"/>
      <c r="M220" s="241" t="s">
        <v>30</v>
      </c>
      <c r="N220" s="237"/>
      <c r="O220" s="237"/>
      <c r="P220" s="237"/>
      <c r="Q220" s="237" t="s">
        <v>30</v>
      </c>
      <c r="R220" s="237" t="s">
        <v>24</v>
      </c>
      <c r="S220" s="231" t="s">
        <v>1629</v>
      </c>
      <c r="T220" s="237" t="s">
        <v>24</v>
      </c>
      <c r="U220" s="237" t="s">
        <v>24</v>
      </c>
      <c r="V220" s="241" t="s">
        <v>30</v>
      </c>
      <c r="W220" s="237"/>
      <c r="X220" s="237"/>
      <c r="Y220" s="237"/>
      <c r="Z220" s="237"/>
      <c r="AA220" s="239"/>
      <c r="AB220" s="237"/>
      <c r="AC220" s="237"/>
      <c r="AD220" s="241" t="s">
        <v>30</v>
      </c>
      <c r="AE220" s="277"/>
      <c r="AF220" s="277"/>
      <c r="AG220" s="277"/>
      <c r="AH220" s="277"/>
      <c r="AI220" s="277"/>
      <c r="AJ220" s="277"/>
      <c r="AK220" s="277"/>
      <c r="AL220" s="278" t="s">
        <v>30</v>
      </c>
      <c r="AM220" s="277"/>
      <c r="AN220" s="277"/>
    </row>
    <row r="221" spans="1:40" s="9" customFormat="1" ht="30" x14ac:dyDescent="0.25">
      <c r="A221" s="13" t="s">
        <v>666</v>
      </c>
      <c r="B221" s="229" t="str">
        <f>IF($A221="","",VLOOKUP($A221,'[2]3-Elaboration.O'!$A:$T,MATCH(B$1,'[2]150-Modele SGO'!$1:$1,0),FALSE))</f>
        <v>Le flux de facturation fournisseur correspond au standard (commande d'achat = facture) ?</v>
      </c>
      <c r="C221" s="229" t="str">
        <f>IF($A221="","",VLOOKUP($A221,'[2]3-Elaboration.O'!$A:$T,MATCH(C$1,'[2]150-Modele SGO'!$1:$1,0),FALSE))</f>
        <v>Oui, flux facturation fournisseur standard; Non, flux facturation fournisseur dérogatoire</v>
      </c>
      <c r="D221" s="229" t="str">
        <f>IF($A221="","",VLOOKUP($A221,'[2]3-Elaboration.O'!$A:$T,MATCH(D$1,'[2]150-Modele SGO'!$1:$1,0),FALSE))</f>
        <v xml:space="preserve">Liste choix unique </v>
      </c>
      <c r="E221" s="230" t="s">
        <v>70</v>
      </c>
      <c r="F221" s="230"/>
      <c r="G221" s="233" t="s">
        <v>667</v>
      </c>
      <c r="H221" s="232" t="s">
        <v>51</v>
      </c>
      <c r="I221" s="231"/>
      <c r="J221" s="231"/>
      <c r="K221" s="231"/>
      <c r="L221" s="231"/>
      <c r="M221" s="232" t="s">
        <v>51</v>
      </c>
      <c r="N221" s="231"/>
      <c r="O221" s="231"/>
      <c r="P221" s="231"/>
      <c r="Q221" s="231" t="s">
        <v>51</v>
      </c>
      <c r="R221" s="231" t="s">
        <v>24</v>
      </c>
      <c r="S221" s="231" t="s">
        <v>24</v>
      </c>
      <c r="T221" s="231" t="s">
        <v>24</v>
      </c>
      <c r="U221" s="231" t="s">
        <v>24</v>
      </c>
      <c r="V221" s="232" t="s">
        <v>51</v>
      </c>
      <c r="W221" s="231"/>
      <c r="X221" s="231"/>
      <c r="Y221" s="231"/>
      <c r="Z221" s="231"/>
      <c r="AA221" s="234"/>
      <c r="AB221" s="231"/>
      <c r="AC221" s="231"/>
      <c r="AD221" s="232" t="s">
        <v>51</v>
      </c>
      <c r="AE221" s="237"/>
      <c r="AF221" s="237"/>
      <c r="AG221" s="252"/>
      <c r="AH221" s="237"/>
      <c r="AI221" s="237"/>
      <c r="AJ221" s="237"/>
      <c r="AK221" s="237"/>
      <c r="AL221" s="239" t="s">
        <v>51</v>
      </c>
      <c r="AM221" s="237"/>
      <c r="AN221" s="237"/>
    </row>
    <row r="222" spans="1:40" s="9" customFormat="1" ht="45" x14ac:dyDescent="0.25">
      <c r="A222" s="13" t="s">
        <v>670</v>
      </c>
      <c r="B222" s="229" t="str">
        <f>IF($A222="","",VLOOKUP($A222,'[2]3-Elaboration.O'!$A:$T,MATCH(B$1,'[2]150-Modele SGO'!$1:$1,0),FALSE))</f>
        <v>Si non, justifier et présenter le schéma de facturation dérogatoire (ex : une commande = plusieurs factures)</v>
      </c>
      <c r="C222" s="229" t="str">
        <f>IF($A222="","",VLOOKUP($A222,'[2]3-Elaboration.O'!$A:$T,MATCH(C$1,'[2]150-Modele SGO'!$1:$1,0),FALSE))</f>
        <v>Champ libre</v>
      </c>
      <c r="D222" s="229" t="str">
        <f>IF($A222="","",VLOOKUP($A222,'[2]3-Elaboration.O'!$A:$T,MATCH(D$1,'[2]150-Modele SGO'!$1:$1,0),FALSE))</f>
        <v>Texte</v>
      </c>
      <c r="E222" s="230" t="s">
        <v>70</v>
      </c>
      <c r="F222" s="230"/>
      <c r="G222" s="231"/>
      <c r="H222" s="232" t="s">
        <v>35</v>
      </c>
      <c r="I222" s="231"/>
      <c r="J222" s="231"/>
      <c r="K222" s="231"/>
      <c r="L222" s="231"/>
      <c r="M222" s="232" t="s">
        <v>35</v>
      </c>
      <c r="N222" s="231"/>
      <c r="O222" s="231"/>
      <c r="P222" s="231"/>
      <c r="Q222" s="231" t="s">
        <v>35</v>
      </c>
      <c r="R222" s="231" t="s">
        <v>24</v>
      </c>
      <c r="S222" s="231" t="s">
        <v>24</v>
      </c>
      <c r="T222" s="231" t="s">
        <v>24</v>
      </c>
      <c r="U222" s="231" t="s">
        <v>24</v>
      </c>
      <c r="V222" s="232" t="s">
        <v>35</v>
      </c>
      <c r="W222" s="231"/>
      <c r="X222" s="231"/>
      <c r="Y222" s="231"/>
      <c r="Z222" s="231"/>
      <c r="AA222" s="234"/>
      <c r="AB222" s="231"/>
      <c r="AC222" s="231"/>
      <c r="AD222" s="232" t="s">
        <v>35</v>
      </c>
      <c r="AE222" s="231"/>
      <c r="AF222" s="231"/>
      <c r="AG222" s="231"/>
      <c r="AH222" s="231"/>
      <c r="AI222" s="231"/>
      <c r="AJ222" s="231"/>
      <c r="AK222" s="231"/>
      <c r="AL222" s="234" t="s">
        <v>35</v>
      </c>
      <c r="AM222" s="231"/>
      <c r="AN222" s="231"/>
    </row>
    <row r="223" spans="1:40" s="9" customFormat="1" ht="75" x14ac:dyDescent="0.25">
      <c r="A223" s="13" t="s">
        <v>672</v>
      </c>
      <c r="B223" s="229" t="str">
        <f>IF($A223="","",VLOOKUP($A223,'[2]3-Elaboration.O'!$A:$T,MATCH(B$1,'[2]150-Modele SGO'!$1:$1,0),FALSE))</f>
        <v>Facturation dépendante d'un échéancier ?</v>
      </c>
      <c r="C223" s="229" t="str">
        <f>IF($A223="","",VLOOKUP($A223,'[2]3-Elaboration.O'!$A:$T,MATCH(C$1,'[2]150-Modele SGO'!$1:$1,0),FALSE))</f>
        <v>Oui, Facturation dépendante d'un échéancier;Oui, Facturation dépendante d'un échéancier sauf pour les prestations de maintenance;Non, Facturation indépendante d'un échéancier</v>
      </c>
      <c r="D223" s="229" t="str">
        <f>IF($A223="","",VLOOKUP($A223,'[2]3-Elaboration.O'!$A:$T,MATCH(D$1,'[2]150-Modele SGO'!$1:$1,0),FALSE))</f>
        <v xml:space="preserve">Liste choix unique </v>
      </c>
      <c r="E223" s="230" t="s">
        <v>70</v>
      </c>
      <c r="F223" s="230" t="s">
        <v>44</v>
      </c>
      <c r="G223" s="231"/>
      <c r="H223" s="232" t="s">
        <v>19</v>
      </c>
      <c r="I223" s="235" t="s">
        <v>673</v>
      </c>
      <c r="J223" s="231"/>
      <c r="K223" s="231"/>
      <c r="L223" s="231"/>
      <c r="M223" s="232" t="s">
        <v>26</v>
      </c>
      <c r="N223" s="231"/>
      <c r="O223" s="235" t="s">
        <v>673</v>
      </c>
      <c r="P223" s="233" t="s">
        <v>35</v>
      </c>
      <c r="Q223" s="233" t="s">
        <v>26</v>
      </c>
      <c r="R223" s="231" t="s">
        <v>24</v>
      </c>
      <c r="S223" s="233" t="s">
        <v>1642</v>
      </c>
      <c r="T223" s="233" t="s">
        <v>673</v>
      </c>
      <c r="U223" s="233" t="s">
        <v>673</v>
      </c>
      <c r="V223" s="232" t="s">
        <v>26</v>
      </c>
      <c r="W223" s="231"/>
      <c r="X223" s="233" t="s">
        <v>1642</v>
      </c>
      <c r="Y223" s="233" t="s">
        <v>1642</v>
      </c>
      <c r="Z223" s="235" t="s">
        <v>673</v>
      </c>
      <c r="AA223" s="235" t="s">
        <v>673</v>
      </c>
      <c r="AB223" s="233" t="s">
        <v>1642</v>
      </c>
      <c r="AC223" s="233" t="s">
        <v>1642</v>
      </c>
      <c r="AD223" s="232" t="s">
        <v>26</v>
      </c>
      <c r="AE223" s="231"/>
      <c r="AF223" s="233" t="s">
        <v>1643</v>
      </c>
      <c r="AG223" s="233" t="s">
        <v>1643</v>
      </c>
      <c r="AH223" s="233" t="s">
        <v>1643</v>
      </c>
      <c r="AI223" s="233" t="s">
        <v>1643</v>
      </c>
      <c r="AJ223" s="233" t="s">
        <v>673</v>
      </c>
      <c r="AK223" s="233" t="s">
        <v>673</v>
      </c>
      <c r="AL223" s="235" t="s">
        <v>35</v>
      </c>
      <c r="AM223" s="231"/>
      <c r="AN223" s="231"/>
    </row>
    <row r="224" spans="1:40" s="9" customFormat="1" ht="45" x14ac:dyDescent="0.25">
      <c r="A224" s="13" t="s">
        <v>676</v>
      </c>
      <c r="B224" s="229" t="str">
        <f>IF($A224="","",VLOOKUP($A224,'[2]3-Elaboration.O'!$A:$T,MATCH(B$1,'[2]150-Modele SGO'!$1:$1,0),FALSE))</f>
        <v xml:space="preserve">S'agit-il d'une commande à échéance ? </v>
      </c>
      <c r="C224" s="229" t="str">
        <f>IF($A224="","",VLOOKUP($A224,'[2]3-Elaboration.O'!$A:$T,MATCH(C$1,'[2]150-Modele SGO'!$1:$1,0),FALSE))</f>
        <v>Oui, Commande à échéance sauf pour les prestations de maintenance; Non, absence de commande à échéance; Oui, commande à échéance</v>
      </c>
      <c r="D224" s="229" t="str">
        <f>IF($A224="","",VLOOKUP($A224,'[2]3-Elaboration.O'!$A:$T,MATCH(D$1,'[2]150-Modele SGO'!$1:$1,0),FALSE))</f>
        <v xml:space="preserve">Liste choix unique </v>
      </c>
      <c r="E224" s="230" t="s">
        <v>70</v>
      </c>
      <c r="F224" s="230" t="s">
        <v>44</v>
      </c>
      <c r="G224" s="231"/>
      <c r="H224" s="232" t="s">
        <v>19</v>
      </c>
      <c r="I224" s="233" t="s">
        <v>1644</v>
      </c>
      <c r="J224" s="231"/>
      <c r="K224" s="231"/>
      <c r="L224" s="231"/>
      <c r="M224" s="232" t="s">
        <v>26</v>
      </c>
      <c r="N224" s="231"/>
      <c r="O224" s="233" t="s">
        <v>1644</v>
      </c>
      <c r="P224" s="233" t="s">
        <v>35</v>
      </c>
      <c r="Q224" s="233" t="s">
        <v>26</v>
      </c>
      <c r="R224" s="231" t="s">
        <v>24</v>
      </c>
      <c r="S224" s="233" t="s">
        <v>1642</v>
      </c>
      <c r="T224" s="233" t="s">
        <v>1644</v>
      </c>
      <c r="U224" s="233" t="s">
        <v>1644</v>
      </c>
      <c r="V224" s="232" t="s">
        <v>26</v>
      </c>
      <c r="W224" s="231"/>
      <c r="X224" s="233" t="s">
        <v>677</v>
      </c>
      <c r="Y224" s="233" t="s">
        <v>677</v>
      </c>
      <c r="Z224" s="233" t="s">
        <v>1644</v>
      </c>
      <c r="AA224" s="235" t="s">
        <v>677</v>
      </c>
      <c r="AB224" s="233" t="s">
        <v>677</v>
      </c>
      <c r="AC224" s="233" t="s">
        <v>677</v>
      </c>
      <c r="AD224" s="232" t="s">
        <v>26</v>
      </c>
      <c r="AE224" s="231"/>
      <c r="AF224" s="233" t="s">
        <v>46</v>
      </c>
      <c r="AG224" s="233" t="s">
        <v>677</v>
      </c>
      <c r="AH224" s="233" t="s">
        <v>46</v>
      </c>
      <c r="AI224" s="233" t="s">
        <v>46</v>
      </c>
      <c r="AJ224" s="233" t="s">
        <v>46</v>
      </c>
      <c r="AK224" s="233" t="s">
        <v>46</v>
      </c>
      <c r="AL224" s="235" t="s">
        <v>35</v>
      </c>
      <c r="AM224" s="231"/>
      <c r="AN224" s="231"/>
    </row>
    <row r="225" spans="1:40" s="9" customFormat="1" ht="30" x14ac:dyDescent="0.25">
      <c r="A225" s="13" t="s">
        <v>680</v>
      </c>
      <c r="B225" s="229" t="str">
        <f>IF($A225="","",VLOOKUP($A225,'[2]3-Elaboration.O'!$A:$T,MATCH(B$1,'[2]150-Modele SGO'!$1:$1,0),FALSE))</f>
        <v>Si oui, en préciser le type d'échéance</v>
      </c>
      <c r="C225" s="229" t="str">
        <f>IF($A225="","",VLOOKUP($A225,'[2]3-Elaboration.O'!$A:$T,MATCH(C$1,'[2]150-Modele SGO'!$1:$1,0),FALSE))</f>
        <v>Mono échéance; Multi échéance; Mixte (Mono et Multi échéance)</v>
      </c>
      <c r="D225" s="229" t="str">
        <f>IF($A225="","",VLOOKUP($A225,'[2]3-Elaboration.O'!$A:$T,MATCH(D$1,'[2]150-Modele SGO'!$1:$1,0),FALSE))</f>
        <v xml:space="preserve">Liste choix unique </v>
      </c>
      <c r="E225" s="230" t="s">
        <v>70</v>
      </c>
      <c r="F225" s="230"/>
      <c r="G225" s="231"/>
      <c r="H225" s="232" t="s">
        <v>19</v>
      </c>
      <c r="I225" s="233" t="s">
        <v>46</v>
      </c>
      <c r="J225" s="231"/>
      <c r="K225" s="231"/>
      <c r="L225" s="231"/>
      <c r="M225" s="232" t="s">
        <v>26</v>
      </c>
      <c r="N225" s="231"/>
      <c r="O225" s="233" t="s">
        <v>46</v>
      </c>
      <c r="P225" s="233" t="s">
        <v>35</v>
      </c>
      <c r="Q225" s="231" t="s">
        <v>35</v>
      </c>
      <c r="R225" s="231" t="s">
        <v>24</v>
      </c>
      <c r="S225" s="231"/>
      <c r="T225" s="231" t="s">
        <v>24</v>
      </c>
      <c r="U225" s="231" t="s">
        <v>24</v>
      </c>
      <c r="V225" s="235" t="s">
        <v>35</v>
      </c>
      <c r="W225" s="231"/>
      <c r="X225" s="231"/>
      <c r="Y225" s="231"/>
      <c r="Z225" s="231"/>
      <c r="AA225" s="234"/>
      <c r="AB225" s="231"/>
      <c r="AC225" s="231"/>
      <c r="AD225" s="232" t="s">
        <v>35</v>
      </c>
      <c r="AE225" s="231"/>
      <c r="AF225" s="231"/>
      <c r="AG225" s="231"/>
      <c r="AH225" s="231"/>
      <c r="AI225" s="231"/>
      <c r="AJ225" s="231"/>
      <c r="AK225" s="231"/>
      <c r="AL225" s="235" t="s">
        <v>35</v>
      </c>
      <c r="AM225" s="231"/>
      <c r="AN225" s="231"/>
    </row>
    <row r="226" spans="1:40" s="9" customFormat="1" ht="15.75" x14ac:dyDescent="0.25">
      <c r="A226" s="13" t="s">
        <v>682</v>
      </c>
      <c r="B226" s="229" t="str">
        <f>IF($A226="","",VLOOKUP($A226,'[2]3-Elaboration.O'!$A:$T,MATCH(B$1,'[2]150-Modele SGO'!$1:$1,0),FALSE))</f>
        <v>Si mono échéance, en préciser le terme applicable</v>
      </c>
      <c r="C226" s="229" t="str">
        <f>IF($A226="","",VLOOKUP($A226,'[2]3-Elaboration.O'!$A:$T,MATCH(C$1,'[2]150-Modele SGO'!$1:$1,0),FALSE))</f>
        <v>Terme échoir ; Terme échu ; Multi terme (échu et échoir)</v>
      </c>
      <c r="D226" s="229" t="str">
        <f>IF($A226="","",VLOOKUP($A226,'[2]3-Elaboration.O'!$A:$T,MATCH(D$1,'[2]150-Modele SGO'!$1:$1,0),FALSE))</f>
        <v xml:space="preserve">Liste choix unique </v>
      </c>
      <c r="E226" s="230" t="s">
        <v>70</v>
      </c>
      <c r="F226" s="230"/>
      <c r="G226" s="231"/>
      <c r="H226" s="232" t="s">
        <v>35</v>
      </c>
      <c r="I226" s="231"/>
      <c r="J226" s="231"/>
      <c r="K226" s="231"/>
      <c r="L226" s="231"/>
      <c r="M226" s="232" t="s">
        <v>35</v>
      </c>
      <c r="N226" s="231"/>
      <c r="O226" s="231"/>
      <c r="P226" s="231"/>
      <c r="Q226" s="231" t="s">
        <v>35</v>
      </c>
      <c r="R226" s="231" t="s">
        <v>24</v>
      </c>
      <c r="S226" s="231" t="s">
        <v>24</v>
      </c>
      <c r="T226" s="231" t="s">
        <v>24</v>
      </c>
      <c r="U226" s="231" t="s">
        <v>24</v>
      </c>
      <c r="V226" s="232" t="s">
        <v>35</v>
      </c>
      <c r="W226" s="231"/>
      <c r="X226" s="231"/>
      <c r="Y226" s="231"/>
      <c r="Z226" s="231"/>
      <c r="AA226" s="234"/>
      <c r="AB226" s="231"/>
      <c r="AC226" s="231"/>
      <c r="AD226" s="232" t="s">
        <v>35</v>
      </c>
      <c r="AE226" s="231"/>
      <c r="AF226" s="231"/>
      <c r="AG226" s="231"/>
      <c r="AH226" s="231"/>
      <c r="AI226" s="231"/>
      <c r="AJ226" s="231"/>
      <c r="AK226" s="231"/>
      <c r="AL226" s="234" t="s">
        <v>35</v>
      </c>
      <c r="AM226" s="231"/>
      <c r="AN226" s="231"/>
    </row>
    <row r="227" spans="1:40" s="9" customFormat="1" ht="30" x14ac:dyDescent="0.25">
      <c r="A227" s="13" t="s">
        <v>685</v>
      </c>
      <c r="B227" s="229" t="str">
        <f>IF($A227="","",VLOOKUP($A227,'[2]3-Elaboration.O'!$A:$T,MATCH(B$1,'[2]150-Modele SGO'!$1:$1,0),FALSE))</f>
        <v>Si mono échéance, préciser la périodicité applicable</v>
      </c>
      <c r="C227" s="229" t="str">
        <f>IF($A227="","",VLOOKUP($A227,'[2]3-Elaboration.O'!$A:$T,MATCH(C$1,'[2]150-Modele SGO'!$1:$1,0),FALSE))</f>
        <v>Mensuelle; trimestrielle; semestrielle, annuelle</v>
      </c>
      <c r="D227" s="229" t="str">
        <f>IF($A227="","",VLOOKUP($A227,'[2]3-Elaboration.O'!$A:$T,MATCH(D$1,'[2]150-Modele SGO'!$1:$1,0),FALSE))</f>
        <v>Liste choix unique</v>
      </c>
      <c r="E227" s="230"/>
      <c r="F227" s="230"/>
      <c r="G227" s="231"/>
      <c r="H227" s="232" t="s">
        <v>35</v>
      </c>
      <c r="I227" s="231"/>
      <c r="J227" s="231"/>
      <c r="K227" s="231"/>
      <c r="L227" s="231"/>
      <c r="M227" s="232" t="s">
        <v>35</v>
      </c>
      <c r="N227" s="231"/>
      <c r="O227" s="231"/>
      <c r="P227" s="231"/>
      <c r="Q227" s="231" t="s">
        <v>35</v>
      </c>
      <c r="R227" s="231" t="s">
        <v>24</v>
      </c>
      <c r="S227" s="231" t="s">
        <v>1645</v>
      </c>
      <c r="T227" s="231" t="s">
        <v>24</v>
      </c>
      <c r="U227" s="231" t="s">
        <v>24</v>
      </c>
      <c r="V227" s="232" t="s">
        <v>35</v>
      </c>
      <c r="W227" s="231"/>
      <c r="X227" s="231"/>
      <c r="Y227" s="231"/>
      <c r="Z227" s="231"/>
      <c r="AA227" s="234"/>
      <c r="AB227" s="231"/>
      <c r="AC227" s="231"/>
      <c r="AD227" s="232" t="s">
        <v>35</v>
      </c>
      <c r="AE227" s="231"/>
      <c r="AF227" s="231"/>
      <c r="AG227" s="231"/>
      <c r="AH227" s="231"/>
      <c r="AI227" s="231"/>
      <c r="AJ227" s="231"/>
      <c r="AK227" s="231"/>
      <c r="AL227" s="234" t="s">
        <v>35</v>
      </c>
      <c r="AM227" s="231"/>
      <c r="AN227" s="231"/>
    </row>
    <row r="228" spans="1:40" s="9" customFormat="1" ht="15.75" x14ac:dyDescent="0.25">
      <c r="A228" s="13" t="s">
        <v>687</v>
      </c>
      <c r="B228" s="229" t="str">
        <f>IF($A228="","",VLOOKUP($A228,'[2]3-Elaboration.O'!$A:$T,MATCH(B$1,'[2]150-Modele SGO'!$1:$1,0),FALSE))</f>
        <v>Si multi échéance, en préciser le terme applicable</v>
      </c>
      <c r="C228" s="229" t="str">
        <f>IF($A228="","",VLOOKUP($A228,'[2]3-Elaboration.O'!$A:$T,MATCH(C$1,'[2]150-Modele SGO'!$1:$1,0),FALSE))</f>
        <v>Terme échoir ; Terme échu ; Multi terme (échu et échoir)</v>
      </c>
      <c r="D228" s="229" t="str">
        <f>IF($A228="","",VLOOKUP($A228,'[2]3-Elaboration.O'!$A:$T,MATCH(D$1,'[2]150-Modele SGO'!$1:$1,0),FALSE))</f>
        <v xml:space="preserve">Liste choix unique </v>
      </c>
      <c r="E228" s="230" t="s">
        <v>70</v>
      </c>
      <c r="F228" s="230"/>
      <c r="G228" s="231"/>
      <c r="H228" s="232" t="s">
        <v>35</v>
      </c>
      <c r="I228" s="231"/>
      <c r="J228" s="231"/>
      <c r="K228" s="231"/>
      <c r="L228" s="231"/>
      <c r="M228" s="232" t="s">
        <v>35</v>
      </c>
      <c r="N228" s="231"/>
      <c r="O228" s="231"/>
      <c r="P228" s="231"/>
      <c r="Q228" s="231" t="s">
        <v>35</v>
      </c>
      <c r="R228" s="231" t="s">
        <v>24</v>
      </c>
      <c r="S228" s="231" t="s">
        <v>1646</v>
      </c>
      <c r="T228" s="231" t="s">
        <v>24</v>
      </c>
      <c r="U228" s="231" t="s">
        <v>24</v>
      </c>
      <c r="V228" s="232" t="s">
        <v>35</v>
      </c>
      <c r="W228" s="231"/>
      <c r="X228" s="231"/>
      <c r="Y228" s="231"/>
      <c r="Z228" s="231"/>
      <c r="AA228" s="234"/>
      <c r="AB228" s="231"/>
      <c r="AC228" s="231"/>
      <c r="AD228" s="232" t="s">
        <v>35</v>
      </c>
      <c r="AE228" s="231"/>
      <c r="AF228" s="231"/>
      <c r="AG228" s="231"/>
      <c r="AH228" s="231"/>
      <c r="AI228" s="231"/>
      <c r="AJ228" s="231"/>
      <c r="AK228" s="231"/>
      <c r="AL228" s="234" t="s">
        <v>35</v>
      </c>
      <c r="AM228" s="231"/>
      <c r="AN228" s="231"/>
    </row>
    <row r="229" spans="1:40" s="9" customFormat="1" ht="15.75" x14ac:dyDescent="0.25">
      <c r="A229" s="13" t="s">
        <v>689</v>
      </c>
      <c r="B229" s="229" t="str">
        <f>IF($A229="","",VLOOKUP($A229,'[2]3-Elaboration.O'!$A:$T,MATCH(B$1,'[2]150-Modele SGO'!$1:$1,0),FALSE))</f>
        <v>Si multi échéance, préciser la périodicité applicable</v>
      </c>
      <c r="C229" s="229" t="str">
        <f>IF($A229="","",VLOOKUP($A229,'[2]3-Elaboration.O'!$A:$T,MATCH(C$1,'[2]150-Modele SGO'!$1:$1,0),FALSE))</f>
        <v>Mensuelle; trimestrielle; semestrielle, annuelle</v>
      </c>
      <c r="D229" s="229" t="str">
        <f>IF($A229="","",VLOOKUP($A229,'[2]3-Elaboration.O'!$A:$T,MATCH(D$1,'[2]150-Modele SGO'!$1:$1,0),FALSE))</f>
        <v>Liste choix unique</v>
      </c>
      <c r="E229" s="230"/>
      <c r="F229" s="230"/>
      <c r="G229" s="231"/>
      <c r="H229" s="232" t="s">
        <v>35</v>
      </c>
      <c r="I229" s="231"/>
      <c r="J229" s="231"/>
      <c r="K229" s="231"/>
      <c r="L229" s="231"/>
      <c r="M229" s="232" t="s">
        <v>35</v>
      </c>
      <c r="N229" s="231"/>
      <c r="O229" s="231"/>
      <c r="P229" s="231"/>
      <c r="Q229" s="231" t="s">
        <v>35</v>
      </c>
      <c r="R229" s="231" t="s">
        <v>24</v>
      </c>
      <c r="S229" s="231" t="s">
        <v>24</v>
      </c>
      <c r="T229" s="231" t="s">
        <v>24</v>
      </c>
      <c r="U229" s="231" t="s">
        <v>24</v>
      </c>
      <c r="V229" s="232" t="s">
        <v>35</v>
      </c>
      <c r="W229" s="231"/>
      <c r="X229" s="231"/>
      <c r="Y229" s="231"/>
      <c r="Z229" s="231"/>
      <c r="AA229" s="234"/>
      <c r="AB229" s="231"/>
      <c r="AC229" s="231"/>
      <c r="AD229" s="232" t="s">
        <v>35</v>
      </c>
      <c r="AE229" s="231"/>
      <c r="AF229" s="231"/>
      <c r="AG229" s="231"/>
      <c r="AH229" s="231"/>
      <c r="AI229" s="231"/>
      <c r="AJ229" s="231"/>
      <c r="AK229" s="231"/>
      <c r="AL229" s="234" t="s">
        <v>35</v>
      </c>
      <c r="AM229" s="231"/>
      <c r="AN229" s="231"/>
    </row>
    <row r="230" spans="1:40" s="9" customFormat="1" ht="36" customHeight="1" x14ac:dyDescent="0.25">
      <c r="A230" s="13" t="s">
        <v>691</v>
      </c>
      <c r="B230" s="229" t="str">
        <f>IF($A230="","",VLOOKUP($A230,'[2]3-Elaboration.O'!$A:$T,MATCH(B$1,'[2]150-Modele SGO'!$1:$1,0),FALSE))</f>
        <v>Est-il prévu des prestations de travaux facturable à un sous-traitant ?</v>
      </c>
      <c r="C230" s="229" t="str">
        <f>IF($A230="","",VLOOKUP($A230,'[2]3-Elaboration.O'!$A:$T,MATCH(C$1,'[2]150-Modele SGO'!$1:$1,0),FALSE))</f>
        <v xml:space="preserve">Oui, il est prévu des prestations de travaux exécutables par des sous-traitants;Non, aucune prestation de travaux </v>
      </c>
      <c r="D230" s="229" t="str">
        <f>IF($A230="","",VLOOKUP($A230,'[2]3-Elaboration.O'!$A:$T,MATCH(D$1,'[2]150-Modele SGO'!$1:$1,0),FALSE))</f>
        <v xml:space="preserve">Liste choix unique </v>
      </c>
      <c r="E230" s="230"/>
      <c r="F230" s="230"/>
      <c r="G230" s="231"/>
      <c r="H230" s="232" t="s">
        <v>35</v>
      </c>
      <c r="I230" s="231"/>
      <c r="J230" s="231"/>
      <c r="K230" s="231"/>
      <c r="L230" s="231"/>
      <c r="M230" s="232" t="s">
        <v>35</v>
      </c>
      <c r="N230" s="231"/>
      <c r="O230" s="231"/>
      <c r="P230" s="231"/>
      <c r="Q230" s="231" t="s">
        <v>19</v>
      </c>
      <c r="R230" s="233" t="s">
        <v>1647</v>
      </c>
      <c r="S230" s="231" t="s">
        <v>24</v>
      </c>
      <c r="T230" s="231" t="s">
        <v>24</v>
      </c>
      <c r="U230" s="231" t="s">
        <v>24</v>
      </c>
      <c r="V230" s="232" t="s">
        <v>35</v>
      </c>
      <c r="W230" s="231"/>
      <c r="X230" s="231"/>
      <c r="Y230" s="231"/>
      <c r="Z230" s="231"/>
      <c r="AA230" s="234"/>
      <c r="AB230" s="231"/>
      <c r="AC230" s="231"/>
      <c r="AD230" s="232" t="s">
        <v>26</v>
      </c>
      <c r="AE230" s="231"/>
      <c r="AF230" s="233" t="s">
        <v>1648</v>
      </c>
      <c r="AG230" s="233" t="s">
        <v>1647</v>
      </c>
      <c r="AH230" s="233" t="s">
        <v>1647</v>
      </c>
      <c r="AI230" s="233" t="s">
        <v>1648</v>
      </c>
      <c r="AJ230" s="233" t="s">
        <v>1647</v>
      </c>
      <c r="AK230" s="233" t="s">
        <v>1647</v>
      </c>
      <c r="AL230" s="235" t="s">
        <v>35</v>
      </c>
      <c r="AM230" s="231"/>
      <c r="AN230" s="231"/>
    </row>
    <row r="231" spans="1:40" s="9" customFormat="1" ht="30" x14ac:dyDescent="0.25">
      <c r="A231" s="13" t="s">
        <v>694</v>
      </c>
      <c r="B231" s="229" t="str">
        <f>IF($A231="","",VLOOKUP($A231,'[2]3-Elaboration.O'!$A:$T,MATCH(B$1,'[2]150-Modele SGO'!$1:$1,0),FALSE))</f>
        <v>Facturation fournisseur en totalité (hors acomptes, avances…)</v>
      </c>
      <c r="C231" s="229" t="str">
        <f>IF($A231="","",VLOOKUP($A231,'[2]3-Elaboration.O'!$A:$T,MATCH(C$1,'[2]150-Modele SGO'!$1:$1,0),FALSE))</f>
        <v>Oui, facturation fournisseur en totalité;Non, facturation fournisseur partielle</v>
      </c>
      <c r="D231" s="229" t="str">
        <f>IF($A231="","",VLOOKUP($A231,'[2]3-Elaboration.O'!$A:$T,MATCH(D$1,'[2]150-Modele SGO'!$1:$1,0),FALSE))</f>
        <v xml:space="preserve">Liste choix unique </v>
      </c>
      <c r="E231" s="230" t="s">
        <v>70</v>
      </c>
      <c r="F231" s="230"/>
      <c r="G231" s="233" t="s">
        <v>695</v>
      </c>
      <c r="H231" s="232" t="s">
        <v>51</v>
      </c>
      <c r="I231" s="231"/>
      <c r="J231" s="231"/>
      <c r="K231" s="231"/>
      <c r="L231" s="231"/>
      <c r="M231" s="232" t="s">
        <v>51</v>
      </c>
      <c r="N231" s="231"/>
      <c r="O231" s="231"/>
      <c r="P231" s="231"/>
      <c r="Q231" s="231" t="s">
        <v>51</v>
      </c>
      <c r="R231" s="231" t="s">
        <v>24</v>
      </c>
      <c r="S231" s="231" t="s">
        <v>24</v>
      </c>
      <c r="T231" s="231" t="s">
        <v>24</v>
      </c>
      <c r="U231" s="231" t="s">
        <v>24</v>
      </c>
      <c r="V231" s="232" t="s">
        <v>51</v>
      </c>
      <c r="W231" s="231"/>
      <c r="X231" s="231"/>
      <c r="Y231" s="231"/>
      <c r="Z231" s="231"/>
      <c r="AA231" s="234"/>
      <c r="AB231" s="231"/>
      <c r="AC231" s="231"/>
      <c r="AD231" s="232" t="s">
        <v>51</v>
      </c>
      <c r="AE231" s="231"/>
      <c r="AF231" s="231"/>
      <c r="AG231" s="231"/>
      <c r="AH231" s="231"/>
      <c r="AI231" s="231"/>
      <c r="AJ231" s="231"/>
      <c r="AK231" s="231"/>
      <c r="AL231" s="234" t="s">
        <v>51</v>
      </c>
      <c r="AM231" s="231"/>
      <c r="AN231" s="231"/>
    </row>
    <row r="232" spans="1:40" s="9" customFormat="1" ht="15.75" x14ac:dyDescent="0.25">
      <c r="A232" s="13" t="s">
        <v>698</v>
      </c>
      <c r="B232" s="229" t="str">
        <f>IF($A232="","",VLOOKUP($A232,'[2]3-Elaboration.O'!$A:$T,MATCH(B$1,'[2]150-Modele SGO'!$1:$1,0),FALSE))</f>
        <v>Si non, justifier de la facturation partielle</v>
      </c>
      <c r="C232" s="229" t="str">
        <f>IF($A232="","",VLOOKUP($A232,'[2]3-Elaboration.O'!$A:$T,MATCH(C$1,'[2]150-Modele SGO'!$1:$1,0),FALSE))</f>
        <v>Champ libre</v>
      </c>
      <c r="D232" s="229" t="str">
        <f>IF($A232="","",VLOOKUP($A232,'[2]3-Elaboration.O'!$A:$T,MATCH(D$1,'[2]150-Modele SGO'!$1:$1,0),FALSE))</f>
        <v>Texte</v>
      </c>
      <c r="E232" s="230" t="s">
        <v>70</v>
      </c>
      <c r="F232" s="230"/>
      <c r="G232" s="231"/>
      <c r="H232" s="232" t="s">
        <v>35</v>
      </c>
      <c r="I232" s="231"/>
      <c r="J232" s="231"/>
      <c r="K232" s="231"/>
      <c r="L232" s="231"/>
      <c r="M232" s="232" t="s">
        <v>35</v>
      </c>
      <c r="N232" s="231"/>
      <c r="O232" s="231"/>
      <c r="P232" s="231"/>
      <c r="Q232" s="231" t="s">
        <v>35</v>
      </c>
      <c r="R232" s="231" t="s">
        <v>24</v>
      </c>
      <c r="S232" s="231" t="s">
        <v>24</v>
      </c>
      <c r="T232" s="231" t="s">
        <v>24</v>
      </c>
      <c r="U232" s="231" t="s">
        <v>24</v>
      </c>
      <c r="V232" s="232" t="s">
        <v>35</v>
      </c>
      <c r="W232" s="231"/>
      <c r="X232" s="231"/>
      <c r="Y232" s="231"/>
      <c r="Z232" s="231"/>
      <c r="AA232" s="234"/>
      <c r="AB232" s="231"/>
      <c r="AC232" s="231"/>
      <c r="AD232" s="232" t="s">
        <v>35</v>
      </c>
      <c r="AE232" s="231"/>
      <c r="AF232" s="231"/>
      <c r="AG232" s="231"/>
      <c r="AH232" s="231"/>
      <c r="AI232" s="231"/>
      <c r="AJ232" s="231"/>
      <c r="AK232" s="231"/>
      <c r="AL232" s="254" t="s">
        <v>35</v>
      </c>
      <c r="AM232" s="231"/>
      <c r="AN232" s="231"/>
    </row>
    <row r="233" spans="1:40" s="9" customFormat="1" ht="45" x14ac:dyDescent="0.25">
      <c r="A233" s="13" t="s">
        <v>700</v>
      </c>
      <c r="B233" s="229" t="str">
        <f>IF($A233="","",VLOOKUP($A233,'[2]3-Elaboration.O'!$A:$T,MATCH(B$1,'[2]150-Modele SGO'!$1:$1,0),FALSE))</f>
        <v>Format de facturation est-il en xml (réel constaté, facturation partielle et à forte volumétrie) ?</v>
      </c>
      <c r="C233" s="229" t="str">
        <f>IF($A233="","",VLOOKUP($A233,'[2]3-Elaboration.O'!$A:$T,MATCH(C$1,'[2]150-Modele SGO'!$1:$1,0),FALSE))</f>
        <v>Absence de format de facturation en xml;format de facturation en xml</v>
      </c>
      <c r="D233" s="229" t="str">
        <f>IF($A233="","",VLOOKUP($A233,'[2]3-Elaboration.O'!$A:$T,MATCH(D$1,'[2]150-Modele SGO'!$1:$1,0),FALSE))</f>
        <v xml:space="preserve">Liste choix unique </v>
      </c>
      <c r="E233" s="230" t="s">
        <v>70</v>
      </c>
      <c r="F233" s="230"/>
      <c r="G233" s="231"/>
      <c r="H233" s="232" t="s">
        <v>19</v>
      </c>
      <c r="I233" s="233" t="s">
        <v>701</v>
      </c>
      <c r="J233" s="231"/>
      <c r="K233" s="231"/>
      <c r="L233" s="231"/>
      <c r="M233" s="232" t="s">
        <v>26</v>
      </c>
      <c r="N233" s="231"/>
      <c r="O233" s="233" t="s">
        <v>701</v>
      </c>
      <c r="P233" s="233" t="s">
        <v>35</v>
      </c>
      <c r="Q233" s="233" t="s">
        <v>26</v>
      </c>
      <c r="R233" s="231" t="s">
        <v>24</v>
      </c>
      <c r="S233" s="233" t="s">
        <v>701</v>
      </c>
      <c r="T233" s="233" t="s">
        <v>701</v>
      </c>
      <c r="U233" s="233" t="s">
        <v>1649</v>
      </c>
      <c r="V233" s="232" t="s">
        <v>19</v>
      </c>
      <c r="W233" s="233" t="s">
        <v>701</v>
      </c>
      <c r="X233" s="231"/>
      <c r="Y233" s="231"/>
      <c r="Z233" s="231"/>
      <c r="AA233" s="234"/>
      <c r="AB233" s="242"/>
      <c r="AC233" s="242"/>
      <c r="AD233" s="232" t="s">
        <v>26</v>
      </c>
      <c r="AE233" s="231"/>
      <c r="AF233" s="233" t="s">
        <v>701</v>
      </c>
      <c r="AG233" s="233" t="s">
        <v>701</v>
      </c>
      <c r="AH233" s="233" t="s">
        <v>701</v>
      </c>
      <c r="AI233" s="233" t="s">
        <v>701</v>
      </c>
      <c r="AJ233" s="233" t="s">
        <v>701</v>
      </c>
      <c r="AK233" s="233" t="s">
        <v>1649</v>
      </c>
      <c r="AL233" s="235" t="s">
        <v>35</v>
      </c>
      <c r="AM233" s="231"/>
      <c r="AN233" s="231"/>
    </row>
    <row r="234" spans="1:40" s="9" customFormat="1" ht="15.75" x14ac:dyDescent="0.25">
      <c r="A234" s="108" t="s">
        <v>704</v>
      </c>
      <c r="B234" s="244" t="str">
        <f>IF($A234="","",VLOOKUP($A234,'[2]3-Elaboration.O'!$A:$T,MATCH(B$1,'[2]150-Modele SGO'!$1:$1,0),FALSE))</f>
        <v xml:space="preserve">06.4 Modalités / Actions spécifiques ou particulières sont identifiées pour le paiement  </v>
      </c>
      <c r="C234" s="244">
        <f>IF($A234="","",VLOOKUP($A234,'[2]3-Elaboration.O'!$A:$T,MATCH(C$1,'[2]150-Modele SGO'!$1:$1,0),FALSE))</f>
        <v>0</v>
      </c>
      <c r="D234" s="244">
        <f>IF($A234="","",VLOOKUP($A234,'[2]3-Elaboration.O'!$A:$T,MATCH(D$1,'[2]150-Modele SGO'!$1:$1,0),FALSE))</f>
        <v>0</v>
      </c>
      <c r="E234" s="241" t="s">
        <v>70</v>
      </c>
      <c r="F234" s="241"/>
      <c r="G234" s="237"/>
      <c r="H234" s="241" t="s">
        <v>30</v>
      </c>
      <c r="I234" s="237"/>
      <c r="J234" s="237"/>
      <c r="K234" s="237"/>
      <c r="L234" s="237"/>
      <c r="M234" s="241" t="s">
        <v>30</v>
      </c>
      <c r="N234" s="237"/>
      <c r="O234" s="237"/>
      <c r="P234" s="237"/>
      <c r="Q234" s="237" t="s">
        <v>30</v>
      </c>
      <c r="R234" s="237" t="s">
        <v>24</v>
      </c>
      <c r="S234" s="231"/>
      <c r="T234" s="237" t="s">
        <v>24</v>
      </c>
      <c r="U234" s="237" t="s">
        <v>24</v>
      </c>
      <c r="V234" s="241" t="s">
        <v>30</v>
      </c>
      <c r="W234" s="237"/>
      <c r="X234" s="237"/>
      <c r="Y234" s="237"/>
      <c r="Z234" s="237"/>
      <c r="AA234" s="239"/>
      <c r="AB234" s="237"/>
      <c r="AC234" s="237"/>
      <c r="AD234" s="241" t="s">
        <v>30</v>
      </c>
      <c r="AE234" s="237"/>
      <c r="AF234" s="237"/>
      <c r="AG234" s="237"/>
      <c r="AH234" s="237"/>
      <c r="AI234" s="237"/>
      <c r="AJ234" s="237"/>
      <c r="AK234" s="237"/>
      <c r="AL234" s="239" t="s">
        <v>30</v>
      </c>
      <c r="AM234" s="237"/>
      <c r="AN234" s="237"/>
    </row>
    <row r="235" spans="1:40" s="9" customFormat="1" ht="60" x14ac:dyDescent="0.25">
      <c r="A235" s="13" t="s">
        <v>706</v>
      </c>
      <c r="B235" s="229" t="str">
        <f>IF($A235="","",VLOOKUP($A235,'[2]3-Elaboration.O'!$A:$T,MATCH(B$1,'[2]150-Modele SGO'!$1:$1,0),FALSE))</f>
        <v>Des actions ou des particularités s'appliquent-elles pour le paiement du client vis-à-vis de l'UGAP et/ou de l'UGAP vis-à-vis du fournisseur ?</v>
      </c>
      <c r="C235" s="229" t="str">
        <f>IF($A235="","",VLOOKUP($A235,'[2]3-Elaboration.O'!$A:$T,MATCH(C$1,'[2]150-Modele SGO'!$1:$1,0),FALSE))</f>
        <v>Oui, Modalités particulières pour le paiement;Non, Absence de modalités particulières pour le paiement</v>
      </c>
      <c r="D235" s="229" t="str">
        <f>IF($A235="","",VLOOKUP($A235,'[2]3-Elaboration.O'!$A:$T,MATCH(D$1,'[2]150-Modele SGO'!$1:$1,0),FALSE))</f>
        <v xml:space="preserve">Liste choix unique </v>
      </c>
      <c r="E235" s="230" t="s">
        <v>70</v>
      </c>
      <c r="F235" s="230"/>
      <c r="G235" s="231"/>
      <c r="H235" s="232" t="s">
        <v>26</v>
      </c>
      <c r="I235" s="231"/>
      <c r="J235" s="233" t="s">
        <v>1650</v>
      </c>
      <c r="K235" s="233" t="s">
        <v>707</v>
      </c>
      <c r="L235" s="233" t="s">
        <v>1650</v>
      </c>
      <c r="M235" s="232" t="s">
        <v>26</v>
      </c>
      <c r="N235" s="231"/>
      <c r="O235" s="233" t="s">
        <v>707</v>
      </c>
      <c r="P235" s="233" t="s">
        <v>35</v>
      </c>
      <c r="Q235" s="233" t="s">
        <v>19</v>
      </c>
      <c r="R235" s="233" t="s">
        <v>707</v>
      </c>
      <c r="S235" s="231" t="s">
        <v>24</v>
      </c>
      <c r="T235" s="231" t="s">
        <v>24</v>
      </c>
      <c r="U235" s="231" t="s">
        <v>24</v>
      </c>
      <c r="V235" s="232" t="s">
        <v>26</v>
      </c>
      <c r="W235" s="231"/>
      <c r="X235" s="233" t="s">
        <v>707</v>
      </c>
      <c r="Y235" s="233" t="s">
        <v>1650</v>
      </c>
      <c r="Z235" s="233" t="s">
        <v>707</v>
      </c>
      <c r="AA235" s="235" t="s">
        <v>707</v>
      </c>
      <c r="AB235" s="233" t="s">
        <v>1650</v>
      </c>
      <c r="AC235" s="233" t="s">
        <v>707</v>
      </c>
      <c r="AD235" s="232" t="s">
        <v>35</v>
      </c>
      <c r="AE235" s="231"/>
      <c r="AF235" s="231"/>
      <c r="AG235" s="231"/>
      <c r="AH235" s="231"/>
      <c r="AI235" s="231"/>
      <c r="AJ235" s="231"/>
      <c r="AK235" s="231"/>
      <c r="AL235" s="234" t="s">
        <v>35</v>
      </c>
      <c r="AM235" s="231"/>
      <c r="AN235" s="231"/>
    </row>
    <row r="236" spans="1:40" s="9" customFormat="1" ht="30" x14ac:dyDescent="0.25">
      <c r="A236" s="13" t="s">
        <v>710</v>
      </c>
      <c r="B236" s="229" t="str">
        <f>IF($A236="","",VLOOKUP($A236,'[2]3-Elaboration.O'!$A:$T,MATCH(B$1,'[2]150-Modele SGO'!$1:$1,0),FALSE))</f>
        <v>Si oui, préciser si celles-ci concernent  le client et les particularités qui s'appliquent</v>
      </c>
      <c r="C236" s="229" t="str">
        <f>IF($A236="","",VLOOKUP($A236,'[2]3-Elaboration.O'!$A:$T,MATCH(C$1,'[2]150-Modele SGO'!$1:$1,0),FALSE))</f>
        <v>Champ libre</v>
      </c>
      <c r="D236" s="229" t="str">
        <f>IF($A236="","",VLOOKUP($A236,'[2]3-Elaboration.O'!$A:$T,MATCH(D$1,'[2]150-Modele SGO'!$1:$1,0),FALSE))</f>
        <v>Texte</v>
      </c>
      <c r="E236" s="230" t="s">
        <v>70</v>
      </c>
      <c r="F236" s="230"/>
      <c r="G236" s="231"/>
      <c r="H236" s="232" t="s">
        <v>26</v>
      </c>
      <c r="I236" s="231"/>
      <c r="J236" s="233" t="s">
        <v>1651</v>
      </c>
      <c r="K236" s="233" t="s">
        <v>46</v>
      </c>
      <c r="L236" s="233" t="s">
        <v>1651</v>
      </c>
      <c r="M236" s="232" t="s">
        <v>35</v>
      </c>
      <c r="N236" s="231"/>
      <c r="O236" s="231" t="s">
        <v>46</v>
      </c>
      <c r="P236" s="231"/>
      <c r="Q236" s="231" t="s">
        <v>35</v>
      </c>
      <c r="R236" s="231" t="s">
        <v>24</v>
      </c>
      <c r="S236" s="231" t="s">
        <v>24</v>
      </c>
      <c r="T236" s="231" t="s">
        <v>24</v>
      </c>
      <c r="U236" s="231" t="s">
        <v>24</v>
      </c>
      <c r="V236" s="232" t="s">
        <v>35</v>
      </c>
      <c r="W236" s="231"/>
      <c r="X236" s="231"/>
      <c r="Y236" s="231"/>
      <c r="Z236" s="231"/>
      <c r="AA236" s="234"/>
      <c r="AB236" s="231"/>
      <c r="AC236" s="231"/>
      <c r="AD236" s="232" t="s">
        <v>35</v>
      </c>
      <c r="AE236" s="231"/>
      <c r="AF236" s="231"/>
      <c r="AG236" s="231"/>
      <c r="AH236" s="231"/>
      <c r="AI236" s="231"/>
      <c r="AJ236" s="231"/>
      <c r="AK236" s="231"/>
      <c r="AL236" s="234" t="s">
        <v>35</v>
      </c>
      <c r="AM236" s="231"/>
      <c r="AN236" s="231"/>
    </row>
    <row r="237" spans="1:40" s="9" customFormat="1" ht="60" x14ac:dyDescent="0.25">
      <c r="A237" s="13" t="s">
        <v>712</v>
      </c>
      <c r="B237" s="229" t="str">
        <f>IF($A237="","",VLOOKUP($A237,'[2]3-Elaboration.O'!$A:$T,MATCH(B$1,'[2]150-Modele SGO'!$1:$1,0),FALSE))</f>
        <v>Si oui, préciser si celles-ci concernent le fourniseur et les particularités qui s'appliquent</v>
      </c>
      <c r="C237" s="229" t="str">
        <f>IF($A237="","",VLOOKUP($A237,'[2]3-Elaboration.O'!$A:$T,MATCH(C$1,'[2]150-Modele SGO'!$1:$1,0),FALSE))</f>
        <v>Champ libre</v>
      </c>
      <c r="D237" s="229" t="str">
        <f>IF($A237="","",VLOOKUP($A237,'[2]3-Elaboration.O'!$A:$T,MATCH(D$1,'[2]150-Modele SGO'!$1:$1,0),FALSE))</f>
        <v>Texte</v>
      </c>
      <c r="E237" s="230" t="s">
        <v>70</v>
      </c>
      <c r="F237" s="230"/>
      <c r="G237" s="231"/>
      <c r="H237" s="232" t="s">
        <v>26</v>
      </c>
      <c r="I237" s="231"/>
      <c r="J237" s="233" t="s">
        <v>1652</v>
      </c>
      <c r="K237" s="233" t="s">
        <v>46</v>
      </c>
      <c r="L237" s="233" t="s">
        <v>1652</v>
      </c>
      <c r="M237" s="232" t="s">
        <v>35</v>
      </c>
      <c r="N237" s="231"/>
      <c r="O237" s="231" t="s">
        <v>46</v>
      </c>
      <c r="P237" s="231"/>
      <c r="Q237" s="231" t="s">
        <v>35</v>
      </c>
      <c r="R237" s="231" t="s">
        <v>24</v>
      </c>
      <c r="S237" s="231" t="s">
        <v>24</v>
      </c>
      <c r="T237" s="231" t="s">
        <v>24</v>
      </c>
      <c r="U237" s="231" t="s">
        <v>24</v>
      </c>
      <c r="V237" s="232" t="s">
        <v>35</v>
      </c>
      <c r="W237" s="231"/>
      <c r="X237" s="231"/>
      <c r="Y237" s="231"/>
      <c r="Z237" s="231"/>
      <c r="AA237" s="234"/>
      <c r="AB237" s="231"/>
      <c r="AC237" s="231"/>
      <c r="AD237" s="232" t="s">
        <v>35</v>
      </c>
      <c r="AE237" s="231"/>
      <c r="AF237" s="231"/>
      <c r="AG237" s="231"/>
      <c r="AH237" s="231"/>
      <c r="AI237" s="231"/>
      <c r="AJ237" s="231"/>
      <c r="AK237" s="231"/>
      <c r="AL237" s="234" t="s">
        <v>35</v>
      </c>
      <c r="AM237" s="231"/>
      <c r="AN237" s="231"/>
    </row>
    <row r="238" spans="1:40" s="9" customFormat="1" ht="30" x14ac:dyDescent="0.25">
      <c r="A238" s="13" t="s">
        <v>714</v>
      </c>
      <c r="B238" s="229" t="str">
        <f>IF($A238="","",VLOOKUP($A238,'[2]3-Elaboration.O'!$A:$T,MATCH(B$1,'[2]150-Modele SGO'!$1:$1,0),FALSE))</f>
        <v>Si oui, préciser si celles-ci concernent l'UGAP et les particularités qui s'appliquent</v>
      </c>
      <c r="C238" s="229" t="str">
        <f>IF($A238="","",VLOOKUP($A238,'[2]3-Elaboration.O'!$A:$T,MATCH(C$1,'[2]150-Modele SGO'!$1:$1,0),FALSE))</f>
        <v>Champ libre</v>
      </c>
      <c r="D238" s="229" t="str">
        <f>IF($A238="","",VLOOKUP($A238,'[2]3-Elaboration.O'!$A:$T,MATCH(D$1,'[2]150-Modele SGO'!$1:$1,0),FALSE))</f>
        <v>Texte</v>
      </c>
      <c r="E238" s="230" t="s">
        <v>70</v>
      </c>
      <c r="F238" s="230"/>
      <c r="G238" s="231"/>
      <c r="H238" s="232" t="s">
        <v>26</v>
      </c>
      <c r="I238" s="231"/>
      <c r="J238" s="233" t="s">
        <v>1653</v>
      </c>
      <c r="K238" s="233" t="s">
        <v>46</v>
      </c>
      <c r="L238" s="233" t="s">
        <v>1653</v>
      </c>
      <c r="M238" s="232" t="s">
        <v>35</v>
      </c>
      <c r="N238" s="231"/>
      <c r="O238" s="231" t="s">
        <v>46</v>
      </c>
      <c r="P238" s="231"/>
      <c r="Q238" s="231" t="s">
        <v>35</v>
      </c>
      <c r="R238" s="231" t="s">
        <v>24</v>
      </c>
      <c r="S238" s="231" t="s">
        <v>24</v>
      </c>
      <c r="T238" s="231" t="s">
        <v>24</v>
      </c>
      <c r="U238" s="231" t="s">
        <v>24</v>
      </c>
      <c r="V238" s="232" t="s">
        <v>35</v>
      </c>
      <c r="W238" s="231"/>
      <c r="X238" s="231"/>
      <c r="Y238" s="231"/>
      <c r="Z238" s="231"/>
      <c r="AA238" s="234"/>
      <c r="AB238" s="231"/>
      <c r="AC238" s="231"/>
      <c r="AD238" s="232" t="s">
        <v>35</v>
      </c>
      <c r="AE238" s="231"/>
      <c r="AF238" s="231"/>
      <c r="AG238" s="231"/>
      <c r="AH238" s="231"/>
      <c r="AI238" s="231"/>
      <c r="AJ238" s="231"/>
      <c r="AK238" s="231"/>
      <c r="AL238" s="234" t="s">
        <v>35</v>
      </c>
      <c r="AM238" s="231"/>
      <c r="AN238" s="231"/>
    </row>
    <row r="239" spans="1:40" s="9" customFormat="1" ht="45" x14ac:dyDescent="0.25">
      <c r="A239" s="13" t="s">
        <v>716</v>
      </c>
      <c r="B239" s="229" t="str">
        <f>IF($A239="","",VLOOKUP($A239,'[2]3-Elaboration.O'!$A:$T,MATCH(B$1,'[2]150-Modele SGO'!$1:$1,0),FALSE))</f>
        <v xml:space="preserve">L'offre prévoit-elle un DDP ou Delivered Duty Paid (Rendu droits acquittés) en cas de livraison outre-mer </v>
      </c>
      <c r="C239" s="229" t="str">
        <f>IF($A239="","",VLOOKUP($A239,'[2]3-Elaboration.O'!$A:$T,MATCH(C$1,'[2]150-Modele SGO'!$1:$1,0),FALSE))</f>
        <v>Absence de système DDP; Présence de système DDP</v>
      </c>
      <c r="D239" s="229" t="str">
        <f>IF($A239="","",VLOOKUP($A239,'[2]3-Elaboration.O'!$A:$T,MATCH(D$1,'[2]150-Modele SGO'!$1:$1,0),FALSE))</f>
        <v xml:space="preserve">Liste choix unique </v>
      </c>
      <c r="E239" s="230" t="s">
        <v>1521</v>
      </c>
      <c r="F239" s="230"/>
      <c r="G239" s="231"/>
      <c r="H239" s="232" t="s">
        <v>19</v>
      </c>
      <c r="I239" s="233" t="s">
        <v>717</v>
      </c>
      <c r="J239" s="231"/>
      <c r="K239" s="231"/>
      <c r="L239" s="231"/>
      <c r="M239" s="232" t="s">
        <v>26</v>
      </c>
      <c r="N239" s="231"/>
      <c r="O239" s="233" t="s">
        <v>1654</v>
      </c>
      <c r="P239" s="233" t="s">
        <v>35</v>
      </c>
      <c r="Q239" s="233" t="s">
        <v>19</v>
      </c>
      <c r="R239" s="233" t="s">
        <v>46</v>
      </c>
      <c r="S239" s="231" t="s">
        <v>24</v>
      </c>
      <c r="T239" s="231" t="s">
        <v>24</v>
      </c>
      <c r="U239" s="231" t="s">
        <v>24</v>
      </c>
      <c r="V239" s="232" t="s">
        <v>26</v>
      </c>
      <c r="W239" s="231"/>
      <c r="X239" s="233" t="s">
        <v>717</v>
      </c>
      <c r="Y239" s="233" t="s">
        <v>717</v>
      </c>
      <c r="Z239" s="233" t="s">
        <v>1655</v>
      </c>
      <c r="AA239" s="235" t="s">
        <v>717</v>
      </c>
      <c r="AB239" s="233" t="s">
        <v>717</v>
      </c>
      <c r="AC239" s="233" t="s">
        <v>1655</v>
      </c>
      <c r="AD239" s="232" t="s">
        <v>26</v>
      </c>
      <c r="AE239" s="231"/>
      <c r="AF239" s="233" t="s">
        <v>717</v>
      </c>
      <c r="AG239" s="233" t="s">
        <v>717</v>
      </c>
      <c r="AH239" s="233" t="s">
        <v>717</v>
      </c>
      <c r="AI239" s="233" t="s">
        <v>717</v>
      </c>
      <c r="AJ239" s="233" t="s">
        <v>717</v>
      </c>
      <c r="AK239" s="233" t="s">
        <v>717</v>
      </c>
      <c r="AL239" s="235" t="s">
        <v>35</v>
      </c>
      <c r="AM239" s="231"/>
      <c r="AN239" s="231"/>
    </row>
    <row r="240" spans="1:40" s="9" customFormat="1" ht="15.75" x14ac:dyDescent="0.25">
      <c r="A240" s="108" t="s">
        <v>720</v>
      </c>
      <c r="B240" s="244" t="str">
        <f>IF($A240="","",VLOOKUP($A240,'[2]3-Elaboration.O'!$A:$T,MATCH(B$1,'[2]150-Modele SGO'!$1:$1,0),FALSE))</f>
        <v>06.5 Avances / Acomptes</v>
      </c>
      <c r="C240" s="244">
        <f>IF($A240="","",VLOOKUP($A240,'[2]3-Elaboration.O'!$A:$T,MATCH(C$1,'[2]150-Modele SGO'!$1:$1,0),FALSE))</f>
        <v>0</v>
      </c>
      <c r="D240" s="244">
        <f>IF($A240="","",VLOOKUP($A240,'[2]3-Elaboration.O'!$A:$T,MATCH(D$1,'[2]150-Modele SGO'!$1:$1,0),FALSE))</f>
        <v>0</v>
      </c>
      <c r="E240" s="241" t="s">
        <v>70</v>
      </c>
      <c r="F240" s="241"/>
      <c r="G240" s="237"/>
      <c r="H240" s="241" t="s">
        <v>30</v>
      </c>
      <c r="I240" s="237"/>
      <c r="J240" s="237"/>
      <c r="K240" s="237"/>
      <c r="L240" s="237"/>
      <c r="M240" s="241" t="s">
        <v>30</v>
      </c>
      <c r="N240" s="237"/>
      <c r="O240" s="237"/>
      <c r="P240" s="237"/>
      <c r="Q240" s="237" t="s">
        <v>30</v>
      </c>
      <c r="R240" s="237" t="s">
        <v>24</v>
      </c>
      <c r="S240" s="231" t="s">
        <v>24</v>
      </c>
      <c r="T240" s="237" t="s">
        <v>24</v>
      </c>
      <c r="U240" s="237" t="s">
        <v>24</v>
      </c>
      <c r="V240" s="241" t="s">
        <v>30</v>
      </c>
      <c r="W240" s="237"/>
      <c r="X240" s="237"/>
      <c r="Y240" s="237"/>
      <c r="Z240" s="237"/>
      <c r="AA240" s="239"/>
      <c r="AB240" s="237"/>
      <c r="AC240" s="237"/>
      <c r="AD240" s="241" t="s">
        <v>30</v>
      </c>
      <c r="AE240" s="237"/>
      <c r="AF240" s="237"/>
      <c r="AG240" s="237"/>
      <c r="AH240" s="237"/>
      <c r="AI240" s="237"/>
      <c r="AJ240" s="237"/>
      <c r="AK240" s="237"/>
      <c r="AL240" s="253" t="s">
        <v>30</v>
      </c>
      <c r="AM240" s="237"/>
      <c r="AN240" s="237"/>
    </row>
    <row r="241" spans="1:40" s="9" customFormat="1" ht="247.35" customHeight="1" x14ac:dyDescent="0.25">
      <c r="A241" s="13" t="s">
        <v>722</v>
      </c>
      <c r="B241" s="229" t="str">
        <f>IF($A241="","",VLOOKUP($A241,'[2]3-Elaboration.O'!$A:$T,MATCH(B$1,'[2]150-Modele SGO'!$1:$1,0),FALSE))</f>
        <v>Les modalités envisagées en terme d'avance sont-elles conformes au code de la commande publique :
Son taux est fixé à 5 %.
Le montant de l’avance versée au titulaire n’est ni révisable ni actualisable ?</v>
      </c>
      <c r="C241" s="229" t="str">
        <f>IF($A241="","",VLOOKUP($A241,'[2]3-Elaboration.O'!$A:$T,MATCH(C$1,'[2]150-Modele SGO'!$1:$1,0),FALSE))</f>
        <v>Oui, les modalités sont conformes au code de la commande publique; Non, les modalités sont distinctes du code de la commande publique</v>
      </c>
      <c r="D241" s="229" t="str">
        <f>IF($A241="","",VLOOKUP($A241,'[2]3-Elaboration.O'!$A:$T,MATCH(D$1,'[2]150-Modele SGO'!$1:$1,0),FALSE))</f>
        <v xml:space="preserve">Liste choix unique </v>
      </c>
      <c r="E241" s="230" t="s">
        <v>70</v>
      </c>
      <c r="F241" s="230"/>
      <c r="G241" s="233" t="s">
        <v>723</v>
      </c>
      <c r="H241" s="232" t="s">
        <v>51</v>
      </c>
      <c r="I241" s="231"/>
      <c r="J241" s="231"/>
      <c r="K241" s="231"/>
      <c r="L241" s="231"/>
      <c r="M241" s="232" t="s">
        <v>51</v>
      </c>
      <c r="N241" s="231"/>
      <c r="O241" s="231"/>
      <c r="P241" s="231"/>
      <c r="Q241" s="231" t="s">
        <v>51</v>
      </c>
      <c r="R241" s="231" t="s">
        <v>24</v>
      </c>
      <c r="S241" s="231" t="s">
        <v>24</v>
      </c>
      <c r="T241" s="231" t="s">
        <v>24</v>
      </c>
      <c r="U241" s="231" t="s">
        <v>24</v>
      </c>
      <c r="V241" s="232" t="s">
        <v>51</v>
      </c>
      <c r="W241" s="231"/>
      <c r="X241" s="231"/>
      <c r="Y241" s="231"/>
      <c r="Z241" s="231"/>
      <c r="AA241" s="234"/>
      <c r="AB241" s="231"/>
      <c r="AC241" s="231"/>
      <c r="AD241" s="232" t="s">
        <v>51</v>
      </c>
      <c r="AE241" s="231"/>
      <c r="AF241" s="231"/>
      <c r="AG241" s="231"/>
      <c r="AH241" s="231"/>
      <c r="AI241" s="231"/>
      <c r="AJ241" s="231"/>
      <c r="AK241" s="231"/>
      <c r="AL241" s="234" t="s">
        <v>51</v>
      </c>
      <c r="AM241" s="231"/>
      <c r="AN241" s="231"/>
    </row>
    <row r="242" spans="1:40" s="9" customFormat="1" ht="247.35" customHeight="1" x14ac:dyDescent="0.25">
      <c r="A242" s="13" t="s">
        <v>726</v>
      </c>
      <c r="B242" s="229" t="str">
        <f>IF($A242="","",VLOOKUP($A242,'[2]3-Elaboration.O'!$A:$T,MATCH(B$1,'[2]150-Modele SGO'!$1:$1,0),FALSE))</f>
        <v>Si non, préciser</v>
      </c>
      <c r="C242" s="229" t="str">
        <f>IF($A242="","",VLOOKUP($A242,'[2]3-Elaboration.O'!$A:$T,MATCH(C$1,'[2]150-Modele SGO'!$1:$1,0),FALSE))</f>
        <v>Champ libre</v>
      </c>
      <c r="D242" s="229" t="str">
        <f>IF($A242="","",VLOOKUP($A242,'[2]3-Elaboration.O'!$A:$T,MATCH(D$1,'[2]150-Modele SGO'!$1:$1,0),FALSE))</f>
        <v>Texte</v>
      </c>
      <c r="E242" s="230" t="s">
        <v>70</v>
      </c>
      <c r="F242" s="230"/>
      <c r="G242" s="231"/>
      <c r="H242" s="232" t="s">
        <v>35</v>
      </c>
      <c r="I242" s="231"/>
      <c r="J242" s="231"/>
      <c r="K242" s="231"/>
      <c r="L242" s="231"/>
      <c r="M242" s="232" t="s">
        <v>35</v>
      </c>
      <c r="N242" s="231"/>
      <c r="O242" s="231"/>
      <c r="P242" s="231"/>
      <c r="Q242" s="231" t="s">
        <v>35</v>
      </c>
      <c r="R242" s="231" t="s">
        <v>24</v>
      </c>
      <c r="S242" s="231" t="s">
        <v>24</v>
      </c>
      <c r="T242" s="231" t="s">
        <v>24</v>
      </c>
      <c r="U242" s="231" t="s">
        <v>24</v>
      </c>
      <c r="V242" s="232" t="s">
        <v>35</v>
      </c>
      <c r="W242" s="231"/>
      <c r="X242" s="231"/>
      <c r="Y242" s="231"/>
      <c r="Z242" s="231"/>
      <c r="AA242" s="234"/>
      <c r="AB242" s="231"/>
      <c r="AC242" s="231"/>
      <c r="AD242" s="232" t="s">
        <v>35</v>
      </c>
      <c r="AE242" s="231"/>
      <c r="AF242" s="231"/>
      <c r="AG242" s="231"/>
      <c r="AH242" s="231"/>
      <c r="AI242" s="231"/>
      <c r="AJ242" s="231"/>
      <c r="AK242" s="231"/>
      <c r="AL242" s="234" t="s">
        <v>35</v>
      </c>
      <c r="AM242" s="231"/>
      <c r="AN242" s="231"/>
    </row>
    <row r="243" spans="1:40" s="9" customFormat="1" ht="45" x14ac:dyDescent="0.25">
      <c r="A243" s="13" t="s">
        <v>728</v>
      </c>
      <c r="B243" s="229" t="str">
        <f>IF($A243="","",VLOOKUP($A243,'[2]3-Elaboration.O'!$A:$T,MATCH(B$1,'[2]150-Modele SGO'!$1:$1,0),FALSE))</f>
        <v>Le montant total des acomptes est conforme au standard et ne peut pas excéder 90% du montant hors taxe de la commande concernée.</v>
      </c>
      <c r="C243" s="229" t="str">
        <f>IF($A243="","",VLOOKUP($A243,'[2]3-Elaboration.O'!$A:$T,MATCH(C$1,'[2]150-Modele SGO'!$1:$1,0),FALSE))</f>
        <v>Oui, le montant total des acomptes est conforme au standard; Non, le montant total des acomptes est dérogatoire</v>
      </c>
      <c r="D243" s="229" t="str">
        <f>IF($A243="","",VLOOKUP($A243,'[2]3-Elaboration.O'!$A:$T,MATCH(D$1,'[2]150-Modele SGO'!$1:$1,0),FALSE))</f>
        <v xml:space="preserve">Liste choix unique </v>
      </c>
      <c r="E243" s="230" t="s">
        <v>1521</v>
      </c>
      <c r="F243" s="230"/>
      <c r="G243" s="231"/>
      <c r="H243" s="232" t="s">
        <v>19</v>
      </c>
      <c r="I243" s="233" t="s">
        <v>1656</v>
      </c>
      <c r="J243" s="231"/>
      <c r="K243" s="231"/>
      <c r="L243" s="231"/>
      <c r="M243" s="232" t="s">
        <v>26</v>
      </c>
      <c r="N243" s="231"/>
      <c r="O243" s="233" t="s">
        <v>1656</v>
      </c>
      <c r="P243" s="233" t="s">
        <v>35</v>
      </c>
      <c r="Q243" s="233" t="s">
        <v>19</v>
      </c>
      <c r="R243" s="233" t="s">
        <v>1656</v>
      </c>
      <c r="S243" s="231" t="s">
        <v>24</v>
      </c>
      <c r="T243" s="231" t="s">
        <v>24</v>
      </c>
      <c r="U243" s="231" t="s">
        <v>24</v>
      </c>
      <c r="V243" s="232" t="s">
        <v>19</v>
      </c>
      <c r="W243" s="233" t="s">
        <v>729</v>
      </c>
      <c r="X243" s="231"/>
      <c r="Y243" s="231"/>
      <c r="Z243" s="231"/>
      <c r="AA243" s="234"/>
      <c r="AB243" s="231"/>
      <c r="AC243" s="242"/>
      <c r="AD243" s="232" t="s">
        <v>19</v>
      </c>
      <c r="AE243" s="233" t="s">
        <v>1656</v>
      </c>
      <c r="AF243" s="231"/>
      <c r="AG243" s="231"/>
      <c r="AH243" s="231"/>
      <c r="AI243" s="231"/>
      <c r="AJ243" s="231"/>
      <c r="AK243" s="231"/>
      <c r="AL243" s="234" t="s">
        <v>35</v>
      </c>
      <c r="AM243" s="231"/>
      <c r="AN243" s="231"/>
    </row>
    <row r="244" spans="1:40" s="9" customFormat="1" ht="30" x14ac:dyDescent="0.25">
      <c r="A244" s="13" t="s">
        <v>732</v>
      </c>
      <c r="B244" s="229" t="str">
        <f>IF($A244="","",VLOOKUP($A244,'[2]3-Elaboration.O'!$A:$T,MATCH(B$1,'[2]150-Modele SGO'!$1:$1,0),FALSE))</f>
        <v>Si non, justifier de la dérogation au standard de 90%</v>
      </c>
      <c r="C244" s="229" t="str">
        <f>IF($A244="","",VLOOKUP($A244,'[2]3-Elaboration.O'!$A:$T,MATCH(C$1,'[2]150-Modele SGO'!$1:$1,0),FALSE))</f>
        <v>Champ libre</v>
      </c>
      <c r="D244" s="229" t="str">
        <f>IF($A244="","",VLOOKUP($A244,'[2]3-Elaboration.O'!$A:$T,MATCH(D$1,'[2]150-Modele SGO'!$1:$1,0),FALSE))</f>
        <v>Texte</v>
      </c>
      <c r="E244" s="230" t="s">
        <v>1521</v>
      </c>
      <c r="F244" s="230"/>
      <c r="G244" s="231"/>
      <c r="H244" s="232" t="s">
        <v>35</v>
      </c>
      <c r="I244" s="231"/>
      <c r="J244" s="231"/>
      <c r="K244" s="231"/>
      <c r="L244" s="231"/>
      <c r="M244" s="232" t="s">
        <v>35</v>
      </c>
      <c r="N244" s="231"/>
      <c r="O244" s="231"/>
      <c r="P244" s="231"/>
      <c r="Q244" s="231" t="s">
        <v>35</v>
      </c>
      <c r="R244" s="231" t="s">
        <v>24</v>
      </c>
      <c r="S244" s="231" t="s">
        <v>24</v>
      </c>
      <c r="T244" s="231" t="s">
        <v>24</v>
      </c>
      <c r="U244" s="231" t="s">
        <v>24</v>
      </c>
      <c r="V244" s="232" t="s">
        <v>19</v>
      </c>
      <c r="W244" s="233" t="s">
        <v>733</v>
      </c>
      <c r="X244" s="231"/>
      <c r="Y244" s="231"/>
      <c r="Z244" s="231"/>
      <c r="AA244" s="234"/>
      <c r="AB244" s="231"/>
      <c r="AC244" s="231"/>
      <c r="AD244" s="232" t="s">
        <v>35</v>
      </c>
      <c r="AE244" s="231"/>
      <c r="AF244" s="231"/>
      <c r="AG244" s="231"/>
      <c r="AH244" s="231"/>
      <c r="AI244" s="231"/>
      <c r="AJ244" s="231"/>
      <c r="AK244" s="231"/>
      <c r="AL244" s="234" t="s">
        <v>35</v>
      </c>
      <c r="AM244" s="231"/>
      <c r="AN244" s="231"/>
    </row>
    <row r="245" spans="1:40" s="9" customFormat="1" ht="15.75" x14ac:dyDescent="0.25">
      <c r="A245" s="13" t="s">
        <v>735</v>
      </c>
      <c r="B245" s="229" t="str">
        <f>IF($A245="","",VLOOKUP($A245,'[2]3-Elaboration.O'!$A:$T,MATCH(B$1,'[2]150-Modele SGO'!$1:$1,0),FALSE))</f>
        <v>Si non, indiquer le pourcentage</v>
      </c>
      <c r="C245" s="229" t="str">
        <f>IF($A245="","",VLOOKUP($A245,'[2]3-Elaboration.O'!$A:$T,MATCH(C$1,'[2]150-Modele SGO'!$1:$1,0),FALSE))</f>
        <v>Champ libre</v>
      </c>
      <c r="D245" s="229" t="str">
        <f>IF($A245="","",VLOOKUP($A245,'[2]3-Elaboration.O'!$A:$T,MATCH(D$1,'[2]150-Modele SGO'!$1:$1,0),FALSE))</f>
        <v xml:space="preserve">Liste de choix ou texte </v>
      </c>
      <c r="E245" s="230" t="s">
        <v>70</v>
      </c>
      <c r="F245" s="230"/>
      <c r="G245" s="231"/>
      <c r="H245" s="232" t="s">
        <v>35</v>
      </c>
      <c r="I245" s="231"/>
      <c r="J245" s="231"/>
      <c r="K245" s="231"/>
      <c r="L245" s="231"/>
      <c r="M245" s="232" t="s">
        <v>35</v>
      </c>
      <c r="N245" s="231"/>
      <c r="O245" s="231"/>
      <c r="P245" s="231"/>
      <c r="Q245" s="231" t="s">
        <v>35</v>
      </c>
      <c r="R245" s="231" t="s">
        <v>24</v>
      </c>
      <c r="S245" s="231" t="s">
        <v>24</v>
      </c>
      <c r="T245" s="231" t="s">
        <v>24</v>
      </c>
      <c r="U245" s="231" t="s">
        <v>24</v>
      </c>
      <c r="V245" s="232" t="s">
        <v>26</v>
      </c>
      <c r="W245" s="231"/>
      <c r="X245" s="279">
        <v>0.6</v>
      </c>
      <c r="Y245" s="279">
        <v>0.6</v>
      </c>
      <c r="Z245" s="280">
        <v>0.6</v>
      </c>
      <c r="AA245" s="281">
        <v>0.7</v>
      </c>
      <c r="AB245" s="280">
        <v>0.3</v>
      </c>
      <c r="AC245" s="279">
        <v>0.6</v>
      </c>
      <c r="AD245" s="232" t="s">
        <v>35</v>
      </c>
      <c r="AE245" s="231"/>
      <c r="AF245" s="231"/>
      <c r="AG245" s="231"/>
      <c r="AH245" s="231"/>
      <c r="AI245" s="231"/>
      <c r="AJ245" s="231"/>
      <c r="AK245" s="231"/>
      <c r="AL245" s="234" t="s">
        <v>35</v>
      </c>
      <c r="AM245" s="231"/>
      <c r="AN245" s="231"/>
    </row>
    <row r="246" spans="1:40" s="9" customFormat="1" ht="51" customHeight="1" x14ac:dyDescent="0.25">
      <c r="A246" s="13" t="s">
        <v>737</v>
      </c>
      <c r="B246" s="229" t="str">
        <f>IF($A246="","",VLOOKUP($A246,'[2]3-Elaboration.O'!$A:$T,MATCH(B$1,'[2]150-Modele SGO'!$1:$1,0),FALSE))</f>
        <v>Un acompte pour approvisionnement est-il prévu ?</v>
      </c>
      <c r="C246" s="229" t="str">
        <f>IF($A246="","",VLOOKUP($A246,'[2]3-Elaboration.O'!$A:$T,MATCH(C$1,'[2]150-Modele SGO'!$1:$1,0),FALSE))</f>
        <v>Oui, un acompte pour approvisonnement est prévu;Non, Absence d'acompte pour approvisionnement</v>
      </c>
      <c r="D246" s="229" t="str">
        <f>IF($A246="","",VLOOKUP($A246,'[2]3-Elaboration.O'!$A:$T,MATCH(D$1,'[2]150-Modele SGO'!$1:$1,0),FALSE))</f>
        <v xml:space="preserve">Liste choix unique </v>
      </c>
      <c r="E246" s="230" t="s">
        <v>1521</v>
      </c>
      <c r="F246" s="230"/>
      <c r="G246" s="231"/>
      <c r="H246" s="232" t="s">
        <v>26</v>
      </c>
      <c r="I246" s="231"/>
      <c r="J246" s="233" t="s">
        <v>1657</v>
      </c>
      <c r="K246" s="233" t="s">
        <v>738</v>
      </c>
      <c r="L246" s="233" t="s">
        <v>1657</v>
      </c>
      <c r="M246" s="232" t="s">
        <v>26</v>
      </c>
      <c r="N246" s="231"/>
      <c r="O246" s="233" t="s">
        <v>1657</v>
      </c>
      <c r="P246" s="233" t="s">
        <v>35</v>
      </c>
      <c r="Q246" s="233" t="s">
        <v>19</v>
      </c>
      <c r="R246" s="233" t="s">
        <v>46</v>
      </c>
      <c r="S246" s="231" t="s">
        <v>24</v>
      </c>
      <c r="T246" s="231" t="s">
        <v>24</v>
      </c>
      <c r="U246" s="231" t="s">
        <v>24</v>
      </c>
      <c r="V246" s="232" t="s">
        <v>19</v>
      </c>
      <c r="W246" s="233" t="s">
        <v>738</v>
      </c>
      <c r="X246" s="231"/>
      <c r="Y246" s="231"/>
      <c r="Z246" s="231"/>
      <c r="AA246" s="234"/>
      <c r="AB246" s="242"/>
      <c r="AC246" s="242"/>
      <c r="AD246" s="232" t="s">
        <v>26</v>
      </c>
      <c r="AE246" s="231"/>
      <c r="AF246" s="233" t="s">
        <v>1657</v>
      </c>
      <c r="AG246" s="233" t="s">
        <v>1657</v>
      </c>
      <c r="AH246" s="233" t="s">
        <v>1657</v>
      </c>
      <c r="AI246" s="233" t="s">
        <v>1657</v>
      </c>
      <c r="AJ246" s="233" t="s">
        <v>1657</v>
      </c>
      <c r="AK246" s="233" t="s">
        <v>738</v>
      </c>
      <c r="AL246" s="235" t="s">
        <v>35</v>
      </c>
      <c r="AM246" s="231"/>
      <c r="AN246" s="231"/>
    </row>
    <row r="247" spans="1:40" s="9" customFormat="1" ht="75" x14ac:dyDescent="0.25">
      <c r="A247" s="13" t="s">
        <v>741</v>
      </c>
      <c r="B247" s="229" t="str">
        <f>IF($A247="","",VLOOKUP($A247,'[2]3-Elaboration.O'!$A:$T,MATCH(B$1,'[2]150-Modele SGO'!$1:$1,0),FALSE))</f>
        <v>Si oui, est-il conforme au standard:
- Montant est supérieur à 50 K€
- Délai de la prestation est supérieur à 90 jours 
- Montant d'acompte fixé au maximum à 40% du montant TTC du BDC?</v>
      </c>
      <c r="C247" s="229" t="str">
        <f>IF($A247="","",VLOOKUP($A247,'[2]3-Elaboration.O'!$A:$T,MATCH(C$1,'[2]150-Modele SGO'!$1:$1,0),FALSE))</f>
        <v>Acompte conforme au standard dont le montant est supérieur à 50 000 euros, dont le délai de prestation est supérieur à 90 jours, Maximum 40%, Garantie à première demande; Acompte non conforme au standard</v>
      </c>
      <c r="D247" s="229" t="str">
        <f>IF($A247="","",VLOOKUP($A247,'[2]3-Elaboration.O'!$A:$T,MATCH(D$1,'[2]150-Modele SGO'!$1:$1,0),FALSE))</f>
        <v>Liste choix unique</v>
      </c>
      <c r="E247" s="230" t="s">
        <v>1521</v>
      </c>
      <c r="F247" s="230"/>
      <c r="G247" s="231"/>
      <c r="H247" s="232" t="s">
        <v>26</v>
      </c>
      <c r="I247" s="231"/>
      <c r="J247" s="233" t="s">
        <v>1658</v>
      </c>
      <c r="K247" s="233" t="s">
        <v>46</v>
      </c>
      <c r="L247" s="233" t="s">
        <v>1658</v>
      </c>
      <c r="M247" s="232" t="s">
        <v>26</v>
      </c>
      <c r="N247" s="231"/>
      <c r="O247" s="233" t="s">
        <v>1658</v>
      </c>
      <c r="P247" s="233" t="s">
        <v>35</v>
      </c>
      <c r="Q247" s="233" t="s">
        <v>19</v>
      </c>
      <c r="R247" s="233" t="s">
        <v>46</v>
      </c>
      <c r="S247" s="231" t="s">
        <v>24</v>
      </c>
      <c r="T247" s="231" t="s">
        <v>24</v>
      </c>
      <c r="U247" s="231" t="s">
        <v>24</v>
      </c>
      <c r="V247" s="232" t="s">
        <v>19</v>
      </c>
      <c r="W247" s="233" t="s">
        <v>46</v>
      </c>
      <c r="X247" s="231"/>
      <c r="Y247" s="231"/>
      <c r="Z247" s="231"/>
      <c r="AA247" s="234"/>
      <c r="AB247" s="242"/>
      <c r="AC247" s="242"/>
      <c r="AD247" s="232" t="s">
        <v>19</v>
      </c>
      <c r="AE247" s="233" t="s">
        <v>1659</v>
      </c>
      <c r="AF247" s="231"/>
      <c r="AG247" s="231"/>
      <c r="AH247" s="231"/>
      <c r="AI247" s="231"/>
      <c r="AJ247" s="231"/>
      <c r="AK247" s="231"/>
      <c r="AL247" s="234" t="s">
        <v>35</v>
      </c>
      <c r="AM247" s="231"/>
      <c r="AN247" s="231"/>
    </row>
    <row r="248" spans="1:40" s="9" customFormat="1" ht="45" x14ac:dyDescent="0.25">
      <c r="A248" s="13" t="s">
        <v>744</v>
      </c>
      <c r="B248" s="229" t="str">
        <f>IF($A248="","",VLOOKUP($A248,'[2]3-Elaboration.O'!$A:$T,MATCH(B$1,'[2]150-Modele SGO'!$1:$1,0),FALSE))</f>
        <v>Si non, préciser montant, delai et  le pourcentage</v>
      </c>
      <c r="C248" s="229" t="str">
        <f>IF($A248="","",VLOOKUP($A248,'[2]3-Elaboration.O'!$A:$T,MATCH(C$1,'[2]150-Modele SGO'!$1:$1,0),FALSE))</f>
        <v>Champ libre</v>
      </c>
      <c r="D248" s="229" t="str">
        <f>IF($A248="","",VLOOKUP($A248,'[2]3-Elaboration.O'!$A:$T,MATCH(D$1,'[2]150-Modele SGO'!$1:$1,0),FALSE))</f>
        <v>Texte</v>
      </c>
      <c r="E248" s="230" t="s">
        <v>1521</v>
      </c>
      <c r="F248" s="230"/>
      <c r="G248" s="231"/>
      <c r="H248" s="232" t="s">
        <v>35</v>
      </c>
      <c r="I248" s="231"/>
      <c r="J248" s="231"/>
      <c r="K248" s="231"/>
      <c r="L248" s="231"/>
      <c r="M248" s="232" t="s">
        <v>35</v>
      </c>
      <c r="N248" s="231"/>
      <c r="O248" s="231"/>
      <c r="P248" s="231"/>
      <c r="Q248" s="233" t="s">
        <v>19</v>
      </c>
      <c r="R248" s="233" t="s">
        <v>46</v>
      </c>
      <c r="S248" s="231" t="s">
        <v>24</v>
      </c>
      <c r="T248" s="231" t="s">
        <v>24</v>
      </c>
      <c r="U248" s="231" t="s">
        <v>24</v>
      </c>
      <c r="V248" s="232" t="s">
        <v>19</v>
      </c>
      <c r="W248" s="233" t="s">
        <v>46</v>
      </c>
      <c r="X248" s="231"/>
      <c r="Y248" s="231"/>
      <c r="Z248" s="231"/>
      <c r="AA248" s="234"/>
      <c r="AB248" s="231"/>
      <c r="AC248" s="231"/>
      <c r="AD248" s="232" t="s">
        <v>35</v>
      </c>
      <c r="AE248" s="231"/>
      <c r="AF248" s="231" t="s">
        <v>1660</v>
      </c>
      <c r="AG248" s="231" t="s">
        <v>1660</v>
      </c>
      <c r="AH248" s="231" t="s">
        <v>1660</v>
      </c>
      <c r="AI248" s="231" t="s">
        <v>1660</v>
      </c>
      <c r="AJ248" s="231" t="s">
        <v>1660</v>
      </c>
      <c r="AK248" s="231"/>
      <c r="AL248" s="234" t="s">
        <v>35</v>
      </c>
      <c r="AM248" s="231"/>
      <c r="AN248" s="231"/>
    </row>
    <row r="249" spans="1:40" s="9" customFormat="1" ht="45" x14ac:dyDescent="0.25">
      <c r="A249" s="13" t="s">
        <v>746</v>
      </c>
      <c r="B249" s="229" t="str">
        <f>IF($A249="","",VLOOKUP($A249,'[2]3-Elaboration.O'!$A:$T,MATCH(B$1,'[2]150-Modele SGO'!$1:$1,0),FALSE))</f>
        <v>Le marché prévoit-il un acompte pour report de livraison/ d'exécution de plus de trente jours ?</v>
      </c>
      <c r="C249" s="229" t="str">
        <f>IF($A249="","",VLOOKUP($A249,'[2]3-Elaboration.O'!$A:$T,MATCH(C$1,'[2]150-Modele SGO'!$1:$1,0),FALSE))</f>
        <v>Oui, Acompte pour report de livraison d'exécution de plus de 30 jours;Non, absence d'acompte report de livraison ou d'exécution de plus de 30 jours</v>
      </c>
      <c r="D249" s="229" t="str">
        <f>IF($A249="","",VLOOKUP($A249,'[2]3-Elaboration.O'!$A:$T,MATCH(D$1,'[2]150-Modele SGO'!$1:$1,0),FALSE))</f>
        <v xml:space="preserve">Liste choix unique </v>
      </c>
      <c r="E249" s="230" t="s">
        <v>1521</v>
      </c>
      <c r="F249" s="230"/>
      <c r="G249" s="231"/>
      <c r="H249" s="232" t="s">
        <v>26</v>
      </c>
      <c r="I249" s="231"/>
      <c r="J249" s="233" t="s">
        <v>747</v>
      </c>
      <c r="K249" s="233" t="s">
        <v>46</v>
      </c>
      <c r="L249" s="233" t="s">
        <v>747</v>
      </c>
      <c r="M249" s="232" t="s">
        <v>26</v>
      </c>
      <c r="N249" s="231"/>
      <c r="O249" s="233" t="s">
        <v>747</v>
      </c>
      <c r="P249" s="233" t="s">
        <v>35</v>
      </c>
      <c r="Q249" s="233" t="s">
        <v>19</v>
      </c>
      <c r="R249" s="233" t="s">
        <v>46</v>
      </c>
      <c r="S249" s="231" t="s">
        <v>24</v>
      </c>
      <c r="T249" s="231" t="s">
        <v>24</v>
      </c>
      <c r="U249" s="231" t="s">
        <v>24</v>
      </c>
      <c r="V249" s="232" t="s">
        <v>19</v>
      </c>
      <c r="W249" s="233" t="s">
        <v>747</v>
      </c>
      <c r="X249" s="231"/>
      <c r="Y249" s="231"/>
      <c r="Z249" s="231"/>
      <c r="AA249" s="234"/>
      <c r="AB249" s="242"/>
      <c r="AC249" s="242"/>
      <c r="AD249" s="232" t="s">
        <v>19</v>
      </c>
      <c r="AE249" s="233" t="s">
        <v>747</v>
      </c>
      <c r="AF249" s="231"/>
      <c r="AG249" s="231"/>
      <c r="AH249" s="231"/>
      <c r="AI249" s="231"/>
      <c r="AJ249" s="231"/>
      <c r="AK249" s="231"/>
      <c r="AL249" s="234" t="s">
        <v>35</v>
      </c>
      <c r="AM249" s="231"/>
      <c r="AN249" s="231"/>
    </row>
    <row r="250" spans="1:40" s="9" customFormat="1" ht="30" x14ac:dyDescent="0.25">
      <c r="A250" s="13" t="s">
        <v>750</v>
      </c>
      <c r="B250" s="229" t="str">
        <f>IF($A250="","",VLOOKUP($A250,'[2]3-Elaboration.O'!$A:$T,MATCH(B$1,'[2]150-Modele SGO'!$1:$1,0),FALSE))</f>
        <v>Si oui, le montant de cet acompte est-il conforme au standard de 80% du montant HT du BDC?</v>
      </c>
      <c r="C250" s="229" t="str">
        <f>IF($A250="","",VLOOKUP($A250,'[2]3-Elaboration.O'!$A:$T,MATCH(C$1,'[2]150-Modele SGO'!$1:$1,0),FALSE))</f>
        <v>Oui, acompte conforme au standard des 80% du montant € HT du BDC;Non, acompte dérogatoire au standard</v>
      </c>
      <c r="D250" s="229" t="str">
        <f>IF($A250="","",VLOOKUP($A250,'[2]3-Elaboration.O'!$A:$T,MATCH(D$1,'[2]150-Modele SGO'!$1:$1,0),FALSE))</f>
        <v xml:space="preserve">Liste choix unique </v>
      </c>
      <c r="E250" s="230" t="s">
        <v>1521</v>
      </c>
      <c r="F250" s="230"/>
      <c r="G250" s="233" t="s">
        <v>751</v>
      </c>
      <c r="H250" s="232" t="s">
        <v>51</v>
      </c>
      <c r="I250" s="231"/>
      <c r="J250" s="231"/>
      <c r="K250" s="231"/>
      <c r="L250" s="231"/>
      <c r="M250" s="232" t="s">
        <v>51</v>
      </c>
      <c r="N250" s="231"/>
      <c r="O250" s="231"/>
      <c r="P250" s="231"/>
      <c r="Q250" s="231" t="s">
        <v>51</v>
      </c>
      <c r="R250" s="231" t="s">
        <v>24</v>
      </c>
      <c r="S250" s="231" t="s">
        <v>24</v>
      </c>
      <c r="T250" s="231" t="s">
        <v>24</v>
      </c>
      <c r="U250" s="231" t="s">
        <v>24</v>
      </c>
      <c r="V250" s="232" t="s">
        <v>51</v>
      </c>
      <c r="W250" s="231"/>
      <c r="X250" s="231"/>
      <c r="Y250" s="231"/>
      <c r="Z250" s="231"/>
      <c r="AA250" s="234"/>
      <c r="AB250" s="231"/>
      <c r="AC250" s="231"/>
      <c r="AD250" s="232" t="s">
        <v>51</v>
      </c>
      <c r="AE250" s="231"/>
      <c r="AF250" s="231"/>
      <c r="AG250" s="231"/>
      <c r="AH250" s="231"/>
      <c r="AI250" s="231"/>
      <c r="AJ250" s="231"/>
      <c r="AK250" s="231"/>
      <c r="AL250" s="234" t="s">
        <v>51</v>
      </c>
      <c r="AM250" s="231"/>
      <c r="AN250" s="231"/>
    </row>
    <row r="251" spans="1:40" s="9" customFormat="1" ht="165" x14ac:dyDescent="0.25">
      <c r="A251" s="13" t="s">
        <v>754</v>
      </c>
      <c r="B251" s="229" t="str">
        <f>IF($A251="","",VLOOKUP($A251,'[2]3-Elaboration.O'!$A:$T,MATCH(B$1,'[2]150-Modele SGO'!$1:$1,0),FALSE))</f>
        <v>Si non, préciser le pourcentage applicabe</v>
      </c>
      <c r="C251" s="229" t="str">
        <f>IF($A251="","",VLOOKUP($A251,'[2]3-Elaboration.O'!$A:$T,MATCH(C$1,'[2]150-Modele SGO'!$1:$1,0),FALSE))</f>
        <v>Champ libre</v>
      </c>
      <c r="D251" s="229" t="str">
        <f>IF($A251="","",VLOOKUP($A251,'[2]3-Elaboration.O'!$A:$T,MATCH(D$1,'[2]150-Modele SGO'!$1:$1,0),FALSE))</f>
        <v>Texte</v>
      </c>
      <c r="E251" s="230" t="s">
        <v>70</v>
      </c>
      <c r="F251" s="230"/>
      <c r="G251" s="231"/>
      <c r="H251" s="232" t="s">
        <v>35</v>
      </c>
      <c r="I251" s="231"/>
      <c r="J251" s="231"/>
      <c r="K251" s="231"/>
      <c r="L251" s="231"/>
      <c r="M251" s="232" t="s">
        <v>35</v>
      </c>
      <c r="N251" s="231"/>
      <c r="O251" s="231"/>
      <c r="P251" s="231"/>
      <c r="Q251" s="233" t="s">
        <v>19</v>
      </c>
      <c r="R251" s="233" t="s">
        <v>46</v>
      </c>
      <c r="S251" s="231" t="s">
        <v>24</v>
      </c>
      <c r="T251" s="231" t="s">
        <v>24</v>
      </c>
      <c r="U251" s="231" t="s">
        <v>24</v>
      </c>
      <c r="V251" s="232" t="s">
        <v>35</v>
      </c>
      <c r="W251" s="231"/>
      <c r="X251" s="231"/>
      <c r="Y251" s="231"/>
      <c r="Z251" s="231"/>
      <c r="AA251" s="234"/>
      <c r="AB251" s="231"/>
      <c r="AC251" s="231"/>
      <c r="AD251" s="232" t="s">
        <v>35</v>
      </c>
      <c r="AE251" s="231" t="s">
        <v>1661</v>
      </c>
      <c r="AF251" s="231" t="s">
        <v>1661</v>
      </c>
      <c r="AG251" s="231" t="s">
        <v>1661</v>
      </c>
      <c r="AH251" s="231" t="s">
        <v>1661</v>
      </c>
      <c r="AI251" s="231" t="s">
        <v>1661</v>
      </c>
      <c r="AJ251" s="231" t="s">
        <v>1661</v>
      </c>
      <c r="AK251" s="231" t="s">
        <v>1661</v>
      </c>
      <c r="AL251" s="234" t="s">
        <v>35</v>
      </c>
      <c r="AM251" s="231"/>
      <c r="AN251" s="231"/>
    </row>
    <row r="252" spans="1:40" s="9" customFormat="1" ht="30" x14ac:dyDescent="0.25">
      <c r="A252" s="13" t="s">
        <v>756</v>
      </c>
      <c r="B252" s="229" t="str">
        <f>IF($A252="","",VLOOKUP($A252,'[2]3-Elaboration.O'!$A:$T,MATCH(B$1,'[2]150-Modele SGO'!$1:$1,0),FALSE))</f>
        <v>Le marché prévoit-il un acompte pour remise de la tête de série?</v>
      </c>
      <c r="C252" s="229" t="str">
        <f>IF($A252="","",VLOOKUP($A252,'[2]3-Elaboration.O'!$A:$T,MATCH(C$1,'[2]150-Modele SGO'!$1:$1,0),FALSE))</f>
        <v>Oui, Acompte pour remise de la tête de série;Non, absence d'acompte pour remise de la tête de série</v>
      </c>
      <c r="D252" s="229" t="str">
        <f>IF($A252="","",VLOOKUP($A252,'[2]3-Elaboration.O'!$A:$T,MATCH(D$1,'[2]150-Modele SGO'!$1:$1,0),FALSE))</f>
        <v xml:space="preserve">Liste choix unique </v>
      </c>
      <c r="E252" s="230" t="s">
        <v>1521</v>
      </c>
      <c r="F252" s="230"/>
      <c r="G252" s="231"/>
      <c r="H252" s="232" t="s">
        <v>35</v>
      </c>
      <c r="I252" s="231"/>
      <c r="J252" s="231"/>
      <c r="K252" s="231"/>
      <c r="L252" s="231"/>
      <c r="M252" s="232" t="s">
        <v>26</v>
      </c>
      <c r="N252" s="231"/>
      <c r="O252" s="233" t="s">
        <v>46</v>
      </c>
      <c r="P252" s="233" t="s">
        <v>46</v>
      </c>
      <c r="Q252" s="233" t="s">
        <v>19</v>
      </c>
      <c r="R252" s="233" t="s">
        <v>46</v>
      </c>
      <c r="S252" s="231" t="s">
        <v>24</v>
      </c>
      <c r="T252" s="231" t="s">
        <v>24</v>
      </c>
      <c r="U252" s="231" t="s">
        <v>24</v>
      </c>
      <c r="V252" s="232" t="s">
        <v>19</v>
      </c>
      <c r="W252" s="233" t="s">
        <v>46</v>
      </c>
      <c r="X252" s="231"/>
      <c r="Y252" s="231"/>
      <c r="Z252" s="231"/>
      <c r="AA252" s="234"/>
      <c r="AB252" s="231"/>
      <c r="AC252" s="231"/>
      <c r="AD252" s="232" t="s">
        <v>19</v>
      </c>
      <c r="AE252" s="233" t="s">
        <v>46</v>
      </c>
      <c r="AF252" s="231"/>
      <c r="AG252" s="231"/>
      <c r="AH252" s="231"/>
      <c r="AI252" s="231"/>
      <c r="AJ252" s="231"/>
      <c r="AK252" s="231"/>
      <c r="AL252" s="234" t="s">
        <v>35</v>
      </c>
      <c r="AM252" s="231"/>
      <c r="AN252" s="231"/>
    </row>
    <row r="253" spans="1:40" s="9" customFormat="1" ht="79.5" customHeight="1" x14ac:dyDescent="0.25">
      <c r="A253" s="13" t="s">
        <v>759</v>
      </c>
      <c r="B253" s="229" t="str">
        <f>IF($A253="","",VLOOKUP($A253,'[2]3-Elaboration.O'!$A:$T,MATCH(B$1,'[2]150-Modele SGO'!$1:$1,0),FALSE))</f>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
      <c r="C253" s="229" t="str">
        <f>IF($A253="","",VLOOKUP($A253,'[2]3-Elaboration.O'!$A:$T,MATCH(C$1,'[2]150-Modele SGO'!$1:$1,0),FALSE))</f>
        <v>Oui, acompte conforme au standard;Non, acompte dérogatoire au standard</v>
      </c>
      <c r="D253" s="229" t="str">
        <f>IF($A253="","",VLOOKUP($A253,'[2]3-Elaboration.O'!$A:$T,MATCH(D$1,'[2]150-Modele SGO'!$1:$1,0),FALSE))</f>
        <v xml:space="preserve">Liste choix unique </v>
      </c>
      <c r="E253" s="230" t="s">
        <v>1521</v>
      </c>
      <c r="F253" s="230"/>
      <c r="G253" s="231"/>
      <c r="H253" s="232" t="s">
        <v>35</v>
      </c>
      <c r="I253" s="231"/>
      <c r="J253" s="231"/>
      <c r="K253" s="231"/>
      <c r="L253" s="231"/>
      <c r="M253" s="232" t="s">
        <v>26</v>
      </c>
      <c r="N253" s="231"/>
      <c r="O253" s="233" t="s">
        <v>46</v>
      </c>
      <c r="P253" s="233" t="s">
        <v>46</v>
      </c>
      <c r="Q253" s="233" t="s">
        <v>19</v>
      </c>
      <c r="R253" s="233" t="s">
        <v>46</v>
      </c>
      <c r="S253" s="231" t="s">
        <v>24</v>
      </c>
      <c r="T253" s="231" t="s">
        <v>24</v>
      </c>
      <c r="U253" s="231" t="s">
        <v>24</v>
      </c>
      <c r="V253" s="232" t="s">
        <v>19</v>
      </c>
      <c r="W253" s="233" t="s">
        <v>46</v>
      </c>
      <c r="X253" s="231"/>
      <c r="Y253" s="231"/>
      <c r="Z253" s="231"/>
      <c r="AA253" s="234"/>
      <c r="AB253" s="231"/>
      <c r="AC253" s="231"/>
      <c r="AD253" s="232" t="s">
        <v>26</v>
      </c>
      <c r="AE253" s="231"/>
      <c r="AF253" s="233" t="s">
        <v>46</v>
      </c>
      <c r="AG253" s="233" t="s">
        <v>46</v>
      </c>
      <c r="AH253" s="233" t="s">
        <v>46</v>
      </c>
      <c r="AI253" s="233" t="s">
        <v>46</v>
      </c>
      <c r="AJ253" s="233" t="s">
        <v>46</v>
      </c>
      <c r="AK253" s="233" t="s">
        <v>46</v>
      </c>
      <c r="AL253" s="235" t="s">
        <v>35</v>
      </c>
      <c r="AM253" s="231"/>
      <c r="AN253" s="231"/>
    </row>
    <row r="254" spans="1:40" s="9" customFormat="1" ht="33.75" customHeight="1" x14ac:dyDescent="0.25">
      <c r="A254" s="24" t="s">
        <v>762</v>
      </c>
      <c r="B254" s="249" t="str">
        <f>IF($A254="","",VLOOKUP($A254,'[2]3-Elaboration.O'!$A:$T,MATCH(B$1,'[2]150-Modele SGO'!$1:$1,0),FALSE))</f>
        <v>07.0 PILOTER LA PERFORMANCE FOURNISSEUR</v>
      </c>
      <c r="C254" s="255">
        <f>IF($A254="","",VLOOKUP($A254,'[2]3-Elaboration.O'!$A:$T,MATCH(C$1,'[2]150-Modele SGO'!$1:$1,0),FALSE))</f>
        <v>0</v>
      </c>
      <c r="D254" s="255">
        <f>IF($A254="","",VLOOKUP($A254,'[2]3-Elaboration.O'!$A:$T,MATCH(D$1,'[2]150-Modele SGO'!$1:$1,0),FALSE))</f>
        <v>0</v>
      </c>
      <c r="E254" s="1" t="s">
        <v>70</v>
      </c>
      <c r="F254" s="1"/>
      <c r="G254" s="231"/>
      <c r="H254" s="238" t="s">
        <v>30</v>
      </c>
      <c r="I254" s="231"/>
      <c r="J254" s="231"/>
      <c r="K254" s="231"/>
      <c r="L254" s="231"/>
      <c r="M254" s="238" t="s">
        <v>30</v>
      </c>
      <c r="N254" s="231"/>
      <c r="O254" s="231"/>
      <c r="P254" s="231"/>
      <c r="Q254" s="231" t="s">
        <v>30</v>
      </c>
      <c r="R254" s="231" t="s">
        <v>24</v>
      </c>
      <c r="S254" s="231" t="s">
        <v>24</v>
      </c>
      <c r="T254" s="231" t="s">
        <v>24</v>
      </c>
      <c r="U254" s="231" t="s">
        <v>24</v>
      </c>
      <c r="V254" s="238" t="s">
        <v>30</v>
      </c>
      <c r="W254" s="231"/>
      <c r="X254" s="231"/>
      <c r="Y254" s="231"/>
      <c r="Z254" s="231"/>
      <c r="AA254" s="234"/>
      <c r="AB254" s="231"/>
      <c r="AC254" s="231"/>
      <c r="AD254" s="238" t="s">
        <v>30</v>
      </c>
      <c r="AE254" s="231"/>
      <c r="AF254" s="231"/>
      <c r="AG254" s="231"/>
      <c r="AH254" s="231"/>
      <c r="AI254" s="231"/>
      <c r="AJ254" s="231"/>
      <c r="AK254" s="231"/>
      <c r="AL254" s="234" t="s">
        <v>30</v>
      </c>
      <c r="AM254" s="231"/>
      <c r="AN254" s="231"/>
    </row>
    <row r="255" spans="1:40" s="9" customFormat="1" ht="15.75" x14ac:dyDescent="0.25">
      <c r="A255" s="108" t="s">
        <v>764</v>
      </c>
      <c r="B255" s="244" t="str">
        <f>IF($A255="","",VLOOKUP($A255,'[2]3-Elaboration.O'!$A:$T,MATCH(B$1,'[2]150-Modele SGO'!$1:$1,0),FALSE))</f>
        <v>07.1 Qualité de service et suivi des titulaires</v>
      </c>
      <c r="C255" s="244">
        <f>IF($A255="","",VLOOKUP($A255,'[2]3-Elaboration.O'!$A:$T,MATCH(C$1,'[2]150-Modele SGO'!$1:$1,0),FALSE))</f>
        <v>0</v>
      </c>
      <c r="D255" s="244">
        <f>IF($A255="","",VLOOKUP($A255,'[2]3-Elaboration.O'!$A:$T,MATCH(D$1,'[2]150-Modele SGO'!$1:$1,0),FALSE))</f>
        <v>0</v>
      </c>
      <c r="E255" s="241" t="s">
        <v>70</v>
      </c>
      <c r="F255" s="241"/>
      <c r="G255" s="237"/>
      <c r="H255" s="241" t="s">
        <v>30</v>
      </c>
      <c r="I255" s="237"/>
      <c r="J255" s="237"/>
      <c r="K255" s="237"/>
      <c r="L255" s="237"/>
      <c r="M255" s="241" t="s">
        <v>30</v>
      </c>
      <c r="N255" s="237"/>
      <c r="O255" s="237"/>
      <c r="P255" s="237"/>
      <c r="Q255" s="237" t="s">
        <v>30</v>
      </c>
      <c r="R255" s="237" t="s">
        <v>24</v>
      </c>
      <c r="S255" s="231" t="s">
        <v>24</v>
      </c>
      <c r="T255" s="237" t="s">
        <v>24</v>
      </c>
      <c r="U255" s="237" t="s">
        <v>24</v>
      </c>
      <c r="V255" s="241" t="s">
        <v>30</v>
      </c>
      <c r="W255" s="237"/>
      <c r="X255" s="237"/>
      <c r="Y255" s="237"/>
      <c r="Z255" s="237"/>
      <c r="AA255" s="239"/>
      <c r="AB255" s="237"/>
      <c r="AC255" s="237"/>
      <c r="AD255" s="241" t="s">
        <v>30</v>
      </c>
      <c r="AE255" s="237"/>
      <c r="AF255" s="237"/>
      <c r="AG255" s="252"/>
      <c r="AH255" s="237"/>
      <c r="AI255" s="237"/>
      <c r="AJ255" s="237"/>
      <c r="AK255" s="237"/>
      <c r="AL255" s="239" t="s">
        <v>30</v>
      </c>
      <c r="AM255" s="237"/>
      <c r="AN255" s="237"/>
    </row>
    <row r="256" spans="1:40" s="9" customFormat="1" ht="30" x14ac:dyDescent="0.25">
      <c r="A256" s="13" t="s">
        <v>766</v>
      </c>
      <c r="B256" s="229" t="str">
        <f>IF($A256="","",VLOOKUP($A256,'[2]3-Elaboration.O'!$A:$T,MATCH(B$1,'[2]150-Modele SGO'!$1:$1,0),FALSE))</f>
        <v xml:space="preserve">Une clause relative aux réunions de suivi doit-elle être prévue ? </v>
      </c>
      <c r="C256" s="229" t="str">
        <f>IF($A256="","",VLOOKUP($A256,'[2]3-Elaboration.O'!$A:$T,MATCH(C$1,'[2]150-Modele SGO'!$1:$1,0),FALSE))</f>
        <v>Oui, une clause relative aux réunions de suivi doit être prévue au marché; Non, pas de clause de réunion de suivi à prévoir</v>
      </c>
      <c r="D256" s="229" t="str">
        <f>IF($A256="","",VLOOKUP($A256,'[2]3-Elaboration.O'!$A:$T,MATCH(D$1,'[2]150-Modele SGO'!$1:$1,0),FALSE))</f>
        <v xml:space="preserve">Liste choix unique </v>
      </c>
      <c r="E256" s="230" t="s">
        <v>1521</v>
      </c>
      <c r="F256" s="230"/>
      <c r="G256" s="233" t="s">
        <v>767</v>
      </c>
      <c r="H256" s="232" t="s">
        <v>51</v>
      </c>
      <c r="I256" s="231"/>
      <c r="J256" s="231"/>
      <c r="K256" s="231"/>
      <c r="L256" s="231"/>
      <c r="M256" s="232" t="s">
        <v>51</v>
      </c>
      <c r="N256" s="231"/>
      <c r="O256" s="231"/>
      <c r="P256" s="231"/>
      <c r="Q256" s="231" t="s">
        <v>51</v>
      </c>
      <c r="R256" s="231" t="s">
        <v>24</v>
      </c>
      <c r="S256" s="231" t="s">
        <v>24</v>
      </c>
      <c r="T256" s="231" t="s">
        <v>24</v>
      </c>
      <c r="U256" s="231" t="s">
        <v>24</v>
      </c>
      <c r="V256" s="232" t="s">
        <v>51</v>
      </c>
      <c r="W256" s="231"/>
      <c r="X256" s="231"/>
      <c r="Y256" s="231"/>
      <c r="Z256" s="231"/>
      <c r="AA256" s="234"/>
      <c r="AB256" s="231"/>
      <c r="AC256" s="231"/>
      <c r="AD256" s="232" t="s">
        <v>51</v>
      </c>
      <c r="AE256" s="231"/>
      <c r="AF256" s="231"/>
      <c r="AG256" s="231"/>
      <c r="AH256" s="231"/>
      <c r="AI256" s="231"/>
      <c r="AJ256" s="231"/>
      <c r="AK256" s="231"/>
      <c r="AL256" s="234" t="s">
        <v>51</v>
      </c>
      <c r="AM256" s="231"/>
      <c r="AN256" s="231"/>
    </row>
    <row r="257" spans="1:40" s="9" customFormat="1" ht="57" customHeight="1" x14ac:dyDescent="0.25">
      <c r="A257" s="13" t="s">
        <v>1662</v>
      </c>
      <c r="B257" s="229" t="str">
        <f>IF($A257="","",VLOOKUP($A257,'[2]3-Elaboration.O'!$A:$T,MATCH(B$1,'[2]150-Modele SGO'!$1:$1,0),FALSE))</f>
        <v xml:space="preserve">Est-il prévu un dispositif Bonus/Malus pour inciter les fournisseurs à améliorer la qualité de service ? </v>
      </c>
      <c r="C257" s="229" t="str">
        <f>IF($A257="","",VLOOKUP($A257,'[2]3-Elaboration.O'!$A:$T,MATCH(C$1,'[2]150-Modele SGO'!$1:$1,0),FALSE))</f>
        <v>Oui, il est prévu un dispositif de Bonus/Malus; Non, il n'est pas prévu de dispositif de Bonus/Malus</v>
      </c>
      <c r="D257" s="229" t="str">
        <f>IF($A257="","",VLOOKUP($A257,'[2]3-Elaboration.O'!$A:$T,MATCH(D$1,'[2]150-Modele SGO'!$1:$1,0),FALSE))</f>
        <v>Liste choix unique</v>
      </c>
      <c r="E257" s="230" t="s">
        <v>70</v>
      </c>
      <c r="F257" s="230"/>
      <c r="G257" s="233" t="s">
        <v>771</v>
      </c>
      <c r="H257" s="232" t="s">
        <v>51</v>
      </c>
      <c r="I257" s="231"/>
      <c r="J257" s="231"/>
      <c r="K257" s="231"/>
      <c r="L257" s="231"/>
      <c r="M257" s="232" t="s">
        <v>51</v>
      </c>
      <c r="N257" s="231"/>
      <c r="O257" s="231"/>
      <c r="P257" s="231"/>
      <c r="Q257" s="231" t="s">
        <v>51</v>
      </c>
      <c r="R257" s="231" t="s">
        <v>24</v>
      </c>
      <c r="S257" s="231" t="s">
        <v>24</v>
      </c>
      <c r="T257" s="231" t="s">
        <v>24</v>
      </c>
      <c r="U257" s="231" t="s">
        <v>24</v>
      </c>
      <c r="V257" s="232" t="s">
        <v>51</v>
      </c>
      <c r="W257" s="231"/>
      <c r="X257" s="231"/>
      <c r="Y257" s="231"/>
      <c r="Z257" s="231"/>
      <c r="AA257" s="234"/>
      <c r="AB257" s="231"/>
      <c r="AC257" s="231"/>
      <c r="AD257" s="232" t="s">
        <v>51</v>
      </c>
      <c r="AE257" s="231"/>
      <c r="AF257" s="231"/>
      <c r="AG257" s="231"/>
      <c r="AH257" s="231"/>
      <c r="AI257" s="231"/>
      <c r="AJ257" s="231"/>
      <c r="AK257" s="231"/>
      <c r="AL257" s="234" t="s">
        <v>51</v>
      </c>
      <c r="AM257" s="231"/>
      <c r="AN257" s="231"/>
    </row>
    <row r="258" spans="1:40" s="9" customFormat="1" ht="98.1" customHeight="1" x14ac:dyDescent="0.25">
      <c r="A258" s="13" t="s">
        <v>774</v>
      </c>
      <c r="B258" s="229" t="str">
        <f>IF($A258="","",VLOOKUP($A258,'[2]3-Elaboration.O'!$A:$T,MATCH(B$1,'[2]150-Modele SGO'!$1:$1,0),FALSE))</f>
        <v xml:space="preserve">La mesure de la qualité de service et du suivi des titulaires sont réalisés au travers des critères </v>
      </c>
      <c r="C258" s="229" t="str">
        <f>IF($A258="","",VLOOKUP($A258,'[2]3-Elaboration.O'!$A:$T,MATCH(C$1,'[2]150-Modele SGO'!$1:$1,0),FALSE))</f>
        <v>Critères prévus dans le cadre de l’analyse multicritère des offres;Définition de l’objet du (des) lot(s) et/ou éléments obligatoires du cahier des charges;Pilotage avec KPI (key performance indicator – indicateurs clés de performance);Pas de critère Qualité de Service</v>
      </c>
      <c r="D258" s="229" t="str">
        <f>IF($A258="","",VLOOKUP($A258,'[2]3-Elaboration.O'!$A:$T,MATCH(D$1,'[2]150-Modele SGO'!$1:$1,0),FALSE))</f>
        <v>Liste choix multiple</v>
      </c>
      <c r="E258" s="230" t="s">
        <v>70</v>
      </c>
      <c r="F258" s="230" t="s">
        <v>44</v>
      </c>
      <c r="G258" s="231"/>
      <c r="H258" s="232" t="s">
        <v>26</v>
      </c>
      <c r="I258" s="231"/>
      <c r="J258" s="233" t="s">
        <v>775</v>
      </c>
      <c r="K258" s="233" t="s">
        <v>1663</v>
      </c>
      <c r="L258" s="233" t="s">
        <v>775</v>
      </c>
      <c r="M258" s="232" t="s">
        <v>26</v>
      </c>
      <c r="N258" s="231"/>
      <c r="O258" s="233" t="s">
        <v>775</v>
      </c>
      <c r="P258" s="233" t="s">
        <v>35</v>
      </c>
      <c r="Q258" s="233" t="s">
        <v>26</v>
      </c>
      <c r="R258" s="231" t="s">
        <v>24</v>
      </c>
      <c r="S258" s="233" t="s">
        <v>1664</v>
      </c>
      <c r="T258" s="233" t="s">
        <v>1664</v>
      </c>
      <c r="U258" s="233" t="s">
        <v>775</v>
      </c>
      <c r="V258" s="232" t="s">
        <v>19</v>
      </c>
      <c r="W258" s="233" t="s">
        <v>775</v>
      </c>
      <c r="X258" s="231"/>
      <c r="Y258" s="231"/>
      <c r="Z258" s="231"/>
      <c r="AA258" s="234"/>
      <c r="AB258" s="231"/>
      <c r="AC258" s="231"/>
      <c r="AD258" s="235" t="s">
        <v>19</v>
      </c>
      <c r="AE258" s="233" t="s">
        <v>775</v>
      </c>
      <c r="AF258" s="231"/>
      <c r="AG258" s="231"/>
      <c r="AH258" s="231"/>
      <c r="AI258" s="231"/>
      <c r="AJ258" s="231"/>
      <c r="AK258" s="231"/>
      <c r="AL258" s="234" t="s">
        <v>35</v>
      </c>
      <c r="AM258" s="231"/>
      <c r="AN258" s="231"/>
    </row>
    <row r="259" spans="1:40" s="9" customFormat="1" ht="144" customHeight="1" x14ac:dyDescent="0.25">
      <c r="A259" s="13" t="s">
        <v>778</v>
      </c>
      <c r="B259" s="229" t="str">
        <f>IF($A259="","",VLOOKUP($A259,'[2]3-Elaboration.O'!$A:$T,MATCH(B$1,'[2]150-Modele SGO'!$1:$1,0),FALSE))</f>
        <v>Si pilotage avec KPI, indiquer les indicateurs envisager pour suivre l'exécution</v>
      </c>
      <c r="C259" s="229" t="str">
        <f>IF($A259="","",VLOOKUP($A259,'[2]3-Elaboration.O'!$A:$T,MATCH(C$1,'[2]150-Modele SGO'!$1:$1,0),FALSE))</f>
        <v>Indicateurs SINOE;Autre</v>
      </c>
      <c r="D259" s="229" t="str">
        <f>IF($A259="","",VLOOKUP($A259,'[2]3-Elaboration.O'!$A:$T,MATCH(D$1,'[2]150-Modele SGO'!$1:$1,0),FALSE))</f>
        <v>Liste choix unique</v>
      </c>
      <c r="E259" s="230" t="s">
        <v>70</v>
      </c>
      <c r="F259" s="230"/>
      <c r="G259" s="231"/>
      <c r="H259" s="232" t="s">
        <v>26</v>
      </c>
      <c r="I259" s="231"/>
      <c r="J259" s="233" t="s">
        <v>1575</v>
      </c>
      <c r="K259" s="233" t="s">
        <v>1575</v>
      </c>
      <c r="L259" s="233" t="s">
        <v>1665</v>
      </c>
      <c r="M259" s="232" t="s">
        <v>26</v>
      </c>
      <c r="N259" s="231"/>
      <c r="O259" s="233" t="s">
        <v>46</v>
      </c>
      <c r="P259" s="233" t="s">
        <v>35</v>
      </c>
      <c r="Q259" s="233" t="s">
        <v>19</v>
      </c>
      <c r="R259" s="233" t="s">
        <v>1575</v>
      </c>
      <c r="S259" s="231"/>
      <c r="T259" s="231" t="s">
        <v>24</v>
      </c>
      <c r="U259" s="231" t="s">
        <v>24</v>
      </c>
      <c r="V259" s="232" t="s">
        <v>19</v>
      </c>
      <c r="W259" s="233" t="s">
        <v>779</v>
      </c>
      <c r="X259" s="231"/>
      <c r="Y259" s="231"/>
      <c r="Z259" s="231"/>
      <c r="AA259" s="234"/>
      <c r="AB259" s="231"/>
      <c r="AC259" s="231"/>
      <c r="AD259" s="232" t="s">
        <v>26</v>
      </c>
      <c r="AE259" s="231"/>
      <c r="AF259" s="233" t="s">
        <v>46</v>
      </c>
      <c r="AG259" s="233" t="s">
        <v>46</v>
      </c>
      <c r="AH259" s="233" t="s">
        <v>46</v>
      </c>
      <c r="AI259" s="233" t="s">
        <v>46</v>
      </c>
      <c r="AJ259" s="233" t="s">
        <v>46</v>
      </c>
      <c r="AK259" s="233" t="s">
        <v>46</v>
      </c>
      <c r="AL259" s="235" t="s">
        <v>35</v>
      </c>
      <c r="AM259" s="231"/>
      <c r="AN259" s="231"/>
    </row>
    <row r="260" spans="1:40" s="9" customFormat="1" ht="144" customHeight="1" x14ac:dyDescent="0.25">
      <c r="A260" s="13" t="s">
        <v>782</v>
      </c>
      <c r="B260" s="229" t="str">
        <f>IF($A260="","",VLOOKUP($A260,'[2]3-Elaboration.O'!$A:$T,MATCH(B$1,'[2]150-Modele SGO'!$1:$1,0),FALSE))</f>
        <v>Si autre, indiquer les indicateurs envisager pour suivre l'exécution (en cas de sélection autre, saisir directement les indicateurs en texte libre)</v>
      </c>
      <c r="C260" s="229" t="str">
        <f>IF($A260="","",VLOOKUP($A260,'[2]3-Elaboration.O'!$A:$T,MATCH(C$1,'[2]150-Modele SGO'!$1:$1,0),FALSE))</f>
        <v>Nb fichiers traçabilité traités;Délai transmission fichiers  traçabilité;Tx d prise en compte des commande;Fiabilité livraison prév.;Fiabilité date livraison prév.;Conformité facturation fournisseur;Tx prise en charge des commentaires;Taux litiges résolus / Ou texte libre</v>
      </c>
      <c r="D260" s="229" t="str">
        <f>IF($A260="","",VLOOKUP($A260,'[2]3-Elaboration.O'!$A:$T,MATCH(D$1,'[2]150-Modele SGO'!$1:$1,0),FALSE))</f>
        <v>Liste choix multiple</v>
      </c>
      <c r="E260" s="230" t="s">
        <v>70</v>
      </c>
      <c r="F260" s="230" t="s">
        <v>44</v>
      </c>
      <c r="G260" s="231"/>
      <c r="H260" s="232" t="s">
        <v>26</v>
      </c>
      <c r="I260" s="231"/>
      <c r="J260" s="233" t="s">
        <v>46</v>
      </c>
      <c r="K260" s="233" t="s">
        <v>1666</v>
      </c>
      <c r="L260" s="233" t="s">
        <v>46</v>
      </c>
      <c r="M260" s="232" t="s">
        <v>26</v>
      </c>
      <c r="N260" s="231"/>
      <c r="O260" s="233" t="s">
        <v>46</v>
      </c>
      <c r="P260" s="233" t="s">
        <v>35</v>
      </c>
      <c r="Q260" s="231" t="s">
        <v>35</v>
      </c>
      <c r="R260" s="231" t="s">
        <v>24</v>
      </c>
      <c r="S260" s="231" t="s">
        <v>24</v>
      </c>
      <c r="T260" s="231" t="s">
        <v>24</v>
      </c>
      <c r="U260" s="231" t="s">
        <v>24</v>
      </c>
      <c r="V260" s="232" t="s">
        <v>35</v>
      </c>
      <c r="W260" s="231"/>
      <c r="X260" s="231"/>
      <c r="Y260" s="231"/>
      <c r="Z260" s="231"/>
      <c r="AA260" s="234"/>
      <c r="AB260" s="231"/>
      <c r="AC260" s="231"/>
      <c r="AD260" s="232" t="s">
        <v>35</v>
      </c>
      <c r="AE260" s="231"/>
      <c r="AF260" s="231"/>
      <c r="AG260" s="231"/>
      <c r="AH260" s="231"/>
      <c r="AI260" s="231"/>
      <c r="AJ260" s="231"/>
      <c r="AK260" s="231"/>
      <c r="AL260" s="234" t="s">
        <v>35</v>
      </c>
      <c r="AM260" s="231"/>
      <c r="AN260" s="231"/>
    </row>
    <row r="261" spans="1:40" s="9" customFormat="1" ht="30" x14ac:dyDescent="0.25">
      <c r="A261" s="13" t="s">
        <v>785</v>
      </c>
      <c r="B261" s="229" t="str">
        <f>IF($A261="","",VLOOKUP($A261,'[2]3-Elaboration.O'!$A:$T,MATCH(B$1,'[2]150-Modele SGO'!$1:$1,0),FALSE))</f>
        <v>En cas d'absence de critère qualité de service, justifier pourquoi</v>
      </c>
      <c r="C261" s="229" t="str">
        <f>IF($A261="","",VLOOKUP($A261,'[2]3-Elaboration.O'!$A:$T,MATCH(C$1,'[2]150-Modele SGO'!$1:$1,0),FALSE))</f>
        <v>Champ libre</v>
      </c>
      <c r="D261" s="229" t="str">
        <f>IF($A261="","",VLOOKUP($A261,'[2]3-Elaboration.O'!$A:$T,MATCH(D$1,'[2]150-Modele SGO'!$1:$1,0),FALSE))</f>
        <v>Texte</v>
      </c>
      <c r="E261" s="230" t="s">
        <v>70</v>
      </c>
      <c r="F261" s="230"/>
      <c r="G261" s="231"/>
      <c r="H261" s="232" t="s">
        <v>35</v>
      </c>
      <c r="I261" s="231"/>
      <c r="J261" s="231"/>
      <c r="K261" s="231"/>
      <c r="L261" s="231"/>
      <c r="M261" s="232" t="s">
        <v>35</v>
      </c>
      <c r="N261" s="231"/>
      <c r="O261" s="231"/>
      <c r="P261" s="231"/>
      <c r="Q261" s="231" t="s">
        <v>35</v>
      </c>
      <c r="R261" s="231" t="s">
        <v>24</v>
      </c>
      <c r="S261" s="231" t="s">
        <v>24</v>
      </c>
      <c r="T261" s="231" t="s">
        <v>24</v>
      </c>
      <c r="U261" s="231" t="s">
        <v>24</v>
      </c>
      <c r="V261" s="232" t="s">
        <v>35</v>
      </c>
      <c r="W261" s="231"/>
      <c r="X261" s="231"/>
      <c r="Y261" s="231"/>
      <c r="Z261" s="231"/>
      <c r="AA261" s="234"/>
      <c r="AB261" s="231"/>
      <c r="AC261" s="231"/>
      <c r="AD261" s="232" t="s">
        <v>35</v>
      </c>
      <c r="AE261" s="231"/>
      <c r="AF261" s="231"/>
      <c r="AG261" s="231"/>
      <c r="AH261" s="231"/>
      <c r="AI261" s="231"/>
      <c r="AJ261" s="231"/>
      <c r="AK261" s="231"/>
      <c r="AL261" s="234" t="s">
        <v>35</v>
      </c>
      <c r="AM261" s="231"/>
      <c r="AN261" s="231"/>
    </row>
    <row r="262" spans="1:40" s="9" customFormat="1" ht="15.75" x14ac:dyDescent="0.25">
      <c r="A262" s="108" t="s">
        <v>787</v>
      </c>
      <c r="B262" s="244" t="str">
        <f>IF($A262="","",VLOOKUP($A262,'[2]3-Elaboration.O'!$A:$T,MATCH(B$1,'[2]150-Modele SGO'!$1:$1,0),FALSE))</f>
        <v>07.2 Pénalités</v>
      </c>
      <c r="C262" s="244">
        <f>IF($A262="","",VLOOKUP($A262,'[2]3-Elaboration.O'!$A:$T,MATCH(C$1,'[2]150-Modele SGO'!$1:$1,0),FALSE))</f>
        <v>0</v>
      </c>
      <c r="D262" s="244">
        <f>IF($A262="","",VLOOKUP($A262,'[2]3-Elaboration.O'!$A:$T,MATCH(D$1,'[2]150-Modele SGO'!$1:$1,0),FALSE))</f>
        <v>0</v>
      </c>
      <c r="E262" s="241" t="s">
        <v>70</v>
      </c>
      <c r="F262" s="241"/>
      <c r="G262" s="237"/>
      <c r="H262" s="241" t="s">
        <v>30</v>
      </c>
      <c r="I262" s="237"/>
      <c r="J262" s="237"/>
      <c r="K262" s="237"/>
      <c r="L262" s="237"/>
      <c r="M262" s="241" t="s">
        <v>30</v>
      </c>
      <c r="N262" s="237"/>
      <c r="O262" s="237"/>
      <c r="P262" s="237"/>
      <c r="Q262" s="237" t="s">
        <v>30</v>
      </c>
      <c r="R262" s="237" t="s">
        <v>24</v>
      </c>
      <c r="S262" s="231" t="s">
        <v>24</v>
      </c>
      <c r="T262" s="237" t="s">
        <v>24</v>
      </c>
      <c r="U262" s="237" t="s">
        <v>24</v>
      </c>
      <c r="V262" s="241" t="s">
        <v>30</v>
      </c>
      <c r="W262" s="237"/>
      <c r="X262" s="237"/>
      <c r="Y262" s="237"/>
      <c r="Z262" s="237"/>
      <c r="AA262" s="239"/>
      <c r="AB262" s="237"/>
      <c r="AC262" s="237"/>
      <c r="AD262" s="241" t="s">
        <v>30</v>
      </c>
      <c r="AE262" s="237"/>
      <c r="AF262" s="237"/>
      <c r="AG262" s="237"/>
      <c r="AH262" s="237"/>
      <c r="AI262" s="237"/>
      <c r="AJ262" s="237"/>
      <c r="AK262" s="237"/>
      <c r="AL262" s="253" t="s">
        <v>30</v>
      </c>
      <c r="AM262" s="237"/>
      <c r="AN262" s="237"/>
    </row>
    <row r="263" spans="1:40" s="9" customFormat="1" ht="72.599999999999994" customHeight="1" x14ac:dyDescent="0.25">
      <c r="A263" s="13" t="s">
        <v>789</v>
      </c>
      <c r="B263" s="229" t="str">
        <f>IF($A263="","",VLOOKUP($A263,'[2]3-Elaboration.O'!$A:$T,MATCH(B$1,'[2]150-Modele SGO'!$1:$1,0),FALSE))</f>
        <v>Le marché prévoit-il dans le cadre du SAV des pénalités pour non respect de la GTI/GTR (Garantie en Temps d'Intervention/Garantie en Temps de Rétablissement)?</v>
      </c>
      <c r="C263" s="229" t="str">
        <f>IF($A263="","",VLOOKUP($A263,'[2]3-Elaboration.O'!$A:$T,MATCH(C$1,'[2]150-Modele SGO'!$1:$1,0),FALSE))</f>
        <v>Oui, le marché prévoit des pénalités pour non respect de la GTI/GTR;Non, Absence de pénalités pour non respect de la GTI/GTR</v>
      </c>
      <c r="D263" s="229" t="str">
        <f>IF($A263="","",VLOOKUP($A263,'[2]3-Elaboration.O'!$A:$T,MATCH(D$1,'[2]150-Modele SGO'!$1:$1,0),FALSE))</f>
        <v xml:space="preserve">Liste choix unique </v>
      </c>
      <c r="E263" s="230" t="s">
        <v>1521</v>
      </c>
      <c r="F263" s="230"/>
      <c r="G263" s="231"/>
      <c r="H263" s="232" t="s">
        <v>19</v>
      </c>
      <c r="I263" s="233" t="s">
        <v>1667</v>
      </c>
      <c r="J263" s="231"/>
      <c r="K263" s="231"/>
      <c r="L263" s="231"/>
      <c r="M263" s="232" t="s">
        <v>26</v>
      </c>
      <c r="N263" s="231"/>
      <c r="O263" s="233" t="s">
        <v>46</v>
      </c>
      <c r="P263" s="233" t="s">
        <v>35</v>
      </c>
      <c r="Q263" s="233" t="s">
        <v>19</v>
      </c>
      <c r="R263" s="233" t="s">
        <v>46</v>
      </c>
      <c r="S263" s="231" t="s">
        <v>24</v>
      </c>
      <c r="T263" s="231" t="s">
        <v>24</v>
      </c>
      <c r="U263" s="231" t="s">
        <v>24</v>
      </c>
      <c r="V263" s="248" t="s">
        <v>26</v>
      </c>
      <c r="W263" s="237"/>
      <c r="X263" s="233" t="s">
        <v>790</v>
      </c>
      <c r="Y263" s="233" t="s">
        <v>1668</v>
      </c>
      <c r="Z263" s="233" t="s">
        <v>790</v>
      </c>
      <c r="AA263" s="235" t="s">
        <v>790</v>
      </c>
      <c r="AB263" s="233" t="s">
        <v>790</v>
      </c>
      <c r="AC263" s="245" t="s">
        <v>1668</v>
      </c>
      <c r="AD263" s="248" t="s">
        <v>19</v>
      </c>
      <c r="AE263" s="233" t="s">
        <v>790</v>
      </c>
      <c r="AF263" s="231"/>
      <c r="AG263" s="231"/>
      <c r="AH263" s="231"/>
      <c r="AI263" s="231"/>
      <c r="AJ263" s="231"/>
      <c r="AK263" s="231"/>
      <c r="AL263" s="234" t="s">
        <v>35</v>
      </c>
      <c r="AM263" s="231"/>
      <c r="AN263" s="231"/>
    </row>
    <row r="264" spans="1:40" s="9" customFormat="1" ht="15.75" x14ac:dyDescent="0.25">
      <c r="A264" s="13" t="s">
        <v>793</v>
      </c>
      <c r="B264" s="229" t="str">
        <f>IF($A264="","",VLOOKUP($A264,'[2]3-Elaboration.O'!$A:$T,MATCH(B$1,'[2]150-Modele SGO'!$1:$1,0),FALSE))</f>
        <v>Si oui, renseigner le tableau d'allotissement</v>
      </c>
      <c r="C264" s="229" t="str">
        <f>IF($A264="","",VLOOKUP($A264,'[2]3-Elaboration.O'!$A:$T,MATCH(C$1,'[2]150-Modele SGO'!$1:$1,0),FALSE))</f>
        <v>Annexe 10 - Détail_Lots</v>
      </c>
      <c r="D264" s="229" t="str">
        <f>IF($A264="","",VLOOKUP($A264,'[2]3-Elaboration.O'!$A:$T,MATCH(D$1,'[2]150-Modele SGO'!$1:$1,0),FALSE))</f>
        <v>Annexe 10 - Détail lots</v>
      </c>
      <c r="E264" s="230" t="s">
        <v>70</v>
      </c>
      <c r="F264" s="230"/>
      <c r="G264" s="231"/>
      <c r="H264" s="232" t="s">
        <v>35</v>
      </c>
      <c r="I264" s="231"/>
      <c r="J264" s="231"/>
      <c r="K264" s="231"/>
      <c r="L264" s="231"/>
      <c r="M264" s="232" t="s">
        <v>35</v>
      </c>
      <c r="N264" s="231"/>
      <c r="O264" s="231"/>
      <c r="P264" s="231"/>
      <c r="Q264" s="231" t="s">
        <v>35</v>
      </c>
      <c r="R264" s="231"/>
      <c r="S264" s="231" t="s">
        <v>24</v>
      </c>
      <c r="T264" s="231" t="s">
        <v>24</v>
      </c>
      <c r="U264" s="231" t="s">
        <v>24</v>
      </c>
      <c r="V264" s="232" t="s">
        <v>35</v>
      </c>
      <c r="W264" s="231"/>
      <c r="X264" s="231"/>
      <c r="Y264" s="231"/>
      <c r="Z264" s="231"/>
      <c r="AA264" s="234"/>
      <c r="AB264" s="231"/>
      <c r="AC264" s="231"/>
      <c r="AD264" s="232" t="s">
        <v>35</v>
      </c>
      <c r="AE264" s="231"/>
      <c r="AF264" s="231"/>
      <c r="AG264" s="231"/>
      <c r="AH264" s="231"/>
      <c r="AI264" s="231"/>
      <c r="AJ264" s="231"/>
      <c r="AK264" s="231"/>
      <c r="AL264" s="234" t="s">
        <v>35</v>
      </c>
      <c r="AM264" s="231"/>
      <c r="AN264" s="231"/>
    </row>
    <row r="265" spans="1:40" s="9" customFormat="1" ht="45" x14ac:dyDescent="0.25">
      <c r="A265" s="13" t="s">
        <v>795</v>
      </c>
      <c r="B265" s="229" t="str">
        <f>IF($A265="","",VLOOKUP($A265,'[2]3-Elaboration.O'!$A:$T,MATCH(B$1,'[2]150-Modele SGO'!$1:$1,0),FALSE))</f>
        <v>Existe-il des pénalités de défaut de mise en œuvre de la clause d'insertion</v>
      </c>
      <c r="C265" s="229" t="str">
        <f>IF($A265="","",VLOOKUP($A265,'[2]3-Elaboration.O'!$A:$T,MATCH(C$1,'[2]150-Modele SGO'!$1:$1,0),FALSE))</f>
        <v xml:space="preserve">Oui, Pénalités relatives à la clause d'insertion prévues au marché; Non, Absence de pénalités relatives à la  clause d'insertion </v>
      </c>
      <c r="D265" s="229" t="str">
        <f>IF($A265="","",VLOOKUP($A265,'[2]3-Elaboration.O'!$A:$T,MATCH(D$1,'[2]150-Modele SGO'!$1:$1,0),FALSE))</f>
        <v xml:space="preserve">Liste choix unique </v>
      </c>
      <c r="E265" s="230" t="s">
        <v>70</v>
      </c>
      <c r="F265" s="230"/>
      <c r="G265" s="231"/>
      <c r="H265" s="232" t="s">
        <v>19</v>
      </c>
      <c r="I265" s="233" t="s">
        <v>1669</v>
      </c>
      <c r="J265" s="231"/>
      <c r="K265" s="231"/>
      <c r="L265" s="231"/>
      <c r="M265" s="232" t="s">
        <v>26</v>
      </c>
      <c r="N265" s="231"/>
      <c r="O265" s="233" t="s">
        <v>796</v>
      </c>
      <c r="P265" s="233" t="s">
        <v>35</v>
      </c>
      <c r="Q265" s="233" t="s">
        <v>19</v>
      </c>
      <c r="R265" s="233" t="s">
        <v>796</v>
      </c>
      <c r="S265" s="231" t="s">
        <v>24</v>
      </c>
      <c r="T265" s="231" t="s">
        <v>24</v>
      </c>
      <c r="U265" s="231" t="s">
        <v>24</v>
      </c>
      <c r="V265" s="232" t="s">
        <v>19</v>
      </c>
      <c r="W265" s="233" t="s">
        <v>796</v>
      </c>
      <c r="X265" s="231"/>
      <c r="Y265" s="231"/>
      <c r="Z265" s="231"/>
      <c r="AA265" s="234"/>
      <c r="AB265" s="231"/>
      <c r="AC265" s="231"/>
      <c r="AD265" s="232" t="s">
        <v>19</v>
      </c>
      <c r="AE265" s="233" t="s">
        <v>1669</v>
      </c>
      <c r="AF265" s="231"/>
      <c r="AG265" s="231"/>
      <c r="AH265" s="231"/>
      <c r="AI265" s="231"/>
      <c r="AJ265" s="231"/>
      <c r="AK265" s="231"/>
      <c r="AL265" s="234" t="s">
        <v>35</v>
      </c>
      <c r="AM265" s="231"/>
      <c r="AN265" s="231"/>
    </row>
    <row r="266" spans="1:40" s="9" customFormat="1" ht="120" x14ac:dyDescent="0.25">
      <c r="A266" s="13" t="s">
        <v>799</v>
      </c>
      <c r="B266" s="229" t="str">
        <f>IF($A266="","",VLOOKUP($A266,'[2]3-Elaboration.O'!$A:$T,MATCH(B$1,'[2]150-Modele SGO'!$1:$1,0),FALSE))</f>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
      <c r="C266" s="229" t="str">
        <f>IF($A266="","",VLOOKUP($A266,'[2]3-Elaboration.O'!$A:$T,MATCH(C$1,'[2]150-Modele SGO'!$1:$1,0),FALSE))</f>
        <v>Oui, les pénalités relatives à la clause d'insertion prévues au marché correspondent au standard; Non, une ou plusieurs pénalités relatives à la  clause d'insertion sont dérogatoiures</v>
      </c>
      <c r="D266" s="229" t="str">
        <f>IF($A266="","",VLOOKUP($A266,'[2]3-Elaboration.O'!$A:$T,MATCH(D$1,'[2]150-Modele SGO'!$1:$1,0),FALSE))</f>
        <v xml:space="preserve">Liste choix unique </v>
      </c>
      <c r="E266" s="230" t="s">
        <v>1521</v>
      </c>
      <c r="F266" s="230"/>
      <c r="G266" s="231"/>
      <c r="H266" s="232" t="s">
        <v>19</v>
      </c>
      <c r="I266" s="233" t="s">
        <v>46</v>
      </c>
      <c r="J266" s="231"/>
      <c r="K266" s="231"/>
      <c r="L266" s="231"/>
      <c r="M266" s="232" t="s">
        <v>26</v>
      </c>
      <c r="N266" s="231"/>
      <c r="O266" s="233" t="s">
        <v>800</v>
      </c>
      <c r="P266" s="233" t="s">
        <v>35</v>
      </c>
      <c r="Q266" s="233" t="s">
        <v>19</v>
      </c>
      <c r="R266" s="233" t="s">
        <v>800</v>
      </c>
      <c r="S266" s="231" t="s">
        <v>24</v>
      </c>
      <c r="T266" s="231" t="s">
        <v>24</v>
      </c>
      <c r="U266" s="231" t="s">
        <v>24</v>
      </c>
      <c r="V266" s="232" t="s">
        <v>19</v>
      </c>
      <c r="W266" s="233" t="s">
        <v>800</v>
      </c>
      <c r="X266" s="231"/>
      <c r="Y266" s="231"/>
      <c r="Z266" s="231"/>
      <c r="AA266" s="234"/>
      <c r="AB266" s="231"/>
      <c r="AC266" s="231"/>
      <c r="AD266" s="232" t="s">
        <v>26</v>
      </c>
      <c r="AE266" s="231"/>
      <c r="AF266" s="233" t="s">
        <v>46</v>
      </c>
      <c r="AG266" s="233" t="s">
        <v>46</v>
      </c>
      <c r="AH266" s="233" t="s">
        <v>46</v>
      </c>
      <c r="AI266" s="233" t="s">
        <v>46</v>
      </c>
      <c r="AJ266" s="233" t="s">
        <v>46</v>
      </c>
      <c r="AK266" s="233" t="s">
        <v>46</v>
      </c>
      <c r="AL266" s="235" t="s">
        <v>35</v>
      </c>
      <c r="AM266" s="231"/>
      <c r="AN266" s="231"/>
    </row>
    <row r="267" spans="1:40" s="9" customFormat="1" ht="30" x14ac:dyDescent="0.25">
      <c r="A267" s="13" t="s">
        <v>803</v>
      </c>
      <c r="B267" s="229" t="str">
        <f>IF($A267="","",VLOOKUP($A267,'[2]3-Elaboration.O'!$A:$T,MATCH(B$1,'[2]150-Modele SGO'!$1:$1,0),FALSE))</f>
        <v xml:space="preserve">Si non, préciser le montant de chaque pénalité applicable ? </v>
      </c>
      <c r="C267" s="229" t="str">
        <f>IF($A267="","",VLOOKUP($A267,'[2]3-Elaboration.O'!$A:$T,MATCH(C$1,'[2]150-Modele SGO'!$1:$1,0),FALSE))</f>
        <v>Champ libre</v>
      </c>
      <c r="D267" s="229" t="str">
        <f>IF($A267="","",VLOOKUP($A267,'[2]3-Elaboration.O'!$A:$T,MATCH(D$1,'[2]150-Modele SGO'!$1:$1,0),FALSE))</f>
        <v>Texte</v>
      </c>
      <c r="E267" s="230" t="s">
        <v>1521</v>
      </c>
      <c r="F267" s="230"/>
      <c r="G267" s="231"/>
      <c r="H267" s="232" t="s">
        <v>19</v>
      </c>
      <c r="I267" s="233" t="s">
        <v>46</v>
      </c>
      <c r="J267" s="231"/>
      <c r="K267" s="231"/>
      <c r="L267" s="231"/>
      <c r="M267" s="232" t="s">
        <v>26</v>
      </c>
      <c r="N267" s="231"/>
      <c r="O267" s="233" t="s">
        <v>46</v>
      </c>
      <c r="P267" s="233" t="s">
        <v>35</v>
      </c>
      <c r="Q267" s="233" t="s">
        <v>35</v>
      </c>
      <c r="R267" s="231" t="s">
        <v>24</v>
      </c>
      <c r="S267" s="231" t="s">
        <v>24</v>
      </c>
      <c r="T267" s="231" t="s">
        <v>24</v>
      </c>
      <c r="U267" s="231" t="s">
        <v>24</v>
      </c>
      <c r="V267" s="232" t="s">
        <v>35</v>
      </c>
      <c r="W267" s="231"/>
      <c r="X267" s="231"/>
      <c r="Y267" s="231"/>
      <c r="Z267" s="231"/>
      <c r="AA267" s="234"/>
      <c r="AB267" s="231"/>
      <c r="AC267" s="231"/>
      <c r="AD267" s="232" t="s">
        <v>35</v>
      </c>
      <c r="AE267" s="231"/>
      <c r="AF267" s="231"/>
      <c r="AG267" s="231"/>
      <c r="AH267" s="231"/>
      <c r="AI267" s="231"/>
      <c r="AJ267" s="231"/>
      <c r="AK267" s="231"/>
      <c r="AL267" s="234" t="s">
        <v>35</v>
      </c>
      <c r="AM267" s="231"/>
      <c r="AN267" s="231"/>
    </row>
    <row r="268" spans="1:40" s="9" customFormat="1" ht="60" x14ac:dyDescent="0.25">
      <c r="A268" s="13" t="s">
        <v>805</v>
      </c>
      <c r="B268" s="229" t="str">
        <f>IF($A268="","",VLOOKUP($A268,'[2]3-Elaboration.O'!$A:$T,MATCH(B$1,'[2]150-Modele SGO'!$1:$1,0),FALSE))</f>
        <v>Le marché prévoit-il dans le cadre de la maintenance des pénalités pour non respect du délai de réparation ?</v>
      </c>
      <c r="C268" s="229" t="str">
        <f>IF($A268="","",VLOOKUP($A268,'[2]3-Elaboration.O'!$A:$T,MATCH(C$1,'[2]150-Modele SGO'!$1:$1,0),FALSE))</f>
        <v>Oui, le marché prévoit des pénalités pour non respect du délai de réparation;Non, absence de pénalités pour non respect du délai de réparation</v>
      </c>
      <c r="D268" s="229" t="str">
        <f>IF($A268="","",VLOOKUP($A268,'[2]3-Elaboration.O'!$A:$T,MATCH(D$1,'[2]150-Modele SGO'!$1:$1,0),FALSE))</f>
        <v xml:space="preserve">Liste choix unique </v>
      </c>
      <c r="E268" s="230" t="s">
        <v>1521</v>
      </c>
      <c r="F268" s="230"/>
      <c r="G268" s="231"/>
      <c r="H268" s="232" t="s">
        <v>35</v>
      </c>
      <c r="I268" s="231"/>
      <c r="J268" s="231"/>
      <c r="K268" s="231"/>
      <c r="L268" s="231"/>
      <c r="M268" s="232" t="s">
        <v>26</v>
      </c>
      <c r="N268" s="231"/>
      <c r="O268" s="233" t="s">
        <v>1670</v>
      </c>
      <c r="P268" s="233" t="s">
        <v>35</v>
      </c>
      <c r="Q268" s="282" t="s">
        <v>26</v>
      </c>
      <c r="R268" s="231" t="s">
        <v>24</v>
      </c>
      <c r="S268" s="233" t="s">
        <v>1670</v>
      </c>
      <c r="T268" s="233" t="s">
        <v>46</v>
      </c>
      <c r="U268" s="233" t="s">
        <v>46</v>
      </c>
      <c r="V268" s="232" t="s">
        <v>19</v>
      </c>
      <c r="W268" s="233" t="s">
        <v>806</v>
      </c>
      <c r="X268" s="231"/>
      <c r="Y268" s="231"/>
      <c r="Z268" s="231"/>
      <c r="AA268" s="234"/>
      <c r="AB268" s="231"/>
      <c r="AC268" s="231"/>
      <c r="AD268" s="232" t="s">
        <v>26</v>
      </c>
      <c r="AE268" s="231"/>
      <c r="AF268" s="233" t="s">
        <v>1670</v>
      </c>
      <c r="AG268" s="233" t="s">
        <v>1670</v>
      </c>
      <c r="AH268" s="233" t="s">
        <v>1670</v>
      </c>
      <c r="AI268" s="233" t="s">
        <v>806</v>
      </c>
      <c r="AJ268" s="233" t="s">
        <v>1670</v>
      </c>
      <c r="AK268" s="233" t="s">
        <v>806</v>
      </c>
      <c r="AL268" s="235" t="s">
        <v>35</v>
      </c>
      <c r="AM268" s="231"/>
      <c r="AN268" s="231"/>
    </row>
    <row r="269" spans="1:40" s="9" customFormat="1" ht="60" x14ac:dyDescent="0.25">
      <c r="A269" s="13" t="s">
        <v>809</v>
      </c>
      <c r="B269" s="229" t="str">
        <f>IF($A269="","",VLOOKUP($A269,'[2]3-Elaboration.O'!$A:$T,MATCH(B$1,'[2]150-Modele SGO'!$1:$1,0),FALSE))</f>
        <v>Le cas échéant, quel est le montant par lot ?</v>
      </c>
      <c r="C269" s="229" t="str">
        <f>IF($A269="","",VLOOKUP($A269,'[2]3-Elaboration.O'!$A:$T,MATCH(C$1,'[2]150-Modele SGO'!$1:$1,0),FALSE))</f>
        <v>Annexe Allotissement</v>
      </c>
      <c r="D269" s="229" t="str">
        <f>IF($A269="","",VLOOKUP($A269,'[2]3-Elaboration.O'!$A:$T,MATCH(D$1,'[2]150-Modele SGO'!$1:$1,0),FALSE))</f>
        <v>Texte</v>
      </c>
      <c r="E269" s="230" t="s">
        <v>1521</v>
      </c>
      <c r="F269" s="230"/>
      <c r="G269" s="231"/>
      <c r="H269" s="232" t="s">
        <v>35</v>
      </c>
      <c r="I269" s="231"/>
      <c r="J269" s="231"/>
      <c r="K269" s="231"/>
      <c r="L269" s="231"/>
      <c r="M269" s="232" t="s">
        <v>35</v>
      </c>
      <c r="N269" s="231"/>
      <c r="O269" s="231"/>
      <c r="P269" s="231"/>
      <c r="Q269" s="282" t="s">
        <v>26</v>
      </c>
      <c r="R269" s="231" t="s">
        <v>24</v>
      </c>
      <c r="S269" s="233" t="s">
        <v>1670</v>
      </c>
      <c r="T269" s="233" t="s">
        <v>46</v>
      </c>
      <c r="U269" s="233" t="s">
        <v>46</v>
      </c>
      <c r="V269" s="232" t="s">
        <v>35</v>
      </c>
      <c r="W269" s="231"/>
      <c r="X269" s="231"/>
      <c r="Y269" s="231"/>
      <c r="Z269" s="231"/>
      <c r="AA269" s="234"/>
      <c r="AB269" s="231"/>
      <c r="AC269" s="231"/>
      <c r="AD269" s="232" t="s">
        <v>35</v>
      </c>
      <c r="AE269" s="231"/>
      <c r="AF269" s="231"/>
      <c r="AG269" s="231"/>
      <c r="AH269" s="231"/>
      <c r="AI269" s="231"/>
      <c r="AJ269" s="231"/>
      <c r="AK269" s="231"/>
      <c r="AL269" s="254" t="s">
        <v>35</v>
      </c>
      <c r="AM269" s="231"/>
      <c r="AN269" s="231"/>
    </row>
    <row r="270" spans="1:40" s="9" customFormat="1" ht="30" x14ac:dyDescent="0.25">
      <c r="A270" s="13" t="s">
        <v>812</v>
      </c>
      <c r="B270" s="229" t="str">
        <f>IF($A270="","",VLOOKUP($A270,'[2]3-Elaboration.O'!$A:$T,MATCH(B$1,'[2]150-Modele SGO'!$1:$1,0),FALSE))</f>
        <v>Préciser la formule de pénalités de retard de livraison/d'exécution ou d'indisponibilité</v>
      </c>
      <c r="C270" s="229" t="str">
        <f>IF($A270="","",VLOOKUP($A270,'[2]3-Elaboration.O'!$A:$T,MATCH(C$1,'[2]150-Modele SGO'!$1:$1,0),FALSE))</f>
        <v>Champ libre ou annexe</v>
      </c>
      <c r="D270" s="229" t="str">
        <f>IF($A270="","",VLOOKUP($A270,'[2]3-Elaboration.O'!$A:$T,MATCH(D$1,'[2]150-Modele SGO'!$1:$1,0),FALSE))</f>
        <v>Annexe 10 - Détail lots</v>
      </c>
      <c r="E270" s="230" t="s">
        <v>1521</v>
      </c>
      <c r="F270" s="230"/>
      <c r="G270" s="231"/>
      <c r="H270" s="232" t="s">
        <v>35</v>
      </c>
      <c r="I270" s="231"/>
      <c r="J270" s="231"/>
      <c r="K270" s="231"/>
      <c r="L270" s="231"/>
      <c r="M270" s="232" t="s">
        <v>35</v>
      </c>
      <c r="N270" s="231"/>
      <c r="O270" s="231"/>
      <c r="P270" s="231"/>
      <c r="Q270" s="231" t="s">
        <v>35</v>
      </c>
      <c r="R270" s="231" t="s">
        <v>24</v>
      </c>
      <c r="S270" s="231" t="s">
        <v>24</v>
      </c>
      <c r="T270" s="231" t="s">
        <v>24</v>
      </c>
      <c r="U270" s="231" t="s">
        <v>24</v>
      </c>
      <c r="V270" s="232" t="s">
        <v>35</v>
      </c>
      <c r="W270" s="231"/>
      <c r="X270" s="231"/>
      <c r="Y270" s="231"/>
      <c r="Z270" s="231"/>
      <c r="AA270" s="234"/>
      <c r="AB270" s="231"/>
      <c r="AC270" s="231"/>
      <c r="AD270" s="232" t="s">
        <v>35</v>
      </c>
      <c r="AE270" s="231"/>
      <c r="AF270" s="231"/>
      <c r="AG270" s="231"/>
      <c r="AH270" s="231"/>
      <c r="AI270" s="231"/>
      <c r="AJ270" s="231"/>
      <c r="AK270" s="231"/>
      <c r="AL270" s="234" t="s">
        <v>35</v>
      </c>
      <c r="AM270" s="231"/>
      <c r="AN270" s="231"/>
    </row>
    <row r="271" spans="1:40" s="9" customFormat="1" ht="30" x14ac:dyDescent="0.25">
      <c r="A271" s="13" t="s">
        <v>815</v>
      </c>
      <c r="B271" s="229" t="str">
        <f>IF($A271="","",VLOOKUP($A271,'[2]3-Elaboration.O'!$A:$T,MATCH(B$1,'[2]150-Modele SGO'!$1:$1,0),FALSE))</f>
        <v>Le plafond des pénalités est-il conforme au standard établi?</v>
      </c>
      <c r="C271" s="229" t="str">
        <f>IF($A271="","",VLOOKUP($A271,'[2]3-Elaboration.O'!$A:$T,MATCH(C$1,'[2]150-Modele SGO'!$1:$1,0),FALSE))</f>
        <v>Oui, le plafond des pénalités est conforme au standard établi;Non, le plafond des pénalités est dérogatoire au standard établi</v>
      </c>
      <c r="D271" s="229" t="str">
        <f>IF($A271="","",VLOOKUP($A271,'[2]3-Elaboration.O'!$A:$T,MATCH(D$1,'[2]150-Modele SGO'!$1:$1,0),FALSE))</f>
        <v xml:space="preserve">Liste choix unique </v>
      </c>
      <c r="E271" s="230" t="s">
        <v>1521</v>
      </c>
      <c r="F271" s="230"/>
      <c r="G271" s="233" t="s">
        <v>816</v>
      </c>
      <c r="H271" s="232" t="s">
        <v>51</v>
      </c>
      <c r="I271" s="231"/>
      <c r="J271" s="231"/>
      <c r="K271" s="231"/>
      <c r="L271" s="231"/>
      <c r="M271" s="232" t="s">
        <v>51</v>
      </c>
      <c r="N271" s="231"/>
      <c r="O271" s="231"/>
      <c r="P271" s="231"/>
      <c r="Q271" s="233" t="s">
        <v>51</v>
      </c>
      <c r="R271" s="231" t="s">
        <v>24</v>
      </c>
      <c r="S271" s="231" t="s">
        <v>24</v>
      </c>
      <c r="T271" s="231" t="s">
        <v>24</v>
      </c>
      <c r="U271" s="231" t="s">
        <v>24</v>
      </c>
      <c r="V271" s="232" t="s">
        <v>51</v>
      </c>
      <c r="W271" s="231"/>
      <c r="X271" s="231"/>
      <c r="Y271" s="231"/>
      <c r="Z271" s="231"/>
      <c r="AA271" s="234"/>
      <c r="AB271" s="231"/>
      <c r="AC271" s="231"/>
      <c r="AD271" s="232" t="s">
        <v>51</v>
      </c>
      <c r="AE271" s="231"/>
      <c r="AF271" s="231"/>
      <c r="AG271" s="231"/>
      <c r="AH271" s="231"/>
      <c r="AI271" s="231"/>
      <c r="AJ271" s="231"/>
      <c r="AK271" s="231"/>
      <c r="AL271" s="234"/>
      <c r="AM271" s="233"/>
      <c r="AN271" s="233"/>
    </row>
    <row r="272" spans="1:40" s="9" customFormat="1" ht="45" x14ac:dyDescent="0.25">
      <c r="A272" s="13" t="s">
        <v>819</v>
      </c>
      <c r="B272" s="229" t="str">
        <f>IF($A272="","",VLOOKUP($A272,'[2]3-Elaboration.O'!$A:$T,MATCH(B$1,'[2]150-Modele SGO'!$1:$1,0),FALSE))</f>
        <v>En cas de plafond de pénaité dérogatoire au standard, préciser le pourcentage du bon de commande ou le montant du plafond</v>
      </c>
      <c r="C272" s="229" t="str">
        <f>IF($A272="","",VLOOKUP($A272,'[2]3-Elaboration.O'!$A:$T,MATCH(C$1,'[2]150-Modele SGO'!$1:$1,0),FALSE))</f>
        <v>Champ libre</v>
      </c>
      <c r="D272" s="229" t="str">
        <f>IF($A272="","",VLOOKUP($A272,'[2]3-Elaboration.O'!$A:$T,MATCH(D$1,'[2]150-Modele SGO'!$1:$1,0),FALSE))</f>
        <v>Texte</v>
      </c>
      <c r="E272" s="230" t="s">
        <v>1521</v>
      </c>
      <c r="F272" s="230"/>
      <c r="G272" s="231"/>
      <c r="H272" s="232" t="s">
        <v>35</v>
      </c>
      <c r="I272" s="231"/>
      <c r="J272" s="231"/>
      <c r="K272" s="231"/>
      <c r="L272" s="231"/>
      <c r="M272" s="232" t="s">
        <v>35</v>
      </c>
      <c r="N272" s="231"/>
      <c r="O272" s="231"/>
      <c r="P272" s="231"/>
      <c r="Q272" s="231" t="s">
        <v>35</v>
      </c>
      <c r="R272" s="231" t="s">
        <v>24</v>
      </c>
      <c r="S272" s="231" t="s">
        <v>24</v>
      </c>
      <c r="T272" s="231" t="s">
        <v>24</v>
      </c>
      <c r="U272" s="231" t="s">
        <v>24</v>
      </c>
      <c r="V272" s="232" t="s">
        <v>35</v>
      </c>
      <c r="W272" s="231"/>
      <c r="X272" s="231"/>
      <c r="Y272" s="231"/>
      <c r="Z272" s="231"/>
      <c r="AA272" s="234"/>
      <c r="AB272" s="231"/>
      <c r="AC272" s="231"/>
      <c r="AD272" s="232" t="s">
        <v>35</v>
      </c>
      <c r="AE272" s="231"/>
      <c r="AF272" s="231"/>
      <c r="AG272" s="231"/>
      <c r="AH272" s="231"/>
      <c r="AI272" s="231"/>
      <c r="AJ272" s="231"/>
      <c r="AK272" s="231"/>
      <c r="AL272" s="234" t="s">
        <v>35</v>
      </c>
      <c r="AM272" s="231"/>
      <c r="AN272" s="231"/>
    </row>
    <row r="273" spans="1:40" s="9" customFormat="1" ht="15.75" x14ac:dyDescent="0.25">
      <c r="A273" s="108" t="s">
        <v>821</v>
      </c>
      <c r="B273" s="244" t="str">
        <f>IF($A273="","",VLOOKUP($A273,'[2]3-Elaboration.O'!$A:$T,MATCH(B$1,'[2]150-Modele SGO'!$1:$1,0),FALSE))</f>
        <v>07.3 Performance de l'offre</v>
      </c>
      <c r="C273" s="244">
        <f>IF($A273="","",VLOOKUP($A273,'[2]3-Elaboration.O'!$A:$T,MATCH(C$1,'[2]150-Modele SGO'!$1:$1,0),FALSE))</f>
        <v>0</v>
      </c>
      <c r="D273" s="244">
        <f>IF($A273="","",VLOOKUP($A273,'[2]3-Elaboration.O'!$A:$T,MATCH(D$1,'[2]150-Modele SGO'!$1:$1,0),FALSE))</f>
        <v>0</v>
      </c>
      <c r="E273" s="241" t="s">
        <v>70</v>
      </c>
      <c r="F273" s="241"/>
      <c r="G273" s="237"/>
      <c r="H273" s="241" t="s">
        <v>30</v>
      </c>
      <c r="I273" s="237"/>
      <c r="J273" s="237"/>
      <c r="K273" s="237"/>
      <c r="L273" s="237"/>
      <c r="M273" s="241" t="s">
        <v>30</v>
      </c>
      <c r="N273" s="237"/>
      <c r="O273" s="237"/>
      <c r="P273" s="237"/>
      <c r="Q273" s="237" t="s">
        <v>30</v>
      </c>
      <c r="R273" s="237" t="s">
        <v>24</v>
      </c>
      <c r="S273" s="231" t="s">
        <v>24</v>
      </c>
      <c r="T273" s="237" t="s">
        <v>24</v>
      </c>
      <c r="U273" s="237" t="s">
        <v>24</v>
      </c>
      <c r="V273" s="241" t="s">
        <v>30</v>
      </c>
      <c r="W273" s="237"/>
      <c r="X273" s="237"/>
      <c r="Y273" s="237"/>
      <c r="Z273" s="237"/>
      <c r="AA273" s="239"/>
      <c r="AB273" s="237"/>
      <c r="AC273" s="237"/>
      <c r="AD273" s="241" t="s">
        <v>30</v>
      </c>
      <c r="AE273" s="237"/>
      <c r="AF273" s="237"/>
      <c r="AG273" s="237"/>
      <c r="AH273" s="237"/>
      <c r="AI273" s="237"/>
      <c r="AJ273" s="237"/>
      <c r="AK273" s="237"/>
      <c r="AL273" s="239" t="s">
        <v>30</v>
      </c>
      <c r="AM273" s="237"/>
      <c r="AN273" s="237"/>
    </row>
    <row r="274" spans="1:40" s="9" customFormat="1" ht="30" x14ac:dyDescent="0.25">
      <c r="A274" s="13" t="s">
        <v>823</v>
      </c>
      <c r="B274" s="229" t="str">
        <f>IF($A274="","",VLOOKUP($A274,'[2]3-Elaboration.O'!$A:$T,MATCH(B$1,'[2]150-Modele SGO'!$1:$1,0),FALSE))</f>
        <v>Une clause de performance est-elle prévue ?</v>
      </c>
      <c r="C274" s="229" t="str">
        <f>IF($A274="","",VLOOKUP($A274,'[2]3-Elaboration.O'!$A:$T,MATCH(C$1,'[2]150-Modele SGO'!$1:$1,0),FALSE))</f>
        <v>Oui, Existence d'une clause de performance;Non, absence de clause de performance</v>
      </c>
      <c r="D274" s="229" t="str">
        <f>IF($A274="","",VLOOKUP($A274,'[2]3-Elaboration.O'!$A:$T,MATCH(D$1,'[2]150-Modele SGO'!$1:$1,0),FALSE))</f>
        <v xml:space="preserve">Liste choix unique </v>
      </c>
      <c r="E274" s="230" t="s">
        <v>1521</v>
      </c>
      <c r="F274" s="230"/>
      <c r="G274" s="233" t="s">
        <v>824</v>
      </c>
      <c r="H274" s="232" t="s">
        <v>51</v>
      </c>
      <c r="I274" s="231"/>
      <c r="J274" s="231"/>
      <c r="K274" s="231"/>
      <c r="L274" s="231"/>
      <c r="M274" s="232" t="s">
        <v>51</v>
      </c>
      <c r="N274" s="231"/>
      <c r="O274" s="231"/>
      <c r="P274" s="231"/>
      <c r="Q274" s="231" t="s">
        <v>51</v>
      </c>
      <c r="R274" s="231" t="s">
        <v>24</v>
      </c>
      <c r="S274" s="231" t="s">
        <v>24</v>
      </c>
      <c r="T274" s="231" t="s">
        <v>24</v>
      </c>
      <c r="U274" s="231" t="s">
        <v>24</v>
      </c>
      <c r="V274" s="232" t="s">
        <v>51</v>
      </c>
      <c r="W274" s="231"/>
      <c r="X274" s="247"/>
      <c r="Y274" s="231"/>
      <c r="Z274" s="247"/>
      <c r="AA274" s="283"/>
      <c r="AB274" s="247"/>
      <c r="AC274" s="247"/>
      <c r="AD274" s="232" t="s">
        <v>51</v>
      </c>
      <c r="AE274" s="231"/>
      <c r="AF274" s="231"/>
      <c r="AG274" s="231"/>
      <c r="AH274" s="231"/>
      <c r="AI274" s="231"/>
      <c r="AJ274" s="231"/>
      <c r="AK274" s="231"/>
      <c r="AL274" s="234" t="s">
        <v>51</v>
      </c>
      <c r="AM274" s="231"/>
      <c r="AN274" s="231"/>
    </row>
    <row r="275" spans="1:40" s="9" customFormat="1" ht="30" x14ac:dyDescent="0.25">
      <c r="A275" s="24" t="s">
        <v>827</v>
      </c>
      <c r="B275" s="249" t="str">
        <f>IF($A275="","",VLOOKUP($A275,'[2]3-Elaboration.O'!$A:$T,MATCH(B$1,'[2]150-Modele SGO'!$1:$1,0),FALSE))</f>
        <v xml:space="preserve">08.0  CONFORMITE - Protection des données personnelles </v>
      </c>
      <c r="C275" s="255">
        <f>IF($A275="","",VLOOKUP($A275,'[2]3-Elaboration.O'!$A:$T,MATCH(C$1,'[2]150-Modele SGO'!$1:$1,0),FALSE))</f>
        <v>0</v>
      </c>
      <c r="D275" s="255">
        <f>IF($A275="","",VLOOKUP($A275,'[2]3-Elaboration.O'!$A:$T,MATCH(D$1,'[2]150-Modele SGO'!$1:$1,0),FALSE))</f>
        <v>0</v>
      </c>
      <c r="E275" s="1" t="s">
        <v>70</v>
      </c>
      <c r="F275" s="1"/>
      <c r="G275" s="231"/>
      <c r="H275" s="238" t="s">
        <v>30</v>
      </c>
      <c r="I275" s="231"/>
      <c r="J275" s="231"/>
      <c r="K275" s="231"/>
      <c r="L275" s="231"/>
      <c r="M275" s="238" t="s">
        <v>30</v>
      </c>
      <c r="N275" s="231"/>
      <c r="O275" s="231"/>
      <c r="P275" s="231"/>
      <c r="Q275" s="231" t="s">
        <v>30</v>
      </c>
      <c r="R275" s="231" t="s">
        <v>24</v>
      </c>
      <c r="S275" s="231" t="s">
        <v>24</v>
      </c>
      <c r="T275" s="231" t="s">
        <v>24</v>
      </c>
      <c r="U275" s="231" t="s">
        <v>24</v>
      </c>
      <c r="V275" s="238" t="s">
        <v>30</v>
      </c>
      <c r="W275" s="231"/>
      <c r="X275" s="231"/>
      <c r="Y275" s="231"/>
      <c r="Z275" s="231"/>
      <c r="AA275" s="234"/>
      <c r="AB275" s="231"/>
      <c r="AC275" s="231"/>
      <c r="AD275" s="238" t="s">
        <v>30</v>
      </c>
      <c r="AE275" s="231"/>
      <c r="AF275" s="231"/>
      <c r="AG275" s="231"/>
      <c r="AH275" s="231"/>
      <c r="AI275" s="231"/>
      <c r="AJ275" s="231"/>
      <c r="AK275" s="231"/>
      <c r="AL275" s="234" t="s">
        <v>30</v>
      </c>
      <c r="AM275" s="231"/>
      <c r="AN275" s="231"/>
    </row>
    <row r="276" spans="1:40" s="9" customFormat="1" ht="76.349999999999994" customHeight="1" x14ac:dyDescent="0.25">
      <c r="A276" s="276" t="s">
        <v>829</v>
      </c>
      <c r="B276" s="229" t="str">
        <f>IF($A276="","",VLOOKUP($A276,'[2]3-Elaboration.O'!$A:$T,MATCH(B$1,'[2]150-Modele SGO'!$1:$1,0),FALSE))</f>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
      <c r="C276" s="229" t="str">
        <f>IF($A276="","",VLOOKUP($A276,'[2]3-Elaboration.O'!$A:$T,MATCH(C$1,'[2]150-Modele SGO'!$1:$1,0),FALSE))</f>
        <v>Oui, les données personnelles ont vocation à transiter/intégrer le SI de l'UGAP; Non, les données personnelles n'ont pas vocation à transiter/intgérer le SI de l'UGAP</v>
      </c>
      <c r="D276" s="229" t="str">
        <f>IF($A276="","",VLOOKUP($A276,'[2]3-Elaboration.O'!$A:$T,MATCH(D$1,'[2]150-Modele SGO'!$1:$1,0),FALSE))</f>
        <v xml:space="preserve">Liste choix unique </v>
      </c>
      <c r="E276" s="230" t="s">
        <v>70</v>
      </c>
      <c r="F276" s="230"/>
      <c r="G276" s="137" t="s">
        <v>830</v>
      </c>
      <c r="H276" s="232" t="s">
        <v>51</v>
      </c>
      <c r="I276" s="231"/>
      <c r="J276" s="231"/>
      <c r="K276" s="231"/>
      <c r="L276" s="231"/>
      <c r="M276" s="232" t="s">
        <v>51</v>
      </c>
      <c r="N276" s="231"/>
      <c r="O276" s="231"/>
      <c r="P276" s="231"/>
      <c r="Q276" s="233" t="s">
        <v>51</v>
      </c>
      <c r="R276" s="231"/>
      <c r="S276" s="231" t="s">
        <v>24</v>
      </c>
      <c r="T276" s="231" t="s">
        <v>24</v>
      </c>
      <c r="U276" s="231" t="s">
        <v>24</v>
      </c>
      <c r="V276" s="232" t="s">
        <v>51</v>
      </c>
      <c r="W276" s="231"/>
      <c r="X276" s="231"/>
      <c r="Y276" s="231"/>
      <c r="Z276" s="231"/>
      <c r="AA276" s="234"/>
      <c r="AB276" s="242"/>
      <c r="AC276" s="242"/>
      <c r="AD276" s="232" t="s">
        <v>35</v>
      </c>
      <c r="AE276" s="231"/>
      <c r="AF276" s="231"/>
      <c r="AG276" s="231"/>
      <c r="AH276" s="231"/>
      <c r="AI276" s="231"/>
      <c r="AJ276" s="231"/>
      <c r="AK276" s="231"/>
      <c r="AL276" s="234" t="s">
        <v>35</v>
      </c>
      <c r="AM276" s="231"/>
      <c r="AN276" s="231"/>
    </row>
    <row r="277" spans="1:40" s="9" customFormat="1" ht="45" x14ac:dyDescent="0.25">
      <c r="A277" s="276" t="s">
        <v>833</v>
      </c>
      <c r="B277" s="229" t="str">
        <f>IF($A277="","",VLOOKUP($A277,'[2]3-Elaboration.O'!$A:$T,MATCH(B$1,'[2]150-Modele SGO'!$1:$1,0),FALSE))</f>
        <v>Si oui, contacter dès à présent le chargé de mission NTIC et le DPD afin de pouvoir apporter les justifications nécessaires</v>
      </c>
      <c r="C277" s="229" t="str">
        <f>IF($A277="","",VLOOKUP($A277,'[2]3-Elaboration.O'!$A:$T,MATCH(C$1,'[2]150-Modele SGO'!$1:$1,0),FALSE))</f>
        <v>Champ libre</v>
      </c>
      <c r="D277" s="229" t="str">
        <f>IF($A277="","",VLOOKUP($A277,'[2]3-Elaboration.O'!$A:$T,MATCH(D$1,'[2]150-Modele SGO'!$1:$1,0),FALSE))</f>
        <v>Texte</v>
      </c>
      <c r="E277" s="230" t="s">
        <v>70</v>
      </c>
      <c r="F277" s="230"/>
      <c r="G277" s="231"/>
      <c r="H277" s="232" t="s">
        <v>35</v>
      </c>
      <c r="I277" s="231"/>
      <c r="J277" s="231"/>
      <c r="K277" s="231"/>
      <c r="L277" s="231"/>
      <c r="M277" s="232" t="s">
        <v>35</v>
      </c>
      <c r="N277" s="231"/>
      <c r="O277" s="231"/>
      <c r="P277" s="231"/>
      <c r="Q277" s="231" t="s">
        <v>35</v>
      </c>
      <c r="R277" s="231" t="s">
        <v>24</v>
      </c>
      <c r="S277" s="231" t="s">
        <v>24</v>
      </c>
      <c r="T277" s="231" t="s">
        <v>24</v>
      </c>
      <c r="U277" s="231" t="s">
        <v>24</v>
      </c>
      <c r="V277" s="232" t="s">
        <v>35</v>
      </c>
      <c r="W277" s="247"/>
      <c r="X277" s="231"/>
      <c r="Y277" s="231"/>
      <c r="Z277" s="231"/>
      <c r="AA277" s="234"/>
      <c r="AB277" s="231"/>
      <c r="AC277" s="231"/>
      <c r="AD277" s="232" t="s">
        <v>35</v>
      </c>
      <c r="AE277" s="231"/>
      <c r="AF277" s="231"/>
      <c r="AG277" s="231"/>
      <c r="AH277" s="231"/>
      <c r="AI277" s="231"/>
      <c r="AJ277" s="231"/>
      <c r="AK277" s="231"/>
      <c r="AL277" s="234" t="s">
        <v>35</v>
      </c>
      <c r="AM277" s="231"/>
      <c r="AN277" s="231"/>
    </row>
    <row r="278" spans="1:40" s="9" customFormat="1" ht="120" x14ac:dyDescent="0.25">
      <c r="A278" s="276" t="s">
        <v>835</v>
      </c>
      <c r="B278" s="229" t="str">
        <f>IF($A278="","",VLOOKUP($A278,'[2]3-Elaboration.O'!$A:$T,MATCH(B$1,'[2]150-Modele SGO'!$1:$1,0),FALSE))</f>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
      <c r="C278" s="229" t="str">
        <f>IF($A278="","",VLOOKUP($A278,'[2]3-Elaboration.O'!$A:$T,MATCH(C$1,'[2]150-Modele SGO'!$1:$1,0),FALSE))</f>
        <v>Oui, le traitement des données personnelles concernent des données sensibles, personnes vulnérables, à usage innovant…; Non, le traitement des données personnelles ne concernent pas les données sensibles, personnes vulnérables, à usage innovant</v>
      </c>
      <c r="D278" s="229" t="str">
        <f>IF($A278="","",VLOOKUP($A278,'[2]3-Elaboration.O'!$A:$T,MATCH(D$1,'[2]150-Modele SGO'!$1:$1,0),FALSE))</f>
        <v xml:space="preserve">Liste choix unique </v>
      </c>
      <c r="E278" s="230" t="s">
        <v>70</v>
      </c>
      <c r="F278" s="230"/>
      <c r="G278" s="231"/>
      <c r="H278" s="248" t="s">
        <v>35</v>
      </c>
      <c r="I278" s="231"/>
      <c r="J278" s="231"/>
      <c r="K278" s="231"/>
      <c r="L278" s="231"/>
      <c r="M278" s="248" t="s">
        <v>35</v>
      </c>
      <c r="N278" s="231"/>
      <c r="O278" s="231"/>
      <c r="P278" s="231"/>
      <c r="Q278" s="231" t="s">
        <v>26</v>
      </c>
      <c r="R278" s="231" t="s">
        <v>24</v>
      </c>
      <c r="S278" s="233" t="s">
        <v>1671</v>
      </c>
      <c r="T278" s="233" t="s">
        <v>1671</v>
      </c>
      <c r="U278" s="233" t="s">
        <v>1672</v>
      </c>
      <c r="V278" s="248" t="s">
        <v>35</v>
      </c>
      <c r="W278" s="231"/>
      <c r="X278" s="231"/>
      <c r="Y278" s="231"/>
      <c r="Z278" s="231"/>
      <c r="AA278" s="234"/>
      <c r="AB278" s="231"/>
      <c r="AC278" s="231"/>
      <c r="AD278" s="232" t="s">
        <v>35</v>
      </c>
      <c r="AE278" s="231"/>
      <c r="AF278" s="231"/>
      <c r="AG278" s="231"/>
      <c r="AH278" s="231"/>
      <c r="AI278" s="231"/>
      <c r="AJ278" s="231"/>
      <c r="AK278" s="231"/>
      <c r="AL278" s="234" t="s">
        <v>35</v>
      </c>
      <c r="AM278" s="231"/>
      <c r="AN278" s="231"/>
    </row>
    <row r="279" spans="1:40" s="9" customFormat="1" ht="45" x14ac:dyDescent="0.25">
      <c r="A279" s="276" t="s">
        <v>838</v>
      </c>
      <c r="B279" s="229" t="str">
        <f>IF($A279="","",VLOOKUP($A279,'[2]3-Elaboration.O'!$A:$T,MATCH(B$1,'[2]150-Modele SGO'!$1:$1,0),FALSE))</f>
        <v>Si oui, une analyse d'impact au sens RGPD doit-elle être mise en œuvre après échanges avec le chargé de mission NTIC et le DPD ?</v>
      </c>
      <c r="C279" s="229" t="str">
        <f>IF($A279="","",VLOOKUP($A279,'[2]3-Elaboration.O'!$A:$T,MATCH(C$1,'[2]150-Modele SGO'!$1:$1,0),FALSE))</f>
        <v>Oui, une analyse d’impact relative à la protection des données est requise par le RGPD;Non, absence d'analyse d'impact par le RGPD</v>
      </c>
      <c r="D279" s="229" t="str">
        <f>IF($A279="","",VLOOKUP($A279,'[2]3-Elaboration.O'!$A:$T,MATCH(D$1,'[2]150-Modele SGO'!$1:$1,0),FALSE))</f>
        <v xml:space="preserve">Liste choix unique </v>
      </c>
      <c r="E279" s="230" t="s">
        <v>70</v>
      </c>
      <c r="F279" s="230"/>
      <c r="G279" s="231"/>
      <c r="H279" s="232" t="s">
        <v>35</v>
      </c>
      <c r="I279" s="231"/>
      <c r="J279" s="231"/>
      <c r="K279" s="231"/>
      <c r="L279" s="231"/>
      <c r="M279" s="232" t="s">
        <v>35</v>
      </c>
      <c r="N279" s="231"/>
      <c r="O279" s="231"/>
      <c r="P279" s="231"/>
      <c r="Q279" s="231" t="s">
        <v>19</v>
      </c>
      <c r="R279" s="233" t="s">
        <v>839</v>
      </c>
      <c r="S279" s="231"/>
      <c r="T279" s="231" t="s">
        <v>24</v>
      </c>
      <c r="U279" s="231" t="s">
        <v>24</v>
      </c>
      <c r="V279" s="232" t="s">
        <v>19</v>
      </c>
      <c r="W279" s="233" t="s">
        <v>839</v>
      </c>
      <c r="X279" s="231"/>
      <c r="Y279" s="231"/>
      <c r="Z279" s="231"/>
      <c r="AA279" s="234"/>
      <c r="AB279" s="231"/>
      <c r="AC279" s="231"/>
      <c r="AD279" s="232" t="s">
        <v>35</v>
      </c>
      <c r="AE279" s="231"/>
      <c r="AF279" s="231"/>
      <c r="AG279" s="231"/>
      <c r="AH279" s="231"/>
      <c r="AI279" s="231"/>
      <c r="AJ279" s="231"/>
      <c r="AK279" s="231"/>
      <c r="AL279" s="234" t="s">
        <v>35</v>
      </c>
      <c r="AM279" s="231"/>
      <c r="AN279" s="231"/>
    </row>
    <row r="280" spans="1:40" s="9" customFormat="1" ht="15.75" x14ac:dyDescent="0.25">
      <c r="A280" s="108" t="s">
        <v>842</v>
      </c>
      <c r="B280" s="244" t="str">
        <f>IF($A280="","",VLOOKUP($A280,'[2]3-Elaboration.O'!$A:$T,MATCH(B$1,'[2]150-Modele SGO'!$1:$1,0),FALSE))</f>
        <v>09.0 DROITS DE PROPRIETE INTELECTUELLE</v>
      </c>
      <c r="C280" s="244">
        <f>IF($A280="","",VLOOKUP($A280,'[2]3-Elaboration.O'!$A:$T,MATCH(C$1,'[2]150-Modele SGO'!$1:$1,0),FALSE))</f>
        <v>0</v>
      </c>
      <c r="D280" s="244">
        <f>IF($A280="","",VLOOKUP($A280,'[2]3-Elaboration.O'!$A:$T,MATCH(D$1,'[2]150-Modele SGO'!$1:$1,0),FALSE))</f>
        <v>0</v>
      </c>
      <c r="E280" s="241" t="s">
        <v>70</v>
      </c>
      <c r="F280" s="241"/>
      <c r="G280" s="237"/>
      <c r="H280" s="241" t="s">
        <v>30</v>
      </c>
      <c r="I280" s="237"/>
      <c r="J280" s="237"/>
      <c r="K280" s="237"/>
      <c r="L280" s="237"/>
      <c r="M280" s="241" t="s">
        <v>30</v>
      </c>
      <c r="N280" s="237"/>
      <c r="O280" s="237"/>
      <c r="P280" s="237"/>
      <c r="Q280" s="237" t="s">
        <v>30</v>
      </c>
      <c r="R280" s="237" t="s">
        <v>24</v>
      </c>
      <c r="S280" s="231" t="s">
        <v>24</v>
      </c>
      <c r="T280" s="237" t="s">
        <v>24</v>
      </c>
      <c r="U280" s="237" t="s">
        <v>24</v>
      </c>
      <c r="V280" s="241" t="s">
        <v>30</v>
      </c>
      <c r="W280" s="237"/>
      <c r="X280" s="237"/>
      <c r="Y280" s="237"/>
      <c r="Z280" s="237"/>
      <c r="AA280" s="239"/>
      <c r="AB280" s="237"/>
      <c r="AC280" s="237"/>
      <c r="AD280" s="241" t="s">
        <v>30</v>
      </c>
      <c r="AE280" s="237"/>
      <c r="AF280" s="237"/>
      <c r="AG280" s="237"/>
      <c r="AH280" s="237"/>
      <c r="AI280" s="237"/>
      <c r="AJ280" s="237"/>
      <c r="AK280" s="237"/>
      <c r="AL280" s="239" t="s">
        <v>30</v>
      </c>
      <c r="AM280" s="237"/>
      <c r="AN280" s="237"/>
    </row>
    <row r="281" spans="1:40" s="9" customFormat="1" ht="60" x14ac:dyDescent="0.25">
      <c r="A281" s="13" t="s">
        <v>844</v>
      </c>
      <c r="B281" s="229" t="str">
        <f>IF($A281="","",VLOOKUP($A281,'[2]3-Elaboration.O'!$A:$T,MATCH(B$1,'[2]150-Modele SGO'!$1:$1,0),FALSE))</f>
        <v>Est-il prévu des logiciels dans les éléments cédés ou concédés ?</v>
      </c>
      <c r="C281" s="229" t="str">
        <f>IF($A281="","",VLOOKUP($A281,'[2]3-Elaboration.O'!$A:$T,MATCH(C$1,'[2]150-Modele SGO'!$1:$1,0),FALSE))</f>
        <v>Non, Pas de logiciels prévus dans les éléments concédés ou cédés; Oui, logiciesl cédés prévus; Oui, logiciels concédés prévus</v>
      </c>
      <c r="D281" s="229" t="str">
        <f>IF($A281="","",VLOOKUP($A281,'[2]3-Elaboration.O'!$A:$T,MATCH(D$1,'[2]150-Modele SGO'!$1:$1,0),FALSE))</f>
        <v>Liste choix multiple</v>
      </c>
      <c r="E281" s="230" t="s">
        <v>1521</v>
      </c>
      <c r="F281" s="230" t="s">
        <v>44</v>
      </c>
      <c r="G281" s="231"/>
      <c r="H281" s="232" t="s">
        <v>19</v>
      </c>
      <c r="I281" s="233" t="s">
        <v>1673</v>
      </c>
      <c r="J281" s="231"/>
      <c r="K281" s="231"/>
      <c r="L281" s="231"/>
      <c r="M281" s="232" t="s">
        <v>26</v>
      </c>
      <c r="N281" s="231"/>
      <c r="O281" s="233" t="s">
        <v>1673</v>
      </c>
      <c r="P281" s="233" t="s">
        <v>35</v>
      </c>
      <c r="Q281" s="233" t="s">
        <v>26</v>
      </c>
      <c r="R281" s="231" t="s">
        <v>24</v>
      </c>
      <c r="S281" s="233" t="s">
        <v>1673</v>
      </c>
      <c r="T281" s="233" t="s">
        <v>845</v>
      </c>
      <c r="U281" s="233" t="s">
        <v>845</v>
      </c>
      <c r="V281" s="232" t="s">
        <v>26</v>
      </c>
      <c r="W281" s="231"/>
      <c r="X281" s="233" t="s">
        <v>46</v>
      </c>
      <c r="Y281" s="245" t="s">
        <v>1674</v>
      </c>
      <c r="Z281" s="233" t="s">
        <v>46</v>
      </c>
      <c r="AA281" s="235" t="s">
        <v>845</v>
      </c>
      <c r="AB281" s="233" t="s">
        <v>46</v>
      </c>
      <c r="AC281" s="245" t="s">
        <v>1674</v>
      </c>
      <c r="AD281" s="232" t="s">
        <v>26</v>
      </c>
      <c r="AE281" s="231"/>
      <c r="AF281" s="233" t="s">
        <v>1675</v>
      </c>
      <c r="AG281" s="233" t="s">
        <v>1675</v>
      </c>
      <c r="AH281" s="233" t="s">
        <v>1675</v>
      </c>
      <c r="AI281" s="233" t="s">
        <v>1675</v>
      </c>
      <c r="AJ281" s="233" t="s">
        <v>1673</v>
      </c>
      <c r="AK281" s="233" t="s">
        <v>1673</v>
      </c>
      <c r="AL281" s="235" t="s">
        <v>35</v>
      </c>
      <c r="AM281" s="231"/>
      <c r="AN281" s="231"/>
    </row>
    <row r="282" spans="1:40" s="9" customFormat="1" ht="70.349999999999994" customHeight="1" x14ac:dyDescent="0.25">
      <c r="A282" s="13" t="s">
        <v>848</v>
      </c>
      <c r="B282" s="229" t="str">
        <f>IF($A282="","",VLOOKUP($A282,'[2]3-Elaboration.O'!$A:$T,MATCH(B$1,'[2]150-Modele SGO'!$1:$1,0),FALSE))</f>
        <v>Si oui, à compter de quel délai le titulaire s'engage à communiquer au bénéficiaire le droit d'utilisation des logiciels concédés ? 
(si délai autre que le choix sur liste, saisir directement le délai dans la réponse)</v>
      </c>
      <c r="C282" s="229" t="str">
        <f>IF($A282="","",VLOOKUP($A282,'[2]3-Elaboration.O'!$A:$T,MATCH(C$1,'[2]150-Modele SGO'!$1:$1,0),FALSE))</f>
        <v>Champ libre</v>
      </c>
      <c r="D282" s="229" t="str">
        <f>IF($A282="","",VLOOKUP($A282,'[2]3-Elaboration.O'!$A:$T,MATCH(D$1,'[2]150-Modele SGO'!$1:$1,0),FALSE))</f>
        <v xml:space="preserve">Liste de choix ou texte </v>
      </c>
      <c r="E282" s="230" t="s">
        <v>1521</v>
      </c>
      <c r="F282" s="230"/>
      <c r="G282" s="231"/>
      <c r="H282" s="232" t="s">
        <v>35</v>
      </c>
      <c r="I282" s="231"/>
      <c r="J282" s="231"/>
      <c r="K282" s="231"/>
      <c r="L282" s="231"/>
      <c r="M282" s="232" t="s">
        <v>35</v>
      </c>
      <c r="N282" s="231"/>
      <c r="O282" s="231"/>
      <c r="P282" s="231"/>
      <c r="Q282" s="231" t="s">
        <v>35</v>
      </c>
      <c r="R282" s="231" t="s">
        <v>24</v>
      </c>
      <c r="S282" s="231"/>
      <c r="T282" s="231" t="s">
        <v>24</v>
      </c>
      <c r="U282" s="231" t="s">
        <v>24</v>
      </c>
      <c r="V282" s="232" t="s">
        <v>26</v>
      </c>
      <c r="W282" s="231" t="s">
        <v>1676</v>
      </c>
      <c r="X282" s="233" t="s">
        <v>1676</v>
      </c>
      <c r="Y282" s="233" t="s">
        <v>1676</v>
      </c>
      <c r="Z282" s="233" t="s">
        <v>1676</v>
      </c>
      <c r="AA282" s="235" t="s">
        <v>849</v>
      </c>
      <c r="AB282" s="233" t="s">
        <v>1676</v>
      </c>
      <c r="AC282" s="233" t="s">
        <v>1676</v>
      </c>
      <c r="AD282" s="232" t="s">
        <v>35</v>
      </c>
      <c r="AE282" s="231"/>
      <c r="AF282" s="231"/>
      <c r="AG282" s="231"/>
      <c r="AH282" s="231"/>
      <c r="AI282" s="231"/>
      <c r="AJ282" s="231"/>
      <c r="AK282" s="231"/>
      <c r="AL282" s="234" t="s">
        <v>35</v>
      </c>
      <c r="AM282" s="231"/>
      <c r="AN282" s="231"/>
    </row>
    <row r="283" spans="1:40" s="9" customFormat="1" ht="15.75" x14ac:dyDescent="0.25">
      <c r="A283" s="24" t="s">
        <v>851</v>
      </c>
      <c r="B283" s="249" t="str">
        <f>IF($A283="","",VLOOKUP($A283,'[2]3-Elaboration.O'!$A:$T,MATCH(B$1,'[2]150-Modele SGO'!$1:$1,0),FALSE))</f>
        <v>10.0  PRIX</v>
      </c>
      <c r="C283" s="255">
        <f>IF($A283="","",VLOOKUP($A283,'[2]3-Elaboration.O'!$A:$T,MATCH(C$1,'[2]150-Modele SGO'!$1:$1,0),FALSE))</f>
        <v>0</v>
      </c>
      <c r="D283" s="255">
        <f>IF($A283="","",VLOOKUP($A283,'[2]3-Elaboration.O'!$A:$T,MATCH(D$1,'[2]150-Modele SGO'!$1:$1,0),FALSE))</f>
        <v>0</v>
      </c>
      <c r="E283" s="1" t="s">
        <v>70</v>
      </c>
      <c r="F283" s="1"/>
      <c r="G283" s="231"/>
      <c r="H283" s="238" t="s">
        <v>30</v>
      </c>
      <c r="I283" s="231"/>
      <c r="J283" s="231"/>
      <c r="K283" s="231"/>
      <c r="L283" s="231"/>
      <c r="M283" s="238" t="s">
        <v>30</v>
      </c>
      <c r="N283" s="231"/>
      <c r="O283" s="231"/>
      <c r="P283" s="231"/>
      <c r="Q283" s="231" t="s">
        <v>30</v>
      </c>
      <c r="R283" s="231" t="s">
        <v>24</v>
      </c>
      <c r="S283" s="231" t="s">
        <v>24</v>
      </c>
      <c r="T283" s="231" t="s">
        <v>24</v>
      </c>
      <c r="U283" s="231" t="s">
        <v>24</v>
      </c>
      <c r="V283" s="238" t="s">
        <v>30</v>
      </c>
      <c r="W283" s="231"/>
      <c r="X283" s="231"/>
      <c r="Y283" s="231"/>
      <c r="Z283" s="231"/>
      <c r="AA283" s="234"/>
      <c r="AB283" s="231"/>
      <c r="AC283" s="231"/>
      <c r="AD283" s="238" t="s">
        <v>30</v>
      </c>
      <c r="AE283" s="231"/>
      <c r="AF283" s="231"/>
      <c r="AG283" s="231"/>
      <c r="AH283" s="231"/>
      <c r="AI283" s="231"/>
      <c r="AJ283" s="231"/>
      <c r="AK283" s="231"/>
      <c r="AL283" s="234" t="s">
        <v>30</v>
      </c>
      <c r="AM283" s="231"/>
      <c r="AN283" s="231"/>
    </row>
    <row r="284" spans="1:40" s="9" customFormat="1" ht="15.75" x14ac:dyDescent="0.25">
      <c r="A284" s="108" t="s">
        <v>853</v>
      </c>
      <c r="B284" s="244" t="str">
        <f>IF($A284="","",VLOOKUP($A284,'[2]3-Elaboration.O'!$A:$T,MATCH(B$1,'[2]150-Modele SGO'!$1:$1,0),FALSE))</f>
        <v>10.1 Forme des prix et composition des prix</v>
      </c>
      <c r="C284" s="244">
        <f>IF($A284="","",VLOOKUP($A284,'[2]3-Elaboration.O'!$A:$T,MATCH(C$1,'[2]150-Modele SGO'!$1:$1,0),FALSE))</f>
        <v>0</v>
      </c>
      <c r="D284" s="244">
        <f>IF($A284="","",VLOOKUP($A284,'[2]3-Elaboration.O'!$A:$T,MATCH(D$1,'[2]150-Modele SGO'!$1:$1,0),FALSE))</f>
        <v>0</v>
      </c>
      <c r="E284" s="241" t="s">
        <v>70</v>
      </c>
      <c r="F284" s="241"/>
      <c r="G284" s="237"/>
      <c r="H284" s="241" t="s">
        <v>30</v>
      </c>
      <c r="I284" s="237"/>
      <c r="J284" s="237"/>
      <c r="K284" s="237"/>
      <c r="L284" s="237"/>
      <c r="M284" s="241" t="s">
        <v>30</v>
      </c>
      <c r="N284" s="237"/>
      <c r="O284" s="237"/>
      <c r="P284" s="237"/>
      <c r="Q284" s="237" t="s">
        <v>30</v>
      </c>
      <c r="R284" s="237" t="s">
        <v>24</v>
      </c>
      <c r="S284" s="231" t="s">
        <v>24</v>
      </c>
      <c r="T284" s="237" t="s">
        <v>24</v>
      </c>
      <c r="U284" s="237" t="s">
        <v>24</v>
      </c>
      <c r="V284" s="241" t="s">
        <v>30</v>
      </c>
      <c r="W284" s="237"/>
      <c r="X284" s="237"/>
      <c r="Y284" s="237"/>
      <c r="Z284" s="237"/>
      <c r="AA284" s="239"/>
      <c r="AB284" s="237"/>
      <c r="AC284" s="237"/>
      <c r="AD284" s="241" t="s">
        <v>30</v>
      </c>
      <c r="AE284" s="237"/>
      <c r="AF284" s="237"/>
      <c r="AG284" s="252"/>
      <c r="AH284" s="237"/>
      <c r="AI284" s="237"/>
      <c r="AJ284" s="237"/>
      <c r="AK284" s="237"/>
      <c r="AL284" s="239" t="s">
        <v>30</v>
      </c>
      <c r="AM284" s="237"/>
      <c r="AN284" s="237"/>
    </row>
    <row r="285" spans="1:40" s="9" customFormat="1" ht="51.6" customHeight="1" x14ac:dyDescent="0.25">
      <c r="A285" s="13" t="s">
        <v>855</v>
      </c>
      <c r="B285" s="229" t="str">
        <f>IF($A285="","",VLOOKUP($A285,'[2]3-Elaboration.O'!$A:$T,MATCH(B$1,'[2]150-Modele SGO'!$1:$1,0),FALSE))</f>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
      <c r="C285" s="229" t="str">
        <f>IF($A285="","",VLOOKUP($A285,'[2]3-Elaboration.O'!$A:$T,MATCH(C$1,'[2]150-Modele SGO'!$1:$1,0),FALSE))</f>
        <v>Unitaire;Forfaitaire;Mixte</v>
      </c>
      <c r="D285" s="229" t="str">
        <f>IF($A285="","",VLOOKUP($A285,'[2]3-Elaboration.O'!$A:$T,MATCH(D$1,'[2]150-Modele SGO'!$1:$1,0),FALSE))</f>
        <v xml:space="preserve">Liste choix unique </v>
      </c>
      <c r="E285" s="230" t="s">
        <v>70</v>
      </c>
      <c r="F285" s="230"/>
      <c r="G285" s="231"/>
      <c r="H285" s="232" t="s">
        <v>19</v>
      </c>
      <c r="I285" s="233" t="s">
        <v>856</v>
      </c>
      <c r="J285" s="231"/>
      <c r="K285" s="231"/>
      <c r="L285" s="231"/>
      <c r="M285" s="232" t="s">
        <v>26</v>
      </c>
      <c r="N285" s="231"/>
      <c r="O285" s="233" t="s">
        <v>1581</v>
      </c>
      <c r="P285" s="233" t="s">
        <v>35</v>
      </c>
      <c r="Q285" s="233" t="s">
        <v>26</v>
      </c>
      <c r="R285" s="231" t="s">
        <v>24</v>
      </c>
      <c r="S285" s="233" t="s">
        <v>1581</v>
      </c>
      <c r="T285" s="233" t="s">
        <v>1581</v>
      </c>
      <c r="U285" s="233" t="s">
        <v>856</v>
      </c>
      <c r="V285" s="232" t="s">
        <v>19</v>
      </c>
      <c r="W285" s="233" t="s">
        <v>856</v>
      </c>
      <c r="X285" s="231"/>
      <c r="Y285" s="231"/>
      <c r="Z285" s="231"/>
      <c r="AA285" s="234"/>
      <c r="AB285" s="242"/>
      <c r="AC285" s="242"/>
      <c r="AD285" s="232" t="s">
        <v>26</v>
      </c>
      <c r="AE285" s="231"/>
      <c r="AF285" s="233" t="s">
        <v>856</v>
      </c>
      <c r="AG285" s="233" t="s">
        <v>856</v>
      </c>
      <c r="AH285" s="233" t="s">
        <v>856</v>
      </c>
      <c r="AI285" s="233" t="s">
        <v>856</v>
      </c>
      <c r="AJ285" s="233" t="s">
        <v>856</v>
      </c>
      <c r="AK285" s="233" t="s">
        <v>856</v>
      </c>
      <c r="AL285" s="235" t="s">
        <v>35</v>
      </c>
      <c r="AM285" s="231"/>
      <c r="AN285" s="231"/>
    </row>
    <row r="286" spans="1:40" s="9" customFormat="1" ht="120" x14ac:dyDescent="0.25">
      <c r="A286" s="13" t="s">
        <v>859</v>
      </c>
      <c r="B286" s="229" t="str">
        <f>IF($A286="","",VLOOKUP($A286,'[2]3-Elaboration.O'!$A:$T,MATCH(B$1,'[2]150-Modele SGO'!$1:$1,0),FALSE))</f>
        <v>Préciser les modalités particulières de prix applicables</v>
      </c>
      <c r="C286" s="229" t="str">
        <f>IF($A286="","",VLOOKUP($A286,'[2]3-Elaboration.O'!$A:$T,MATCH(C$1,'[2]150-Modele SGO'!$1:$1,0),FALSE))</f>
        <v>Référence forfaitaire petite commande;Minima de commande;Politique de remise (ex remise sur tarif public);Barème dégressif en fonction des quantités;Conditions de livraison;surcoût (îles littorales)</v>
      </c>
      <c r="D286" s="229" t="str">
        <f>IF($A286="","",VLOOKUP($A286,'[2]3-Elaboration.O'!$A:$T,MATCH(D$1,'[2]150-Modele SGO'!$1:$1,0),FALSE))</f>
        <v>Liste choix multiple</v>
      </c>
      <c r="E286" s="230" t="s">
        <v>70</v>
      </c>
      <c r="F286" s="230" t="s">
        <v>44</v>
      </c>
      <c r="G286" s="231"/>
      <c r="H286" s="232" t="s">
        <v>26</v>
      </c>
      <c r="I286" s="231"/>
      <c r="J286" s="233" t="s">
        <v>1677</v>
      </c>
      <c r="K286" s="233" t="s">
        <v>1677</v>
      </c>
      <c r="L286" s="233" t="s">
        <v>1678</v>
      </c>
      <c r="M286" s="232" t="s">
        <v>35</v>
      </c>
      <c r="N286" s="231"/>
      <c r="O286" s="231"/>
      <c r="P286" s="231"/>
      <c r="Q286" s="231" t="s">
        <v>35</v>
      </c>
      <c r="R286" s="231" t="s">
        <v>24</v>
      </c>
      <c r="S286" s="231" t="s">
        <v>1679</v>
      </c>
      <c r="T286" s="231" t="s">
        <v>24</v>
      </c>
      <c r="U286" s="231" t="s">
        <v>24</v>
      </c>
      <c r="V286" s="248" t="s">
        <v>35</v>
      </c>
      <c r="W286" s="231"/>
      <c r="X286" s="231"/>
      <c r="Y286" s="231"/>
      <c r="Z286" s="231"/>
      <c r="AA286" s="234"/>
      <c r="AB286" s="231"/>
      <c r="AC286" s="231"/>
      <c r="AD286" s="248" t="s">
        <v>26</v>
      </c>
      <c r="AE286" s="231"/>
      <c r="AF286" s="233" t="s">
        <v>1677</v>
      </c>
      <c r="AG286" s="233" t="s">
        <v>1677</v>
      </c>
      <c r="AH286" s="233" t="s">
        <v>1677</v>
      </c>
      <c r="AI286" s="233" t="s">
        <v>1677</v>
      </c>
      <c r="AJ286" s="233" t="s">
        <v>1677</v>
      </c>
      <c r="AK286" s="233" t="s">
        <v>1680</v>
      </c>
      <c r="AL286" s="235" t="s">
        <v>35</v>
      </c>
      <c r="AM286" s="231"/>
      <c r="AN286" s="231"/>
    </row>
    <row r="287" spans="1:40" s="9" customFormat="1" ht="90" x14ac:dyDescent="0.25">
      <c r="A287" s="13" t="s">
        <v>862</v>
      </c>
      <c r="B287" s="229" t="str">
        <f>IF($A287="","",VLOOKUP($A287,'[2]3-Elaboration.O'!$A:$T,MATCH(B$1,'[2]150-Modele SGO'!$1:$1,0),FALSE))</f>
        <v>Ces modalités  s'appliquent-elles à l'ensemble des lots ?</v>
      </c>
      <c r="C287" s="229" t="str">
        <f>IF($A287="","",VLOOKUP($A287,'[2]3-Elaboration.O'!$A:$T,MATCH(C$1,'[2]150-Modele SGO'!$1:$1,0),FALSE))</f>
        <v>Oui, ces modalités  s'appliquent à l'ensemble des lots; Non, ces modalités ne s'appliquent pas à l'ensemble des lots</v>
      </c>
      <c r="D287" s="229" t="str">
        <f>IF($A287="","",VLOOKUP($A287,'[2]3-Elaboration.O'!$A:$T,MATCH(D$1,'[2]150-Modele SGO'!$1:$1,0),FALSE))</f>
        <v xml:space="preserve">Liste choix unique </v>
      </c>
      <c r="E287" s="230" t="s">
        <v>70</v>
      </c>
      <c r="F287" s="230"/>
      <c r="G287" s="231"/>
      <c r="H287" s="232" t="s">
        <v>35</v>
      </c>
      <c r="I287" s="231"/>
      <c r="J287" s="231"/>
      <c r="K287" s="231"/>
      <c r="L287" s="231"/>
      <c r="M287" s="232" t="s">
        <v>35</v>
      </c>
      <c r="N287" s="231"/>
      <c r="O287" s="231"/>
      <c r="P287" s="231"/>
      <c r="Q287" s="231" t="s">
        <v>35</v>
      </c>
      <c r="R287" s="231" t="s">
        <v>24</v>
      </c>
      <c r="S287" s="231" t="s">
        <v>1681</v>
      </c>
      <c r="T287" s="231" t="s">
        <v>24</v>
      </c>
      <c r="U287" s="231" t="s">
        <v>24</v>
      </c>
      <c r="V287" s="232" t="s">
        <v>35</v>
      </c>
      <c r="W287" s="231"/>
      <c r="X287" s="231"/>
      <c r="Y287" s="231"/>
      <c r="Z287" s="231"/>
      <c r="AA287" s="234"/>
      <c r="AB287" s="231"/>
      <c r="AC287" s="231"/>
      <c r="AD287" s="232" t="s">
        <v>26</v>
      </c>
      <c r="AE287" s="231"/>
      <c r="AF287" s="233" t="s">
        <v>1682</v>
      </c>
      <c r="AG287" s="233" t="s">
        <v>1682</v>
      </c>
      <c r="AH287" s="233" t="s">
        <v>1682</v>
      </c>
      <c r="AI287" s="233" t="s">
        <v>1682</v>
      </c>
      <c r="AJ287" s="233" t="s">
        <v>1682</v>
      </c>
      <c r="AK287" s="233" t="s">
        <v>1683</v>
      </c>
      <c r="AL287" s="235" t="s">
        <v>35</v>
      </c>
      <c r="AM287" s="231"/>
      <c r="AN287" s="231"/>
    </row>
    <row r="288" spans="1:40" s="9" customFormat="1" ht="45" x14ac:dyDescent="0.25">
      <c r="A288" s="13" t="s">
        <v>863</v>
      </c>
      <c r="B288" s="229" t="str">
        <f>IF($A288="","",VLOOKUP($A288,'[2]3-Elaboration.O'!$A:$T,MATCH(B$1,'[2]150-Modele SGO'!$1:$1,0),FALSE))</f>
        <v>Si non, préciser les modalités particlulières pour chaque lot</v>
      </c>
      <c r="C288" s="229" t="str">
        <f>IF($A288="","",VLOOKUP($A288,'[2]3-Elaboration.O'!$A:$T,MATCH(C$1,'[2]150-Modele SGO'!$1:$1,0),FALSE))</f>
        <v>Champ libre</v>
      </c>
      <c r="D288" s="229" t="str">
        <f>IF($A288="","",VLOOKUP($A288,'[2]3-Elaboration.O'!$A:$T,MATCH(D$1,'[2]150-Modele SGO'!$1:$1,0),FALSE))</f>
        <v>Texte</v>
      </c>
      <c r="E288" s="230" t="s">
        <v>70</v>
      </c>
      <c r="F288" s="230"/>
      <c r="G288" s="231"/>
      <c r="H288" s="232" t="s">
        <v>35</v>
      </c>
      <c r="I288" s="231"/>
      <c r="J288" s="231"/>
      <c r="K288" s="231"/>
      <c r="L288" s="231"/>
      <c r="M288" s="232" t="s">
        <v>35</v>
      </c>
      <c r="N288" s="231"/>
      <c r="O288" s="231"/>
      <c r="P288" s="231"/>
      <c r="Q288" s="231" t="s">
        <v>35</v>
      </c>
      <c r="R288" s="231" t="s">
        <v>24</v>
      </c>
      <c r="S288" s="231" t="s">
        <v>1682</v>
      </c>
      <c r="T288" s="231" t="s">
        <v>24</v>
      </c>
      <c r="U288" s="231" t="s">
        <v>24</v>
      </c>
      <c r="V288" s="232" t="s">
        <v>35</v>
      </c>
      <c r="W288" s="231"/>
      <c r="X288" s="231"/>
      <c r="Y288" s="231"/>
      <c r="Z288" s="231"/>
      <c r="AA288" s="234"/>
      <c r="AB288" s="231"/>
      <c r="AC288" s="231"/>
      <c r="AD288" s="232" t="s">
        <v>35</v>
      </c>
      <c r="AE288" s="231"/>
      <c r="AF288" s="231"/>
      <c r="AG288" s="231"/>
      <c r="AH288" s="231"/>
      <c r="AI288" s="231"/>
      <c r="AJ288" s="231"/>
      <c r="AK288" s="231"/>
      <c r="AL288" s="234" t="s">
        <v>35</v>
      </c>
      <c r="AM288" s="231"/>
      <c r="AN288" s="231"/>
    </row>
    <row r="289" spans="1:40" s="9" customFormat="1" ht="68.849999999999994" customHeight="1" x14ac:dyDescent="0.25">
      <c r="A289" s="13" t="s">
        <v>864</v>
      </c>
      <c r="B289" s="229" t="str">
        <f>IF($A289="","",VLOOKUP($A289,'[2]3-Elaboration.O'!$A:$T,MATCH(B$1,'[2]150-Modele SGO'!$1:$1,0),FALSE))</f>
        <v>Quels sont les prix applicables?</v>
      </c>
      <c r="C289" s="229" t="str">
        <f>IF($A289="","",VLOOKUP($A289,'[2]3-Elaboration.O'!$A:$T,MATCH(C$1,'[2]150-Modele SGO'!$1:$1,0),FALSE))</f>
        <v>Franco France Métropolitaine;FEC (Entrepôt UGAP); Départ Usine;Franco France Continentale</v>
      </c>
      <c r="D289" s="229" t="str">
        <f>IF($A289="","",VLOOKUP($A289,'[2]3-Elaboration.O'!$A:$T,MATCH(D$1,'[2]150-Modele SGO'!$1:$1,0),FALSE))</f>
        <v>Liste choix multiple</v>
      </c>
      <c r="E289" s="230" t="s">
        <v>1521</v>
      </c>
      <c r="F289" s="230" t="s">
        <v>44</v>
      </c>
      <c r="G289" s="231"/>
      <c r="H289" s="232" t="s">
        <v>26</v>
      </c>
      <c r="I289" s="231"/>
      <c r="J289" s="233" t="s">
        <v>1684</v>
      </c>
      <c r="K289" s="233" t="s">
        <v>865</v>
      </c>
      <c r="L289" s="233" t="s">
        <v>1684</v>
      </c>
      <c r="M289" s="232" t="s">
        <v>26</v>
      </c>
      <c r="N289" s="231"/>
      <c r="O289" s="233" t="s">
        <v>1092</v>
      </c>
      <c r="P289" s="233" t="s">
        <v>35</v>
      </c>
      <c r="Q289" s="233" t="s">
        <v>26</v>
      </c>
      <c r="R289" s="231" t="s">
        <v>24</v>
      </c>
      <c r="S289" s="233" t="s">
        <v>1684</v>
      </c>
      <c r="T289" s="233" t="s">
        <v>1684</v>
      </c>
      <c r="U289" s="233" t="s">
        <v>865</v>
      </c>
      <c r="V289" s="232" t="s">
        <v>19</v>
      </c>
      <c r="W289" s="233" t="s">
        <v>865</v>
      </c>
      <c r="X289" s="231"/>
      <c r="Y289" s="231"/>
      <c r="Z289" s="231"/>
      <c r="AA289" s="234"/>
      <c r="AB289" s="231"/>
      <c r="AC289" s="231"/>
      <c r="AD289" s="232" t="s">
        <v>19</v>
      </c>
      <c r="AE289" s="233" t="s">
        <v>865</v>
      </c>
      <c r="AF289" s="231"/>
      <c r="AG289" s="231"/>
      <c r="AH289" s="231"/>
      <c r="AI289" s="231"/>
      <c r="AJ289" s="231"/>
      <c r="AK289" s="231"/>
      <c r="AL289" s="234" t="s">
        <v>35</v>
      </c>
      <c r="AM289" s="231"/>
      <c r="AN289" s="231"/>
    </row>
    <row r="290" spans="1:40" s="9" customFormat="1" ht="30" x14ac:dyDescent="0.25">
      <c r="A290" s="13" t="s">
        <v>868</v>
      </c>
      <c r="B290" s="229" t="str">
        <f>IF($A290="","",VLOOKUP($A290,'[2]3-Elaboration.O'!$A:$T,MATCH(B$1,'[2]150-Modele SGO'!$1:$1,0),FALSE))</f>
        <v>Si FFM, quels sont les lots concernés</v>
      </c>
      <c r="C290" s="229" t="str">
        <f>IF($A290="","",VLOOKUP($A290,'[2]3-Elaboration.O'!$A:$T,MATCH(C$1,'[2]150-Modele SGO'!$1:$1,0),FALSE))</f>
        <v>Champ libre</v>
      </c>
      <c r="D290" s="229" t="str">
        <f>IF($A290="","",VLOOKUP($A290,'[2]3-Elaboration.O'!$A:$T,MATCH(D$1,'[2]150-Modele SGO'!$1:$1,0),FALSE))</f>
        <v>Texte</v>
      </c>
      <c r="E290" s="230" t="s">
        <v>1521</v>
      </c>
      <c r="F290" s="230"/>
      <c r="G290" s="231"/>
      <c r="H290" s="232" t="s">
        <v>35</v>
      </c>
      <c r="I290" s="231"/>
      <c r="J290" s="231"/>
      <c r="K290" s="231"/>
      <c r="L290" s="231"/>
      <c r="M290" s="232" t="s">
        <v>35</v>
      </c>
      <c r="N290" s="231"/>
      <c r="O290" s="231"/>
      <c r="P290" s="231"/>
      <c r="Q290" s="231" t="s">
        <v>19</v>
      </c>
      <c r="R290" s="233" t="s">
        <v>46</v>
      </c>
      <c r="S290" s="231"/>
      <c r="T290" s="231" t="s">
        <v>24</v>
      </c>
      <c r="U290" s="231" t="s">
        <v>24</v>
      </c>
      <c r="V290" s="232" t="s">
        <v>35</v>
      </c>
      <c r="W290" s="231"/>
      <c r="X290" s="231"/>
      <c r="Y290" s="231"/>
      <c r="Z290" s="231"/>
      <c r="AA290" s="234"/>
      <c r="AB290" s="231"/>
      <c r="AC290" s="231"/>
      <c r="AD290" s="232" t="s">
        <v>35</v>
      </c>
      <c r="AE290" s="231"/>
      <c r="AF290" s="231"/>
      <c r="AG290" s="231"/>
      <c r="AH290" s="231"/>
      <c r="AI290" s="231"/>
      <c r="AJ290" s="231"/>
      <c r="AK290" s="231"/>
      <c r="AL290" s="234" t="s">
        <v>35</v>
      </c>
      <c r="AM290" s="231"/>
      <c r="AN290" s="231"/>
    </row>
    <row r="291" spans="1:40" s="9" customFormat="1" ht="30" x14ac:dyDescent="0.25">
      <c r="A291" s="13" t="s">
        <v>870</v>
      </c>
      <c r="B291" s="229" t="str">
        <f>IF($A291="","",VLOOKUP($A291,'[2]3-Elaboration.O'!$A:$T,MATCH(B$1,'[2]150-Modele SGO'!$1:$1,0),FALSE))</f>
        <v>Si FFC, quels sont les lots concernés</v>
      </c>
      <c r="C291" s="229" t="str">
        <f>IF($A291="","",VLOOKUP($A291,'[2]3-Elaboration.O'!$A:$T,MATCH(C$1,'[2]150-Modele SGO'!$1:$1,0),FALSE))</f>
        <v>Champ libre</v>
      </c>
      <c r="D291" s="229" t="str">
        <f>IF($A291="","",VLOOKUP($A291,'[2]3-Elaboration.O'!$A:$T,MATCH(D$1,'[2]150-Modele SGO'!$1:$1,0),FALSE))</f>
        <v>Texte</v>
      </c>
      <c r="E291" s="230" t="s">
        <v>1521</v>
      </c>
      <c r="F291" s="230"/>
      <c r="G291" s="231"/>
      <c r="H291" s="232" t="s">
        <v>35</v>
      </c>
      <c r="I291" s="231"/>
      <c r="J291" s="231"/>
      <c r="K291" s="231"/>
      <c r="L291" s="231"/>
      <c r="M291" s="232" t="s">
        <v>35</v>
      </c>
      <c r="N291" s="231"/>
      <c r="O291" s="231"/>
      <c r="P291" s="231"/>
      <c r="Q291" s="231" t="s">
        <v>19</v>
      </c>
      <c r="R291" s="233" t="s">
        <v>46</v>
      </c>
      <c r="S291" s="231" t="s">
        <v>24</v>
      </c>
      <c r="T291" s="231" t="s">
        <v>24</v>
      </c>
      <c r="U291" s="231" t="s">
        <v>24</v>
      </c>
      <c r="V291" s="232" t="s">
        <v>19</v>
      </c>
      <c r="W291" s="233" t="s">
        <v>46</v>
      </c>
      <c r="X291" s="231"/>
      <c r="Y291" s="231"/>
      <c r="Z291" s="231"/>
      <c r="AA291" s="234"/>
      <c r="AB291" s="231"/>
      <c r="AC291" s="231"/>
      <c r="AD291" s="232" t="s">
        <v>35</v>
      </c>
      <c r="AE291" s="231"/>
      <c r="AF291" s="231"/>
      <c r="AG291" s="231"/>
      <c r="AH291" s="231"/>
      <c r="AI291" s="231"/>
      <c r="AJ291" s="231"/>
      <c r="AK291" s="231"/>
      <c r="AL291" s="234" t="s">
        <v>35</v>
      </c>
      <c r="AM291" s="231"/>
      <c r="AN291" s="231"/>
    </row>
    <row r="292" spans="1:40" s="9" customFormat="1" ht="30" x14ac:dyDescent="0.25">
      <c r="A292" s="13" t="s">
        <v>872</v>
      </c>
      <c r="B292" s="229" t="str">
        <f>IF($A292="","",VLOOKUP($A292,'[2]3-Elaboration.O'!$A:$T,MATCH(B$1,'[2]150-Modele SGO'!$1:$1,0),FALSE))</f>
        <v>Si DU, quels sont les lots concernés</v>
      </c>
      <c r="C292" s="229" t="str">
        <f>IF($A292="","",VLOOKUP($A292,'[2]3-Elaboration.O'!$A:$T,MATCH(C$1,'[2]150-Modele SGO'!$1:$1,0),FALSE))</f>
        <v>Champ libre</v>
      </c>
      <c r="D292" s="229" t="str">
        <f>IF($A292="","",VLOOKUP($A292,'[2]3-Elaboration.O'!$A:$T,MATCH(D$1,'[2]150-Modele SGO'!$1:$1,0),FALSE))</f>
        <v>Texte</v>
      </c>
      <c r="E292" s="230" t="s">
        <v>1521</v>
      </c>
      <c r="F292" s="230"/>
      <c r="G292" s="231"/>
      <c r="H292" s="232" t="s">
        <v>35</v>
      </c>
      <c r="I292" s="231"/>
      <c r="J292" s="231"/>
      <c r="K292" s="231"/>
      <c r="L292" s="231"/>
      <c r="M292" s="232" t="s">
        <v>35</v>
      </c>
      <c r="N292" s="231"/>
      <c r="O292" s="231"/>
      <c r="P292" s="231"/>
      <c r="Q292" s="231" t="s">
        <v>19</v>
      </c>
      <c r="R292" s="233" t="s">
        <v>46</v>
      </c>
      <c r="S292" s="231" t="s">
        <v>24</v>
      </c>
      <c r="T292" s="231" t="s">
        <v>24</v>
      </c>
      <c r="U292" s="231" t="s">
        <v>24</v>
      </c>
      <c r="V292" s="232" t="s">
        <v>19</v>
      </c>
      <c r="W292" s="233" t="s">
        <v>46</v>
      </c>
      <c r="X292" s="231"/>
      <c r="Y292" s="231"/>
      <c r="Z292" s="231"/>
      <c r="AA292" s="234"/>
      <c r="AB292" s="231"/>
      <c r="AC292" s="231"/>
      <c r="AD292" s="232" t="s">
        <v>35</v>
      </c>
      <c r="AE292" s="231"/>
      <c r="AF292" s="231"/>
      <c r="AG292" s="231"/>
      <c r="AH292" s="231"/>
      <c r="AI292" s="231"/>
      <c r="AJ292" s="231"/>
      <c r="AK292" s="231"/>
      <c r="AL292" s="234" t="s">
        <v>35</v>
      </c>
      <c r="AM292" s="231"/>
      <c r="AN292" s="231"/>
    </row>
    <row r="293" spans="1:40" s="9" customFormat="1" ht="30" x14ac:dyDescent="0.25">
      <c r="A293" s="13" t="s">
        <v>874</v>
      </c>
      <c r="B293" s="229" t="str">
        <f>IF($A293="","",VLOOKUP($A293,'[2]3-Elaboration.O'!$A:$T,MATCH(B$1,'[2]150-Modele SGO'!$1:$1,0),FALSE))</f>
        <v>Si FEC, quels sont les lots concernés</v>
      </c>
      <c r="C293" s="229" t="str">
        <f>IF($A293="","",VLOOKUP($A293,'[2]3-Elaboration.O'!$A:$T,MATCH(C$1,'[2]150-Modele SGO'!$1:$1,0),FALSE))</f>
        <v>Champ libre</v>
      </c>
      <c r="D293" s="229" t="str">
        <f>IF($A293="","",VLOOKUP($A293,'[2]3-Elaboration.O'!$A:$T,MATCH(D$1,'[2]150-Modele SGO'!$1:$1,0),FALSE))</f>
        <v>Texte</v>
      </c>
      <c r="E293" s="230" t="s">
        <v>1521</v>
      </c>
      <c r="F293" s="230"/>
      <c r="G293" s="231"/>
      <c r="H293" s="232" t="s">
        <v>35</v>
      </c>
      <c r="I293" s="231"/>
      <c r="J293" s="231"/>
      <c r="K293" s="231"/>
      <c r="L293" s="231"/>
      <c r="M293" s="232" t="s">
        <v>35</v>
      </c>
      <c r="N293" s="231"/>
      <c r="O293" s="231"/>
      <c r="P293" s="231"/>
      <c r="Q293" s="231" t="s">
        <v>19</v>
      </c>
      <c r="R293" s="233" t="s">
        <v>46</v>
      </c>
      <c r="S293" s="231" t="s">
        <v>24</v>
      </c>
      <c r="T293" s="231" t="s">
        <v>24</v>
      </c>
      <c r="U293" s="231" t="s">
        <v>24</v>
      </c>
      <c r="V293" s="232" t="s">
        <v>19</v>
      </c>
      <c r="W293" s="233" t="s">
        <v>46</v>
      </c>
      <c r="X293" s="231"/>
      <c r="Y293" s="231"/>
      <c r="Z293" s="231"/>
      <c r="AA293" s="234"/>
      <c r="AB293" s="231"/>
      <c r="AC293" s="231"/>
      <c r="AD293" s="232" t="s">
        <v>35</v>
      </c>
      <c r="AE293" s="231"/>
      <c r="AF293" s="231"/>
      <c r="AG293" s="231"/>
      <c r="AH293" s="231"/>
      <c r="AI293" s="231"/>
      <c r="AJ293" s="231"/>
      <c r="AK293" s="231"/>
      <c r="AL293" s="234" t="s">
        <v>35</v>
      </c>
      <c r="AM293" s="231"/>
      <c r="AN293" s="231"/>
    </row>
    <row r="294" spans="1:40" s="9" customFormat="1" ht="30" x14ac:dyDescent="0.25">
      <c r="A294" s="13" t="s">
        <v>876</v>
      </c>
      <c r="B294" s="229" t="str">
        <f>IF($A294="","",VLOOKUP($A294,'[2]3-Elaboration.O'!$A:$T,MATCH(B$1,'[2]150-Modele SGO'!$1:$1,0),FALSE))</f>
        <v>Si DU, le prix des modalités DU correspond-il à un % de minoration</v>
      </c>
      <c r="C294" s="229" t="str">
        <f>IF($A294="","",VLOOKUP($A294,'[2]3-Elaboration.O'!$A:$T,MATCH(C$1,'[2]150-Modele SGO'!$1:$1,0),FALSE))</f>
        <v>Oui, il correspond à un pourcentage de minoration;Non, il ne correspond pas à un pourcentage de minoration</v>
      </c>
      <c r="D294" s="229" t="str">
        <f>IF($A294="","",VLOOKUP($A294,'[2]3-Elaboration.O'!$A:$T,MATCH(D$1,'[2]150-Modele SGO'!$1:$1,0),FALSE))</f>
        <v xml:space="preserve">Liste choix unique </v>
      </c>
      <c r="E294" s="230" t="s">
        <v>1521</v>
      </c>
      <c r="F294" s="230"/>
      <c r="G294" s="231"/>
      <c r="H294" s="232" t="s">
        <v>35</v>
      </c>
      <c r="I294" s="231"/>
      <c r="J294" s="231"/>
      <c r="K294" s="231"/>
      <c r="L294" s="231"/>
      <c r="M294" s="232" t="s">
        <v>35</v>
      </c>
      <c r="N294" s="231"/>
      <c r="O294" s="231"/>
      <c r="P294" s="231"/>
      <c r="Q294" s="231" t="s">
        <v>19</v>
      </c>
      <c r="R294" s="233" t="s">
        <v>46</v>
      </c>
      <c r="S294" s="231" t="s">
        <v>24</v>
      </c>
      <c r="T294" s="231" t="s">
        <v>24</v>
      </c>
      <c r="U294" s="231" t="s">
        <v>24</v>
      </c>
      <c r="V294" s="232" t="s">
        <v>19</v>
      </c>
      <c r="W294" s="233" t="s">
        <v>46</v>
      </c>
      <c r="X294" s="231"/>
      <c r="Y294" s="231"/>
      <c r="Z294" s="231"/>
      <c r="AA294" s="234"/>
      <c r="AB294" s="231"/>
      <c r="AC294" s="231"/>
      <c r="AD294" s="232" t="s">
        <v>19</v>
      </c>
      <c r="AE294" s="233" t="s">
        <v>46</v>
      </c>
      <c r="AF294" s="231"/>
      <c r="AG294" s="231"/>
      <c r="AH294" s="231"/>
      <c r="AI294" s="231"/>
      <c r="AJ294" s="231"/>
      <c r="AK294" s="231"/>
      <c r="AL294" s="234" t="s">
        <v>35</v>
      </c>
      <c r="AM294" s="231"/>
      <c r="AN294" s="231"/>
    </row>
    <row r="295" spans="1:40" s="9" customFormat="1" ht="30" x14ac:dyDescent="0.25">
      <c r="A295" s="13" t="s">
        <v>879</v>
      </c>
      <c r="B295" s="229" t="str">
        <f>IF($A295="","",VLOOKUP($A295,'[2]3-Elaboration.O'!$A:$T,MATCH(B$1,'[2]150-Modele SGO'!$1:$1,0),FALSE))</f>
        <v>Si  FEC, le prix des modalités FEC correspond-il à un % de minoration</v>
      </c>
      <c r="C295" s="229" t="str">
        <f>IF($A295="","",VLOOKUP($A295,'[2]3-Elaboration.O'!$A:$T,MATCH(C$1,'[2]150-Modele SGO'!$1:$1,0),FALSE))</f>
        <v>Oui, il correspond à un pourcentage de minoration;Non, il ne correspond pas à un pourcentage de minoration</v>
      </c>
      <c r="D295" s="229" t="str">
        <f>IF($A295="","",VLOOKUP($A295,'[2]3-Elaboration.O'!$A:$T,MATCH(D$1,'[2]150-Modele SGO'!$1:$1,0),FALSE))</f>
        <v xml:space="preserve">Liste choix unique </v>
      </c>
      <c r="E295" s="230" t="s">
        <v>70</v>
      </c>
      <c r="F295" s="230"/>
      <c r="G295" s="231"/>
      <c r="H295" s="232" t="s">
        <v>35</v>
      </c>
      <c r="I295" s="231"/>
      <c r="J295" s="231"/>
      <c r="K295" s="231"/>
      <c r="L295" s="231"/>
      <c r="M295" s="232" t="s">
        <v>35</v>
      </c>
      <c r="N295" s="231"/>
      <c r="O295" s="231"/>
      <c r="P295" s="231"/>
      <c r="Q295" s="231" t="s">
        <v>19</v>
      </c>
      <c r="R295" s="233" t="s">
        <v>46</v>
      </c>
      <c r="S295" s="231" t="s">
        <v>24</v>
      </c>
      <c r="T295" s="231" t="s">
        <v>24</v>
      </c>
      <c r="U295" s="231" t="s">
        <v>24</v>
      </c>
      <c r="V295" s="232" t="s">
        <v>19</v>
      </c>
      <c r="W295" s="233" t="s">
        <v>46</v>
      </c>
      <c r="X295" s="231"/>
      <c r="Y295" s="231"/>
      <c r="Z295" s="231"/>
      <c r="AA295" s="234"/>
      <c r="AB295" s="231"/>
      <c r="AC295" s="231"/>
      <c r="AD295" s="232" t="s">
        <v>19</v>
      </c>
      <c r="AE295" s="233" t="s">
        <v>46</v>
      </c>
      <c r="AF295" s="231"/>
      <c r="AG295" s="231"/>
      <c r="AH295" s="231"/>
      <c r="AI295" s="231"/>
      <c r="AJ295" s="231"/>
      <c r="AK295" s="231"/>
      <c r="AL295" s="234" t="s">
        <v>35</v>
      </c>
      <c r="AM295" s="231"/>
      <c r="AN295" s="231"/>
    </row>
    <row r="296" spans="1:40" s="9" customFormat="1" ht="109.35" customHeight="1" x14ac:dyDescent="0.25">
      <c r="A296" s="13" t="s">
        <v>881</v>
      </c>
      <c r="B296" s="229" t="str">
        <f>IF($A296="","",VLOOKUP($A296,'[2]3-Elaboration.O'!$A:$T,MATCH(B$1,'[2]150-Modele SGO'!$1:$1,0),FALSE))</f>
        <v>S'il existe un surcoût, préciser lequel</v>
      </c>
      <c r="C296" s="229" t="str">
        <f>IF($A296="","",VLOOKUP($A296,'[2]3-Elaboration.O'!$A:$T,MATCH(C$1,'[2]150-Modele SGO'!$1:$1,0),FALSE))</f>
        <v>Oui, surcoût outre-mer ;Non, Absence de surcoût outre-mer</v>
      </c>
      <c r="D296" s="229" t="str">
        <f>IF($A296="","",VLOOKUP($A296,'[2]3-Elaboration.O'!$A:$T,MATCH(D$1,'[2]150-Modele SGO'!$1:$1,0),FALSE))</f>
        <v>Liste choix multiple</v>
      </c>
      <c r="E296" s="230" t="s">
        <v>1521</v>
      </c>
      <c r="F296" s="230"/>
      <c r="G296" s="231"/>
      <c r="H296" s="232" t="s">
        <v>26</v>
      </c>
      <c r="I296" s="231"/>
      <c r="J296" s="233" t="s">
        <v>882</v>
      </c>
      <c r="K296" s="233" t="s">
        <v>882</v>
      </c>
      <c r="L296" s="233" t="s">
        <v>1685</v>
      </c>
      <c r="M296" s="232" t="s">
        <v>26</v>
      </c>
      <c r="N296" s="231"/>
      <c r="O296" s="233" t="s">
        <v>1685</v>
      </c>
      <c r="P296" s="233" t="s">
        <v>35</v>
      </c>
      <c r="Q296" s="231" t="s">
        <v>19</v>
      </c>
      <c r="R296" s="233" t="s">
        <v>46</v>
      </c>
      <c r="S296" s="231" t="s">
        <v>24</v>
      </c>
      <c r="T296" s="231" t="s">
        <v>24</v>
      </c>
      <c r="U296" s="231" t="s">
        <v>24</v>
      </c>
      <c r="V296" s="232" t="s">
        <v>19</v>
      </c>
      <c r="W296" s="233" t="s">
        <v>882</v>
      </c>
      <c r="X296" s="231"/>
      <c r="Y296" s="231"/>
      <c r="Z296" s="231"/>
      <c r="AA296" s="234"/>
      <c r="AB296" s="242"/>
      <c r="AC296" s="242"/>
      <c r="AD296" s="232" t="s">
        <v>26</v>
      </c>
      <c r="AE296" s="231"/>
      <c r="AF296" s="233" t="s">
        <v>1685</v>
      </c>
      <c r="AG296" s="233" t="s">
        <v>1685</v>
      </c>
      <c r="AH296" s="233" t="s">
        <v>1685</v>
      </c>
      <c r="AI296" s="233" t="s">
        <v>1685</v>
      </c>
      <c r="AJ296" s="233" t="s">
        <v>1685</v>
      </c>
      <c r="AK296" s="233" t="s">
        <v>882</v>
      </c>
      <c r="AL296" s="235" t="s">
        <v>35</v>
      </c>
      <c r="AM296" s="231"/>
      <c r="AN296" s="231"/>
    </row>
    <row r="297" spans="1:40" s="9" customFormat="1" ht="75" x14ac:dyDescent="0.25">
      <c r="A297" s="13" t="s">
        <v>885</v>
      </c>
      <c r="B297" s="229" t="str">
        <f>IF($A297="","",VLOOKUP($A297,'[2]3-Elaboration.O'!$A:$T,MATCH(B$1,'[2]150-Modele SGO'!$1:$1,0),FALSE))</f>
        <v>Si surcoût outre-mer, préciser si celui comprend des éléments supplémentaires à tropicalisation, emballage, étiquetage spécifique pour l'envoi du matériel/produit, frais afférents à la préparation technique et administrative des matériels/produits</v>
      </c>
      <c r="C297" s="229" t="str">
        <f>IF($A297="","",VLOOKUP($A297,'[2]3-Elaboration.O'!$A:$T,MATCH(C$1,'[2]150-Modele SGO'!$1:$1,0),FALSE))</f>
        <v>Champ libre</v>
      </c>
      <c r="D297" s="229" t="str">
        <f>IF($A297="","",VLOOKUP($A297,'[2]3-Elaboration.O'!$A:$T,MATCH(D$1,'[2]150-Modele SGO'!$1:$1,0),FALSE))</f>
        <v>Texte</v>
      </c>
      <c r="E297" s="230" t="s">
        <v>70</v>
      </c>
      <c r="F297" s="230"/>
      <c r="G297" s="231"/>
      <c r="H297" s="232" t="s">
        <v>35</v>
      </c>
      <c r="I297" s="231"/>
      <c r="J297" s="231"/>
      <c r="K297" s="231"/>
      <c r="L297" s="231"/>
      <c r="M297" s="232" t="s">
        <v>35</v>
      </c>
      <c r="N297" s="231"/>
      <c r="O297" s="231"/>
      <c r="P297" s="231"/>
      <c r="Q297" s="231" t="s">
        <v>19</v>
      </c>
      <c r="R297" s="233" t="s">
        <v>46</v>
      </c>
      <c r="S297" s="231" t="s">
        <v>24</v>
      </c>
      <c r="T297" s="231" t="s">
        <v>24</v>
      </c>
      <c r="U297" s="231" t="s">
        <v>24</v>
      </c>
      <c r="V297" s="232" t="s">
        <v>35</v>
      </c>
      <c r="W297" s="231"/>
      <c r="X297" s="231"/>
      <c r="Y297" s="231"/>
      <c r="Z297" s="231"/>
      <c r="AA297" s="234"/>
      <c r="AB297" s="231"/>
      <c r="AC297" s="231"/>
      <c r="AD297" s="232" t="s">
        <v>35</v>
      </c>
      <c r="AE297" s="231"/>
      <c r="AF297" s="231"/>
      <c r="AG297" s="231"/>
      <c r="AH297" s="231"/>
      <c r="AI297" s="231"/>
      <c r="AJ297" s="231"/>
      <c r="AK297" s="231"/>
      <c r="AL297" s="234" t="s">
        <v>35</v>
      </c>
      <c r="AM297" s="231"/>
      <c r="AN297" s="231"/>
    </row>
    <row r="298" spans="1:40" s="9" customFormat="1" ht="42" customHeight="1" x14ac:dyDescent="0.25">
      <c r="A298" s="13" t="s">
        <v>887</v>
      </c>
      <c r="B298" s="229" t="str">
        <f>IF($A298="","",VLOOKUP($A298,'[2]3-Elaboration.O'!$A:$T,MATCH(B$1,'[2]150-Modele SGO'!$1:$1,0),FALSE))</f>
        <v xml:space="preserve">De quelle façon s'exprime le surcoût étranger ? </v>
      </c>
      <c r="C298" s="229" t="str">
        <f>IF($A298="","",VLOOKUP($A298,'[2]3-Elaboration.O'!$A:$T,MATCH(C$1,'[2]150-Modele SGO'!$1:$1,0),FALSE))</f>
        <v>sur devis; en pourcentage</v>
      </c>
      <c r="D298" s="229" t="str">
        <f>IF($A298="","",VLOOKUP($A298,'[2]3-Elaboration.O'!$A:$T,MATCH(D$1,'[2]150-Modele SGO'!$1:$1,0),FALSE))</f>
        <v xml:space="preserve">Liste choix unique </v>
      </c>
      <c r="E298" s="230" t="s">
        <v>1521</v>
      </c>
      <c r="F298" s="230"/>
      <c r="G298" s="231"/>
      <c r="H298" s="232" t="s">
        <v>35</v>
      </c>
      <c r="I298" s="231"/>
      <c r="J298" s="231"/>
      <c r="K298" s="231"/>
      <c r="L298" s="231"/>
      <c r="M298" s="232" t="s">
        <v>35</v>
      </c>
      <c r="N298" s="231"/>
      <c r="O298" s="231"/>
      <c r="P298" s="231"/>
      <c r="Q298" s="231" t="s">
        <v>19</v>
      </c>
      <c r="R298" s="233" t="s">
        <v>46</v>
      </c>
      <c r="S298" s="231" t="s">
        <v>24</v>
      </c>
      <c r="T298" s="231" t="s">
        <v>24</v>
      </c>
      <c r="U298" s="231" t="s">
        <v>24</v>
      </c>
      <c r="V298" s="232" t="s">
        <v>35</v>
      </c>
      <c r="W298" s="231"/>
      <c r="X298" s="231"/>
      <c r="Y298" s="231"/>
      <c r="Z298" s="231"/>
      <c r="AA298" s="234"/>
      <c r="AB298" s="231"/>
      <c r="AC298" s="231"/>
      <c r="AD298" s="232" t="s">
        <v>26</v>
      </c>
      <c r="AE298" s="231"/>
      <c r="AF298" s="233" t="s">
        <v>1686</v>
      </c>
      <c r="AG298" s="233" t="s">
        <v>1686</v>
      </c>
      <c r="AH298" s="233" t="s">
        <v>1687</v>
      </c>
      <c r="AI298" s="233" t="s">
        <v>1687</v>
      </c>
      <c r="AJ298" s="233" t="s">
        <v>1687</v>
      </c>
      <c r="AK298" s="233" t="s">
        <v>1687</v>
      </c>
      <c r="AL298" s="235" t="s">
        <v>35</v>
      </c>
      <c r="AM298" s="231"/>
      <c r="AN298" s="231"/>
    </row>
    <row r="299" spans="1:40" s="9" customFormat="1" ht="48" customHeight="1" x14ac:dyDescent="0.25">
      <c r="A299" s="13" t="s">
        <v>890</v>
      </c>
      <c r="B299" s="229" t="str">
        <f>IF($A299="","",VLOOKUP($A299,'[2]3-Elaboration.O'!$A:$T,MATCH(B$1,'[2]150-Modele SGO'!$1:$1,0),FALSE))</f>
        <v>L'offre comprend-elle des taxes spécifiques (TVA différente de 20%, éco contribution, taxe parafiscale…)</v>
      </c>
      <c r="C299" s="229" t="str">
        <f>IF($A299="","",VLOOKUP($A299,'[2]3-Elaboration.O'!$A:$T,MATCH(C$1,'[2]150-Modele SGO'!$1:$1,0),FALSE))</f>
        <v>Oui, taxes spécifiques applicables;Non, absence de taxes spécifiques applicables</v>
      </c>
      <c r="D299" s="229" t="str">
        <f>IF($A299="","",VLOOKUP($A299,'[2]3-Elaboration.O'!$A:$T,MATCH(D$1,'[2]150-Modele SGO'!$1:$1,0),FALSE))</f>
        <v xml:space="preserve">Liste choix unique </v>
      </c>
      <c r="E299" s="230" t="s">
        <v>1521</v>
      </c>
      <c r="F299" s="230"/>
      <c r="G299" s="231"/>
      <c r="H299" s="232" t="s">
        <v>19</v>
      </c>
      <c r="I299" s="233" t="s">
        <v>891</v>
      </c>
      <c r="J299" s="231"/>
      <c r="K299" s="231"/>
      <c r="L299" s="231"/>
      <c r="M299" s="232" t="s">
        <v>26</v>
      </c>
      <c r="N299" s="231"/>
      <c r="O299" s="233" t="s">
        <v>891</v>
      </c>
      <c r="P299" s="233" t="s">
        <v>35</v>
      </c>
      <c r="Q299" s="231" t="s">
        <v>19</v>
      </c>
      <c r="R299" s="233" t="s">
        <v>1688</v>
      </c>
      <c r="S299" s="231" t="s">
        <v>24</v>
      </c>
      <c r="T299" s="231" t="s">
        <v>24</v>
      </c>
      <c r="U299" s="231" t="s">
        <v>24</v>
      </c>
      <c r="V299" s="232" t="s">
        <v>19</v>
      </c>
      <c r="W299" s="233" t="s">
        <v>891</v>
      </c>
      <c r="X299" s="231"/>
      <c r="Y299" s="231"/>
      <c r="Z299" s="231"/>
      <c r="AA299" s="234"/>
      <c r="AB299" s="242"/>
      <c r="AC299" s="242"/>
      <c r="AD299" s="232" t="s">
        <v>26</v>
      </c>
      <c r="AE299" s="231"/>
      <c r="AF299" s="233" t="s">
        <v>1688</v>
      </c>
      <c r="AG299" s="233" t="s">
        <v>891</v>
      </c>
      <c r="AH299" s="233" t="s">
        <v>891</v>
      </c>
      <c r="AI299" s="233" t="s">
        <v>1688</v>
      </c>
      <c r="AJ299" s="233" t="s">
        <v>891</v>
      </c>
      <c r="AK299" s="233" t="s">
        <v>891</v>
      </c>
      <c r="AL299" s="235" t="s">
        <v>35</v>
      </c>
      <c r="AM299" s="231"/>
      <c r="AN299" s="231"/>
    </row>
    <row r="300" spans="1:40" s="9" customFormat="1" ht="90" x14ac:dyDescent="0.25">
      <c r="A300" s="13" t="s">
        <v>894</v>
      </c>
      <c r="B300" s="229" t="str">
        <f>IF($A300="","",VLOOKUP($A300,'[2]3-Elaboration.O'!$A:$T,MATCH(B$1,'[2]150-Modele SGO'!$1:$1,0),FALSE))</f>
        <v>Si oui préciser si elles sont liées à des prestations locales</v>
      </c>
      <c r="C300" s="229" t="str">
        <f>IF($A300="","",VLOOKUP($A300,'[2]3-Elaboration.O'!$A:$T,MATCH(C$1,'[2]150-Modele SGO'!$1:$1,0),FALSE))</f>
        <v>Prestation locale hors France Métropolitaine (TVA 0%);Prestation locale hors France Métropolitaine (TVA 8,5%);Prestation locale DROM/COM (TVA Achat 20%_Vente 8,5%)</v>
      </c>
      <c r="D300" s="229" t="str">
        <f>IF($A300="","",VLOOKUP($A300,'[2]3-Elaboration.O'!$A:$T,MATCH(D$1,'[2]150-Modele SGO'!$1:$1,0),FALSE))</f>
        <v>Liste choix multiple</v>
      </c>
      <c r="E300" s="230" t="s">
        <v>70</v>
      </c>
      <c r="F300" s="230" t="s">
        <v>44</v>
      </c>
      <c r="G300" s="231"/>
      <c r="H300" s="232" t="s">
        <v>19</v>
      </c>
      <c r="I300" s="233" t="s">
        <v>895</v>
      </c>
      <c r="J300" s="231"/>
      <c r="K300" s="231"/>
      <c r="L300" s="231"/>
      <c r="M300" s="232" t="s">
        <v>26</v>
      </c>
      <c r="N300" s="231"/>
      <c r="O300" s="233" t="s">
        <v>46</v>
      </c>
      <c r="P300" s="233" t="s">
        <v>35</v>
      </c>
      <c r="Q300" s="233" t="s">
        <v>35</v>
      </c>
      <c r="R300" s="231" t="s">
        <v>24</v>
      </c>
      <c r="S300" s="231" t="s">
        <v>24</v>
      </c>
      <c r="T300" s="231" t="s">
        <v>24</v>
      </c>
      <c r="U300" s="231" t="s">
        <v>24</v>
      </c>
      <c r="V300" s="232" t="s">
        <v>19</v>
      </c>
      <c r="W300" s="233" t="s">
        <v>895</v>
      </c>
      <c r="X300" s="231"/>
      <c r="Y300" s="231"/>
      <c r="Z300" s="231"/>
      <c r="AA300" s="234"/>
      <c r="AB300" s="242"/>
      <c r="AC300" s="242"/>
      <c r="AD300" s="232" t="s">
        <v>35</v>
      </c>
      <c r="AE300" s="231"/>
      <c r="AF300" s="231"/>
      <c r="AG300" s="231"/>
      <c r="AH300" s="231"/>
      <c r="AI300" s="231" t="s">
        <v>46</v>
      </c>
      <c r="AJ300" s="231"/>
      <c r="AK300" s="231"/>
      <c r="AL300" s="234" t="s">
        <v>35</v>
      </c>
      <c r="AM300" s="231"/>
      <c r="AN300" s="231"/>
    </row>
    <row r="301" spans="1:40" s="9" customFormat="1" ht="60" x14ac:dyDescent="0.25">
      <c r="A301" s="13" t="s">
        <v>898</v>
      </c>
      <c r="B301" s="229" t="str">
        <f>IF($A301="","",VLOOKUP($A301,'[2]3-Elaboration.O'!$A:$T,MATCH(B$1,'[2]150-Modele SGO'!$1:$1,0),FALSE))</f>
        <v>Si oui préciser si elles concernent l'immatriculation de véhicules</v>
      </c>
      <c r="C301" s="229" t="str">
        <f>IF($A301="","",VLOOKUP($A301,'[2]3-Elaboration.O'!$A:$T,MATCH(C$1,'[2]150-Modele SGO'!$1:$1,0),FALSE))</f>
        <v>Oui, elles concernent l'immatriculation de véhicules;Non, elles ne concernent pas l'immatriculation de véhicules</v>
      </c>
      <c r="D301" s="229" t="str">
        <f>IF($A301="","",VLOOKUP($A301,'[2]3-Elaboration.O'!$A:$T,MATCH(D$1,'[2]150-Modele SGO'!$1:$1,0),FALSE))</f>
        <v xml:space="preserve">Liste choix unique </v>
      </c>
      <c r="E301" s="230" t="s">
        <v>1521</v>
      </c>
      <c r="F301" s="230" t="s">
        <v>44</v>
      </c>
      <c r="G301" s="231"/>
      <c r="H301" s="232" t="s">
        <v>19</v>
      </c>
      <c r="I301" s="233" t="s">
        <v>1689</v>
      </c>
      <c r="J301" s="231"/>
      <c r="K301" s="231"/>
      <c r="L301" s="231"/>
      <c r="M301" s="284" t="s">
        <v>26</v>
      </c>
      <c r="N301" s="266"/>
      <c r="O301" s="233" t="s">
        <v>46</v>
      </c>
      <c r="P301" s="233" t="s">
        <v>46</v>
      </c>
      <c r="Q301" s="233" t="s">
        <v>35</v>
      </c>
      <c r="R301" s="231" t="s">
        <v>24</v>
      </c>
      <c r="S301" s="231" t="s">
        <v>24</v>
      </c>
      <c r="T301" s="231" t="s">
        <v>24</v>
      </c>
      <c r="U301" s="231" t="s">
        <v>24</v>
      </c>
      <c r="V301" s="232" t="s">
        <v>19</v>
      </c>
      <c r="W301" s="233" t="s">
        <v>46</v>
      </c>
      <c r="X301" s="266"/>
      <c r="Y301" s="266"/>
      <c r="Z301" s="266"/>
      <c r="AA301" s="285"/>
      <c r="AB301" s="242"/>
      <c r="AC301" s="242"/>
      <c r="AD301" s="232" t="s">
        <v>35</v>
      </c>
      <c r="AE301" s="231"/>
      <c r="AF301" s="231"/>
      <c r="AG301" s="231"/>
      <c r="AH301" s="231"/>
      <c r="AI301" s="231"/>
      <c r="AJ301" s="231"/>
      <c r="AK301" s="231"/>
      <c r="AL301" s="234" t="s">
        <v>35</v>
      </c>
      <c r="AM301" s="231"/>
      <c r="AN301" s="231"/>
    </row>
    <row r="302" spans="1:40" s="9" customFormat="1" ht="105" x14ac:dyDescent="0.25">
      <c r="A302" s="13" t="s">
        <v>901</v>
      </c>
      <c r="B302" s="229" t="str">
        <f>IF($A302="","",VLOOKUP($A302,'[2]3-Elaboration.O'!$A:$T,MATCH(B$1,'[2]150-Modele SGO'!$1:$1,0),FALSE))</f>
        <v>Si oui préciser si elles concernent les frais de transport</v>
      </c>
      <c r="C302" s="229" t="str">
        <f>IF($A302="","",VLOOKUP($A302,'[2]3-Elaboration.O'!$A:$T,MATCH(C$1,'[2]150-Modele SGO'!$1:$1,0),FALSE))</f>
        <v>Frais de transport, pour les livraisons hors France Métropolitaine (TVA 0%);Frais de transport, pour les livraisons hors France Métropolitaine (TVA 8,5%);Frais de transport, pour les livraisons hors France Métropolitaine (TVA 20%)</v>
      </c>
      <c r="D302" s="229" t="str">
        <f>IF($A302="","",VLOOKUP($A302,'[2]3-Elaboration.O'!$A:$T,MATCH(D$1,'[2]150-Modele SGO'!$1:$1,0),FALSE))</f>
        <v>Liste choix multiple</v>
      </c>
      <c r="E302" s="230" t="s">
        <v>70</v>
      </c>
      <c r="F302" s="230" t="s">
        <v>44</v>
      </c>
      <c r="G302" s="231"/>
      <c r="H302" s="232" t="s">
        <v>19</v>
      </c>
      <c r="I302" s="233" t="s">
        <v>903</v>
      </c>
      <c r="J302" s="231"/>
      <c r="K302" s="231"/>
      <c r="L302" s="231"/>
      <c r="M302" s="232" t="s">
        <v>26</v>
      </c>
      <c r="N302" s="231"/>
      <c r="O302" s="233" t="s">
        <v>46</v>
      </c>
      <c r="P302" s="233" t="s">
        <v>35</v>
      </c>
      <c r="Q302" s="233" t="s">
        <v>35</v>
      </c>
      <c r="R302" s="231" t="s">
        <v>24</v>
      </c>
      <c r="S302" s="231" t="s">
        <v>24</v>
      </c>
      <c r="T302" s="231" t="s">
        <v>24</v>
      </c>
      <c r="U302" s="231" t="s">
        <v>24</v>
      </c>
      <c r="V302" s="232" t="s">
        <v>35</v>
      </c>
      <c r="W302" s="231"/>
      <c r="X302" s="231"/>
      <c r="Y302" s="231"/>
      <c r="Z302" s="231"/>
      <c r="AA302" s="234"/>
      <c r="AB302" s="231"/>
      <c r="AC302" s="231"/>
      <c r="AD302" s="232" t="s">
        <v>35</v>
      </c>
      <c r="AE302" s="231"/>
      <c r="AF302" s="231"/>
      <c r="AG302" s="231"/>
      <c r="AH302" s="231"/>
      <c r="AI302" s="231"/>
      <c r="AJ302" s="231"/>
      <c r="AK302" s="231"/>
      <c r="AL302" s="234" t="s">
        <v>35</v>
      </c>
      <c r="AM302" s="231"/>
      <c r="AN302" s="231"/>
    </row>
    <row r="303" spans="1:40" s="9" customFormat="1" ht="30" x14ac:dyDescent="0.25">
      <c r="A303" s="13" t="s">
        <v>904</v>
      </c>
      <c r="B303" s="229" t="str">
        <f>IF($A303="","",VLOOKUP($A303,'[2]3-Elaboration.O'!$A:$T,MATCH(B$1,'[2]150-Modele SGO'!$1:$1,0),FALSE))</f>
        <v>Si oui préciser si elles concernent l'assurance livraison</v>
      </c>
      <c r="C303" s="229" t="str">
        <f>IF($A303="","",VLOOKUP($A303,'[2]3-Elaboration.O'!$A:$T,MATCH(C$1,'[2]150-Modele SGO'!$1:$1,0),FALSE))</f>
        <v>Oui, Assurance pour les livraisons hors France Métropolitaine (TVA 0%);Non, Absence d'assurance pour la livraison</v>
      </c>
      <c r="D303" s="229" t="str">
        <f>IF($A303="","",VLOOKUP($A303,'[2]3-Elaboration.O'!$A:$T,MATCH(D$1,'[2]150-Modele SGO'!$1:$1,0),FALSE))</f>
        <v xml:space="preserve">Liste choix unique </v>
      </c>
      <c r="E303" s="230" t="s">
        <v>70</v>
      </c>
      <c r="F303" s="230"/>
      <c r="G303" s="231"/>
      <c r="H303" s="232" t="s">
        <v>19</v>
      </c>
      <c r="I303" s="233" t="s">
        <v>1690</v>
      </c>
      <c r="J303" s="231"/>
      <c r="K303" s="231"/>
      <c r="L303" s="231"/>
      <c r="M303" s="232" t="s">
        <v>26</v>
      </c>
      <c r="N303" s="231"/>
      <c r="O303" s="233" t="s">
        <v>46</v>
      </c>
      <c r="P303" s="233" t="s">
        <v>35</v>
      </c>
      <c r="Q303" s="233" t="s">
        <v>35</v>
      </c>
      <c r="R303" s="231" t="s">
        <v>24</v>
      </c>
      <c r="S303" s="231" t="s">
        <v>24</v>
      </c>
      <c r="T303" s="231" t="s">
        <v>24</v>
      </c>
      <c r="U303" s="231" t="s">
        <v>24</v>
      </c>
      <c r="V303" s="232" t="s">
        <v>19</v>
      </c>
      <c r="W303" s="233" t="s">
        <v>46</v>
      </c>
      <c r="X303" s="231"/>
      <c r="Y303" s="231"/>
      <c r="Z303" s="231"/>
      <c r="AA303" s="234"/>
      <c r="AB303" s="231"/>
      <c r="AC303" s="231"/>
      <c r="AD303" s="232" t="s">
        <v>35</v>
      </c>
      <c r="AE303" s="231"/>
      <c r="AF303" s="231"/>
      <c r="AG303" s="231"/>
      <c r="AH303" s="231"/>
      <c r="AI303" s="231"/>
      <c r="AJ303" s="231"/>
      <c r="AK303" s="231"/>
      <c r="AL303" s="234" t="s">
        <v>35</v>
      </c>
      <c r="AM303" s="231"/>
      <c r="AN303" s="231"/>
    </row>
    <row r="304" spans="1:40" s="9" customFormat="1" ht="15.75" x14ac:dyDescent="0.25">
      <c r="A304" s="142" t="s">
        <v>907</v>
      </c>
      <c r="B304" s="256" t="str">
        <f>IF($A304="","",VLOOKUP($A304,'[2]3-Elaboration.O'!$A:$T,MATCH(B$1,'[2]150-Modele SGO'!$1:$1,0),FALSE))</f>
        <v>10.1.1 - Remise</v>
      </c>
      <c r="C304" s="256">
        <f>IF($A304="","",VLOOKUP($A304,'[2]3-Elaboration.O'!$A:$T,MATCH(C$1,'[2]150-Modele SGO'!$1:$1,0),FALSE))</f>
        <v>0</v>
      </c>
      <c r="D304" s="256">
        <f>IF($A304="","",VLOOKUP($A304,'[2]3-Elaboration.O'!$A:$T,MATCH(D$1,'[2]150-Modele SGO'!$1:$1,0),FALSE))</f>
        <v>0</v>
      </c>
      <c r="E304" s="257" t="s">
        <v>70</v>
      </c>
      <c r="F304" s="257"/>
      <c r="G304" s="258"/>
      <c r="H304" s="257" t="s">
        <v>30</v>
      </c>
      <c r="I304" s="258"/>
      <c r="J304" s="258"/>
      <c r="K304" s="258"/>
      <c r="L304" s="258"/>
      <c r="M304" s="257" t="s">
        <v>30</v>
      </c>
      <c r="N304" s="258"/>
      <c r="O304" s="258"/>
      <c r="P304" s="258"/>
      <c r="Q304" s="258" t="s">
        <v>30</v>
      </c>
      <c r="R304" s="258" t="s">
        <v>24</v>
      </c>
      <c r="S304" s="231" t="s">
        <v>24</v>
      </c>
      <c r="T304" s="258" t="s">
        <v>24</v>
      </c>
      <c r="U304" s="258" t="s">
        <v>24</v>
      </c>
      <c r="V304" s="257" t="s">
        <v>30</v>
      </c>
      <c r="W304" s="258"/>
      <c r="X304" s="258"/>
      <c r="Y304" s="258"/>
      <c r="Z304" s="258"/>
      <c r="AA304" s="259"/>
      <c r="AB304" s="258"/>
      <c r="AC304" s="258"/>
      <c r="AD304" s="257" t="s">
        <v>30</v>
      </c>
      <c r="AE304" s="258"/>
      <c r="AF304" s="258"/>
      <c r="AG304" s="258"/>
      <c r="AH304" s="258"/>
      <c r="AI304" s="258"/>
      <c r="AJ304" s="258"/>
      <c r="AK304" s="258"/>
      <c r="AL304" s="259" t="s">
        <v>30</v>
      </c>
      <c r="AM304" s="258"/>
      <c r="AN304" s="258"/>
    </row>
    <row r="305" spans="1:40" s="9" customFormat="1" ht="60" x14ac:dyDescent="0.25">
      <c r="A305" s="13" t="s">
        <v>909</v>
      </c>
      <c r="B305" s="229" t="str">
        <f>IF($A305="","",VLOOKUP($A305,'[2]3-Elaboration.O'!$A:$T,MATCH(B$1,'[2]150-Modele SGO'!$1:$1,0),FALSE))</f>
        <v>Est-il demandé aux candidats une remise sur catalogue ?</v>
      </c>
      <c r="C305" s="229" t="str">
        <f>IF($A305="","",VLOOKUP($A305,'[2]3-Elaboration.O'!$A:$T,MATCH(C$1,'[2]150-Modele SGO'!$1:$1,0),FALSE))</f>
        <v>Oui, remise sur catalogue exigée;Non, absence de remsie sur catalogue</v>
      </c>
      <c r="D305" s="229" t="str">
        <f>IF($A305="","",VLOOKUP($A305,'[2]3-Elaboration.O'!$A:$T,MATCH(D$1,'[2]150-Modele SGO'!$1:$1,0),FALSE))</f>
        <v xml:space="preserve">Liste choix unique </v>
      </c>
      <c r="E305" s="230" t="s">
        <v>1521</v>
      </c>
      <c r="F305" s="230"/>
      <c r="G305" s="231"/>
      <c r="H305" s="232" t="s">
        <v>19</v>
      </c>
      <c r="I305" s="233" t="s">
        <v>1691</v>
      </c>
      <c r="J305" s="231"/>
      <c r="K305" s="231"/>
      <c r="L305" s="231"/>
      <c r="M305" s="232" t="s">
        <v>35</v>
      </c>
      <c r="N305" s="231"/>
      <c r="O305" s="231"/>
      <c r="P305" s="231"/>
      <c r="Q305" s="231" t="s">
        <v>26</v>
      </c>
      <c r="R305" s="231" t="s">
        <v>24</v>
      </c>
      <c r="S305" s="233" t="s">
        <v>1692</v>
      </c>
      <c r="T305" s="233" t="s">
        <v>1692</v>
      </c>
      <c r="U305" s="233" t="s">
        <v>46</v>
      </c>
      <c r="V305" s="248" t="s">
        <v>26</v>
      </c>
      <c r="W305" s="231"/>
      <c r="X305" s="233" t="s">
        <v>1691</v>
      </c>
      <c r="Y305" s="233" t="s">
        <v>1691</v>
      </c>
      <c r="Z305" s="233" t="s">
        <v>1693</v>
      </c>
      <c r="AA305" s="235" t="s">
        <v>910</v>
      </c>
      <c r="AB305" s="233" t="s">
        <v>1691</v>
      </c>
      <c r="AC305" s="233" t="s">
        <v>1691</v>
      </c>
      <c r="AD305" s="248" t="s">
        <v>19</v>
      </c>
      <c r="AE305" s="233" t="s">
        <v>910</v>
      </c>
      <c r="AF305" s="231"/>
      <c r="AG305" s="231"/>
      <c r="AH305" s="231"/>
      <c r="AI305" s="231"/>
      <c r="AJ305" s="231"/>
      <c r="AK305" s="231"/>
      <c r="AL305" s="234" t="s">
        <v>35</v>
      </c>
      <c r="AM305" s="231"/>
      <c r="AN305" s="231"/>
    </row>
    <row r="306" spans="1:40" s="9" customFormat="1" ht="26.1" customHeight="1" x14ac:dyDescent="0.25">
      <c r="A306" s="13" t="s">
        <v>913</v>
      </c>
      <c r="B306" s="229" t="str">
        <f>IF($A306="","",VLOOKUP($A306,'[2]3-Elaboration.O'!$A:$T,MATCH(B$1,'[2]150-Modele SGO'!$1:$1,0),FALSE))</f>
        <v xml:space="preserve">Si oui, préciser sur quoi porte cette remise </v>
      </c>
      <c r="C306" s="229" t="str">
        <f>IF($A306="","",VLOOKUP($A306,'[2]3-Elaboration.O'!$A:$T,MATCH(C$1,'[2]150-Modele SGO'!$1:$1,0),FALSE))</f>
        <v>Pièces détachées;Matériels figurant en annexe à l'AE</v>
      </c>
      <c r="D306" s="229" t="str">
        <f>IF($A306="","",VLOOKUP($A306,'[2]3-Elaboration.O'!$A:$T,MATCH(D$1,'[2]150-Modele SGO'!$1:$1,0),FALSE))</f>
        <v xml:space="preserve">Liste choix unique </v>
      </c>
      <c r="E306" s="230" t="s">
        <v>1521</v>
      </c>
      <c r="F306" s="230"/>
      <c r="G306" s="231"/>
      <c r="H306" s="232" t="s">
        <v>35</v>
      </c>
      <c r="I306" s="231"/>
      <c r="J306" s="231"/>
      <c r="K306" s="231"/>
      <c r="L306" s="231"/>
      <c r="M306" s="232" t="s">
        <v>35</v>
      </c>
      <c r="N306" s="231"/>
      <c r="O306" s="231"/>
      <c r="P306" s="231"/>
      <c r="Q306" s="231" t="s">
        <v>35</v>
      </c>
      <c r="R306" s="231" t="s">
        <v>24</v>
      </c>
      <c r="S306" s="231"/>
      <c r="T306" s="231" t="s">
        <v>24</v>
      </c>
      <c r="U306" s="231" t="s">
        <v>24</v>
      </c>
      <c r="V306" s="232" t="s">
        <v>19</v>
      </c>
      <c r="W306" s="233" t="s">
        <v>46</v>
      </c>
      <c r="X306" s="231"/>
      <c r="Y306" s="231"/>
      <c r="Z306" s="231"/>
      <c r="AA306" s="234"/>
      <c r="AB306" s="231"/>
      <c r="AC306" s="247"/>
      <c r="AD306" s="232" t="s">
        <v>35</v>
      </c>
      <c r="AE306" s="231"/>
      <c r="AF306" s="231"/>
      <c r="AG306" s="231"/>
      <c r="AH306" s="231"/>
      <c r="AI306" s="231"/>
      <c r="AJ306" s="231"/>
      <c r="AK306" s="231"/>
      <c r="AL306" s="234" t="s">
        <v>35</v>
      </c>
      <c r="AM306" s="231"/>
      <c r="AN306" s="231"/>
    </row>
    <row r="307" spans="1:40" s="9" customFormat="1" ht="15.75" x14ac:dyDescent="0.25">
      <c r="A307" s="142" t="s">
        <v>916</v>
      </c>
      <c r="B307" s="256" t="str">
        <f>IF($A307="","",VLOOKUP($A307,'[2]3-Elaboration.O'!$A:$T,MATCH(B$1,'[2]150-Modele SGO'!$1:$1,0),FALSE))</f>
        <v xml:space="preserve">10.1.2 Frais </v>
      </c>
      <c r="C307" s="256">
        <f>IF($A307="","",VLOOKUP($A307,'[2]3-Elaboration.O'!$A:$T,MATCH(C$1,'[2]150-Modele SGO'!$1:$1,0),FALSE))</f>
        <v>0</v>
      </c>
      <c r="D307" s="256">
        <f>IF($A307="","",VLOOKUP($A307,'[2]3-Elaboration.O'!$A:$T,MATCH(D$1,'[2]150-Modele SGO'!$1:$1,0),FALSE))</f>
        <v>0</v>
      </c>
      <c r="E307" s="257" t="s">
        <v>70</v>
      </c>
      <c r="F307" s="257"/>
      <c r="G307" s="258"/>
      <c r="H307" s="257" t="s">
        <v>30</v>
      </c>
      <c r="I307" s="258"/>
      <c r="J307" s="258"/>
      <c r="K307" s="258"/>
      <c r="L307" s="258"/>
      <c r="M307" s="257" t="s">
        <v>30</v>
      </c>
      <c r="N307" s="258"/>
      <c r="O307" s="258"/>
      <c r="P307" s="258"/>
      <c r="Q307" s="258" t="s">
        <v>30</v>
      </c>
      <c r="R307" s="258" t="s">
        <v>24</v>
      </c>
      <c r="S307" s="231" t="s">
        <v>24</v>
      </c>
      <c r="T307" s="258" t="s">
        <v>24</v>
      </c>
      <c r="U307" s="258" t="s">
        <v>24</v>
      </c>
      <c r="V307" s="257" t="s">
        <v>30</v>
      </c>
      <c r="W307" s="258"/>
      <c r="X307" s="258"/>
      <c r="Y307" s="258"/>
      <c r="Z307" s="258"/>
      <c r="AA307" s="259"/>
      <c r="AB307" s="258"/>
      <c r="AC307" s="258"/>
      <c r="AD307" s="257" t="s">
        <v>30</v>
      </c>
      <c r="AE307" s="258"/>
      <c r="AF307" s="258"/>
      <c r="AG307" s="258"/>
      <c r="AH307" s="258"/>
      <c r="AI307" s="258"/>
      <c r="AJ307" s="258"/>
      <c r="AK307" s="258"/>
      <c r="AL307" s="259" t="s">
        <v>30</v>
      </c>
      <c r="AM307" s="258"/>
      <c r="AN307" s="258"/>
    </row>
    <row r="308" spans="1:40" s="9" customFormat="1" ht="60" x14ac:dyDescent="0.25">
      <c r="A308" s="13" t="s">
        <v>918</v>
      </c>
      <c r="B308" s="229" t="str">
        <f>IF($A308="","",VLOOKUP($A308,'[2]3-Elaboration.O'!$A:$T,MATCH(B$1,'[2]150-Modele SGO'!$1:$1,0),FALSE))</f>
        <v xml:space="preserve">Les prix couvrent-ils les frais d'hébergement, de transport et de restauration en lien avec les prestations ? </v>
      </c>
      <c r="C308" s="229" t="str">
        <f>IF($A308="","",VLOOKUP($A308,'[2]3-Elaboration.O'!$A:$T,MATCH(C$1,'[2]150-Modele SGO'!$1:$1,0),FALSE))</f>
        <v>Oui, les frais couvrent l'hébergement, le transport et la restauration; Non, les frais ne couvrent pas l'hébergement, le transport et la restauration</v>
      </c>
      <c r="D308" s="229" t="str">
        <f>IF($A308="","",VLOOKUP($A308,'[2]3-Elaboration.O'!$A:$T,MATCH(D$1,'[2]150-Modele SGO'!$1:$1,0),FALSE))</f>
        <v xml:space="preserve">Liste choix unique </v>
      </c>
      <c r="E308" s="230" t="s">
        <v>1521</v>
      </c>
      <c r="F308" s="230"/>
      <c r="G308" s="231"/>
      <c r="H308" s="232" t="s">
        <v>35</v>
      </c>
      <c r="I308" s="231"/>
      <c r="J308" s="231"/>
      <c r="K308" s="231"/>
      <c r="L308" s="231"/>
      <c r="M308" s="232" t="s">
        <v>35</v>
      </c>
      <c r="N308" s="231"/>
      <c r="O308" s="231"/>
      <c r="P308" s="231"/>
      <c r="Q308" s="231" t="s">
        <v>19</v>
      </c>
      <c r="R308" s="233" t="s">
        <v>919</v>
      </c>
      <c r="S308" s="231" t="s">
        <v>24</v>
      </c>
      <c r="T308" s="231" t="s">
        <v>24</v>
      </c>
      <c r="U308" s="231" t="s">
        <v>24</v>
      </c>
      <c r="V308" s="232" t="s">
        <v>19</v>
      </c>
      <c r="W308" s="233" t="s">
        <v>919</v>
      </c>
      <c r="X308" s="231"/>
      <c r="Y308" s="231"/>
      <c r="Z308" s="231"/>
      <c r="AA308" s="234"/>
      <c r="AB308" s="231"/>
      <c r="AC308" s="231"/>
      <c r="AD308" s="232" t="s">
        <v>26</v>
      </c>
      <c r="AE308" s="231"/>
      <c r="AF308" s="233" t="s">
        <v>919</v>
      </c>
      <c r="AG308" s="233" t="s">
        <v>919</v>
      </c>
      <c r="AH308" s="233" t="s">
        <v>919</v>
      </c>
      <c r="AI308" s="233" t="s">
        <v>919</v>
      </c>
      <c r="AJ308" s="233" t="s">
        <v>46</v>
      </c>
      <c r="AK308" s="233" t="s">
        <v>919</v>
      </c>
      <c r="AL308" s="235" t="s">
        <v>35</v>
      </c>
      <c r="AM308" s="231"/>
      <c r="AN308" s="231"/>
    </row>
    <row r="309" spans="1:40" s="9" customFormat="1" ht="30" x14ac:dyDescent="0.25">
      <c r="A309" s="13" t="s">
        <v>922</v>
      </c>
      <c r="B309" s="229" t="str">
        <f>IF($A309="","",VLOOKUP($A309,'[2]3-Elaboration.O'!$A:$T,MATCH(B$1,'[2]150-Modele SGO'!$1:$1,0),FALSE))</f>
        <v xml:space="preserve">Si oui, préciser </v>
      </c>
      <c r="C309" s="229" t="str">
        <f>IF($A309="","",VLOOKUP($A309,'[2]3-Elaboration.O'!$A:$T,MATCH(C$1,'[2]150-Modele SGO'!$1:$1,0),FALSE))</f>
        <v>Sur devis;Inclus dans les prix</v>
      </c>
      <c r="D309" s="229" t="str">
        <f>IF($A309="","",VLOOKUP($A309,'[2]3-Elaboration.O'!$A:$T,MATCH(D$1,'[2]150-Modele SGO'!$1:$1,0),FALSE))</f>
        <v xml:space="preserve">Liste choix unique </v>
      </c>
      <c r="E309" s="230" t="s">
        <v>70</v>
      </c>
      <c r="F309" s="230"/>
      <c r="G309" s="231"/>
      <c r="H309" s="232" t="s">
        <v>35</v>
      </c>
      <c r="I309" s="231"/>
      <c r="J309" s="231"/>
      <c r="K309" s="231"/>
      <c r="L309" s="231"/>
      <c r="M309" s="232" t="s">
        <v>35</v>
      </c>
      <c r="N309" s="231"/>
      <c r="O309" s="231"/>
      <c r="P309" s="231"/>
      <c r="Q309" s="231" t="s">
        <v>19</v>
      </c>
      <c r="R309" s="233" t="s">
        <v>923</v>
      </c>
      <c r="S309" s="231" t="s">
        <v>24</v>
      </c>
      <c r="T309" s="231" t="s">
        <v>24</v>
      </c>
      <c r="U309" s="231" t="s">
        <v>24</v>
      </c>
      <c r="V309" s="232" t="s">
        <v>19</v>
      </c>
      <c r="W309" s="233" t="s">
        <v>923</v>
      </c>
      <c r="X309" s="231"/>
      <c r="Y309" s="231"/>
      <c r="Z309" s="231"/>
      <c r="AA309" s="234"/>
      <c r="AB309" s="231"/>
      <c r="AC309" s="231"/>
      <c r="AD309" s="232" t="s">
        <v>26</v>
      </c>
      <c r="AE309" s="231"/>
      <c r="AF309" s="233" t="s">
        <v>923</v>
      </c>
      <c r="AG309" s="233" t="s">
        <v>923</v>
      </c>
      <c r="AH309" s="233" t="s">
        <v>923</v>
      </c>
      <c r="AI309" s="233" t="s">
        <v>923</v>
      </c>
      <c r="AJ309" s="233" t="s">
        <v>46</v>
      </c>
      <c r="AK309" s="233" t="s">
        <v>923</v>
      </c>
      <c r="AL309" s="235" t="s">
        <v>35</v>
      </c>
      <c r="AM309" s="231"/>
      <c r="AN309" s="231"/>
    </row>
    <row r="310" spans="1:40" s="9" customFormat="1" ht="68.099999999999994" customHeight="1" x14ac:dyDescent="0.25">
      <c r="A310" s="13" t="s">
        <v>926</v>
      </c>
      <c r="B310" s="229" t="str">
        <f>IF($A310="","",VLOOKUP($A310,'[2]3-Elaboration.O'!$A:$T,MATCH(B$1,'[2]150-Modele SGO'!$1:$1,0),FALSE))</f>
        <v xml:space="preserve">Y'a-t-il des frais de modification ou relivraison  ? </v>
      </c>
      <c r="C310" s="229" t="str">
        <f>IF($A310="","",VLOOKUP($A310,'[2]3-Elaboration.O'!$A:$T,MATCH(C$1,'[2]150-Modele SGO'!$1:$1,0),FALSE))</f>
        <v>Oui, frais de modification ou relivraisons prévus; Non, absence de frais de modification ou relivraison</v>
      </c>
      <c r="D310" s="229" t="str">
        <f>IF($A310="","",VLOOKUP($A310,'[2]3-Elaboration.O'!$A:$T,MATCH(D$1,'[2]150-Modele SGO'!$1:$1,0),FALSE))</f>
        <v xml:space="preserve">Liste choix unique </v>
      </c>
      <c r="E310" s="230" t="s">
        <v>1521</v>
      </c>
      <c r="F310" s="230"/>
      <c r="G310" s="231"/>
      <c r="H310" s="232" t="s">
        <v>35</v>
      </c>
      <c r="I310" s="231"/>
      <c r="J310" s="231"/>
      <c r="K310" s="231"/>
      <c r="L310" s="231"/>
      <c r="M310" s="232" t="s">
        <v>26</v>
      </c>
      <c r="N310" s="231"/>
      <c r="O310" s="233" t="s">
        <v>1694</v>
      </c>
      <c r="P310" s="233" t="s">
        <v>35</v>
      </c>
      <c r="Q310" s="233" t="s">
        <v>26</v>
      </c>
      <c r="R310" s="231" t="s">
        <v>24</v>
      </c>
      <c r="S310" s="233" t="s">
        <v>927</v>
      </c>
      <c r="T310" s="233" t="s">
        <v>929</v>
      </c>
      <c r="U310" s="233" t="s">
        <v>46</v>
      </c>
      <c r="V310" s="232" t="s">
        <v>19</v>
      </c>
      <c r="W310" s="233" t="s">
        <v>927</v>
      </c>
      <c r="X310" s="231"/>
      <c r="Y310" s="231"/>
      <c r="Z310" s="231"/>
      <c r="AA310" s="234"/>
      <c r="AB310" s="231"/>
      <c r="AC310" s="231"/>
      <c r="AD310" s="232" t="s">
        <v>26</v>
      </c>
      <c r="AE310" s="231"/>
      <c r="AF310" s="233" t="s">
        <v>927</v>
      </c>
      <c r="AG310" s="233" t="s">
        <v>927</v>
      </c>
      <c r="AH310" s="233" t="s">
        <v>927</v>
      </c>
      <c r="AI310" s="233" t="s">
        <v>927</v>
      </c>
      <c r="AJ310" s="233" t="s">
        <v>927</v>
      </c>
      <c r="AK310" s="233" t="s">
        <v>927</v>
      </c>
      <c r="AL310" s="235" t="s">
        <v>35</v>
      </c>
      <c r="AM310" s="231"/>
      <c r="AN310" s="231"/>
    </row>
    <row r="311" spans="1:40" s="9" customFormat="1" ht="15.75" x14ac:dyDescent="0.25">
      <c r="A311" s="142" t="s">
        <v>930</v>
      </c>
      <c r="B311" s="256" t="str">
        <f>IF($A311="","",VLOOKUP($A311,'[2]3-Elaboration.O'!$A:$T,MATCH(B$1,'[2]150-Modele SGO'!$1:$1,0),FALSE))</f>
        <v xml:space="preserve">10.1.3  Support d'enregistrement </v>
      </c>
      <c r="C311" s="256">
        <f>IF($A311="","",VLOOKUP($A311,'[2]3-Elaboration.O'!$A:$T,MATCH(C$1,'[2]150-Modele SGO'!$1:$1,0),FALSE))</f>
        <v>0</v>
      </c>
      <c r="D311" s="256">
        <f>IF($A311="","",VLOOKUP($A311,'[2]3-Elaboration.O'!$A:$T,MATCH(D$1,'[2]150-Modele SGO'!$1:$1,0),FALSE))</f>
        <v>0</v>
      </c>
      <c r="E311" s="257" t="s">
        <v>70</v>
      </c>
      <c r="F311" s="257"/>
      <c r="G311" s="258"/>
      <c r="H311" s="257" t="s">
        <v>30</v>
      </c>
      <c r="I311" s="258"/>
      <c r="J311" s="258"/>
      <c r="K311" s="258"/>
      <c r="L311" s="258"/>
      <c r="M311" s="257" t="s">
        <v>30</v>
      </c>
      <c r="N311" s="258"/>
      <c r="O311" s="258"/>
      <c r="P311" s="258"/>
      <c r="Q311" s="258" t="s">
        <v>30</v>
      </c>
      <c r="R311" s="258" t="s">
        <v>24</v>
      </c>
      <c r="S311" s="231"/>
      <c r="T311" s="258" t="s">
        <v>24</v>
      </c>
      <c r="U311" s="258" t="s">
        <v>24</v>
      </c>
      <c r="V311" s="257" t="s">
        <v>30</v>
      </c>
      <c r="W311" s="258"/>
      <c r="X311" s="258"/>
      <c r="Y311" s="258"/>
      <c r="Z311" s="258"/>
      <c r="AA311" s="259"/>
      <c r="AB311" s="258"/>
      <c r="AC311" s="258"/>
      <c r="AD311" s="257" t="s">
        <v>30</v>
      </c>
      <c r="AE311" s="258"/>
      <c r="AF311" s="258"/>
      <c r="AG311" s="258"/>
      <c r="AH311" s="258"/>
      <c r="AI311" s="258"/>
      <c r="AJ311" s="258"/>
      <c r="AK311" s="258"/>
      <c r="AL311" s="259" t="s">
        <v>30</v>
      </c>
      <c r="AM311" s="258"/>
      <c r="AN311" s="258"/>
    </row>
    <row r="312" spans="1:40" s="9" customFormat="1" ht="45" x14ac:dyDescent="0.25">
      <c r="A312" s="13" t="s">
        <v>932</v>
      </c>
      <c r="B312" s="229" t="str">
        <f>IF($A312="","",VLOOKUP($A312,'[2]3-Elaboration.O'!$A:$T,MATCH(B$1,'[2]150-Modele SGO'!$1:$1,0),FALSE))</f>
        <v>L'offre prévoit-elle des supports d'enregistrement (cles USB, disques durs, CD, …)?</v>
      </c>
      <c r="C312" s="229" t="str">
        <f>IF($A312="","",VLOOKUP($A312,'[2]3-Elaboration.O'!$A:$T,MATCH(C$1,'[2]150-Modele SGO'!$1:$1,0),FALSE))</f>
        <v>Oui, l'offre prévoit des supports d'enregistrement;Non, l'offre ne prévoit pas de supports d'enregistrement</v>
      </c>
      <c r="D312" s="229" t="str">
        <f>IF($A312="","",VLOOKUP($A312,'[2]3-Elaboration.O'!$A:$T,MATCH(D$1,'[2]150-Modele SGO'!$1:$1,0),FALSE))</f>
        <v xml:space="preserve">Liste choix unique </v>
      </c>
      <c r="E312" s="230" t="s">
        <v>70</v>
      </c>
      <c r="F312" s="230"/>
      <c r="G312" s="231"/>
      <c r="H312" s="232" t="s">
        <v>35</v>
      </c>
      <c r="I312" s="231"/>
      <c r="J312" s="231"/>
      <c r="K312" s="231"/>
      <c r="L312" s="231"/>
      <c r="M312" s="232" t="s">
        <v>35</v>
      </c>
      <c r="N312" s="231"/>
      <c r="O312" s="231"/>
      <c r="P312" s="231"/>
      <c r="Q312" s="231" t="s">
        <v>19</v>
      </c>
      <c r="R312" s="233" t="s">
        <v>46</v>
      </c>
      <c r="S312" s="231" t="s">
        <v>24</v>
      </c>
      <c r="T312" s="231" t="s">
        <v>24</v>
      </c>
      <c r="U312" s="231" t="s">
        <v>24</v>
      </c>
      <c r="V312" s="232" t="s">
        <v>26</v>
      </c>
      <c r="W312" s="231"/>
      <c r="X312" s="233" t="s">
        <v>1695</v>
      </c>
      <c r="Y312" s="233" t="s">
        <v>1695</v>
      </c>
      <c r="Z312" s="233" t="s">
        <v>933</v>
      </c>
      <c r="AA312" s="235" t="s">
        <v>933</v>
      </c>
      <c r="AB312" s="233" t="s">
        <v>1695</v>
      </c>
      <c r="AC312" s="233" t="s">
        <v>1695</v>
      </c>
      <c r="AD312" s="232" t="s">
        <v>19</v>
      </c>
      <c r="AE312" s="233" t="s">
        <v>1695</v>
      </c>
      <c r="AF312" s="231"/>
      <c r="AG312" s="231"/>
      <c r="AH312" s="231"/>
      <c r="AI312" s="231"/>
      <c r="AJ312" s="231"/>
      <c r="AK312" s="231"/>
      <c r="AL312" s="234" t="s">
        <v>35</v>
      </c>
      <c r="AM312" s="231"/>
      <c r="AN312" s="231"/>
    </row>
    <row r="313" spans="1:40" s="9" customFormat="1" ht="45" x14ac:dyDescent="0.25">
      <c r="A313" s="13" t="s">
        <v>936</v>
      </c>
      <c r="B313" s="229" t="str">
        <f>IF($A313="","",VLOOKUP($A313,'[2]3-Elaboration.O'!$A:$T,MATCH(B$1,'[2]150-Modele SGO'!$1:$1,0),FALSE))</f>
        <v xml:space="preserve">Si oui, une rémunération pour copie privée est-elle prévue ? </v>
      </c>
      <c r="C313" s="229" t="str">
        <f>IF($A313="","",VLOOKUP($A313,'[2]3-Elaboration.O'!$A:$T,MATCH(C$1,'[2]150-Modele SGO'!$1:$1,0),FALSE))</f>
        <v>Oui, une rémunération pour copie privée est prévue; Non, absence de rémunération pour copie privée</v>
      </c>
      <c r="D313" s="229" t="str">
        <f>IF($A313="","",VLOOKUP($A313,'[2]3-Elaboration.O'!$A:$T,MATCH(D$1,'[2]150-Modele SGO'!$1:$1,0),FALSE))</f>
        <v xml:space="preserve">Liste choix unique </v>
      </c>
      <c r="E313" s="230" t="s">
        <v>1521</v>
      </c>
      <c r="F313" s="230"/>
      <c r="G313" s="231"/>
      <c r="H313" s="232" t="s">
        <v>35</v>
      </c>
      <c r="I313" s="231"/>
      <c r="J313" s="231"/>
      <c r="K313" s="231"/>
      <c r="L313" s="231"/>
      <c r="M313" s="232" t="s">
        <v>35</v>
      </c>
      <c r="N313" s="231"/>
      <c r="O313" s="231"/>
      <c r="P313" s="231"/>
      <c r="Q313" s="231" t="s">
        <v>19</v>
      </c>
      <c r="R313" s="233" t="s">
        <v>46</v>
      </c>
      <c r="S313" s="231" t="s">
        <v>24</v>
      </c>
      <c r="T313" s="231" t="s">
        <v>24</v>
      </c>
      <c r="U313" s="231" t="s">
        <v>24</v>
      </c>
      <c r="V313" s="232" t="s">
        <v>26</v>
      </c>
      <c r="W313" s="231"/>
      <c r="X313" s="233" t="s">
        <v>46</v>
      </c>
      <c r="Y313" s="233" t="s">
        <v>46</v>
      </c>
      <c r="Z313" s="233" t="s">
        <v>1696</v>
      </c>
      <c r="AA313" s="233" t="s">
        <v>937</v>
      </c>
      <c r="AB313" s="233" t="s">
        <v>46</v>
      </c>
      <c r="AC313" s="233" t="s">
        <v>46</v>
      </c>
      <c r="AD313" s="232" t="s">
        <v>19</v>
      </c>
      <c r="AE313" s="233" t="s">
        <v>46</v>
      </c>
      <c r="AF313" s="231"/>
      <c r="AG313" s="231"/>
      <c r="AH313" s="231"/>
      <c r="AI313" s="231"/>
      <c r="AJ313" s="231"/>
      <c r="AK313" s="231"/>
      <c r="AL313" s="234" t="s">
        <v>35</v>
      </c>
      <c r="AM313" s="231"/>
      <c r="AN313" s="231"/>
    </row>
    <row r="314" spans="1:40" s="9" customFormat="1" ht="15.75" x14ac:dyDescent="0.25">
      <c r="A314" s="108" t="s">
        <v>940</v>
      </c>
      <c r="B314" s="244" t="str">
        <f>IF($A314="","",VLOOKUP($A314,'[2]3-Elaboration.O'!$A:$T,MATCH(B$1,'[2]150-Modele SGO'!$1:$1,0),FALSE))</f>
        <v>10.2 - Variation des prix ou taux de remise</v>
      </c>
      <c r="C314" s="244">
        <f>IF($A314="","",VLOOKUP($A314,'[2]3-Elaboration.O'!$A:$T,MATCH(C$1,'[2]150-Modele SGO'!$1:$1,0),FALSE))</f>
        <v>0</v>
      </c>
      <c r="D314" s="244">
        <f>IF($A314="","",VLOOKUP($A314,'[2]3-Elaboration.O'!$A:$T,MATCH(D$1,'[2]150-Modele SGO'!$1:$1,0),FALSE))</f>
        <v>0</v>
      </c>
      <c r="E314" s="241" t="s">
        <v>70</v>
      </c>
      <c r="F314" s="241"/>
      <c r="G314" s="237"/>
      <c r="H314" s="241" t="s">
        <v>30</v>
      </c>
      <c r="I314" s="237"/>
      <c r="J314" s="237"/>
      <c r="K314" s="237"/>
      <c r="L314" s="237"/>
      <c r="M314" s="241" t="s">
        <v>30</v>
      </c>
      <c r="N314" s="237"/>
      <c r="O314" s="237"/>
      <c r="P314" s="237"/>
      <c r="Q314" s="237" t="s">
        <v>30</v>
      </c>
      <c r="R314" s="237" t="s">
        <v>24</v>
      </c>
      <c r="S314" s="231" t="s">
        <v>24</v>
      </c>
      <c r="T314" s="237" t="s">
        <v>24</v>
      </c>
      <c r="U314" s="237" t="s">
        <v>24</v>
      </c>
      <c r="V314" s="241" t="s">
        <v>30</v>
      </c>
      <c r="W314" s="231"/>
      <c r="X314" s="237"/>
      <c r="Y314" s="237"/>
      <c r="Z314" s="237"/>
      <c r="AA314" s="239"/>
      <c r="AB314" s="237"/>
      <c r="AC314" s="237"/>
      <c r="AD314" s="241" t="s">
        <v>30</v>
      </c>
      <c r="AE314" s="237"/>
      <c r="AF314" s="237"/>
      <c r="AG314" s="237"/>
      <c r="AH314" s="237"/>
      <c r="AI314" s="237"/>
      <c r="AJ314" s="237"/>
      <c r="AK314" s="237"/>
      <c r="AL314" s="239" t="s">
        <v>30</v>
      </c>
      <c r="AM314" s="237"/>
      <c r="AN314" s="237"/>
    </row>
    <row r="315" spans="1:40" s="9" customFormat="1" ht="48" customHeight="1" x14ac:dyDescent="0.25">
      <c r="A315" s="13" t="s">
        <v>942</v>
      </c>
      <c r="B315" s="229" t="str">
        <f>IF($A315="","",VLOOKUP($A315,'[2]3-Elaboration.O'!$A:$T,MATCH(B$1,'[2]150-Modele SGO'!$1:$1,0),FALSE))</f>
        <v>Quelles sont les modalités de variation des prix   ?</v>
      </c>
      <c r="C315" s="229" t="str">
        <f>IF($A315="","",VLOOKUP($A315,'[2]3-Elaboration.O'!$A:$T,MATCH(C$1,'[2]150-Modele SGO'!$1:$1,0),FALSE))</f>
        <v>Prix fermes;Prix révisables sur tarif public à la date d'anniversaire;Prix révisables sur tarif public à tout moment;Prix révisables sur tarif public à date fixe;Prix révisables sur indice;Taux de remise sur tarif public;Autre</v>
      </c>
      <c r="D315" s="229" t="str">
        <f>IF($A315="","",VLOOKUP($A315,'[2]3-Elaboration.O'!$A:$T,MATCH(D$1,'[2]150-Modele SGO'!$1:$1,0),FALSE))</f>
        <v>Liste choix multiple</v>
      </c>
      <c r="E315" s="230" t="s">
        <v>1521</v>
      </c>
      <c r="F315" s="230"/>
      <c r="G315" s="233" t="s">
        <v>943</v>
      </c>
      <c r="H315" s="232" t="s">
        <v>51</v>
      </c>
      <c r="I315" s="231"/>
      <c r="J315" s="231"/>
      <c r="K315" s="231"/>
      <c r="L315" s="231"/>
      <c r="M315" s="232" t="s">
        <v>51</v>
      </c>
      <c r="N315" s="231"/>
      <c r="O315" s="231"/>
      <c r="P315" s="231"/>
      <c r="Q315" s="231" t="s">
        <v>51</v>
      </c>
      <c r="R315" s="231" t="s">
        <v>24</v>
      </c>
      <c r="S315" s="231" t="s">
        <v>24</v>
      </c>
      <c r="T315" s="231" t="s">
        <v>24</v>
      </c>
      <c r="U315" s="231" t="s">
        <v>24</v>
      </c>
      <c r="V315" s="232" t="s">
        <v>51</v>
      </c>
      <c r="W315" s="231"/>
      <c r="X315" s="231"/>
      <c r="Y315" s="231"/>
      <c r="Z315" s="231"/>
      <c r="AA315" s="234"/>
      <c r="AB315" s="242"/>
      <c r="AC315" s="242"/>
      <c r="AD315" s="232" t="s">
        <v>51</v>
      </c>
      <c r="AE315" s="231"/>
      <c r="AF315" s="231"/>
      <c r="AG315" s="231"/>
      <c r="AH315" s="231"/>
      <c r="AI315" s="231"/>
      <c r="AJ315" s="231"/>
      <c r="AK315" s="231"/>
      <c r="AL315" s="234" t="s">
        <v>51</v>
      </c>
      <c r="AM315" s="231"/>
      <c r="AN315" s="231"/>
    </row>
    <row r="316" spans="1:40" s="9" customFormat="1" ht="33" customHeight="1" x14ac:dyDescent="0.25">
      <c r="A316" s="13" t="s">
        <v>946</v>
      </c>
      <c r="B316" s="229" t="str">
        <f>IF($A316="","",VLOOKUP($A316,'[2]3-Elaboration.O'!$A:$T,MATCH(B$1,'[2]150-Modele SGO'!$1:$1,0),FALSE))</f>
        <v>Préciser le périmètre concerné par l'actualisation des prix fermes</v>
      </c>
      <c r="C316" s="229" t="str">
        <f>IF($A316="","",VLOOKUP($A316,'[2]3-Elaboration.O'!$A:$T,MATCH(C$1,'[2]150-Modele SGO'!$1:$1,0),FALSE))</f>
        <v>des matériels;des prestations annexes;des prestations de maintenance;des modulations de garantie</v>
      </c>
      <c r="D316" s="229" t="str">
        <f>IF($A316="","",VLOOKUP($A316,'[2]3-Elaboration.O'!$A:$T,MATCH(D$1,'[2]150-Modele SGO'!$1:$1,0),FALSE))</f>
        <v>Liste choix multiple</v>
      </c>
      <c r="E316" s="230"/>
      <c r="F316" s="230"/>
      <c r="G316" s="231"/>
      <c r="H316" s="232" t="s">
        <v>35</v>
      </c>
      <c r="I316" s="231"/>
      <c r="J316" s="231"/>
      <c r="K316" s="231"/>
      <c r="L316" s="231"/>
      <c r="M316" s="232" t="s">
        <v>35</v>
      </c>
      <c r="N316" s="231"/>
      <c r="O316" s="231"/>
      <c r="P316" s="231"/>
      <c r="Q316" s="231" t="s">
        <v>35</v>
      </c>
      <c r="R316" s="231" t="s">
        <v>24</v>
      </c>
      <c r="S316" s="231" t="s">
        <v>24</v>
      </c>
      <c r="T316" s="231" t="s">
        <v>24</v>
      </c>
      <c r="U316" s="231" t="s">
        <v>24</v>
      </c>
      <c r="V316" s="232" t="s">
        <v>35</v>
      </c>
      <c r="W316" s="231"/>
      <c r="X316" s="231"/>
      <c r="Y316" s="231"/>
      <c r="Z316" s="231"/>
      <c r="AA316" s="234"/>
      <c r="AB316" s="242"/>
      <c r="AC316" s="242"/>
      <c r="AD316" s="232" t="s">
        <v>35</v>
      </c>
      <c r="AE316" s="231"/>
      <c r="AF316" s="231"/>
      <c r="AG316" s="231"/>
      <c r="AH316" s="231"/>
      <c r="AI316" s="231"/>
      <c r="AJ316" s="231"/>
      <c r="AK316" s="231"/>
      <c r="AL316" s="234" t="s">
        <v>35</v>
      </c>
      <c r="AM316" s="231"/>
      <c r="AN316" s="231"/>
    </row>
    <row r="317" spans="1:40" s="9" customFormat="1" ht="49.35" customHeight="1" x14ac:dyDescent="0.25">
      <c r="A317" s="13" t="s">
        <v>949</v>
      </c>
      <c r="B317" s="229" t="str">
        <f>IF($A317="","",VLOOKUP($A317,'[2]3-Elaboration.O'!$A:$T,MATCH(B$1,'[2]150-Modele SGO'!$1:$1,0),FALSE))</f>
        <v>Si révision sur indice, préciser les modalités de variation par lot</v>
      </c>
      <c r="C317" s="229" t="str">
        <f>IF($A317="","",VLOOKUP($A317,'[2]3-Elaboration.O'!$A:$T,MATCH(C$1,'[2]150-Modele SGO'!$1:$1,0),FALSE))</f>
        <v>Annexe 10-Révision des prix sur indice</v>
      </c>
      <c r="D317" s="229" t="str">
        <f>IF($A317="","",VLOOKUP($A317,'[2]3-Elaboration.O'!$A:$T,MATCH(D$1,'[2]150-Modele SGO'!$1:$1,0),FALSE))</f>
        <v>Annexe 10 - Détail lots</v>
      </c>
      <c r="E317" s="230"/>
      <c r="F317" s="230"/>
      <c r="G317" s="231"/>
      <c r="H317" s="232" t="s">
        <v>35</v>
      </c>
      <c r="I317" s="231"/>
      <c r="J317" s="231"/>
      <c r="K317" s="231"/>
      <c r="L317" s="231"/>
      <c r="M317" s="232" t="s">
        <v>35</v>
      </c>
      <c r="N317" s="231"/>
      <c r="O317" s="231"/>
      <c r="P317" s="231"/>
      <c r="Q317" s="231" t="s">
        <v>35</v>
      </c>
      <c r="R317" s="231" t="s">
        <v>24</v>
      </c>
      <c r="S317" s="231" t="s">
        <v>24</v>
      </c>
      <c r="T317" s="231" t="s">
        <v>24</v>
      </c>
      <c r="U317" s="231" t="s">
        <v>24</v>
      </c>
      <c r="V317" s="232" t="s">
        <v>35</v>
      </c>
      <c r="W317" s="231"/>
      <c r="X317" s="231"/>
      <c r="Y317" s="231"/>
      <c r="Z317" s="231"/>
      <c r="AA317" s="234"/>
      <c r="AB317" s="231"/>
      <c r="AC317" s="231"/>
      <c r="AD317" s="232" t="s">
        <v>35</v>
      </c>
      <c r="AE317" s="231"/>
      <c r="AF317" s="231"/>
      <c r="AG317" s="231"/>
      <c r="AH317" s="231"/>
      <c r="AI317" s="231"/>
      <c r="AJ317" s="231"/>
      <c r="AK317" s="231"/>
      <c r="AL317" s="234" t="s">
        <v>35</v>
      </c>
      <c r="AM317" s="231"/>
      <c r="AN317" s="231"/>
    </row>
    <row r="318" spans="1:40" s="9" customFormat="1" ht="33" customHeight="1" x14ac:dyDescent="0.25">
      <c r="A318" s="13" t="s">
        <v>952</v>
      </c>
      <c r="B318" s="229" t="str">
        <f>IF($A318="","",VLOOKUP($A318,'[2]3-Elaboration.O'!$A:$T,MATCH(B$1,'[2]150-Modele SGO'!$1:$1,0),FALSE))</f>
        <v>Si révision sur tarif public à tout moment, préciser les lots</v>
      </c>
      <c r="C318" s="229" t="str">
        <f>IF($A318="","",VLOOKUP($A318,'[2]3-Elaboration.O'!$A:$T,MATCH(C$1,'[2]150-Modele SGO'!$1:$1,0),FALSE))</f>
        <v>Champ libre</v>
      </c>
      <c r="D318" s="229" t="str">
        <f>IF($A318="","",VLOOKUP($A318,'[2]3-Elaboration.O'!$A:$T,MATCH(D$1,'[2]150-Modele SGO'!$1:$1,0),FALSE))</f>
        <v>Texte</v>
      </c>
      <c r="E318" s="230"/>
      <c r="F318" s="230"/>
      <c r="G318" s="231"/>
      <c r="H318" s="232" t="s">
        <v>35</v>
      </c>
      <c r="I318" s="231"/>
      <c r="J318" s="231"/>
      <c r="K318" s="231"/>
      <c r="L318" s="231"/>
      <c r="M318" s="232" t="s">
        <v>35</v>
      </c>
      <c r="N318" s="231"/>
      <c r="O318" s="231"/>
      <c r="P318" s="231"/>
      <c r="Q318" s="231" t="s">
        <v>35</v>
      </c>
      <c r="R318" s="231" t="s">
        <v>24</v>
      </c>
      <c r="S318" s="231" t="s">
        <v>24</v>
      </c>
      <c r="T318" s="231" t="s">
        <v>24</v>
      </c>
      <c r="U318" s="231" t="s">
        <v>24</v>
      </c>
      <c r="V318" s="232" t="s">
        <v>35</v>
      </c>
      <c r="W318" s="231"/>
      <c r="X318" s="231"/>
      <c r="Y318" s="231"/>
      <c r="Z318" s="231"/>
      <c r="AA318" s="234"/>
      <c r="AB318" s="242"/>
      <c r="AC318" s="242"/>
      <c r="AD318" s="232" t="s">
        <v>35</v>
      </c>
      <c r="AE318" s="231"/>
      <c r="AF318" s="231"/>
      <c r="AG318" s="231"/>
      <c r="AH318" s="231"/>
      <c r="AI318" s="231"/>
      <c r="AJ318" s="231"/>
      <c r="AK318" s="231"/>
      <c r="AL318" s="234" t="s">
        <v>35</v>
      </c>
      <c r="AM318" s="231"/>
      <c r="AN318" s="231"/>
    </row>
    <row r="319" spans="1:40" s="9" customFormat="1" ht="30" x14ac:dyDescent="0.25">
      <c r="A319" s="13" t="s">
        <v>954</v>
      </c>
      <c r="B319" s="229" t="str">
        <f>IF($A319="","",VLOOKUP($A319,'[2]3-Elaboration.O'!$A:$T,MATCH(B$1,'[2]150-Modele SGO'!$1:$1,0),FALSE))</f>
        <v>Préciser le périmètre concerné par la révision sur tarif public à tout moment</v>
      </c>
      <c r="C319" s="229" t="str">
        <f>IF($A319="","",VLOOKUP($A319,'[2]3-Elaboration.O'!$A:$T,MATCH(C$1,'[2]150-Modele SGO'!$1:$1,0),FALSE))</f>
        <v>des matériels;des prestations annexes;des prestations de maintenance;des modulations de garantie</v>
      </c>
      <c r="D319" s="229" t="str">
        <f>IF($A319="","",VLOOKUP($A319,'[2]3-Elaboration.O'!$A:$T,MATCH(D$1,'[2]150-Modele SGO'!$1:$1,0),FALSE))</f>
        <v>Liste choix multiple</v>
      </c>
      <c r="E319" s="230" t="s">
        <v>70</v>
      </c>
      <c r="F319" s="230"/>
      <c r="G319" s="231"/>
      <c r="H319" s="232" t="s">
        <v>35</v>
      </c>
      <c r="I319" s="231"/>
      <c r="J319" s="231"/>
      <c r="K319" s="231"/>
      <c r="L319" s="231"/>
      <c r="M319" s="232" t="s">
        <v>35</v>
      </c>
      <c r="N319" s="231"/>
      <c r="O319" s="231"/>
      <c r="P319" s="231"/>
      <c r="Q319" s="231" t="s">
        <v>35</v>
      </c>
      <c r="R319" s="231" t="s">
        <v>24</v>
      </c>
      <c r="S319" s="231" t="s">
        <v>24</v>
      </c>
      <c r="T319" s="231" t="s">
        <v>24</v>
      </c>
      <c r="U319" s="231" t="s">
        <v>24</v>
      </c>
      <c r="V319" s="232" t="s">
        <v>35</v>
      </c>
      <c r="W319" s="231"/>
      <c r="X319" s="231"/>
      <c r="Y319" s="231"/>
      <c r="Z319" s="231"/>
      <c r="AA319" s="234"/>
      <c r="AB319" s="231"/>
      <c r="AC319" s="231"/>
      <c r="AD319" s="232" t="s">
        <v>35</v>
      </c>
      <c r="AE319" s="231"/>
      <c r="AF319" s="231"/>
      <c r="AG319" s="231"/>
      <c r="AH319" s="231"/>
      <c r="AI319" s="231"/>
      <c r="AJ319" s="231"/>
      <c r="AK319" s="231"/>
      <c r="AL319" s="235" t="s">
        <v>35</v>
      </c>
      <c r="AM319" s="231"/>
      <c r="AN319" s="231"/>
    </row>
    <row r="320" spans="1:40" s="9" customFormat="1" ht="45" x14ac:dyDescent="0.25">
      <c r="A320" s="13" t="s">
        <v>956</v>
      </c>
      <c r="B320" s="229" t="str">
        <f>IF($A320="","",VLOOKUP($A320,'[2]3-Elaboration.O'!$A:$T,MATCH(B$1,'[2]150-Modele SGO'!$1:$1,0),FALSE))</f>
        <v>Si révision sur tarif public à tout moment, date de départ de la première période de révision, à la baisse uniquement, pour une durée de 6 mois</v>
      </c>
      <c r="C320" s="229" t="str">
        <f>IF($A320="","",VLOOKUP($A320,'[2]3-Elaboration.O'!$A:$T,MATCH(C$1,'[2]150-Modele SGO'!$1:$1,0),FALSE))</f>
        <v>date de notification du présent contrat;date de départ de la durée initiale du contrat figurant dans l’ordre de service</v>
      </c>
      <c r="D320" s="229" t="str">
        <f>IF($A320="","",VLOOKUP($A320,'[2]3-Elaboration.O'!$A:$T,MATCH(D$1,'[2]150-Modele SGO'!$1:$1,0),FALSE))</f>
        <v>Liste choix unique</v>
      </c>
      <c r="E320" s="230" t="s">
        <v>70</v>
      </c>
      <c r="F320" s="230"/>
      <c r="G320" s="231"/>
      <c r="H320" s="232" t="s">
        <v>35</v>
      </c>
      <c r="I320" s="231"/>
      <c r="J320" s="231"/>
      <c r="K320" s="231"/>
      <c r="L320" s="231"/>
      <c r="M320" s="232" t="s">
        <v>35</v>
      </c>
      <c r="N320" s="231"/>
      <c r="O320" s="231"/>
      <c r="P320" s="231"/>
      <c r="Q320" s="231" t="s">
        <v>35</v>
      </c>
      <c r="R320" s="231" t="s">
        <v>24</v>
      </c>
      <c r="S320" s="231" t="s">
        <v>24</v>
      </c>
      <c r="T320" s="231" t="s">
        <v>24</v>
      </c>
      <c r="U320" s="231" t="s">
        <v>24</v>
      </c>
      <c r="V320" s="232" t="s">
        <v>35</v>
      </c>
      <c r="W320" s="231"/>
      <c r="X320" s="231"/>
      <c r="Y320" s="231"/>
      <c r="Z320" s="231"/>
      <c r="AA320" s="234"/>
      <c r="AB320" s="231"/>
      <c r="AC320" s="231"/>
      <c r="AD320" s="232" t="s">
        <v>35</v>
      </c>
      <c r="AE320" s="231"/>
      <c r="AF320" s="231"/>
      <c r="AG320" s="231"/>
      <c r="AH320" s="231"/>
      <c r="AI320" s="231"/>
      <c r="AJ320" s="231"/>
      <c r="AK320" s="231"/>
      <c r="AL320" s="235" t="s">
        <v>35</v>
      </c>
      <c r="AM320" s="231"/>
      <c r="AN320" s="231"/>
    </row>
    <row r="321" spans="1:40" s="9" customFormat="1" ht="45" x14ac:dyDescent="0.25">
      <c r="A321" s="13" t="s">
        <v>959</v>
      </c>
      <c r="B321" s="229" t="str">
        <f>IF($A321="","",VLOOKUP($A321,'[2]3-Elaboration.O'!$A:$T,MATCH(B$1,'[2]150-Modele SGO'!$1:$1,0),FALSE))</f>
        <v>Si révision sur tarif public à tout moment, préciser le rythme de révision après la première période de 6 mois</v>
      </c>
      <c r="C321" s="229" t="str">
        <f>IF($A321="","",VLOOKUP($A321,'[2]3-Elaboration.O'!$A:$T,MATCH(C$1,'[2]150-Modele SGO'!$1:$1,0),FALSE))</f>
        <v>six (6) mois glissants;douze (12) mois glissants;Autre rythme de révision</v>
      </c>
      <c r="D321" s="229" t="str">
        <f>IF($A321="","",VLOOKUP($A321,'[2]3-Elaboration.O'!$A:$T,MATCH(D$1,'[2]150-Modele SGO'!$1:$1,0),FALSE))</f>
        <v>Liste choix unique</v>
      </c>
      <c r="E321" s="230" t="s">
        <v>70</v>
      </c>
      <c r="F321" s="230"/>
      <c r="G321" s="231"/>
      <c r="H321" s="232" t="s">
        <v>35</v>
      </c>
      <c r="I321" s="231"/>
      <c r="J321" s="231"/>
      <c r="K321" s="231"/>
      <c r="L321" s="231"/>
      <c r="M321" s="232" t="s">
        <v>35</v>
      </c>
      <c r="N321" s="231"/>
      <c r="O321" s="231"/>
      <c r="P321" s="231"/>
      <c r="Q321" s="231" t="s">
        <v>35</v>
      </c>
      <c r="R321" s="231" t="s">
        <v>24</v>
      </c>
      <c r="S321" s="231" t="s">
        <v>24</v>
      </c>
      <c r="T321" s="231" t="s">
        <v>24</v>
      </c>
      <c r="U321" s="231" t="s">
        <v>24</v>
      </c>
      <c r="V321" s="232" t="s">
        <v>35</v>
      </c>
      <c r="W321" s="231"/>
      <c r="X321" s="231"/>
      <c r="Y321" s="231"/>
      <c r="Z321" s="231"/>
      <c r="AA321" s="234"/>
      <c r="AB321" s="231"/>
      <c r="AC321" s="231"/>
      <c r="AD321" s="232" t="s">
        <v>35</v>
      </c>
      <c r="AE321" s="231"/>
      <c r="AF321" s="231"/>
      <c r="AG321" s="231"/>
      <c r="AH321" s="231"/>
      <c r="AI321" s="231"/>
      <c r="AJ321" s="231"/>
      <c r="AK321" s="231"/>
      <c r="AL321" s="235" t="s">
        <v>35</v>
      </c>
      <c r="AM321" s="231"/>
      <c r="AN321" s="231"/>
    </row>
    <row r="322" spans="1:40" s="9" customFormat="1" ht="30" x14ac:dyDescent="0.25">
      <c r="A322" s="13" t="s">
        <v>962</v>
      </c>
      <c r="B322" s="229" t="str">
        <f>IF($A322="","",VLOOKUP($A322,'[2]3-Elaboration.O'!$A:$T,MATCH(B$1,'[2]150-Modele SGO'!$1:$1,0),FALSE))</f>
        <v xml:space="preserve">Si autre de ryhtme de révision sur tarif public à tout moment, préciser </v>
      </c>
      <c r="C322" s="229" t="str">
        <f>IF($A322="","",VLOOKUP($A322,'[2]3-Elaboration.O'!$A:$T,MATCH(C$1,'[2]150-Modele SGO'!$1:$1,0),FALSE))</f>
        <v>Champ libre</v>
      </c>
      <c r="D322" s="229" t="str">
        <f>IF($A322="","",VLOOKUP($A322,'[2]3-Elaboration.O'!$A:$T,MATCH(D$1,'[2]150-Modele SGO'!$1:$1,0),FALSE))</f>
        <v>Texte</v>
      </c>
      <c r="E322" s="230" t="s">
        <v>70</v>
      </c>
      <c r="F322" s="230"/>
      <c r="G322" s="231"/>
      <c r="H322" s="232" t="s">
        <v>35</v>
      </c>
      <c r="I322" s="231"/>
      <c r="J322" s="231"/>
      <c r="K322" s="231"/>
      <c r="L322" s="231"/>
      <c r="M322" s="232" t="s">
        <v>35</v>
      </c>
      <c r="N322" s="231"/>
      <c r="O322" s="231"/>
      <c r="P322" s="231"/>
      <c r="Q322" s="231" t="s">
        <v>35</v>
      </c>
      <c r="R322" s="231" t="s">
        <v>24</v>
      </c>
      <c r="S322" s="231" t="s">
        <v>24</v>
      </c>
      <c r="T322" s="231" t="s">
        <v>24</v>
      </c>
      <c r="U322" s="231" t="s">
        <v>24</v>
      </c>
      <c r="V322" s="232" t="s">
        <v>35</v>
      </c>
      <c r="W322" s="231"/>
      <c r="X322" s="231"/>
      <c r="Y322" s="231"/>
      <c r="Z322" s="231"/>
      <c r="AA322" s="234"/>
      <c r="AB322" s="231"/>
      <c r="AC322" s="231"/>
      <c r="AD322" s="232" t="s">
        <v>35</v>
      </c>
      <c r="AE322" s="231"/>
      <c r="AF322" s="231"/>
      <c r="AG322" s="231"/>
      <c r="AH322" s="231"/>
      <c r="AI322" s="231"/>
      <c r="AJ322" s="231"/>
      <c r="AK322" s="231"/>
      <c r="AL322" s="235" t="s">
        <v>35</v>
      </c>
      <c r="AM322" s="231"/>
      <c r="AN322" s="231"/>
    </row>
    <row r="323" spans="1:40" s="9" customFormat="1" ht="45" x14ac:dyDescent="0.25">
      <c r="A323" s="13" t="s">
        <v>964</v>
      </c>
      <c r="B323" s="229" t="str">
        <f>IF($A323="","",VLOOKUP($A323,'[2]3-Elaboration.O'!$A:$T,MATCH(B$1,'[2]150-Modele SGO'!$1:$1,0),FALSE))</f>
        <v>Date d'entrée en vigueur du nouveau prix sur tarif public</v>
      </c>
      <c r="C323" s="229" t="str">
        <f>IF($A323="","",VLOOKUP($A323,'[2]3-Elaboration.O'!$A:$T,MATCH(C$1,'[2]150-Modele SGO'!$1:$1,0),FALSE))</f>
        <v>date acceptée ou fixée par l’UGAP dans le courrier adressé au titulaire;trente (30) jours calendaires à compter de la validation de l’UGAP</v>
      </c>
      <c r="D323" s="229" t="str">
        <f>IF($A323="","",VLOOKUP($A323,'[2]3-Elaboration.O'!$A:$T,MATCH(D$1,'[2]150-Modele SGO'!$1:$1,0),FALSE))</f>
        <v>Texte</v>
      </c>
      <c r="E323" s="230" t="s">
        <v>70</v>
      </c>
      <c r="F323" s="230"/>
      <c r="G323" s="231"/>
      <c r="H323" s="232" t="s">
        <v>35</v>
      </c>
      <c r="I323" s="231"/>
      <c r="J323" s="231"/>
      <c r="K323" s="231"/>
      <c r="L323" s="231"/>
      <c r="M323" s="232" t="s">
        <v>35</v>
      </c>
      <c r="N323" s="231"/>
      <c r="O323" s="231"/>
      <c r="P323" s="231"/>
      <c r="Q323" s="231" t="s">
        <v>35</v>
      </c>
      <c r="R323" s="231" t="s">
        <v>24</v>
      </c>
      <c r="S323" s="231" t="s">
        <v>24</v>
      </c>
      <c r="T323" s="231" t="s">
        <v>24</v>
      </c>
      <c r="U323" s="231" t="s">
        <v>24</v>
      </c>
      <c r="V323" s="232" t="s">
        <v>35</v>
      </c>
      <c r="W323" s="231"/>
      <c r="X323" s="231"/>
      <c r="Y323" s="231"/>
      <c r="Z323" s="231"/>
      <c r="AA323" s="234"/>
      <c r="AB323" s="231"/>
      <c r="AC323" s="231"/>
      <c r="AD323" s="232" t="s">
        <v>35</v>
      </c>
      <c r="AE323" s="231"/>
      <c r="AF323" s="231"/>
      <c r="AG323" s="231"/>
      <c r="AH323" s="231"/>
      <c r="AI323" s="231"/>
      <c r="AJ323" s="231"/>
      <c r="AK323" s="231"/>
      <c r="AL323" s="235" t="s">
        <v>35</v>
      </c>
      <c r="AM323" s="231"/>
      <c r="AN323" s="231"/>
    </row>
    <row r="324" spans="1:40" s="9" customFormat="1" ht="30" x14ac:dyDescent="0.25">
      <c r="A324" s="13" t="s">
        <v>967</v>
      </c>
      <c r="B324" s="229" t="str">
        <f>IF($A324="","",VLOOKUP($A324,'[2]3-Elaboration.O'!$A:$T,MATCH(B$1,'[2]150-Modele SGO'!$1:$1,0),FALSE))</f>
        <v>Si révision sur tarif public à date fixe ou anniversaire, préciser les lot</v>
      </c>
      <c r="C324" s="229" t="str">
        <f>IF($A324="","",VLOOKUP($A324,'[2]3-Elaboration.O'!$A:$T,MATCH(C$1,'[2]150-Modele SGO'!$1:$1,0),FALSE))</f>
        <v>Champ libre</v>
      </c>
      <c r="D324" s="229" t="str">
        <f>IF($A324="","",VLOOKUP($A324,'[2]3-Elaboration.O'!$A:$T,MATCH(D$1,'[2]150-Modele SGO'!$1:$1,0),FALSE))</f>
        <v>Texte</v>
      </c>
      <c r="E324" s="230" t="s">
        <v>70</v>
      </c>
      <c r="F324" s="230"/>
      <c r="G324" s="231"/>
      <c r="H324" s="232" t="s">
        <v>35</v>
      </c>
      <c r="I324" s="231"/>
      <c r="J324" s="231"/>
      <c r="K324" s="231"/>
      <c r="L324" s="231"/>
      <c r="M324" s="232" t="s">
        <v>35</v>
      </c>
      <c r="N324" s="231"/>
      <c r="O324" s="231"/>
      <c r="P324" s="231"/>
      <c r="Q324" s="231" t="s">
        <v>35</v>
      </c>
      <c r="R324" s="231" t="s">
        <v>24</v>
      </c>
      <c r="S324" s="231" t="s">
        <v>24</v>
      </c>
      <c r="T324" s="231" t="s">
        <v>24</v>
      </c>
      <c r="U324" s="231" t="s">
        <v>24</v>
      </c>
      <c r="V324" s="232" t="s">
        <v>35</v>
      </c>
      <c r="W324" s="231"/>
      <c r="X324" s="231"/>
      <c r="Y324" s="231"/>
      <c r="Z324" s="231"/>
      <c r="AA324" s="234"/>
      <c r="AB324" s="231"/>
      <c r="AC324" s="231"/>
      <c r="AD324" s="232" t="s">
        <v>35</v>
      </c>
      <c r="AE324" s="231"/>
      <c r="AF324" s="231"/>
      <c r="AG324" s="231"/>
      <c r="AH324" s="231"/>
      <c r="AI324" s="231"/>
      <c r="AJ324" s="231"/>
      <c r="AK324" s="231"/>
      <c r="AL324" s="235" t="s">
        <v>35</v>
      </c>
      <c r="AM324" s="231"/>
      <c r="AN324" s="231"/>
    </row>
    <row r="325" spans="1:40" s="9" customFormat="1" ht="30" x14ac:dyDescent="0.25">
      <c r="A325" s="13" t="s">
        <v>969</v>
      </c>
      <c r="B325" s="229" t="str">
        <f>IF($A325="","",VLOOKUP($A325,'[2]3-Elaboration.O'!$A:$T,MATCH(B$1,'[2]150-Modele SGO'!$1:$1,0),FALSE))</f>
        <v>Préciser le périmètre concerné par la révision sur tarif public à date fixe ou anniversaire</v>
      </c>
      <c r="C325" s="229" t="str">
        <f>IF($A325="","",VLOOKUP($A325,'[2]3-Elaboration.O'!$A:$T,MATCH(C$1,'[2]150-Modele SGO'!$1:$1,0),FALSE))</f>
        <v>des matériels;des prestations annexes;des prestations de maintenance;des modulations de garantie</v>
      </c>
      <c r="D325" s="229" t="str">
        <f>IF($A325="","",VLOOKUP($A325,'[2]3-Elaboration.O'!$A:$T,MATCH(D$1,'[2]150-Modele SGO'!$1:$1,0),FALSE))</f>
        <v>Liste choix multiple</v>
      </c>
      <c r="E325" s="230" t="s">
        <v>70</v>
      </c>
      <c r="F325" s="230"/>
      <c r="G325" s="231"/>
      <c r="H325" s="232" t="s">
        <v>35</v>
      </c>
      <c r="I325" s="231"/>
      <c r="J325" s="231"/>
      <c r="K325" s="231"/>
      <c r="L325" s="231"/>
      <c r="M325" s="232" t="s">
        <v>35</v>
      </c>
      <c r="N325" s="231"/>
      <c r="O325" s="231"/>
      <c r="P325" s="231"/>
      <c r="Q325" s="231" t="s">
        <v>35</v>
      </c>
      <c r="R325" s="231" t="s">
        <v>24</v>
      </c>
      <c r="S325" s="231" t="s">
        <v>24</v>
      </c>
      <c r="T325" s="231" t="s">
        <v>24</v>
      </c>
      <c r="U325" s="231" t="s">
        <v>24</v>
      </c>
      <c r="V325" s="232" t="s">
        <v>35</v>
      </c>
      <c r="W325" s="231"/>
      <c r="X325" s="231"/>
      <c r="Y325" s="231"/>
      <c r="Z325" s="231"/>
      <c r="AA325" s="234"/>
      <c r="AB325" s="231"/>
      <c r="AC325" s="231"/>
      <c r="AD325" s="232" t="s">
        <v>35</v>
      </c>
      <c r="AE325" s="231"/>
      <c r="AF325" s="231"/>
      <c r="AG325" s="231"/>
      <c r="AH325" s="231"/>
      <c r="AI325" s="231"/>
      <c r="AJ325" s="231"/>
      <c r="AK325" s="231"/>
      <c r="AL325" s="235" t="s">
        <v>35</v>
      </c>
      <c r="AM325" s="231"/>
      <c r="AN325" s="231"/>
    </row>
    <row r="326" spans="1:40" s="9" customFormat="1" ht="30" x14ac:dyDescent="0.25">
      <c r="A326" s="13" t="s">
        <v>971</v>
      </c>
      <c r="B326" s="229" t="str">
        <f>IF($A326="","",VLOOKUP($A326,'[2]3-Elaboration.O'!$A:$T,MATCH(B$1,'[2]150-Modele SGO'!$1:$1,0),FALSE))</f>
        <v>Si révision sur tarif public à date fixe ou anniversaire, préciser la date de révision</v>
      </c>
      <c r="C326" s="229" t="str">
        <f>IF($A326="","",VLOOKUP($A326,'[2]3-Elaboration.O'!$A:$T,MATCH(C$1,'[2]150-Modele SGO'!$1:$1,0),FALSE))</f>
        <v>le 1er avril;le 1er septembre;le 1er février;Autre date</v>
      </c>
      <c r="D326" s="229" t="str">
        <f>IF($A326="","",VLOOKUP($A326,'[2]3-Elaboration.O'!$A:$T,MATCH(D$1,'[2]150-Modele SGO'!$1:$1,0),FALSE))</f>
        <v>Liste choix unique</v>
      </c>
      <c r="E326" s="230" t="s">
        <v>70</v>
      </c>
      <c r="F326" s="230"/>
      <c r="G326" s="231"/>
      <c r="H326" s="232" t="s">
        <v>35</v>
      </c>
      <c r="I326" s="231"/>
      <c r="J326" s="231"/>
      <c r="K326" s="231"/>
      <c r="L326" s="231"/>
      <c r="M326" s="232" t="s">
        <v>35</v>
      </c>
      <c r="N326" s="231"/>
      <c r="O326" s="231"/>
      <c r="P326" s="231"/>
      <c r="Q326" s="231" t="s">
        <v>35</v>
      </c>
      <c r="R326" s="231" t="s">
        <v>24</v>
      </c>
      <c r="S326" s="231" t="s">
        <v>24</v>
      </c>
      <c r="T326" s="231" t="s">
        <v>24</v>
      </c>
      <c r="U326" s="231" t="s">
        <v>24</v>
      </c>
      <c r="V326" s="232" t="s">
        <v>35</v>
      </c>
      <c r="W326" s="231"/>
      <c r="X326" s="231"/>
      <c r="Y326" s="231"/>
      <c r="Z326" s="231"/>
      <c r="AA326" s="234"/>
      <c r="AB326" s="231"/>
      <c r="AC326" s="231"/>
      <c r="AD326" s="232" t="s">
        <v>35</v>
      </c>
      <c r="AE326" s="231"/>
      <c r="AF326" s="231"/>
      <c r="AG326" s="231"/>
      <c r="AH326" s="231"/>
      <c r="AI326" s="231"/>
      <c r="AJ326" s="231"/>
      <c r="AK326" s="231"/>
      <c r="AL326" s="235" t="s">
        <v>35</v>
      </c>
      <c r="AM326" s="231"/>
      <c r="AN326" s="231"/>
    </row>
    <row r="327" spans="1:40" s="9" customFormat="1" ht="30" x14ac:dyDescent="0.25">
      <c r="A327" s="13" t="s">
        <v>974</v>
      </c>
      <c r="B327" s="229" t="str">
        <f>IF($A327="","",VLOOKUP($A327,'[2]3-Elaboration.O'!$A:$T,MATCH(B$1,'[2]150-Modele SGO'!$1:$1,0),FALSE))</f>
        <v>Si révision sur tarif public à date fixe ou anniversaire à une autre date, préciser</v>
      </c>
      <c r="C327" s="229" t="str">
        <f>IF($A327="","",VLOOKUP($A327,'[2]3-Elaboration.O'!$A:$T,MATCH(C$1,'[2]150-Modele SGO'!$1:$1,0),FALSE))</f>
        <v>jour mois</v>
      </c>
      <c r="D327" s="229" t="str">
        <f>IF($A327="","",VLOOKUP($A327,'[2]3-Elaboration.O'!$A:$T,MATCH(D$1,'[2]150-Modele SGO'!$1:$1,0),FALSE))</f>
        <v>Texte</v>
      </c>
      <c r="E327" s="230" t="s">
        <v>70</v>
      </c>
      <c r="F327" s="230"/>
      <c r="G327" s="231"/>
      <c r="H327" s="232" t="s">
        <v>35</v>
      </c>
      <c r="I327" s="231"/>
      <c r="J327" s="231"/>
      <c r="K327" s="231"/>
      <c r="L327" s="231"/>
      <c r="M327" s="232" t="s">
        <v>35</v>
      </c>
      <c r="N327" s="231"/>
      <c r="O327" s="231"/>
      <c r="P327" s="231"/>
      <c r="Q327" s="231" t="s">
        <v>35</v>
      </c>
      <c r="R327" s="231" t="s">
        <v>24</v>
      </c>
      <c r="S327" s="231" t="s">
        <v>24</v>
      </c>
      <c r="T327" s="231" t="s">
        <v>24</v>
      </c>
      <c r="U327" s="231" t="s">
        <v>24</v>
      </c>
      <c r="V327" s="232" t="s">
        <v>35</v>
      </c>
      <c r="W327" s="231"/>
      <c r="X327" s="231"/>
      <c r="Y327" s="231"/>
      <c r="Z327" s="231"/>
      <c r="AA327" s="234"/>
      <c r="AB327" s="231"/>
      <c r="AC327" s="231"/>
      <c r="AD327" s="232" t="s">
        <v>35</v>
      </c>
      <c r="AE327" s="231"/>
      <c r="AF327" s="231"/>
      <c r="AG327" s="231"/>
      <c r="AH327" s="231"/>
      <c r="AI327" s="231"/>
      <c r="AJ327" s="231"/>
      <c r="AK327" s="231"/>
      <c r="AL327" s="235" t="s">
        <v>35</v>
      </c>
      <c r="AM327" s="231"/>
      <c r="AN327" s="231"/>
    </row>
    <row r="328" spans="1:40" s="9" customFormat="1" ht="45" x14ac:dyDescent="0.25">
      <c r="A328" s="13" t="s">
        <v>977</v>
      </c>
      <c r="B328" s="229" t="str">
        <f>IF($A328="","",VLOOKUP($A328,'[2]3-Elaboration.O'!$A:$T,MATCH(B$1,'[2]150-Modele SGO'!$1:$1,0),FALSE))</f>
        <v>Les prix figurant au tarif public du titulaire, objet du présent marché sont révisables à date fixe ou anniversaire, à l'exception du prix suivant</v>
      </c>
      <c r="C328" s="229" t="str">
        <f>IF($A328="","",VLOOKUP($A328,'[2]3-Elaboration.O'!$A:$T,MATCH(C$1,'[2]150-Modele SGO'!$1:$1,0),FALSE))</f>
        <v>la date de notification;la date de départ de la durée initiale du marché</v>
      </c>
      <c r="D328" s="229" t="str">
        <f>IF($A328="","",VLOOKUP($A328,'[2]3-Elaboration.O'!$A:$T,MATCH(D$1,'[2]150-Modele SGO'!$1:$1,0),FALSE))</f>
        <v>Liste choix unique</v>
      </c>
      <c r="E328" s="230" t="s">
        <v>70</v>
      </c>
      <c r="F328" s="230"/>
      <c r="G328" s="231"/>
      <c r="H328" s="232" t="s">
        <v>35</v>
      </c>
      <c r="I328" s="231"/>
      <c r="J328" s="231"/>
      <c r="K328" s="231"/>
      <c r="L328" s="231"/>
      <c r="M328" s="232" t="s">
        <v>35</v>
      </c>
      <c r="N328" s="231"/>
      <c r="O328" s="231"/>
      <c r="P328" s="231"/>
      <c r="Q328" s="231" t="s">
        <v>35</v>
      </c>
      <c r="R328" s="231" t="s">
        <v>24</v>
      </c>
      <c r="S328" s="231" t="s">
        <v>24</v>
      </c>
      <c r="T328" s="231" t="s">
        <v>24</v>
      </c>
      <c r="U328" s="231" t="s">
        <v>24</v>
      </c>
      <c r="V328" s="232" t="s">
        <v>35</v>
      </c>
      <c r="W328" s="231"/>
      <c r="X328" s="231"/>
      <c r="Y328" s="231"/>
      <c r="Z328" s="231"/>
      <c r="AA328" s="234"/>
      <c r="AB328" s="231"/>
      <c r="AC328" s="231"/>
      <c r="AD328" s="232" t="s">
        <v>35</v>
      </c>
      <c r="AE328" s="231"/>
      <c r="AF328" s="231"/>
      <c r="AG328" s="231"/>
      <c r="AH328" s="231"/>
      <c r="AI328" s="231"/>
      <c r="AJ328" s="231"/>
      <c r="AK328" s="231"/>
      <c r="AL328" s="235" t="s">
        <v>35</v>
      </c>
      <c r="AM328" s="231"/>
      <c r="AN328" s="231"/>
    </row>
    <row r="329" spans="1:40" s="9" customFormat="1" ht="30" x14ac:dyDescent="0.25">
      <c r="A329" s="13" t="s">
        <v>980</v>
      </c>
      <c r="B329" s="229" t="str">
        <f>IF($A329="","",VLOOKUP($A329,'[2]3-Elaboration.O'!$A:$T,MATCH(B$1,'[2]150-Modele SGO'!$1:$1,0),FALSE))</f>
        <v>Date butoir de communication de son nouveau tarif à l'UGAP par le titulaire</v>
      </c>
      <c r="C329" s="229" t="str">
        <f>IF($A329="","",VLOOKUP($A329,'[2]3-Elaboration.O'!$A:$T,MATCH(C$1,'[2]150-Modele SGO'!$1:$1,0),FALSE))</f>
        <v>Date</v>
      </c>
      <c r="D329" s="229" t="str">
        <f>IF($A329="","",VLOOKUP($A329,'[2]3-Elaboration.O'!$A:$T,MATCH(D$1,'[2]150-Modele SGO'!$1:$1,0),FALSE))</f>
        <v>Texte</v>
      </c>
      <c r="E329" s="230" t="s">
        <v>70</v>
      </c>
      <c r="F329" s="230"/>
      <c r="G329" s="231"/>
      <c r="H329" s="232" t="s">
        <v>35</v>
      </c>
      <c r="I329" s="231"/>
      <c r="J329" s="231"/>
      <c r="K329" s="231"/>
      <c r="L329" s="231"/>
      <c r="M329" s="232" t="s">
        <v>35</v>
      </c>
      <c r="N329" s="231"/>
      <c r="O329" s="231"/>
      <c r="P329" s="231"/>
      <c r="Q329" s="231" t="s">
        <v>35</v>
      </c>
      <c r="R329" s="231" t="s">
        <v>24</v>
      </c>
      <c r="S329" s="231" t="s">
        <v>24</v>
      </c>
      <c r="T329" s="231" t="s">
        <v>24</v>
      </c>
      <c r="U329" s="231" t="s">
        <v>24</v>
      </c>
      <c r="V329" s="232" t="s">
        <v>35</v>
      </c>
      <c r="W329" s="231"/>
      <c r="X329" s="231"/>
      <c r="Y329" s="231"/>
      <c r="Z329" s="231"/>
      <c r="AA329" s="234"/>
      <c r="AB329" s="231"/>
      <c r="AC329" s="231"/>
      <c r="AD329" s="232" t="s">
        <v>35</v>
      </c>
      <c r="AE329" s="231"/>
      <c r="AF329" s="231"/>
      <c r="AG329" s="231"/>
      <c r="AH329" s="231"/>
      <c r="AI329" s="231"/>
      <c r="AJ329" s="231"/>
      <c r="AK329" s="231"/>
      <c r="AL329" s="235" t="s">
        <v>35</v>
      </c>
      <c r="AM329" s="231"/>
      <c r="AN329" s="231"/>
    </row>
    <row r="330" spans="1:40" s="9" customFormat="1" ht="15.75" x14ac:dyDescent="0.25">
      <c r="A330" s="13" t="s">
        <v>983</v>
      </c>
      <c r="B330" s="229" t="str">
        <f>IF($A330="","",VLOOKUP($A330,'[2]3-Elaboration.O'!$A:$T,MATCH(B$1,'[2]150-Modele SGO'!$1:$1,0),FALSE))</f>
        <v>Si autre date butoir, préciser</v>
      </c>
      <c r="C330" s="229" t="str">
        <f>IF($A330="","",VLOOKUP($A330,'[2]3-Elaboration.O'!$A:$T,MATCH(C$1,'[2]150-Modele SGO'!$1:$1,0),FALSE))</f>
        <v>jour mois</v>
      </c>
      <c r="D330" s="229" t="str">
        <f>IF($A330="","",VLOOKUP($A330,'[2]3-Elaboration.O'!$A:$T,MATCH(D$1,'[2]150-Modele SGO'!$1:$1,0),FALSE))</f>
        <v>Texte</v>
      </c>
      <c r="E330" s="230" t="s">
        <v>70</v>
      </c>
      <c r="F330" s="230"/>
      <c r="G330" s="231"/>
      <c r="H330" s="232" t="s">
        <v>35</v>
      </c>
      <c r="I330" s="231"/>
      <c r="J330" s="231"/>
      <c r="K330" s="231"/>
      <c r="L330" s="231"/>
      <c r="M330" s="232" t="s">
        <v>35</v>
      </c>
      <c r="N330" s="231"/>
      <c r="O330" s="231"/>
      <c r="P330" s="231"/>
      <c r="Q330" s="231" t="s">
        <v>35</v>
      </c>
      <c r="R330" s="231" t="s">
        <v>24</v>
      </c>
      <c r="S330" s="231" t="s">
        <v>24</v>
      </c>
      <c r="T330" s="231" t="s">
        <v>24</v>
      </c>
      <c r="U330" s="231" t="s">
        <v>24</v>
      </c>
      <c r="V330" s="232" t="s">
        <v>35</v>
      </c>
      <c r="W330" s="231"/>
      <c r="X330" s="231"/>
      <c r="Y330" s="231"/>
      <c r="Z330" s="231"/>
      <c r="AA330" s="234"/>
      <c r="AB330" s="231"/>
      <c r="AC330" s="231"/>
      <c r="AD330" s="232" t="s">
        <v>35</v>
      </c>
      <c r="AE330" s="231"/>
      <c r="AF330" s="231"/>
      <c r="AG330" s="231"/>
      <c r="AH330" s="231"/>
      <c r="AI330" s="231"/>
      <c r="AJ330" s="231"/>
      <c r="AK330" s="231"/>
      <c r="AL330" s="235" t="s">
        <v>35</v>
      </c>
      <c r="AM330" s="231"/>
      <c r="AN330" s="231"/>
    </row>
    <row r="331" spans="1:40" s="9" customFormat="1" ht="30" x14ac:dyDescent="0.25">
      <c r="A331" s="13" t="s">
        <v>985</v>
      </c>
      <c r="B331" s="229" t="str">
        <f>IF($A331="","",VLOOKUP($A331,'[2]3-Elaboration.O'!$A:$T,MATCH(B$1,'[2]150-Modele SGO'!$1:$1,0),FALSE))</f>
        <v>Le taux de remise peut-il varier?</v>
      </c>
      <c r="C331" s="229" t="str">
        <f>IF($A331="","",VLOOKUP($A331,'[2]3-Elaboration.O'!$A:$T,MATCH(C$1,'[2]150-Modele SGO'!$1:$1,0),FALSE))</f>
        <v>Oui, le taux de remise peut varier;Non,le taux de remise est ferme</v>
      </c>
      <c r="D331" s="229" t="str">
        <f>IF($A331="","",VLOOKUP($A331,'[2]3-Elaboration.O'!$A:$T,MATCH(D$1,'[2]150-Modele SGO'!$1:$1,0),FALSE))</f>
        <v xml:space="preserve">Liste choix unique </v>
      </c>
      <c r="E331" s="230" t="s">
        <v>1521</v>
      </c>
      <c r="F331" s="230"/>
      <c r="G331" s="231"/>
      <c r="H331" s="232" t="s">
        <v>26</v>
      </c>
      <c r="I331" s="231"/>
      <c r="J331" s="233" t="s">
        <v>1697</v>
      </c>
      <c r="K331" s="233" t="s">
        <v>1697</v>
      </c>
      <c r="L331" s="233" t="s">
        <v>1698</v>
      </c>
      <c r="M331" s="232" t="s">
        <v>26</v>
      </c>
      <c r="N331" s="231"/>
      <c r="O331" s="233" t="s">
        <v>1698</v>
      </c>
      <c r="P331" s="233" t="s">
        <v>35</v>
      </c>
      <c r="Q331" s="233" t="s">
        <v>26</v>
      </c>
      <c r="R331" s="231" t="s">
        <v>24</v>
      </c>
      <c r="S331" s="233" t="s">
        <v>1697</v>
      </c>
      <c r="T331" s="233" t="s">
        <v>1697</v>
      </c>
      <c r="U331" s="233" t="s">
        <v>46</v>
      </c>
      <c r="V331" s="232" t="s">
        <v>19</v>
      </c>
      <c r="W331" s="233" t="s">
        <v>46</v>
      </c>
      <c r="X331" s="231"/>
      <c r="Y331" s="247"/>
      <c r="Z331" s="231"/>
      <c r="AA331" s="234"/>
      <c r="AB331" s="247"/>
      <c r="AC331" s="231"/>
      <c r="AD331" s="232" t="s">
        <v>19</v>
      </c>
      <c r="AE331" s="233" t="s">
        <v>1697</v>
      </c>
      <c r="AF331" s="231"/>
      <c r="AG331" s="231"/>
      <c r="AH331" s="231"/>
      <c r="AI331" s="231"/>
      <c r="AJ331" s="231"/>
      <c r="AK331" s="231"/>
      <c r="AL331" s="234" t="s">
        <v>35</v>
      </c>
      <c r="AM331" s="231"/>
      <c r="AN331" s="231"/>
    </row>
    <row r="332" spans="1:40" s="9" customFormat="1" ht="30" x14ac:dyDescent="0.25">
      <c r="A332" s="13" t="s">
        <v>988</v>
      </c>
      <c r="B332" s="229" t="str">
        <f>IF($A332="","",VLOOKUP($A332,'[2]3-Elaboration.O'!$A:$T,MATCH(B$1,'[2]150-Modele SGO'!$1:$1,0),FALSE))</f>
        <v>Le surcoût outer-mer peut-il varier?</v>
      </c>
      <c r="C332" s="229" t="str">
        <f>IF($A332="","",VLOOKUP($A332,'[2]3-Elaboration.O'!$A:$T,MATCH(C$1,'[2]150-Modele SGO'!$1:$1,0),FALSE))</f>
        <v>Oui, le surcoût outer-mer peut varier;Non,le surcoût outer-mer est ferme</v>
      </c>
      <c r="D332" s="229" t="str">
        <f>IF($A332="","",VLOOKUP($A332,'[2]3-Elaboration.O'!$A:$T,MATCH(D$1,'[2]150-Modele SGO'!$1:$1,0),FALSE))</f>
        <v xml:space="preserve">Liste choix unique </v>
      </c>
      <c r="E332" s="230" t="s">
        <v>70</v>
      </c>
      <c r="F332" s="230"/>
      <c r="G332" s="231"/>
      <c r="H332" s="232" t="s">
        <v>35</v>
      </c>
      <c r="I332" s="231"/>
      <c r="J332" s="231"/>
      <c r="K332" s="231"/>
      <c r="L332" s="231"/>
      <c r="M332" s="232" t="s">
        <v>35</v>
      </c>
      <c r="N332" s="231"/>
      <c r="O332" s="231"/>
      <c r="P332" s="231"/>
      <c r="Q332" s="231" t="s">
        <v>35</v>
      </c>
      <c r="R332" s="231" t="s">
        <v>24</v>
      </c>
      <c r="S332" s="231"/>
      <c r="T332" s="231" t="s">
        <v>24</v>
      </c>
      <c r="U332" s="231" t="s">
        <v>24</v>
      </c>
      <c r="V332" s="232" t="s">
        <v>35</v>
      </c>
      <c r="W332" s="231"/>
      <c r="X332" s="231"/>
      <c r="Y332" s="231"/>
      <c r="Z332" s="231"/>
      <c r="AA332" s="234"/>
      <c r="AB332" s="231"/>
      <c r="AC332" s="231"/>
      <c r="AD332" s="232" t="s">
        <v>35</v>
      </c>
      <c r="AE332" s="231"/>
      <c r="AF332" s="286"/>
      <c r="AG332" s="286"/>
      <c r="AH332" s="286"/>
      <c r="AI332" s="286"/>
      <c r="AJ332" s="286"/>
      <c r="AK332" s="286"/>
      <c r="AL332" s="287" t="s">
        <v>35</v>
      </c>
      <c r="AM332" s="231"/>
      <c r="AN332" s="286"/>
    </row>
    <row r="333" spans="1:40" s="9" customFormat="1" ht="225" x14ac:dyDescent="0.25">
      <c r="A333" s="13" t="s">
        <v>991</v>
      </c>
      <c r="B333" s="229" t="str">
        <f>IF($A333="","",VLOOKUP($A333,'[2]3-Elaboration.O'!$A:$T,MATCH(B$1,'[2]150-Modele SGO'!$1:$1,0),FALSE))</f>
        <v xml:space="preserve">Si le taux de remise peut varier, préciser les modalités de variation du taux dans le cadre de la mise en œuvre de la formule de révision des prix ou des offres promotionnelles </v>
      </c>
      <c r="C333" s="229" t="str">
        <f>IF($A333="","",VLOOKUP($A333,'[2]3-Elaboration.O'!$A:$T,MATCH(C$1,'[2]150-Modele SGO'!$1:$1,0),FALSE))</f>
        <v>Variation taux de remise à la hausse ou à la baisse dans la limite du taux minimum indiqué en annexe à l’acte d’engagement;Variation taux de remise dans le cadre de la mise en œuvre de la révision des prix à date fixe ou des offres promotionnelles</v>
      </c>
      <c r="D333" s="229" t="str">
        <f>IF($A333="","",VLOOKUP($A333,'[2]3-Elaboration.O'!$A:$T,MATCH(D$1,'[2]150-Modele SGO'!$1:$1,0),FALSE))</f>
        <v>Liste choix multiple</v>
      </c>
      <c r="E333" s="230" t="s">
        <v>70</v>
      </c>
      <c r="F333" s="230"/>
      <c r="G333" s="231"/>
      <c r="H333" s="232" t="s">
        <v>35</v>
      </c>
      <c r="I333" s="231"/>
      <c r="J333" s="231"/>
      <c r="K333" s="231"/>
      <c r="L333" s="231"/>
      <c r="M333" s="232" t="s">
        <v>35</v>
      </c>
      <c r="N333" s="231"/>
      <c r="O333" s="231"/>
      <c r="P333" s="231"/>
      <c r="Q333" s="231" t="s">
        <v>26</v>
      </c>
      <c r="R333" s="231" t="s">
        <v>24</v>
      </c>
      <c r="S333" s="233" t="s">
        <v>993</v>
      </c>
      <c r="T333" s="233" t="s">
        <v>993</v>
      </c>
      <c r="U333" s="233" t="s">
        <v>46</v>
      </c>
      <c r="V333" s="232" t="s">
        <v>35</v>
      </c>
      <c r="W333" s="231"/>
      <c r="X333" s="231"/>
      <c r="Y333" s="231"/>
      <c r="Z333" s="231"/>
      <c r="AA333" s="234"/>
      <c r="AB333" s="231"/>
      <c r="AC333" s="231"/>
      <c r="AD333" s="232" t="s">
        <v>26</v>
      </c>
      <c r="AE333" s="231"/>
      <c r="AF333" s="288" t="s">
        <v>993</v>
      </c>
      <c r="AG333" s="288" t="s">
        <v>993</v>
      </c>
      <c r="AH333" s="288" t="s">
        <v>993</v>
      </c>
      <c r="AI333" s="288" t="s">
        <v>993</v>
      </c>
      <c r="AJ333" s="288" t="s">
        <v>993</v>
      </c>
      <c r="AK333" s="288" t="s">
        <v>993</v>
      </c>
      <c r="AL333" s="287" t="s">
        <v>35</v>
      </c>
      <c r="AM333" s="231"/>
      <c r="AN333" s="286"/>
    </row>
    <row r="334" spans="1:40" s="9" customFormat="1" ht="45" x14ac:dyDescent="0.25">
      <c r="A334" s="13" t="s">
        <v>994</v>
      </c>
      <c r="B334" s="229" t="str">
        <f>IF($A334="","",VLOOKUP($A334,'[2]3-Elaboration.O'!$A:$T,MATCH(B$1,'[2]150-Modele SGO'!$1:$1,0),FALSE))</f>
        <v>Ces modalités particulières s'appliquent-elles à l'ensemble des lots ?</v>
      </c>
      <c r="C334" s="229" t="str">
        <f>IF($A334="","",VLOOKUP($A334,'[2]3-Elaboration.O'!$A:$T,MATCH(C$1,'[2]150-Modele SGO'!$1:$1,0),FALSE))</f>
        <v>Oui, modalités applicables à l'ensemble des lots;Non, modalités différentes en fonction des lots</v>
      </c>
      <c r="D334" s="229" t="str">
        <f>IF($A334="","",VLOOKUP($A334,'[2]3-Elaboration.O'!$A:$T,MATCH(D$1,'[2]150-Modele SGO'!$1:$1,0),FALSE))</f>
        <v xml:space="preserve">Liste choix unique </v>
      </c>
      <c r="E334" s="230" t="s">
        <v>70</v>
      </c>
      <c r="F334" s="230"/>
      <c r="G334" s="231"/>
      <c r="H334" s="232" t="s">
        <v>35</v>
      </c>
      <c r="I334" s="231"/>
      <c r="J334" s="231"/>
      <c r="K334" s="231"/>
      <c r="L334" s="231"/>
      <c r="M334" s="232" t="s">
        <v>35</v>
      </c>
      <c r="N334" s="231"/>
      <c r="O334" s="231"/>
      <c r="P334" s="231"/>
      <c r="Q334" s="231" t="s">
        <v>35</v>
      </c>
      <c r="R334" s="231" t="s">
        <v>24</v>
      </c>
      <c r="S334" s="231"/>
      <c r="T334" s="231" t="s">
        <v>24</v>
      </c>
      <c r="U334" s="231"/>
      <c r="V334" s="232" t="s">
        <v>35</v>
      </c>
      <c r="W334" s="231"/>
      <c r="X334" s="231"/>
      <c r="Y334" s="231"/>
      <c r="Z334" s="231"/>
      <c r="AA334" s="234"/>
      <c r="AB334" s="231"/>
      <c r="AC334" s="231"/>
      <c r="AD334" s="232" t="s">
        <v>26</v>
      </c>
      <c r="AE334" s="231"/>
      <c r="AF334" s="233" t="s">
        <v>1699</v>
      </c>
      <c r="AG334" s="233" t="s">
        <v>1699</v>
      </c>
      <c r="AH334" s="233" t="s">
        <v>1699</v>
      </c>
      <c r="AI334" s="233" t="s">
        <v>1699</v>
      </c>
      <c r="AJ334" s="233" t="s">
        <v>1699</v>
      </c>
      <c r="AK334" s="233" t="s">
        <v>1699</v>
      </c>
      <c r="AL334" s="235" t="s">
        <v>35</v>
      </c>
      <c r="AM334" s="231"/>
      <c r="AN334" s="231"/>
    </row>
    <row r="335" spans="1:40" s="9" customFormat="1" ht="30" x14ac:dyDescent="0.25">
      <c r="A335" s="13" t="s">
        <v>997</v>
      </c>
      <c r="B335" s="229" t="str">
        <f>IF($A335="","",VLOOKUP($A335,'[2]3-Elaboration.O'!$A:$T,MATCH(B$1,'[2]150-Modele SGO'!$1:$1,0),FALSE))</f>
        <v>Si non, préciser les modalités particlulières pour chaque lot</v>
      </c>
      <c r="C335" s="229" t="str">
        <f>IF($A335="","",VLOOKUP($A335,'[2]3-Elaboration.O'!$A:$T,MATCH(C$1,'[2]150-Modele SGO'!$1:$1,0),FALSE))</f>
        <v>Annexe 10 - Détail_Lots</v>
      </c>
      <c r="D335" s="229" t="str">
        <f>IF($A335="","",VLOOKUP($A335,'[2]3-Elaboration.O'!$A:$T,MATCH(D$1,'[2]150-Modele SGO'!$1:$1,0),FALSE))</f>
        <v>Annexe 10 - Détail lots</v>
      </c>
      <c r="E335" s="230" t="s">
        <v>70</v>
      </c>
      <c r="F335" s="230"/>
      <c r="G335" s="231"/>
      <c r="H335" s="232" t="s">
        <v>35</v>
      </c>
      <c r="I335" s="231"/>
      <c r="J335" s="231"/>
      <c r="K335" s="231"/>
      <c r="L335" s="231"/>
      <c r="M335" s="232" t="s">
        <v>35</v>
      </c>
      <c r="N335" s="231"/>
      <c r="O335" s="231"/>
      <c r="P335" s="231"/>
      <c r="Q335" s="231" t="s">
        <v>35</v>
      </c>
      <c r="R335" s="231" t="s">
        <v>24</v>
      </c>
      <c r="S335" s="231" t="s">
        <v>24</v>
      </c>
      <c r="T335" s="231" t="s">
        <v>24</v>
      </c>
      <c r="U335" s="231"/>
      <c r="V335" s="232" t="s">
        <v>35</v>
      </c>
      <c r="W335" s="231"/>
      <c r="X335" s="231"/>
      <c r="Y335" s="231"/>
      <c r="Z335" s="231"/>
      <c r="AA335" s="234"/>
      <c r="AB335" s="231"/>
      <c r="AC335" s="231"/>
      <c r="AD335" s="232" t="s">
        <v>35</v>
      </c>
      <c r="AE335" s="231"/>
      <c r="AF335" s="231"/>
      <c r="AG335" s="231"/>
      <c r="AH335" s="231"/>
      <c r="AI335" s="231"/>
      <c r="AJ335" s="231"/>
      <c r="AK335" s="231"/>
      <c r="AL335" s="234" t="s">
        <v>35</v>
      </c>
      <c r="AM335" s="231"/>
      <c r="AN335" s="231"/>
    </row>
    <row r="336" spans="1:40" s="9" customFormat="1" ht="15.75" x14ac:dyDescent="0.25">
      <c r="A336" s="142" t="s">
        <v>998</v>
      </c>
      <c r="B336" s="256" t="str">
        <f>IF($A336="","",VLOOKUP($A336,'[2]3-Elaboration.O'!$A:$T,MATCH(B$1,'[2]150-Modele SGO'!$1:$1,0),FALSE))</f>
        <v>10.2.1  Clause de première révision des prix</v>
      </c>
      <c r="C336" s="256">
        <f>IF($A336="","",VLOOKUP($A336,'[2]3-Elaboration.O'!$A:$T,MATCH(C$1,'[2]150-Modele SGO'!$1:$1,0),FALSE))</f>
        <v>0</v>
      </c>
      <c r="D336" s="256">
        <f>IF($A336="","",VLOOKUP($A336,'[2]3-Elaboration.O'!$A:$T,MATCH(D$1,'[2]150-Modele SGO'!$1:$1,0),FALSE))</f>
        <v>0</v>
      </c>
      <c r="E336" s="257" t="s">
        <v>70</v>
      </c>
      <c r="F336" s="257"/>
      <c r="G336" s="258"/>
      <c r="H336" s="257" t="s">
        <v>30</v>
      </c>
      <c r="I336" s="258"/>
      <c r="J336" s="258"/>
      <c r="K336" s="258"/>
      <c r="L336" s="258"/>
      <c r="M336" s="257" t="s">
        <v>30</v>
      </c>
      <c r="N336" s="258"/>
      <c r="O336" s="258"/>
      <c r="P336" s="258"/>
      <c r="Q336" s="258" t="s">
        <v>30</v>
      </c>
      <c r="R336" s="258" t="s">
        <v>24</v>
      </c>
      <c r="S336" s="231" t="s">
        <v>24</v>
      </c>
      <c r="T336" s="258" t="s">
        <v>24</v>
      </c>
      <c r="U336" s="258" t="s">
        <v>24</v>
      </c>
      <c r="V336" s="257" t="s">
        <v>30</v>
      </c>
      <c r="W336" s="258"/>
      <c r="X336" s="258"/>
      <c r="Y336" s="258"/>
      <c r="Z336" s="258"/>
      <c r="AA336" s="259"/>
      <c r="AB336" s="258"/>
      <c r="AC336" s="258"/>
      <c r="AD336" s="257" t="s">
        <v>30</v>
      </c>
      <c r="AE336" s="258"/>
      <c r="AF336" s="258"/>
      <c r="AG336" s="258"/>
      <c r="AH336" s="258"/>
      <c r="AI336" s="258"/>
      <c r="AJ336" s="258"/>
      <c r="AK336" s="258"/>
      <c r="AL336" s="262" t="s">
        <v>30</v>
      </c>
      <c r="AM336" s="258"/>
      <c r="AN336" s="258"/>
    </row>
    <row r="337" spans="1:40" s="9" customFormat="1" ht="30" x14ac:dyDescent="0.25">
      <c r="A337" s="13" t="s">
        <v>1000</v>
      </c>
      <c r="B337" s="229" t="str">
        <f>IF($A337="","",VLOOKUP($A337,'[2]3-Elaboration.O'!$A:$T,MATCH(B$1,'[2]150-Modele SGO'!$1:$1,0),FALSE))</f>
        <v>Existe-il une première clause de 1ère révision des prix</v>
      </c>
      <c r="C337" s="229" t="str">
        <f>IF($A337="","",VLOOKUP($A337,'[2]3-Elaboration.O'!$A:$T,MATCH(C$1,'[2]150-Modele SGO'!$1:$1,0),FALSE))</f>
        <v>Oui, Existence d'une première clause de 1ère révision des prix;Non,absence d'une première clause de 1ère révision des prix</v>
      </c>
      <c r="D337" s="229" t="str">
        <f>IF($A337="","",VLOOKUP($A337,'[2]3-Elaboration.O'!$A:$T,MATCH(D$1,'[2]150-Modele SGO'!$1:$1,0),FALSE))</f>
        <v xml:space="preserve">Liste choix unique </v>
      </c>
      <c r="E337" s="230" t="s">
        <v>1521</v>
      </c>
      <c r="F337" s="230"/>
      <c r="G337" s="233" t="s">
        <v>1001</v>
      </c>
      <c r="H337" s="232" t="s">
        <v>51</v>
      </c>
      <c r="I337" s="231"/>
      <c r="J337" s="231"/>
      <c r="K337" s="231"/>
      <c r="L337" s="231"/>
      <c r="M337" s="232" t="s">
        <v>51</v>
      </c>
      <c r="N337" s="231"/>
      <c r="O337" s="231"/>
      <c r="P337" s="231"/>
      <c r="Q337" s="231" t="s">
        <v>51</v>
      </c>
      <c r="R337" s="231" t="s">
        <v>24</v>
      </c>
      <c r="S337" s="231" t="s">
        <v>24</v>
      </c>
      <c r="T337" s="231" t="s">
        <v>24</v>
      </c>
      <c r="U337" s="231" t="s">
        <v>24</v>
      </c>
      <c r="V337" s="232" t="s">
        <v>51</v>
      </c>
      <c r="W337" s="231"/>
      <c r="X337" s="231"/>
      <c r="Y337" s="231"/>
      <c r="Z337" s="231"/>
      <c r="AA337" s="234"/>
      <c r="AB337" s="231"/>
      <c r="AC337" s="231"/>
      <c r="AD337" s="232" t="s">
        <v>51</v>
      </c>
      <c r="AE337" s="231"/>
      <c r="AF337" s="231"/>
      <c r="AG337" s="231"/>
      <c r="AH337" s="231"/>
      <c r="AI337" s="231"/>
      <c r="AJ337" s="231"/>
      <c r="AK337" s="231"/>
      <c r="AL337" s="234" t="s">
        <v>51</v>
      </c>
      <c r="AM337" s="231"/>
      <c r="AN337" s="231"/>
    </row>
    <row r="338" spans="1:40" s="9" customFormat="1" ht="47.1" customHeight="1" x14ac:dyDescent="0.25">
      <c r="A338" s="13" t="s">
        <v>1004</v>
      </c>
      <c r="B338" s="229" t="str">
        <f>IF($A338="","",VLOOKUP($A338,'[2]3-Elaboration.O'!$A:$T,MATCH(B$1,'[2]150-Modele SGO'!$1:$1,0),FALSE))</f>
        <v>Si oui, laquelle est la première révision des prix</v>
      </c>
      <c r="C338" s="229" t="str">
        <f>IF($A338="","",VLOOKUP($A338,'[2]3-Elaboration.O'!$A:$T,MATCH(C$1,'[2]150-Modele SGO'!$1:$1,0),FALSE))</f>
        <v>Première révision classique;Par seuil de déclenchement;Sur indices;Sur tarif public</v>
      </c>
      <c r="D338" s="229" t="str">
        <f>IF($A338="","",VLOOKUP($A338,'[2]3-Elaboration.O'!$A:$T,MATCH(D$1,'[2]150-Modele SGO'!$1:$1,0),FALSE))</f>
        <v xml:space="preserve">Liste choix unique </v>
      </c>
      <c r="E338" s="230" t="s">
        <v>1521</v>
      </c>
      <c r="F338" s="230"/>
      <c r="G338" s="231"/>
      <c r="H338" s="232" t="s">
        <v>26</v>
      </c>
      <c r="I338" s="231"/>
      <c r="J338" s="233" t="s">
        <v>1700</v>
      </c>
      <c r="K338" s="233" t="s">
        <v>1005</v>
      </c>
      <c r="L338" s="233" t="s">
        <v>1700</v>
      </c>
      <c r="M338" s="232" t="s">
        <v>26</v>
      </c>
      <c r="N338" s="231"/>
      <c r="O338" s="233" t="s">
        <v>1005</v>
      </c>
      <c r="P338" s="233" t="s">
        <v>35</v>
      </c>
      <c r="Q338" s="233" t="s">
        <v>19</v>
      </c>
      <c r="R338" s="233" t="s">
        <v>1701</v>
      </c>
      <c r="S338" s="231" t="s">
        <v>24</v>
      </c>
      <c r="T338" s="231" t="s">
        <v>24</v>
      </c>
      <c r="U338" s="231" t="s">
        <v>24</v>
      </c>
      <c r="V338" s="232" t="s">
        <v>19</v>
      </c>
      <c r="W338" s="233" t="s">
        <v>1005</v>
      </c>
      <c r="X338" s="231"/>
      <c r="Y338" s="231"/>
      <c r="Z338" s="231"/>
      <c r="AA338" s="234"/>
      <c r="AB338" s="242"/>
      <c r="AC338" s="242"/>
      <c r="AD338" s="232" t="s">
        <v>26</v>
      </c>
      <c r="AE338" s="231"/>
      <c r="AF338" s="233" t="s">
        <v>1005</v>
      </c>
      <c r="AG338" s="233" t="s">
        <v>1005</v>
      </c>
      <c r="AH338" s="233" t="s">
        <v>1005</v>
      </c>
      <c r="AI338" s="233" t="s">
        <v>1005</v>
      </c>
      <c r="AJ338" s="233" t="s">
        <v>1005</v>
      </c>
      <c r="AK338" s="233" t="s">
        <v>1005</v>
      </c>
      <c r="AL338" s="235" t="s">
        <v>35</v>
      </c>
      <c r="AM338" s="231"/>
      <c r="AN338" s="231"/>
    </row>
    <row r="339" spans="1:40" s="9" customFormat="1" ht="48.6" customHeight="1" x14ac:dyDescent="0.25">
      <c r="A339" s="13" t="s">
        <v>1008</v>
      </c>
      <c r="B339" s="229" t="str">
        <f>IF($A339="","",VLOOKUP($A339,'[2]3-Elaboration.O'!$A:$T,MATCH(B$1,'[2]150-Modele SGO'!$1:$1,0),FALSE))</f>
        <v>Si révision sur indice, préciser la formule de révision applicable</v>
      </c>
      <c r="C339" s="229" t="str">
        <f>IF($A339="","",VLOOKUP($A339,'[2]3-Elaboration.O'!$A:$T,MATCH(C$1,'[2]150-Modele SGO'!$1:$1,0),FALSE))</f>
        <v>Champ libre</v>
      </c>
      <c r="D339" s="229" t="str">
        <f>IF($A339="","",VLOOKUP($A339,'[2]3-Elaboration.O'!$A:$T,MATCH(D$1,'[2]150-Modele SGO'!$1:$1,0),FALSE))</f>
        <v>Texte</v>
      </c>
      <c r="E339" s="230" t="s">
        <v>1521</v>
      </c>
      <c r="F339" s="230"/>
      <c r="G339" s="231"/>
      <c r="H339" s="232" t="s">
        <v>35</v>
      </c>
      <c r="I339" s="231"/>
      <c r="J339" s="231"/>
      <c r="K339" s="231"/>
      <c r="L339" s="231"/>
      <c r="M339" s="232" t="s">
        <v>35</v>
      </c>
      <c r="N339" s="231"/>
      <c r="O339" s="231"/>
      <c r="P339" s="231"/>
      <c r="Q339" s="231" t="s">
        <v>35</v>
      </c>
      <c r="R339" s="231" t="s">
        <v>24</v>
      </c>
      <c r="S339" s="231" t="s">
        <v>24</v>
      </c>
      <c r="T339" s="231" t="s">
        <v>24</v>
      </c>
      <c r="U339" s="231" t="s">
        <v>24</v>
      </c>
      <c r="V339" s="232" t="s">
        <v>19</v>
      </c>
      <c r="W339" s="233" t="s">
        <v>46</v>
      </c>
      <c r="X339" s="231"/>
      <c r="Y339" s="231"/>
      <c r="Z339" s="231"/>
      <c r="AA339" s="234"/>
      <c r="AB339" s="231"/>
      <c r="AC339" s="231"/>
      <c r="AD339" s="232" t="s">
        <v>35</v>
      </c>
      <c r="AE339" s="231"/>
      <c r="AF339" s="231"/>
      <c r="AG339" s="231"/>
      <c r="AH339" s="231"/>
      <c r="AI339" s="231"/>
      <c r="AJ339" s="231"/>
      <c r="AK339" s="231"/>
      <c r="AL339" s="235" t="s">
        <v>35</v>
      </c>
      <c r="AM339" s="231"/>
      <c r="AN339" s="231"/>
    </row>
    <row r="340" spans="1:40" s="9" customFormat="1" ht="15.75" x14ac:dyDescent="0.25">
      <c r="A340" s="142" t="s">
        <v>1010</v>
      </c>
      <c r="B340" s="256" t="str">
        <f>IF($A340="","",VLOOKUP($A340,'[2]3-Elaboration.O'!$A:$T,MATCH(B$1,'[2]150-Modele SGO'!$1:$1,0),FALSE))</f>
        <v>10.2.2 Ecocontribution</v>
      </c>
      <c r="C340" s="256">
        <f>IF($A340="","",VLOOKUP($A340,'[2]3-Elaboration.O'!$A:$T,MATCH(C$1,'[2]150-Modele SGO'!$1:$1,0),FALSE))</f>
        <v>0</v>
      </c>
      <c r="D340" s="256">
        <f>IF($A340="","",VLOOKUP($A340,'[2]3-Elaboration.O'!$A:$T,MATCH(D$1,'[2]150-Modele SGO'!$1:$1,0),FALSE))</f>
        <v>0</v>
      </c>
      <c r="E340" s="257" t="s">
        <v>70</v>
      </c>
      <c r="F340" s="257"/>
      <c r="G340" s="258"/>
      <c r="H340" s="257" t="s">
        <v>30</v>
      </c>
      <c r="I340" s="258"/>
      <c r="J340" s="258"/>
      <c r="K340" s="258"/>
      <c r="L340" s="258"/>
      <c r="M340" s="257" t="s">
        <v>30</v>
      </c>
      <c r="N340" s="258"/>
      <c r="O340" s="258"/>
      <c r="P340" s="258"/>
      <c r="Q340" s="258" t="s">
        <v>30</v>
      </c>
      <c r="R340" s="258" t="s">
        <v>24</v>
      </c>
      <c r="S340" s="231" t="s">
        <v>24</v>
      </c>
      <c r="T340" s="258" t="s">
        <v>24</v>
      </c>
      <c r="U340" s="258" t="s">
        <v>24</v>
      </c>
      <c r="V340" s="257" t="s">
        <v>30</v>
      </c>
      <c r="W340" s="258"/>
      <c r="X340" s="258"/>
      <c r="Y340" s="258"/>
      <c r="Z340" s="258"/>
      <c r="AA340" s="259"/>
      <c r="AB340" s="258"/>
      <c r="AC340" s="258"/>
      <c r="AD340" s="257" t="s">
        <v>30</v>
      </c>
      <c r="AE340" s="258"/>
      <c r="AF340" s="258"/>
      <c r="AG340" s="258"/>
      <c r="AH340" s="258"/>
      <c r="AI340" s="258"/>
      <c r="AJ340" s="258"/>
      <c r="AK340" s="258"/>
      <c r="AL340" s="262" t="s">
        <v>30</v>
      </c>
      <c r="AM340" s="258"/>
      <c r="AN340" s="258"/>
    </row>
    <row r="341" spans="1:40" s="9" customFormat="1" ht="74.099999999999994" customHeight="1" x14ac:dyDescent="0.25">
      <c r="A341" s="13" t="s">
        <v>1012</v>
      </c>
      <c r="B341" s="229" t="str">
        <f>IF($A341="","",VLOOKUP($A341,'[2]3-Elaboration.O'!$A:$T,MATCH(B$1,'[2]150-Modele SGO'!$1:$1,0),FALSE))</f>
        <v>Existance d'une écocontribution / Multi contributions pour un même produit</v>
      </c>
      <c r="C341" s="229" t="str">
        <f>IF($A341="","",VLOOKUP($A341,'[2]3-Elaboration.O'!$A:$T,MATCH(C$1,'[2]150-Modele SGO'!$1:$1,0),FALSE))</f>
        <v>Oui, existence d'écocontribution; Oui, existence d'une multi écocontribution ;Non, absence d'écocontribution</v>
      </c>
      <c r="D341" s="229" t="str">
        <f>IF($A341="","",VLOOKUP($A341,'[2]3-Elaboration.O'!$A:$T,MATCH(D$1,'[2]150-Modele SGO'!$1:$1,0),FALSE))</f>
        <v xml:space="preserve">Liste choix unique </v>
      </c>
      <c r="E341" s="230" t="s">
        <v>1521</v>
      </c>
      <c r="F341" s="230"/>
      <c r="G341" s="231"/>
      <c r="H341" s="232" t="s">
        <v>19</v>
      </c>
      <c r="I341" s="233" t="s">
        <v>1702</v>
      </c>
      <c r="J341" s="231"/>
      <c r="K341" s="231"/>
      <c r="L341" s="231"/>
      <c r="M341" s="232" t="s">
        <v>26</v>
      </c>
      <c r="N341" s="231"/>
      <c r="O341" s="233" t="s">
        <v>1703</v>
      </c>
      <c r="P341" s="233" t="s">
        <v>35</v>
      </c>
      <c r="Q341" s="233" t="s">
        <v>19</v>
      </c>
      <c r="R341" s="233" t="s">
        <v>46</v>
      </c>
      <c r="S341" s="231" t="s">
        <v>24</v>
      </c>
      <c r="T341" s="231" t="s">
        <v>24</v>
      </c>
      <c r="U341" s="231" t="s">
        <v>24</v>
      </c>
      <c r="V341" s="232" t="s">
        <v>19</v>
      </c>
      <c r="W341" s="233" t="s">
        <v>46</v>
      </c>
      <c r="X341" s="231"/>
      <c r="Y341" s="231"/>
      <c r="Z341" s="231"/>
      <c r="AA341" s="234"/>
      <c r="AB341" s="242"/>
      <c r="AC341" s="242"/>
      <c r="AD341" s="232" t="s">
        <v>26</v>
      </c>
      <c r="AE341" s="231"/>
      <c r="AF341" s="233" t="s">
        <v>1703</v>
      </c>
      <c r="AG341" s="233" t="s">
        <v>1703</v>
      </c>
      <c r="AH341" s="233" t="s">
        <v>1703</v>
      </c>
      <c r="AI341" s="233" t="s">
        <v>1703</v>
      </c>
      <c r="AJ341" s="233" t="s">
        <v>1702</v>
      </c>
      <c r="AK341" s="233" t="s">
        <v>1702</v>
      </c>
      <c r="AL341" s="235" t="s">
        <v>35</v>
      </c>
      <c r="AM341" s="231"/>
      <c r="AN341" s="231"/>
    </row>
    <row r="342" spans="1:40" s="9" customFormat="1" ht="74.099999999999994" customHeight="1" x14ac:dyDescent="0.25">
      <c r="A342" s="13" t="s">
        <v>1015</v>
      </c>
      <c r="B342" s="229" t="str">
        <f>IF($A342="","",VLOOKUP($A342,'[2]3-Elaboration.O'!$A:$T,MATCH(B$1,'[2]150-Modele SGO'!$1:$1,0),FALSE))</f>
        <v>Si oui, l'affichage de l'écocontribution est-il sytématisé ?</v>
      </c>
      <c r="C342" s="229" t="str">
        <f>IF($A342="","",VLOOKUP($A342,'[2]3-Elaboration.O'!$A:$T,MATCH(C$1,'[2]150-Modele SGO'!$1:$1,0),FALSE))</f>
        <v>Oui, affichage de l'écocontribution systématisé; Non, absence d'affichage de l'écocontribution</v>
      </c>
      <c r="D342" s="229" t="str">
        <f>IF($A342="","",VLOOKUP($A342,'[2]3-Elaboration.O'!$A:$T,MATCH(D$1,'[2]150-Modele SGO'!$1:$1,0),FALSE))</f>
        <v>Liste choix unique</v>
      </c>
      <c r="E342" s="230"/>
      <c r="F342" s="230"/>
      <c r="G342" s="233" t="s">
        <v>1016</v>
      </c>
      <c r="H342" s="232" t="s">
        <v>51</v>
      </c>
      <c r="I342" s="231"/>
      <c r="J342" s="231"/>
      <c r="K342" s="231"/>
      <c r="L342" s="231"/>
      <c r="M342" s="232" t="s">
        <v>51</v>
      </c>
      <c r="N342" s="231"/>
      <c r="O342" s="231"/>
      <c r="P342" s="231"/>
      <c r="Q342" s="231" t="s">
        <v>51</v>
      </c>
      <c r="R342" s="231" t="s">
        <v>24</v>
      </c>
      <c r="S342" s="231" t="s">
        <v>24</v>
      </c>
      <c r="T342" s="231" t="s">
        <v>24</v>
      </c>
      <c r="U342" s="231" t="s">
        <v>24</v>
      </c>
      <c r="V342" s="232" t="s">
        <v>51</v>
      </c>
      <c r="W342" s="231"/>
      <c r="X342" s="231"/>
      <c r="Y342" s="231"/>
      <c r="Z342" s="231"/>
      <c r="AA342" s="234"/>
      <c r="AB342" s="242"/>
      <c r="AC342" s="242"/>
      <c r="AD342" s="232" t="s">
        <v>51</v>
      </c>
      <c r="AE342" s="231"/>
      <c r="AF342" s="231"/>
      <c r="AG342" s="231"/>
      <c r="AH342" s="231"/>
      <c r="AI342" s="231"/>
      <c r="AJ342" s="231"/>
      <c r="AK342" s="231"/>
      <c r="AL342" s="234" t="s">
        <v>51</v>
      </c>
      <c r="AM342" s="231"/>
      <c r="AN342" s="231"/>
    </row>
    <row r="343" spans="1:40" s="9" customFormat="1" ht="42" customHeight="1" x14ac:dyDescent="0.25">
      <c r="A343" s="13" t="s">
        <v>1019</v>
      </c>
      <c r="B343" s="229" t="str">
        <f>IF($A343="","",VLOOKUP($A343,'[2]3-Elaboration.O'!$A:$T,MATCH(B$1,'[2]150-Modele SGO'!$1:$1,0),FALSE))</f>
        <v xml:space="preserve">Si oui, quel(s) sont / est le(s) lot(s) concerné(s) ? </v>
      </c>
      <c r="C343" s="229" t="str">
        <f>IF($A343="","",VLOOKUP($A343,'[2]3-Elaboration.O'!$A:$T,MATCH(C$1,'[2]150-Modele SGO'!$1:$1,0),FALSE))</f>
        <v>Numéros de lot</v>
      </c>
      <c r="D343" s="229" t="str">
        <f>IF($A343="","",VLOOKUP($A343,'[2]3-Elaboration.O'!$A:$T,MATCH(D$1,'[2]150-Modele SGO'!$1:$1,0),FALSE))</f>
        <v>Texte</v>
      </c>
      <c r="E343" s="230" t="s">
        <v>1521</v>
      </c>
      <c r="F343" s="230"/>
      <c r="G343" s="231"/>
      <c r="H343" s="232" t="s">
        <v>35</v>
      </c>
      <c r="I343" s="231"/>
      <c r="J343" s="231"/>
      <c r="K343" s="231"/>
      <c r="L343" s="231"/>
      <c r="M343" s="232" t="s">
        <v>35</v>
      </c>
      <c r="N343" s="231"/>
      <c r="O343" s="231"/>
      <c r="P343" s="231"/>
      <c r="Q343" s="231" t="s">
        <v>35</v>
      </c>
      <c r="R343" s="231" t="s">
        <v>24</v>
      </c>
      <c r="S343" s="231" t="s">
        <v>24</v>
      </c>
      <c r="T343" s="231" t="s">
        <v>24</v>
      </c>
      <c r="U343" s="231"/>
      <c r="V343" s="232" t="s">
        <v>35</v>
      </c>
      <c r="W343" s="231"/>
      <c r="X343" s="231"/>
      <c r="Y343" s="231"/>
      <c r="Z343" s="231"/>
      <c r="AA343" s="234"/>
      <c r="AB343" s="231"/>
      <c r="AC343" s="231"/>
      <c r="AD343" s="232" t="s">
        <v>35</v>
      </c>
      <c r="AE343" s="231"/>
      <c r="AF343" s="231"/>
      <c r="AG343" s="231"/>
      <c r="AH343" s="231"/>
      <c r="AI343" s="231"/>
      <c r="AJ343" s="231"/>
      <c r="AK343" s="231"/>
      <c r="AL343" s="234" t="s">
        <v>35</v>
      </c>
      <c r="AM343" s="231"/>
      <c r="AN343" s="231"/>
    </row>
    <row r="344" spans="1:40" s="9" customFormat="1" ht="29.85" customHeight="1" x14ac:dyDescent="0.25">
      <c r="A344" s="13" t="s">
        <v>1022</v>
      </c>
      <c r="B344" s="229" t="str">
        <f>IF($A344="","",VLOOKUP($A344,'[2]3-Elaboration.O'!$A:$T,MATCH(B$1,'[2]150-Modele SGO'!$1:$1,0),FALSE))</f>
        <v xml:space="preserve">Si oui, Y-a-t'il une variation de l'écocontribution ? </v>
      </c>
      <c r="C344" s="229" t="str">
        <f>IF($A344="","",VLOOKUP($A344,'[2]3-Elaboration.O'!$A:$T,MATCH(C$1,'[2]150-Modele SGO'!$1:$1,0),FALSE))</f>
        <v>Oui, variation de l'écocontribution; Non, absence de variation de l'écocontribution</v>
      </c>
      <c r="D344" s="229" t="str">
        <f>IF($A344="","",VLOOKUP($A344,'[2]3-Elaboration.O'!$A:$T,MATCH(D$1,'[2]150-Modele SGO'!$1:$1,0),FALSE))</f>
        <v xml:space="preserve">Liste choix unique </v>
      </c>
      <c r="E344" s="230" t="s">
        <v>1521</v>
      </c>
      <c r="F344" s="230"/>
      <c r="G344" s="233" t="s">
        <v>1023</v>
      </c>
      <c r="H344" s="232" t="s">
        <v>51</v>
      </c>
      <c r="I344" s="231"/>
      <c r="J344" s="231"/>
      <c r="K344" s="231"/>
      <c r="L344" s="231"/>
      <c r="M344" s="232" t="s">
        <v>51</v>
      </c>
      <c r="N344" s="231"/>
      <c r="O344" s="231"/>
      <c r="P344" s="231"/>
      <c r="Q344" s="231" t="s">
        <v>51</v>
      </c>
      <c r="R344" s="231" t="s">
        <v>24</v>
      </c>
      <c r="S344" s="231"/>
      <c r="T344" s="231" t="s">
        <v>24</v>
      </c>
      <c r="U344" s="231" t="s">
        <v>24</v>
      </c>
      <c r="V344" s="232" t="s">
        <v>51</v>
      </c>
      <c r="W344" s="231"/>
      <c r="X344" s="231"/>
      <c r="Y344" s="231"/>
      <c r="Z344" s="231"/>
      <c r="AA344" s="234"/>
      <c r="AB344" s="231"/>
      <c r="AC344" s="231"/>
      <c r="AD344" s="232" t="s">
        <v>51</v>
      </c>
      <c r="AE344" s="231"/>
      <c r="AF344" s="231"/>
      <c r="AG344" s="231"/>
      <c r="AH344" s="231"/>
      <c r="AI344" s="231"/>
      <c r="AJ344" s="231"/>
      <c r="AK344" s="231"/>
      <c r="AL344" s="234" t="s">
        <v>51</v>
      </c>
      <c r="AM344" s="231"/>
      <c r="AN344" s="231"/>
    </row>
    <row r="345" spans="1:40" s="9" customFormat="1" ht="15.75" x14ac:dyDescent="0.25">
      <c r="A345" s="142" t="s">
        <v>1026</v>
      </c>
      <c r="B345" s="256" t="str">
        <f>IF($A345="","",VLOOKUP($A345,'[2]3-Elaboration.O'!$A:$T,MATCH(B$1,'[2]150-Modele SGO'!$1:$1,0),FALSE))</f>
        <v>10.2.3 Clause de sauvegarde</v>
      </c>
      <c r="C345" s="256">
        <f>IF($A345="","",VLOOKUP($A345,'[2]3-Elaboration.O'!$A:$T,MATCH(C$1,'[2]150-Modele SGO'!$1:$1,0),FALSE))</f>
        <v>0</v>
      </c>
      <c r="D345" s="256">
        <f>IF($A345="","",VLOOKUP($A345,'[2]3-Elaboration.O'!$A:$T,MATCH(D$1,'[2]150-Modele SGO'!$1:$1,0),FALSE))</f>
        <v>0</v>
      </c>
      <c r="E345" s="257" t="s">
        <v>70</v>
      </c>
      <c r="F345" s="257"/>
      <c r="G345" s="258"/>
      <c r="H345" s="257" t="s">
        <v>30</v>
      </c>
      <c r="I345" s="258"/>
      <c r="J345" s="258"/>
      <c r="K345" s="258"/>
      <c r="L345" s="258"/>
      <c r="M345" s="257" t="s">
        <v>30</v>
      </c>
      <c r="N345" s="258"/>
      <c r="O345" s="258"/>
      <c r="P345" s="258"/>
      <c r="Q345" s="258" t="s">
        <v>30</v>
      </c>
      <c r="R345" s="258" t="s">
        <v>24</v>
      </c>
      <c r="S345" s="231" t="s">
        <v>24</v>
      </c>
      <c r="T345" s="258" t="s">
        <v>24</v>
      </c>
      <c r="U345" s="258" t="s">
        <v>24</v>
      </c>
      <c r="V345" s="257" t="s">
        <v>30</v>
      </c>
      <c r="W345" s="258"/>
      <c r="X345" s="258"/>
      <c r="Y345" s="258"/>
      <c r="Z345" s="258"/>
      <c r="AA345" s="259"/>
      <c r="AB345" s="258"/>
      <c r="AC345" s="258"/>
      <c r="AD345" s="257" t="s">
        <v>30</v>
      </c>
      <c r="AE345" s="258"/>
      <c r="AF345" s="258"/>
      <c r="AG345" s="258"/>
      <c r="AH345" s="258"/>
      <c r="AI345" s="258"/>
      <c r="AJ345" s="258"/>
      <c r="AK345" s="258"/>
      <c r="AL345" s="259" t="s">
        <v>30</v>
      </c>
      <c r="AM345" s="258"/>
      <c r="AN345" s="258"/>
    </row>
    <row r="346" spans="1:40" s="9" customFormat="1" ht="30" x14ac:dyDescent="0.25">
      <c r="A346" s="13" t="s">
        <v>1028</v>
      </c>
      <c r="B346" s="229" t="str">
        <f>IF($A346="","",VLOOKUP($A346,'[2]3-Elaboration.O'!$A:$T,MATCH(B$1,'[2]150-Modele SGO'!$1:$1,0),FALSE))</f>
        <v>Une clause de sauvegarde est-elle prévue ?</v>
      </c>
      <c r="C346" s="229" t="str">
        <f>IF($A346="","",VLOOKUP($A346,'[2]3-Elaboration.O'!$A:$T,MATCH(C$1,'[2]150-Modele SGO'!$1:$1,0),FALSE))</f>
        <v>Oui, application d'une clause de sauvegarde;Non,absence de clause de sauvegarde</v>
      </c>
      <c r="D346" s="229" t="str">
        <f>IF($A346="","",VLOOKUP($A346,'[2]3-Elaboration.O'!$A:$T,MATCH(D$1,'[2]150-Modele SGO'!$1:$1,0),FALSE))</f>
        <v xml:space="preserve">Liste de choix ou texte </v>
      </c>
      <c r="E346" s="230" t="s">
        <v>70</v>
      </c>
      <c r="F346" s="230"/>
      <c r="G346" s="233" t="s">
        <v>1029</v>
      </c>
      <c r="H346" s="232" t="s">
        <v>51</v>
      </c>
      <c r="I346" s="231"/>
      <c r="J346" s="231"/>
      <c r="K346" s="231"/>
      <c r="L346" s="231"/>
      <c r="M346" s="232" t="s">
        <v>51</v>
      </c>
      <c r="N346" s="231"/>
      <c r="O346" s="231"/>
      <c r="P346" s="231"/>
      <c r="Q346" s="231" t="s">
        <v>51</v>
      </c>
      <c r="R346" s="231" t="s">
        <v>24</v>
      </c>
      <c r="S346" s="231" t="s">
        <v>24</v>
      </c>
      <c r="T346" s="231" t="s">
        <v>24</v>
      </c>
      <c r="U346" s="231" t="s">
        <v>24</v>
      </c>
      <c r="V346" s="232" t="s">
        <v>51</v>
      </c>
      <c r="W346" s="231"/>
      <c r="X346" s="231"/>
      <c r="Y346" s="231"/>
      <c r="Z346" s="231"/>
      <c r="AA346" s="234"/>
      <c r="AB346" s="231"/>
      <c r="AC346" s="231"/>
      <c r="AD346" s="232" t="s">
        <v>51</v>
      </c>
      <c r="AE346" s="231"/>
      <c r="AF346" s="231"/>
      <c r="AG346" s="231"/>
      <c r="AH346" s="231"/>
      <c r="AI346" s="231"/>
      <c r="AJ346" s="231"/>
      <c r="AK346" s="231"/>
      <c r="AL346" s="234" t="s">
        <v>51</v>
      </c>
      <c r="AM346" s="231"/>
      <c r="AN346" s="231"/>
    </row>
    <row r="347" spans="1:40" s="9" customFormat="1" ht="30" x14ac:dyDescent="0.25">
      <c r="A347" s="13" t="s">
        <v>1032</v>
      </c>
      <c r="B347" s="229" t="str">
        <f>IF($A347="","",VLOOKUP($A347,'[2]3-Elaboration.O'!$A:$T,MATCH(B$1,'[2]150-Modele SGO'!$1:$1,0),FALSE))</f>
        <v>Si oui, le pourcentage est-il conforme au standard ?</v>
      </c>
      <c r="C347" s="229" t="str">
        <f>IF($A347="","",VLOOKUP($A347,'[2]3-Elaboration.O'!$A:$T,MATCH(C$1,'[2]150-Modele SGO'!$1:$1,0),FALSE))</f>
        <v>Oui, le pourcentage est conforme au standard de 3%; Non, le pourcentage est dérogatoire au standard</v>
      </c>
      <c r="D347" s="229" t="str">
        <f>IF($A347="","",VLOOKUP($A347,'[2]3-Elaboration.O'!$A:$T,MATCH(D$1,'[2]150-Modele SGO'!$1:$1,0),FALSE))</f>
        <v>Liste choix unique</v>
      </c>
      <c r="E347" s="230" t="s">
        <v>1521</v>
      </c>
      <c r="F347" s="230"/>
      <c r="G347" s="289" t="s">
        <v>1033</v>
      </c>
      <c r="H347" s="232" t="s">
        <v>51</v>
      </c>
      <c r="I347" s="231"/>
      <c r="J347" s="231"/>
      <c r="K347" s="231"/>
      <c r="L347" s="231"/>
      <c r="M347" s="232" t="s">
        <v>51</v>
      </c>
      <c r="N347" s="231"/>
      <c r="O347" s="231"/>
      <c r="P347" s="231"/>
      <c r="Q347" s="231" t="s">
        <v>51</v>
      </c>
      <c r="R347" s="231" t="s">
        <v>24</v>
      </c>
      <c r="S347" s="231" t="s">
        <v>24</v>
      </c>
      <c r="T347" s="231" t="s">
        <v>24</v>
      </c>
      <c r="U347" s="231" t="s">
        <v>24</v>
      </c>
      <c r="V347" s="232" t="s">
        <v>51</v>
      </c>
      <c r="W347" s="231"/>
      <c r="X347" s="231"/>
      <c r="Y347" s="231"/>
      <c r="Z347" s="231"/>
      <c r="AA347" s="234"/>
      <c r="AB347" s="231"/>
      <c r="AC347" s="231"/>
      <c r="AD347" s="232" t="s">
        <v>51</v>
      </c>
      <c r="AE347" s="290"/>
      <c r="AF347" s="231"/>
      <c r="AG347" s="231"/>
      <c r="AH347" s="231"/>
      <c r="AI347" s="231"/>
      <c r="AJ347" s="231"/>
      <c r="AK347" s="231"/>
      <c r="AL347" s="234" t="s">
        <v>51</v>
      </c>
      <c r="AM347" s="290"/>
      <c r="AN347" s="231"/>
    </row>
    <row r="348" spans="1:40" s="9" customFormat="1" ht="42" customHeight="1" x14ac:dyDescent="0.25">
      <c r="A348" s="13" t="s">
        <v>1036</v>
      </c>
      <c r="B348" s="229" t="str">
        <f>IF($A348="","",VLOOKUP($A348,'[2]3-Elaboration.O'!$A:$T,MATCH(B$1,'[2]150-Modele SGO'!$1:$1,0),FALSE))</f>
        <v>Si le pourcentage est dérogatoire, préciser la valeur ?</v>
      </c>
      <c r="C348" s="229" t="str">
        <f>IF($A348="","",VLOOKUP($A348,'[2]3-Elaboration.O'!$A:$T,MATCH(C$1,'[2]150-Modele SGO'!$1:$1,0),FALSE))</f>
        <v>Champ libre</v>
      </c>
      <c r="D348" s="229" t="str">
        <f>IF($A348="","",VLOOKUP($A348,'[2]3-Elaboration.O'!$A:$T,MATCH(D$1,'[2]150-Modele SGO'!$1:$1,0),FALSE))</f>
        <v>Texte</v>
      </c>
      <c r="E348" s="230" t="s">
        <v>1521</v>
      </c>
      <c r="F348" s="230"/>
      <c r="G348" s="231"/>
      <c r="H348" s="232" t="s">
        <v>35</v>
      </c>
      <c r="I348" s="231"/>
      <c r="J348" s="231"/>
      <c r="K348" s="231"/>
      <c r="L348" s="231"/>
      <c r="M348" s="232" t="s">
        <v>35</v>
      </c>
      <c r="N348" s="231"/>
      <c r="O348" s="231"/>
      <c r="P348" s="231"/>
      <c r="Q348" s="231" t="s">
        <v>35</v>
      </c>
      <c r="R348" s="231" t="s">
        <v>24</v>
      </c>
      <c r="S348" s="231" t="s">
        <v>24</v>
      </c>
      <c r="T348" s="231" t="s">
        <v>24</v>
      </c>
      <c r="U348" s="231" t="s">
        <v>24</v>
      </c>
      <c r="V348" s="232" t="s">
        <v>35</v>
      </c>
      <c r="W348" s="231"/>
      <c r="X348" s="231"/>
      <c r="Y348" s="231"/>
      <c r="Z348" s="231"/>
      <c r="AA348" s="234"/>
      <c r="AB348" s="231"/>
      <c r="AC348" s="231"/>
      <c r="AD348" s="232" t="s">
        <v>35</v>
      </c>
      <c r="AE348" s="231"/>
      <c r="AF348" s="231"/>
      <c r="AG348" s="231"/>
      <c r="AH348" s="231"/>
      <c r="AI348" s="231"/>
      <c r="AJ348" s="231"/>
      <c r="AK348" s="231"/>
      <c r="AL348" s="234" t="s">
        <v>35</v>
      </c>
      <c r="AM348" s="231"/>
      <c r="AN348" s="231"/>
    </row>
    <row r="349" spans="1:40" s="9" customFormat="1" ht="30" x14ac:dyDescent="0.25">
      <c r="A349" s="13" t="s">
        <v>1038</v>
      </c>
      <c r="B349" s="229" t="str">
        <f>IF($A349="","",VLOOKUP($A349,'[2]3-Elaboration.O'!$A:$T,MATCH(B$1,'[2]150-Modele SGO'!$1:$1,0),FALSE))</f>
        <v>Si oui, quelle est la base de calcul de la clause de sauvegarde</v>
      </c>
      <c r="C349" s="229" t="str">
        <f>IF($A349="","",VLOOKUP($A349,'[2]3-Elaboration.O'!$A:$T,MATCH(C$1,'[2]150-Modele SGO'!$1:$1,0),FALSE))</f>
        <v>Prix initial;Dernier prix révisé;indice inital;dernier indice révisé</v>
      </c>
      <c r="D349" s="229" t="str">
        <f>IF($A349="","",VLOOKUP($A349,'[2]3-Elaboration.O'!$A:$T,MATCH(D$1,'[2]150-Modele SGO'!$1:$1,0),FALSE))</f>
        <v>Liste choix multiple</v>
      </c>
      <c r="E349" s="230" t="s">
        <v>1521</v>
      </c>
      <c r="F349" s="230" t="s">
        <v>44</v>
      </c>
      <c r="G349" s="233" t="s">
        <v>1039</v>
      </c>
      <c r="H349" s="232" t="s">
        <v>51</v>
      </c>
      <c r="I349" s="231"/>
      <c r="J349" s="231"/>
      <c r="K349" s="231"/>
      <c r="L349" s="231"/>
      <c r="M349" s="232" t="s">
        <v>51</v>
      </c>
      <c r="N349" s="231"/>
      <c r="O349" s="231"/>
      <c r="P349" s="231"/>
      <c r="Q349" s="231" t="s">
        <v>51</v>
      </c>
      <c r="R349" s="231" t="s">
        <v>24</v>
      </c>
      <c r="S349" s="231" t="s">
        <v>24</v>
      </c>
      <c r="T349" s="231" t="s">
        <v>24</v>
      </c>
      <c r="U349" s="231" t="s">
        <v>24</v>
      </c>
      <c r="V349" s="232" t="s">
        <v>51</v>
      </c>
      <c r="W349" s="231"/>
      <c r="X349" s="231"/>
      <c r="Y349" s="231"/>
      <c r="Z349" s="231"/>
      <c r="AA349" s="234"/>
      <c r="AB349" s="231"/>
      <c r="AC349" s="231"/>
      <c r="AD349" s="232" t="s">
        <v>51</v>
      </c>
      <c r="AE349" s="231"/>
      <c r="AF349" s="231"/>
      <c r="AG349" s="231"/>
      <c r="AH349" s="231"/>
      <c r="AI349" s="231"/>
      <c r="AJ349" s="231"/>
      <c r="AK349" s="231"/>
      <c r="AL349" s="234" t="s">
        <v>51</v>
      </c>
      <c r="AM349" s="231"/>
      <c r="AN349" s="231"/>
    </row>
    <row r="350" spans="1:40" s="9" customFormat="1" ht="30" x14ac:dyDescent="0.25">
      <c r="A350" s="13" t="s">
        <v>1042</v>
      </c>
      <c r="B350" s="229" t="str">
        <f>IF($A350="","",VLOOKUP($A350,'[2]3-Elaboration.O'!$A:$T,MATCH(B$1,'[2]150-Modele SGO'!$1:$1,0),FALSE))</f>
        <v>Si oui, préciser la période de calcul (X mois / X périodes successives / Autre)</v>
      </c>
      <c r="C350" s="229" t="str">
        <f>IF($A350="","",VLOOKUP($A350,'[2]3-Elaboration.O'!$A:$T,MATCH(C$1,'[2]150-Modele SGO'!$1:$1,0),FALSE))</f>
        <v>X mois / X périodes successives / Autre</v>
      </c>
      <c r="D350" s="229" t="str">
        <f>IF($A350="","",VLOOKUP($A350,'[2]3-Elaboration.O'!$A:$T,MATCH(D$1,'[2]150-Modele SGO'!$1:$1,0),FALSE))</f>
        <v xml:space="preserve">Liste choix unique </v>
      </c>
      <c r="E350" s="230" t="s">
        <v>70</v>
      </c>
      <c r="F350" s="230"/>
      <c r="G350" s="233" t="s">
        <v>1043</v>
      </c>
      <c r="H350" s="232" t="s">
        <v>51</v>
      </c>
      <c r="I350" s="231"/>
      <c r="J350" s="231"/>
      <c r="K350" s="231"/>
      <c r="L350" s="231"/>
      <c r="M350" s="232" t="s">
        <v>51</v>
      </c>
      <c r="N350" s="231"/>
      <c r="O350" s="231"/>
      <c r="P350" s="231"/>
      <c r="Q350" s="231" t="s">
        <v>51</v>
      </c>
      <c r="R350" s="231" t="s">
        <v>24</v>
      </c>
      <c r="S350" s="231" t="s">
        <v>24</v>
      </c>
      <c r="T350" s="231" t="s">
        <v>24</v>
      </c>
      <c r="U350" s="231" t="s">
        <v>24</v>
      </c>
      <c r="V350" s="232" t="s">
        <v>51</v>
      </c>
      <c r="W350" s="231"/>
      <c r="X350" s="231"/>
      <c r="Y350" s="231"/>
      <c r="Z350" s="231"/>
      <c r="AA350" s="234"/>
      <c r="AB350" s="231"/>
      <c r="AC350" s="231"/>
      <c r="AD350" s="232" t="s">
        <v>51</v>
      </c>
      <c r="AE350" s="231"/>
      <c r="AF350" s="231"/>
      <c r="AG350" s="231"/>
      <c r="AH350" s="231"/>
      <c r="AI350" s="231"/>
      <c r="AJ350" s="231"/>
      <c r="AK350" s="231"/>
      <c r="AL350" s="234" t="s">
        <v>51</v>
      </c>
      <c r="AM350" s="231"/>
      <c r="AN350" s="231"/>
    </row>
    <row r="351" spans="1:40" s="9" customFormat="1" ht="15.75" x14ac:dyDescent="0.25">
      <c r="A351" s="13" t="s">
        <v>1046</v>
      </c>
      <c r="B351" s="229" t="str">
        <f>IF($A351="","",VLOOKUP($A351,'[2]3-Elaboration.O'!$A:$T,MATCH(B$1,'[2]150-Modele SGO'!$1:$1,0),FALSE))</f>
        <v>Si autre, préciser</v>
      </c>
      <c r="C351" s="229" t="str">
        <f>IF($A351="","",VLOOKUP($A351,'[2]3-Elaboration.O'!$A:$T,MATCH(C$1,'[2]150-Modele SGO'!$1:$1,0),FALSE))</f>
        <v>Champ libre</v>
      </c>
      <c r="D351" s="229" t="str">
        <f>IF($A351="","",VLOOKUP($A351,'[2]3-Elaboration.O'!$A:$T,MATCH(D$1,'[2]150-Modele SGO'!$1:$1,0),FALSE))</f>
        <v>Texte</v>
      </c>
      <c r="E351" s="230" t="s">
        <v>1521</v>
      </c>
      <c r="F351" s="230"/>
      <c r="G351" s="250"/>
      <c r="H351" s="232" t="s">
        <v>35</v>
      </c>
      <c r="I351" s="231"/>
      <c r="J351" s="231"/>
      <c r="K351" s="231"/>
      <c r="L351" s="231"/>
      <c r="M351" s="232" t="s">
        <v>35</v>
      </c>
      <c r="N351" s="231"/>
      <c r="O351" s="231"/>
      <c r="P351" s="231"/>
      <c r="Q351" s="231" t="s">
        <v>1704</v>
      </c>
      <c r="R351" s="231" t="s">
        <v>24</v>
      </c>
      <c r="S351" s="231" t="s">
        <v>24</v>
      </c>
      <c r="T351" s="231" t="s">
        <v>24</v>
      </c>
      <c r="U351" s="231" t="s">
        <v>24</v>
      </c>
      <c r="V351" s="232" t="s">
        <v>35</v>
      </c>
      <c r="W351" s="231"/>
      <c r="X351" s="231"/>
      <c r="Y351" s="231"/>
      <c r="Z351" s="231"/>
      <c r="AA351" s="234"/>
      <c r="AB351" s="231"/>
      <c r="AC351" s="231"/>
      <c r="AD351" s="232" t="s">
        <v>1704</v>
      </c>
      <c r="AE351" s="231"/>
      <c r="AF351" s="231"/>
      <c r="AG351" s="233"/>
      <c r="AH351" s="231"/>
      <c r="AI351" s="231"/>
      <c r="AJ351" s="231"/>
      <c r="AK351" s="231"/>
      <c r="AL351" s="234" t="s">
        <v>1704</v>
      </c>
      <c r="AM351" s="231"/>
      <c r="AN351" s="231"/>
    </row>
    <row r="352" spans="1:40" s="9" customFormat="1" ht="15.75" x14ac:dyDescent="0.25">
      <c r="A352" s="24" t="s">
        <v>1047</v>
      </c>
      <c r="B352" s="249" t="str">
        <f>IF($A352="","",VLOOKUP($A352,'[2]3-Elaboration.O'!$A:$T,MATCH(B$1,'[2]150-Modele SGO'!$1:$1,0),FALSE))</f>
        <v>11.0 MODALITES D'EXECUTION</v>
      </c>
      <c r="C352" s="255">
        <f>IF($A352="","",VLOOKUP($A352,'[2]3-Elaboration.O'!$A:$T,MATCH(C$1,'[2]150-Modele SGO'!$1:$1,0),FALSE))</f>
        <v>0</v>
      </c>
      <c r="D352" s="255">
        <f>IF($A352="","",VLOOKUP($A352,'[2]3-Elaboration.O'!$A:$T,MATCH(D$1,'[2]150-Modele SGO'!$1:$1,0),FALSE))</f>
        <v>0</v>
      </c>
      <c r="E352" s="1" t="s">
        <v>70</v>
      </c>
      <c r="F352" s="1"/>
      <c r="G352" s="231"/>
      <c r="H352" s="238" t="s">
        <v>30</v>
      </c>
      <c r="I352" s="231"/>
      <c r="J352" s="231"/>
      <c r="K352" s="231"/>
      <c r="L352" s="231"/>
      <c r="M352" s="238" t="s">
        <v>30</v>
      </c>
      <c r="N352" s="231"/>
      <c r="O352" s="231"/>
      <c r="P352" s="231"/>
      <c r="Q352" s="231" t="s">
        <v>30</v>
      </c>
      <c r="R352" s="231" t="s">
        <v>24</v>
      </c>
      <c r="S352" s="231" t="s">
        <v>24</v>
      </c>
      <c r="T352" s="231" t="s">
        <v>24</v>
      </c>
      <c r="U352" s="231" t="s">
        <v>24</v>
      </c>
      <c r="V352" s="238" t="s">
        <v>30</v>
      </c>
      <c r="W352" s="231"/>
      <c r="X352" s="231"/>
      <c r="Y352" s="231"/>
      <c r="Z352" s="231"/>
      <c r="AA352" s="234"/>
      <c r="AB352" s="231"/>
      <c r="AC352" s="231"/>
      <c r="AD352" s="238" t="s">
        <v>30</v>
      </c>
      <c r="AE352" s="231"/>
      <c r="AF352" s="231"/>
      <c r="AG352" s="233"/>
      <c r="AH352" s="231"/>
      <c r="AI352" s="231"/>
      <c r="AJ352" s="231"/>
      <c r="AK352" s="231"/>
      <c r="AL352" s="234" t="s">
        <v>30</v>
      </c>
      <c r="AM352" s="231"/>
      <c r="AN352" s="231"/>
    </row>
    <row r="353" spans="1:40" s="9" customFormat="1" ht="15.75" x14ac:dyDescent="0.25">
      <c r="A353" s="108" t="s">
        <v>1049</v>
      </c>
      <c r="B353" s="244" t="str">
        <f>IF($A353="","",VLOOKUP($A353,'[2]3-Elaboration.O'!$A:$T,MATCH(B$1,'[2]150-Modele SGO'!$1:$1,0),FALSE))</f>
        <v>11.1 Distribution sur stock et transport (Offre de produits exécutés)</v>
      </c>
      <c r="C353" s="244">
        <f>IF($A353="","",VLOOKUP($A353,'[2]3-Elaboration.O'!$A:$T,MATCH(C$1,'[2]150-Modele SGO'!$1:$1,0),FALSE))</f>
        <v>0</v>
      </c>
      <c r="D353" s="244">
        <f>IF($A353="","",VLOOKUP($A353,'[2]3-Elaboration.O'!$A:$T,MATCH(D$1,'[2]150-Modele SGO'!$1:$1,0),FALSE))</f>
        <v>0</v>
      </c>
      <c r="E353" s="241" t="s">
        <v>70</v>
      </c>
      <c r="F353" s="241"/>
      <c r="G353" s="237"/>
      <c r="H353" s="241" t="s">
        <v>30</v>
      </c>
      <c r="I353" s="237"/>
      <c r="J353" s="237"/>
      <c r="K353" s="237"/>
      <c r="L353" s="237"/>
      <c r="M353" s="241" t="s">
        <v>30</v>
      </c>
      <c r="N353" s="237"/>
      <c r="O353" s="237"/>
      <c r="P353" s="237"/>
      <c r="Q353" s="237" t="s">
        <v>30</v>
      </c>
      <c r="R353" s="237" t="s">
        <v>24</v>
      </c>
      <c r="S353" s="231" t="s">
        <v>24</v>
      </c>
      <c r="T353" s="237" t="s">
        <v>24</v>
      </c>
      <c r="U353" s="237" t="s">
        <v>24</v>
      </c>
      <c r="V353" s="241" t="s">
        <v>30</v>
      </c>
      <c r="W353" s="237"/>
      <c r="X353" s="237"/>
      <c r="Y353" s="237"/>
      <c r="Z353" s="237"/>
      <c r="AA353" s="239"/>
      <c r="AB353" s="237"/>
      <c r="AC353" s="237"/>
      <c r="AD353" s="241" t="s">
        <v>30</v>
      </c>
      <c r="AE353" s="237"/>
      <c r="AF353" s="237"/>
      <c r="AG353" s="237"/>
      <c r="AH353" s="237"/>
      <c r="AI353" s="237"/>
      <c r="AJ353" s="237"/>
      <c r="AK353" s="237"/>
      <c r="AL353" s="239" t="s">
        <v>30</v>
      </c>
      <c r="AM353" s="237"/>
      <c r="AN353" s="237"/>
    </row>
    <row r="354" spans="1:40" s="9" customFormat="1" ht="30" x14ac:dyDescent="0.25">
      <c r="A354" s="13" t="s">
        <v>1051</v>
      </c>
      <c r="B354" s="229" t="str">
        <f>IF($A354="","",VLOOKUP($A354,'[2]3-Elaboration.O'!$A:$T,MATCH(B$1,'[2]150-Modele SGO'!$1:$1,0),FALSE))</f>
        <v xml:space="preserve">Ce chapitre est-il applicable </v>
      </c>
      <c r="C354" s="229" t="str">
        <f>IF($A354="","",VLOOKUP($A354,'[2]3-Elaboration.O'!$A:$T,MATCH(C$1,'[2]150-Modele SGO'!$1:$1,0),FALSE))</f>
        <v>Oui, ce chapitre est applicable;Non,ce chapitre est non applicable</v>
      </c>
      <c r="D354" s="229" t="str">
        <f>IF($A354="","",VLOOKUP($A354,'[2]3-Elaboration.O'!$A:$T,MATCH(D$1,'[2]150-Modele SGO'!$1:$1,0),FALSE))</f>
        <v xml:space="preserve">Liste choix unique </v>
      </c>
      <c r="E354" s="230" t="s">
        <v>70</v>
      </c>
      <c r="F354" s="230"/>
      <c r="G354" s="231"/>
      <c r="H354" s="232" t="s">
        <v>19</v>
      </c>
      <c r="I354" s="233" t="s">
        <v>1052</v>
      </c>
      <c r="J354" s="231"/>
      <c r="K354" s="231"/>
      <c r="L354" s="231"/>
      <c r="M354" s="232" t="s">
        <v>26</v>
      </c>
      <c r="N354" s="231"/>
      <c r="O354" s="233" t="s">
        <v>1587</v>
      </c>
      <c r="P354" s="233" t="s">
        <v>35</v>
      </c>
      <c r="Q354" s="233" t="s">
        <v>19</v>
      </c>
      <c r="R354" s="233" t="s">
        <v>1705</v>
      </c>
      <c r="S354" s="231" t="s">
        <v>24</v>
      </c>
      <c r="T354" s="231" t="s">
        <v>24</v>
      </c>
      <c r="U354" s="231" t="s">
        <v>24</v>
      </c>
      <c r="V354" s="232" t="s">
        <v>19</v>
      </c>
      <c r="W354" s="233" t="s">
        <v>1052</v>
      </c>
      <c r="X354" s="231"/>
      <c r="Y354" s="231"/>
      <c r="Z354" s="231"/>
      <c r="AA354" s="234"/>
      <c r="AB354" s="231"/>
      <c r="AC354" s="231"/>
      <c r="AD354" s="232" t="s">
        <v>19</v>
      </c>
      <c r="AE354" s="233" t="s">
        <v>1052</v>
      </c>
      <c r="AF354" s="231"/>
      <c r="AG354" s="231"/>
      <c r="AH354" s="231"/>
      <c r="AI354" s="231"/>
      <c r="AJ354" s="231"/>
      <c r="AK354" s="231"/>
      <c r="AL354" s="234" t="s">
        <v>35</v>
      </c>
      <c r="AM354" s="231"/>
      <c r="AN354" s="231"/>
    </row>
    <row r="355" spans="1:40" s="9" customFormat="1" ht="83.85" customHeight="1" x14ac:dyDescent="0.25">
      <c r="A355" s="13" t="s">
        <v>1053</v>
      </c>
      <c r="B355" s="229" t="str">
        <f>IF($A355="","",VLOOKUP($A355,'[2]3-Elaboration.O'!$A:$T,MATCH(B$1,'[2]150-Modele SGO'!$1:$1,0),FALSE))</f>
        <v>Les produits sont-ils soumis à une réglementation spécifique de stockage (autorisations=, ICPE, produit inflammable…)</v>
      </c>
      <c r="C355" s="229" t="str">
        <f>IF($A355="","",VLOOKUP($A355,'[2]3-Elaboration.O'!$A:$T,MATCH(C$1,'[2]150-Modele SGO'!$1:$1,0),FALSE))</f>
        <v>Oui, les produits sont soumis à une réglementation spécifique de stockage;Non, les produits ne sont pas soumis à une réglementation spécifique</v>
      </c>
      <c r="D355" s="229" t="str">
        <f>IF($A355="","",VLOOKUP($A355,'[2]3-Elaboration.O'!$A:$T,MATCH(D$1,'[2]150-Modele SGO'!$1:$1,0),FALSE))</f>
        <v xml:space="preserve">Liste choix unique </v>
      </c>
      <c r="E355" s="230" t="s">
        <v>70</v>
      </c>
      <c r="F355" s="230"/>
      <c r="G355" s="231"/>
      <c r="H355" s="232" t="s">
        <v>19</v>
      </c>
      <c r="I355" s="233" t="s">
        <v>46</v>
      </c>
      <c r="J355" s="231"/>
      <c r="K355" s="231"/>
      <c r="L355" s="231"/>
      <c r="M355" s="232" t="s">
        <v>26</v>
      </c>
      <c r="N355" s="231"/>
      <c r="O355" s="233" t="s">
        <v>1706</v>
      </c>
      <c r="P355" s="233" t="s">
        <v>35</v>
      </c>
      <c r="Q355" s="233" t="s">
        <v>19</v>
      </c>
      <c r="R355" s="233" t="s">
        <v>46</v>
      </c>
      <c r="S355" s="231" t="s">
        <v>24</v>
      </c>
      <c r="T355" s="231" t="s">
        <v>24</v>
      </c>
      <c r="U355" s="231" t="s">
        <v>24</v>
      </c>
      <c r="V355" s="232" t="s">
        <v>19</v>
      </c>
      <c r="W355" s="233" t="s">
        <v>46</v>
      </c>
      <c r="X355" s="231"/>
      <c r="Y355" s="231"/>
      <c r="Z355" s="231"/>
      <c r="AA355" s="234"/>
      <c r="AB355" s="231"/>
      <c r="AC355" s="291"/>
      <c r="AD355" s="232" t="s">
        <v>19</v>
      </c>
      <c r="AE355" s="233" t="s">
        <v>46</v>
      </c>
      <c r="AF355" s="231"/>
      <c r="AG355" s="231"/>
      <c r="AH355" s="231"/>
      <c r="AI355" s="231"/>
      <c r="AJ355" s="231"/>
      <c r="AK355" s="231"/>
      <c r="AL355" s="234" t="s">
        <v>35</v>
      </c>
      <c r="AM355" s="231"/>
      <c r="AN355" s="231"/>
    </row>
    <row r="356" spans="1:40" s="9" customFormat="1" ht="32.1" customHeight="1" x14ac:dyDescent="0.25">
      <c r="A356" s="13" t="s">
        <v>1056</v>
      </c>
      <c r="B356" s="229" t="str">
        <f>IF($A356="","",VLOOKUP($A356,'[2]3-Elaboration.O'!$A:$T,MATCH(B$1,'[2]150-Modele SGO'!$1:$1,0),FALSE))</f>
        <v xml:space="preserve">Si oui, laquelle </v>
      </c>
      <c r="C356" s="229" t="str">
        <f>IF($A356="","",VLOOKUP($A356,'[2]3-Elaboration.O'!$A:$T,MATCH(C$1,'[2]150-Modele SGO'!$1:$1,0),FALSE))</f>
        <v>Champ libre</v>
      </c>
      <c r="D356" s="229" t="str">
        <f>IF($A356="","",VLOOKUP($A356,'[2]3-Elaboration.O'!$A:$T,MATCH(D$1,'[2]150-Modele SGO'!$1:$1,0),FALSE))</f>
        <v>Texte</v>
      </c>
      <c r="E356" s="230" t="s">
        <v>70</v>
      </c>
      <c r="F356" s="230"/>
      <c r="G356" s="231"/>
      <c r="H356" s="232" t="s">
        <v>19</v>
      </c>
      <c r="I356" s="233" t="s">
        <v>46</v>
      </c>
      <c r="J356" s="231"/>
      <c r="K356" s="231"/>
      <c r="L356" s="231"/>
      <c r="M356" s="232" t="s">
        <v>35</v>
      </c>
      <c r="N356" s="231"/>
      <c r="O356" s="231"/>
      <c r="P356" s="231"/>
      <c r="Q356" s="233" t="s">
        <v>19</v>
      </c>
      <c r="R356" s="233" t="s">
        <v>46</v>
      </c>
      <c r="S356" s="231" t="s">
        <v>24</v>
      </c>
      <c r="T356" s="231" t="s">
        <v>24</v>
      </c>
      <c r="U356" s="231" t="s">
        <v>24</v>
      </c>
      <c r="V356" s="232" t="s">
        <v>19</v>
      </c>
      <c r="W356" s="233" t="s">
        <v>46</v>
      </c>
      <c r="X356" s="231"/>
      <c r="Y356" s="231"/>
      <c r="Z356" s="231"/>
      <c r="AA356" s="234"/>
      <c r="AB356" s="231"/>
      <c r="AC356" s="231"/>
      <c r="AD356" s="232" t="s">
        <v>35</v>
      </c>
      <c r="AE356" s="231"/>
      <c r="AF356" s="231" t="s">
        <v>46</v>
      </c>
      <c r="AG356" s="231" t="s">
        <v>46</v>
      </c>
      <c r="AH356" s="231" t="s">
        <v>46</v>
      </c>
      <c r="AI356" s="231" t="s">
        <v>46</v>
      </c>
      <c r="AJ356" s="231" t="s">
        <v>46</v>
      </c>
      <c r="AK356" s="231" t="s">
        <v>46</v>
      </c>
      <c r="AL356" s="234" t="s">
        <v>35</v>
      </c>
      <c r="AM356" s="231"/>
      <c r="AN356" s="231"/>
    </row>
    <row r="357" spans="1:40" s="9" customFormat="1" ht="32.1" customHeight="1" x14ac:dyDescent="0.25">
      <c r="A357" s="13" t="s">
        <v>1058</v>
      </c>
      <c r="B357" s="229" t="str">
        <f>IF($A357="","",VLOOKUP($A357,'[2]3-Elaboration.O'!$A:$T,MATCH(B$1,'[2]150-Modele SGO'!$1:$1,0),FALSE))</f>
        <v>Quels sont les conditionnements envisagés (cartons, palettes…)</v>
      </c>
      <c r="C357" s="229" t="str">
        <f>IF($A357="","",VLOOKUP($A357,'[2]3-Elaboration.O'!$A:$T,MATCH(C$1,'[2]150-Modele SGO'!$1:$1,0),FALSE))</f>
        <v>Champ libre</v>
      </c>
      <c r="D357" s="229" t="str">
        <f>IF($A357="","",VLOOKUP($A357,'[2]3-Elaboration.O'!$A:$T,MATCH(D$1,'[2]150-Modele SGO'!$1:$1,0),FALSE))</f>
        <v>Texte</v>
      </c>
      <c r="E357" s="230" t="s">
        <v>70</v>
      </c>
      <c r="F357" s="230"/>
      <c r="G357" s="231"/>
      <c r="H357" s="232" t="s">
        <v>19</v>
      </c>
      <c r="I357" s="233" t="s">
        <v>46</v>
      </c>
      <c r="J357" s="231"/>
      <c r="K357" s="231"/>
      <c r="L357" s="231"/>
      <c r="M357" s="232" t="s">
        <v>35</v>
      </c>
      <c r="N357" s="231"/>
      <c r="O357" s="231"/>
      <c r="P357" s="231"/>
      <c r="Q357" s="233" t="s">
        <v>19</v>
      </c>
      <c r="R357" s="233" t="s">
        <v>46</v>
      </c>
      <c r="S357" s="231" t="s">
        <v>24</v>
      </c>
      <c r="T357" s="231" t="s">
        <v>24</v>
      </c>
      <c r="U357" s="231" t="s">
        <v>24</v>
      </c>
      <c r="V357" s="232" t="s">
        <v>19</v>
      </c>
      <c r="W357" s="233" t="s">
        <v>46</v>
      </c>
      <c r="X357" s="231"/>
      <c r="Y357" s="231"/>
      <c r="Z357" s="231"/>
      <c r="AA357" s="234"/>
      <c r="AB357" s="242"/>
      <c r="AC357" s="242"/>
      <c r="AD357" s="232" t="s">
        <v>35</v>
      </c>
      <c r="AE357" s="231"/>
      <c r="AF357" s="231" t="s">
        <v>473</v>
      </c>
      <c r="AG357" s="231" t="s">
        <v>46</v>
      </c>
      <c r="AH357" s="231" t="s">
        <v>46</v>
      </c>
      <c r="AI357" s="231" t="s">
        <v>46</v>
      </c>
      <c r="AJ357" s="231" t="s">
        <v>46</v>
      </c>
      <c r="AK357" s="231" t="s">
        <v>46</v>
      </c>
      <c r="AL357" s="234" t="s">
        <v>35</v>
      </c>
      <c r="AM357" s="231"/>
      <c r="AN357" s="231"/>
    </row>
    <row r="358" spans="1:40" s="9" customFormat="1" ht="30" x14ac:dyDescent="0.25">
      <c r="A358" s="13" t="s">
        <v>1060</v>
      </c>
      <c r="B358" s="229" t="str">
        <f>IF($A358="","",VLOOKUP($A358,'[2]3-Elaboration.O'!$A:$T,MATCH(B$1,'[2]150-Modele SGO'!$1:$1,0),FALSE))</f>
        <v>Pour les emballages à qui appartiennent-ils ?</v>
      </c>
      <c r="C358" s="229" t="str">
        <f>IF($A358="","",VLOOKUP($A358,'[2]3-Elaboration.O'!$A:$T,MATCH(C$1,'[2]150-Modele SGO'!$1:$1,0),FALSE))</f>
        <v>Bénéficiaire;Titulaire</v>
      </c>
      <c r="D358" s="229" t="str">
        <f>IF($A358="","",VLOOKUP($A358,'[2]3-Elaboration.O'!$A:$T,MATCH(D$1,'[2]150-Modele SGO'!$1:$1,0),FALSE))</f>
        <v xml:space="preserve">Liste choix unique </v>
      </c>
      <c r="E358" s="230" t="s">
        <v>1521</v>
      </c>
      <c r="F358" s="230"/>
      <c r="G358" s="231"/>
      <c r="H358" s="232" t="s">
        <v>19</v>
      </c>
      <c r="I358" s="233" t="s">
        <v>46</v>
      </c>
      <c r="J358" s="231"/>
      <c r="K358" s="231"/>
      <c r="L358" s="231"/>
      <c r="M358" s="232" t="s">
        <v>26</v>
      </c>
      <c r="N358" s="231"/>
      <c r="O358" s="233" t="s">
        <v>1707</v>
      </c>
      <c r="P358" s="233" t="s">
        <v>35</v>
      </c>
      <c r="Q358" s="233" t="s">
        <v>19</v>
      </c>
      <c r="R358" s="233" t="s">
        <v>46</v>
      </c>
      <c r="S358" s="231" t="s">
        <v>24</v>
      </c>
      <c r="T358" s="231" t="s">
        <v>24</v>
      </c>
      <c r="U358" s="231" t="s">
        <v>24</v>
      </c>
      <c r="V358" s="232" t="s">
        <v>19</v>
      </c>
      <c r="W358" s="233" t="s">
        <v>46</v>
      </c>
      <c r="X358" s="231"/>
      <c r="Y358" s="231"/>
      <c r="Z358" s="231"/>
      <c r="AA358" s="234"/>
      <c r="AB358" s="231"/>
      <c r="AC358" s="247"/>
      <c r="AD358" s="232" t="s">
        <v>19</v>
      </c>
      <c r="AE358" s="233" t="s">
        <v>46</v>
      </c>
      <c r="AF358" s="231"/>
      <c r="AG358" s="231"/>
      <c r="AH358" s="231"/>
      <c r="AI358" s="231"/>
      <c r="AJ358" s="231"/>
      <c r="AK358" s="231"/>
      <c r="AL358" s="234" t="s">
        <v>35</v>
      </c>
      <c r="AM358" s="231"/>
      <c r="AN358" s="231"/>
    </row>
    <row r="359" spans="1:40" s="9" customFormat="1" ht="44.1" customHeight="1" x14ac:dyDescent="0.25">
      <c r="A359" s="13" t="s">
        <v>1063</v>
      </c>
      <c r="B359" s="229" t="str">
        <f>IF($A359="","",VLOOKUP($A359,'[2]3-Elaboration.O'!$A:$T,MATCH(B$1,'[2]150-Modele SGO'!$1:$1,0),FALSE))</f>
        <v>Une distribution stock est-elle prévue pour tout ou partie ?</v>
      </c>
      <c r="C359" s="229" t="str">
        <f>IF($A359="","",VLOOKUP($A359,'[2]3-Elaboration.O'!$A:$T,MATCH(C$1,'[2]150-Modele SGO'!$1:$1,0),FALSE))</f>
        <v>Oui, distribution sur stock prévue;Non, absence de distribution sur stock</v>
      </c>
      <c r="D359" s="229" t="str">
        <f>IF($A359="","",VLOOKUP($A359,'[2]3-Elaboration.O'!$A:$T,MATCH(D$1,'[2]150-Modele SGO'!$1:$1,0),FALSE))</f>
        <v xml:space="preserve">Liste choix unique </v>
      </c>
      <c r="E359" s="230" t="s">
        <v>70</v>
      </c>
      <c r="F359" s="230"/>
      <c r="G359" s="231"/>
      <c r="H359" s="232" t="s">
        <v>19</v>
      </c>
      <c r="I359" s="233" t="s">
        <v>46</v>
      </c>
      <c r="J359" s="231"/>
      <c r="K359" s="231"/>
      <c r="L359" s="231"/>
      <c r="M359" s="232" t="s">
        <v>26</v>
      </c>
      <c r="N359" s="231"/>
      <c r="O359" s="233" t="s">
        <v>1708</v>
      </c>
      <c r="P359" s="233" t="s">
        <v>35</v>
      </c>
      <c r="Q359" s="233" t="s">
        <v>19</v>
      </c>
      <c r="R359" s="233" t="s">
        <v>46</v>
      </c>
      <c r="S359" s="231" t="s">
        <v>24</v>
      </c>
      <c r="T359" s="231" t="s">
        <v>24</v>
      </c>
      <c r="U359" s="231" t="s">
        <v>24</v>
      </c>
      <c r="V359" s="232" t="s">
        <v>19</v>
      </c>
      <c r="W359" s="233" t="s">
        <v>46</v>
      </c>
      <c r="X359" s="231"/>
      <c r="Y359" s="231"/>
      <c r="Z359" s="231"/>
      <c r="AA359" s="234"/>
      <c r="AB359" s="231"/>
      <c r="AC359" s="247"/>
      <c r="AD359" s="232" t="s">
        <v>19</v>
      </c>
      <c r="AE359" s="233" t="s">
        <v>46</v>
      </c>
      <c r="AF359" s="231"/>
      <c r="AG359" s="231"/>
      <c r="AH359" s="231"/>
      <c r="AI359" s="231"/>
      <c r="AJ359" s="231"/>
      <c r="AK359" s="231"/>
      <c r="AL359" s="234" t="s">
        <v>35</v>
      </c>
      <c r="AM359" s="231"/>
      <c r="AN359" s="231"/>
    </row>
    <row r="360" spans="1:40" s="9" customFormat="1" ht="107.1" customHeight="1" x14ac:dyDescent="0.25">
      <c r="A360" s="13" t="s">
        <v>1066</v>
      </c>
      <c r="B360" s="229" t="str">
        <f>IF($A360="","",VLOOKUP($A360,'[2]3-Elaboration.O'!$A:$T,MATCH(B$1,'[2]150-Modele SGO'!$1:$1,0),FALSE))</f>
        <v>Si oui, préciser les modalités de stockage</v>
      </c>
      <c r="C360" s="229" t="str">
        <f>IF($A360="","",VLOOKUP($A360,'[2]3-Elaboration.O'!$A:$T,MATCH(C$1,'[2]150-Modele SGO'!$1:$1,0),FALSE))</f>
        <v>Stockage UGAP chez le titulaire (déporté vente);Stockage UGAP au profit du titulaire (consignation);Stockage Intermédiaire;Stockage en plateforme externalisée;Stock de consignation</v>
      </c>
      <c r="D360" s="229" t="str">
        <f>IF($A360="","",VLOOKUP($A360,'[2]3-Elaboration.O'!$A:$T,MATCH(D$1,'[2]150-Modele SGO'!$1:$1,0),FALSE))</f>
        <v>Liste choix multiple</v>
      </c>
      <c r="E360" s="230" t="s">
        <v>1521</v>
      </c>
      <c r="F360" s="230" t="s">
        <v>44</v>
      </c>
      <c r="G360" s="231"/>
      <c r="H360" s="232" t="s">
        <v>19</v>
      </c>
      <c r="I360" s="233" t="s">
        <v>46</v>
      </c>
      <c r="J360" s="231"/>
      <c r="K360" s="231"/>
      <c r="L360" s="231"/>
      <c r="M360" s="232" t="s">
        <v>26</v>
      </c>
      <c r="N360" s="231"/>
      <c r="O360" s="233" t="s">
        <v>1709</v>
      </c>
      <c r="P360" s="233" t="s">
        <v>35</v>
      </c>
      <c r="Q360" s="233" t="s">
        <v>19</v>
      </c>
      <c r="R360" s="233" t="s">
        <v>46</v>
      </c>
      <c r="S360" s="231" t="s">
        <v>24</v>
      </c>
      <c r="T360" s="231" t="s">
        <v>24</v>
      </c>
      <c r="U360" s="231" t="s">
        <v>24</v>
      </c>
      <c r="V360" s="232" t="s">
        <v>19</v>
      </c>
      <c r="W360" s="233" t="s">
        <v>46</v>
      </c>
      <c r="X360" s="231"/>
      <c r="Y360" s="231"/>
      <c r="Z360" s="231"/>
      <c r="AA360" s="234"/>
      <c r="AB360" s="231"/>
      <c r="AC360" s="231"/>
      <c r="AD360" s="232" t="s">
        <v>19</v>
      </c>
      <c r="AE360" s="233" t="s">
        <v>46</v>
      </c>
      <c r="AF360" s="231"/>
      <c r="AG360" s="231"/>
      <c r="AH360" s="231"/>
      <c r="AI360" s="231"/>
      <c r="AJ360" s="231"/>
      <c r="AK360" s="231"/>
      <c r="AL360" s="234" t="s">
        <v>35</v>
      </c>
      <c r="AM360" s="231"/>
      <c r="AN360" s="231"/>
    </row>
    <row r="361" spans="1:40" s="9" customFormat="1" ht="32.1" customHeight="1" x14ac:dyDescent="0.25">
      <c r="A361" s="13" t="s">
        <v>1069</v>
      </c>
      <c r="B361" s="229" t="str">
        <f>IF($A361="","",VLOOKUP($A361,'[2]3-Elaboration.O'!$A:$T,MATCH(B$1,'[2]150-Modele SGO'!$1:$1,0),FALSE))</f>
        <v>Précisions, le cas échéant</v>
      </c>
      <c r="C361" s="229" t="str">
        <f>IF($A361="","",VLOOKUP($A361,'[2]3-Elaboration.O'!$A:$T,MATCH(C$1,'[2]150-Modele SGO'!$1:$1,0),FALSE))</f>
        <v>Champ libre</v>
      </c>
      <c r="D361" s="229" t="str">
        <f>IF($A361="","",VLOOKUP($A361,'[2]3-Elaboration.O'!$A:$T,MATCH(D$1,'[2]150-Modele SGO'!$1:$1,0),FALSE))</f>
        <v>Texte</v>
      </c>
      <c r="E361" s="230" t="s">
        <v>70</v>
      </c>
      <c r="F361" s="230"/>
      <c r="G361" s="231"/>
      <c r="H361" s="232" t="s">
        <v>19</v>
      </c>
      <c r="I361" s="233" t="s">
        <v>46</v>
      </c>
      <c r="J361" s="231"/>
      <c r="K361" s="231"/>
      <c r="L361" s="231"/>
      <c r="M361" s="232" t="s">
        <v>35</v>
      </c>
      <c r="N361" s="231"/>
      <c r="O361" s="231"/>
      <c r="P361" s="231"/>
      <c r="Q361" s="233" t="s">
        <v>19</v>
      </c>
      <c r="R361" s="233" t="s">
        <v>46</v>
      </c>
      <c r="S361" s="231" t="s">
        <v>24</v>
      </c>
      <c r="T361" s="231" t="s">
        <v>24</v>
      </c>
      <c r="U361" s="231" t="s">
        <v>24</v>
      </c>
      <c r="V361" s="232" t="s">
        <v>19</v>
      </c>
      <c r="W361" s="233" t="s">
        <v>46</v>
      </c>
      <c r="X361" s="231"/>
      <c r="Y361" s="231"/>
      <c r="Z361" s="231"/>
      <c r="AA361" s="234"/>
      <c r="AB361" s="231"/>
      <c r="AC361" s="247"/>
      <c r="AD361" s="232" t="s">
        <v>35</v>
      </c>
      <c r="AE361" s="231"/>
      <c r="AF361" s="231" t="s">
        <v>46</v>
      </c>
      <c r="AG361" s="231" t="s">
        <v>46</v>
      </c>
      <c r="AH361" s="231" t="s">
        <v>46</v>
      </c>
      <c r="AI361" s="231" t="s">
        <v>46</v>
      </c>
      <c r="AJ361" s="231" t="s">
        <v>46</v>
      </c>
      <c r="AK361" s="231" t="s">
        <v>46</v>
      </c>
      <c r="AL361" s="234" t="s">
        <v>35</v>
      </c>
      <c r="AM361" s="231"/>
      <c r="AN361" s="231"/>
    </row>
    <row r="362" spans="1:40" s="9" customFormat="1" ht="32.1" customHeight="1" x14ac:dyDescent="0.25">
      <c r="A362" s="13" t="s">
        <v>1071</v>
      </c>
      <c r="B362" s="229" t="str">
        <f>IF($A362="","",VLOOKUP($A362,'[2]3-Elaboration.O'!$A:$T,MATCH(B$1,'[2]150-Modele SGO'!$1:$1,0),FALSE))</f>
        <v>Préciser les modalités de transport utilisées et les services associés (tracking, garantie..)</v>
      </c>
      <c r="C362" s="229" t="str">
        <f>IF($A362="","",VLOOKUP($A362,'[2]3-Elaboration.O'!$A:$T,MATCH(C$1,'[2]150-Modele SGO'!$1:$1,0),FALSE))</f>
        <v>Champ libre</v>
      </c>
      <c r="D362" s="229" t="str">
        <f>IF($A362="","",VLOOKUP($A362,'[2]3-Elaboration.O'!$A:$T,MATCH(D$1,'[2]150-Modele SGO'!$1:$1,0),FALSE))</f>
        <v>Texte</v>
      </c>
      <c r="E362" s="230" t="s">
        <v>70</v>
      </c>
      <c r="F362" s="230"/>
      <c r="G362" s="231"/>
      <c r="H362" s="232" t="s">
        <v>19</v>
      </c>
      <c r="I362" s="233" t="s">
        <v>46</v>
      </c>
      <c r="J362" s="231"/>
      <c r="K362" s="231"/>
      <c r="L362" s="231"/>
      <c r="M362" s="232" t="s">
        <v>35</v>
      </c>
      <c r="N362" s="231"/>
      <c r="O362" s="231"/>
      <c r="P362" s="231"/>
      <c r="Q362" s="233" t="s">
        <v>19</v>
      </c>
      <c r="R362" s="233" t="s">
        <v>46</v>
      </c>
      <c r="S362" s="231" t="s">
        <v>24</v>
      </c>
      <c r="T362" s="231" t="s">
        <v>24</v>
      </c>
      <c r="U362" s="231" t="s">
        <v>24</v>
      </c>
      <c r="V362" s="232" t="s">
        <v>19</v>
      </c>
      <c r="W362" s="233" t="s">
        <v>46</v>
      </c>
      <c r="X362" s="231"/>
      <c r="Y362" s="231"/>
      <c r="Z362" s="231"/>
      <c r="AA362" s="234"/>
      <c r="AB362" s="242"/>
      <c r="AC362" s="247"/>
      <c r="AD362" s="232" t="s">
        <v>35</v>
      </c>
      <c r="AE362" s="231"/>
      <c r="AF362" s="231" t="s">
        <v>46</v>
      </c>
      <c r="AG362" s="231" t="s">
        <v>46</v>
      </c>
      <c r="AH362" s="231" t="s">
        <v>46</v>
      </c>
      <c r="AI362" s="231" t="s">
        <v>46</v>
      </c>
      <c r="AJ362" s="231" t="s">
        <v>46</v>
      </c>
      <c r="AK362" s="231" t="s">
        <v>46</v>
      </c>
      <c r="AL362" s="234" t="s">
        <v>35</v>
      </c>
      <c r="AM362" s="231"/>
      <c r="AN362" s="231"/>
    </row>
    <row r="363" spans="1:40" s="9" customFormat="1" ht="32.1" customHeight="1" x14ac:dyDescent="0.25">
      <c r="A363" s="13" t="s">
        <v>1073</v>
      </c>
      <c r="B363" s="229" t="str">
        <f>IF($A363="","",VLOOKUP($A363,'[2]3-Elaboration.O'!$A:$T,MATCH(B$1,'[2]150-Modele SGO'!$1:$1,0),FALSE))</f>
        <v>Est-il prévu de mettre à disposition sur ugap.fr l'affichage du stock disponible ?</v>
      </c>
      <c r="C363" s="229" t="str">
        <f>IF($A363="","",VLOOKUP($A363,'[2]3-Elaboration.O'!$A:$T,MATCH(C$1,'[2]150-Modele SGO'!$1:$1,0),FALSE))</f>
        <v>Oui, affichage du stock sur Ugap.fr;Non, absence d'affichage du stock sur Ugap.fr</v>
      </c>
      <c r="D363" s="229" t="str">
        <f>IF($A363="","",VLOOKUP($A363,'[2]3-Elaboration.O'!$A:$T,MATCH(D$1,'[2]150-Modele SGO'!$1:$1,0),FALSE))</f>
        <v xml:space="preserve">Liste choix unique </v>
      </c>
      <c r="E363" s="230" t="s">
        <v>70</v>
      </c>
      <c r="F363" s="230"/>
      <c r="G363" s="231"/>
      <c r="H363" s="232" t="s">
        <v>19</v>
      </c>
      <c r="I363" s="233" t="s">
        <v>46</v>
      </c>
      <c r="J363" s="231"/>
      <c r="K363" s="231"/>
      <c r="L363" s="231"/>
      <c r="M363" s="232" t="s">
        <v>26</v>
      </c>
      <c r="N363" s="231"/>
      <c r="O363" s="233" t="s">
        <v>1710</v>
      </c>
      <c r="P363" s="233" t="s">
        <v>35</v>
      </c>
      <c r="Q363" s="233" t="s">
        <v>19</v>
      </c>
      <c r="R363" s="233" t="s">
        <v>46</v>
      </c>
      <c r="S363" s="231" t="s">
        <v>24</v>
      </c>
      <c r="T363" s="231" t="s">
        <v>24</v>
      </c>
      <c r="U363" s="231" t="s">
        <v>24</v>
      </c>
      <c r="V363" s="232" t="s">
        <v>19</v>
      </c>
      <c r="W363" s="233" t="s">
        <v>46</v>
      </c>
      <c r="X363" s="231"/>
      <c r="Y363" s="231"/>
      <c r="Z363" s="231"/>
      <c r="AA363" s="234"/>
      <c r="AB363" s="231"/>
      <c r="AC363" s="247"/>
      <c r="AD363" s="232" t="s">
        <v>19</v>
      </c>
      <c r="AE363" s="233" t="s">
        <v>46</v>
      </c>
      <c r="AF363" s="231"/>
      <c r="AG363" s="231"/>
      <c r="AH363" s="231"/>
      <c r="AI363" s="231"/>
      <c r="AJ363" s="231"/>
      <c r="AK363" s="231"/>
      <c r="AL363" s="234" t="s">
        <v>35</v>
      </c>
      <c r="AM363" s="231"/>
      <c r="AN363" s="231"/>
    </row>
    <row r="364" spans="1:40" s="9" customFormat="1" ht="49.35" customHeight="1" x14ac:dyDescent="0.25">
      <c r="A364" s="13" t="s">
        <v>1076</v>
      </c>
      <c r="B364" s="229" t="str">
        <f>IF($A364="","",VLOOKUP($A364,'[2]3-Elaboration.O'!$A:$T,MATCH(B$1,'[2]150-Modele SGO'!$1:$1,0),FALSE))</f>
        <v>L'offre antérieure affiche-t'elle un stock fournisseur  ?</v>
      </c>
      <c r="C364" s="229" t="str">
        <f>IF($A364="","",VLOOKUP($A364,'[2]3-Elaboration.O'!$A:$T,MATCH(C$1,'[2]150-Modele SGO'!$1:$1,0),FALSE))</f>
        <v>Oui, l'offre antérieure affiche un stock fournisseur;Non, l'offre antérieure n'affiche pas de stock fournisseur</v>
      </c>
      <c r="D364" s="229" t="str">
        <f>IF($A364="","",VLOOKUP($A364,'[2]3-Elaboration.O'!$A:$T,MATCH(D$1,'[2]150-Modele SGO'!$1:$1,0),FALSE))</f>
        <v xml:space="preserve">Liste choix unique </v>
      </c>
      <c r="E364" s="230" t="s">
        <v>70</v>
      </c>
      <c r="F364" s="230"/>
      <c r="G364" s="231"/>
      <c r="H364" s="232" t="s">
        <v>19</v>
      </c>
      <c r="I364" s="233" t="s">
        <v>46</v>
      </c>
      <c r="J364" s="231"/>
      <c r="K364" s="231"/>
      <c r="L364" s="231"/>
      <c r="M364" s="232" t="s">
        <v>26</v>
      </c>
      <c r="N364" s="231"/>
      <c r="O364" s="233" t="s">
        <v>1711</v>
      </c>
      <c r="P364" s="233" t="s">
        <v>35</v>
      </c>
      <c r="Q364" s="233" t="s">
        <v>19</v>
      </c>
      <c r="R364" s="233" t="s">
        <v>46</v>
      </c>
      <c r="S364" s="231" t="s">
        <v>24</v>
      </c>
      <c r="T364" s="231" t="s">
        <v>24</v>
      </c>
      <c r="U364" s="231" t="s">
        <v>24</v>
      </c>
      <c r="V364" s="232" t="s">
        <v>19</v>
      </c>
      <c r="W364" s="233" t="s">
        <v>46</v>
      </c>
      <c r="X364" s="231"/>
      <c r="Y364" s="231"/>
      <c r="Z364" s="231"/>
      <c r="AA364" s="234"/>
      <c r="AB364" s="231"/>
      <c r="AC364" s="247"/>
      <c r="AD364" s="232" t="s">
        <v>19</v>
      </c>
      <c r="AE364" s="233" t="s">
        <v>46</v>
      </c>
      <c r="AF364" s="231"/>
      <c r="AG364" s="231"/>
      <c r="AH364" s="231"/>
      <c r="AI364" s="231"/>
      <c r="AJ364" s="231"/>
      <c r="AK364" s="231"/>
      <c r="AL364" s="234" t="s">
        <v>35</v>
      </c>
      <c r="AM364" s="231"/>
      <c r="AN364" s="231"/>
    </row>
    <row r="365" spans="1:40" s="9" customFormat="1" ht="32.1" customHeight="1" x14ac:dyDescent="0.25">
      <c r="A365" s="13" t="s">
        <v>1079</v>
      </c>
      <c r="B365" s="229" t="str">
        <f>IF($A365="","",VLOOKUP($A365,'[2]3-Elaboration.O'!$A:$T,MATCH(B$1,'[2]150-Modele SGO'!$1:$1,0),FALSE))</f>
        <v xml:space="preserve">Si oui, préciser à la charge de qui </v>
      </c>
      <c r="C365" s="229" t="str">
        <f>IF($A365="","",VLOOKUP($A365,'[2]3-Elaboration.O'!$A:$T,MATCH(C$1,'[2]150-Modele SGO'!$1:$1,0),FALSE))</f>
        <v xml:space="preserve">Client;Fournisseur (Web service) ;UGAP
</v>
      </c>
      <c r="D365" s="229" t="str">
        <f>IF($A365="","",VLOOKUP($A365,'[2]3-Elaboration.O'!$A:$T,MATCH(D$1,'[2]150-Modele SGO'!$1:$1,0),FALSE))</f>
        <v>Liste choix multiple</v>
      </c>
      <c r="E365" s="230" t="s">
        <v>70</v>
      </c>
      <c r="F365" s="230" t="s">
        <v>44</v>
      </c>
      <c r="G365" s="231"/>
      <c r="H365" s="232" t="s">
        <v>19</v>
      </c>
      <c r="I365" s="233" t="s">
        <v>46</v>
      </c>
      <c r="J365" s="231"/>
      <c r="K365" s="231"/>
      <c r="L365" s="231"/>
      <c r="M365" s="232" t="s">
        <v>35</v>
      </c>
      <c r="N365" s="231"/>
      <c r="O365" s="231"/>
      <c r="P365" s="231"/>
      <c r="Q365" s="233" t="s">
        <v>19</v>
      </c>
      <c r="R365" s="233" t="s">
        <v>46</v>
      </c>
      <c r="S365" s="231" t="s">
        <v>24</v>
      </c>
      <c r="T365" s="231" t="s">
        <v>24</v>
      </c>
      <c r="U365" s="231" t="s">
        <v>24</v>
      </c>
      <c r="V365" s="232" t="s">
        <v>19</v>
      </c>
      <c r="W365" s="233" t="s">
        <v>46</v>
      </c>
      <c r="X365" s="231"/>
      <c r="Y365" s="231"/>
      <c r="Z365" s="231"/>
      <c r="AA365" s="234"/>
      <c r="AB365" s="231"/>
      <c r="AC365" s="231"/>
      <c r="AD365" s="232" t="s">
        <v>19</v>
      </c>
      <c r="AE365" s="233" t="s">
        <v>46</v>
      </c>
      <c r="AF365" s="231"/>
      <c r="AG365" s="231"/>
      <c r="AH365" s="231"/>
      <c r="AI365" s="231"/>
      <c r="AJ365" s="231"/>
      <c r="AK365" s="231"/>
      <c r="AL365" s="234" t="s">
        <v>35</v>
      </c>
      <c r="AM365" s="231"/>
      <c r="AN365" s="231"/>
    </row>
    <row r="366" spans="1:40" s="9" customFormat="1" ht="32.1" customHeight="1" x14ac:dyDescent="0.25">
      <c r="A366" s="13" t="s">
        <v>1082</v>
      </c>
      <c r="B366" s="229" t="str">
        <f>IF($A366="","",VLOOKUP($A366,'[2]3-Elaboration.O'!$A:$T,MATCH(B$1,'[2]150-Modele SGO'!$1:$1,0),FALSE))</f>
        <v>Une clause de stockage est-elle a intégrer dans le CCAP ?</v>
      </c>
      <c r="C366" s="229" t="str">
        <f>IF($A366="","",VLOOKUP($A366,'[2]3-Elaboration.O'!$A:$T,MATCH(C$1,'[2]150-Modele SGO'!$1:$1,0),FALSE))</f>
        <v>Oui, clause de stockage à intégrer dans le CCAP; Non, absence de clause de stockage</v>
      </c>
      <c r="D366" s="229" t="str">
        <f>IF($A366="","",VLOOKUP($A366,'[2]3-Elaboration.O'!$A:$T,MATCH(D$1,'[2]150-Modele SGO'!$1:$1,0),FALSE))</f>
        <v xml:space="preserve">Liste choix unique </v>
      </c>
      <c r="E366" s="230" t="s">
        <v>70</v>
      </c>
      <c r="F366" s="230"/>
      <c r="G366" s="231"/>
      <c r="H366" s="232" t="s">
        <v>19</v>
      </c>
      <c r="I366" s="233" t="s">
        <v>46</v>
      </c>
      <c r="J366" s="231"/>
      <c r="K366" s="231"/>
      <c r="L366" s="231"/>
      <c r="M366" s="232" t="s">
        <v>26</v>
      </c>
      <c r="N366" s="231"/>
      <c r="O366" s="233" t="s">
        <v>1712</v>
      </c>
      <c r="P366" s="233" t="s">
        <v>35</v>
      </c>
      <c r="Q366" s="233" t="s">
        <v>19</v>
      </c>
      <c r="R366" s="233" t="s">
        <v>46</v>
      </c>
      <c r="S366" s="231" t="s">
        <v>24</v>
      </c>
      <c r="T366" s="231" t="s">
        <v>24</v>
      </c>
      <c r="U366" s="231" t="s">
        <v>24</v>
      </c>
      <c r="V366" s="232" t="s">
        <v>19</v>
      </c>
      <c r="W366" s="233" t="s">
        <v>46</v>
      </c>
      <c r="X366" s="231"/>
      <c r="Y366" s="231"/>
      <c r="Z366" s="231"/>
      <c r="AA366" s="234"/>
      <c r="AB366" s="231"/>
      <c r="AC366" s="247"/>
      <c r="AD366" s="232" t="s">
        <v>19</v>
      </c>
      <c r="AE366" s="233" t="s">
        <v>46</v>
      </c>
      <c r="AF366" s="231"/>
      <c r="AG366" s="231"/>
      <c r="AH366" s="231"/>
      <c r="AI366" s="231"/>
      <c r="AJ366" s="231"/>
      <c r="AK366" s="231"/>
      <c r="AL366" s="234" t="s">
        <v>35</v>
      </c>
      <c r="AM366" s="231"/>
      <c r="AN366" s="231"/>
    </row>
    <row r="367" spans="1:40" s="9" customFormat="1" ht="53.85" customHeight="1" x14ac:dyDescent="0.25">
      <c r="A367" s="13" t="s">
        <v>1085</v>
      </c>
      <c r="B367" s="229" t="str">
        <f>IF($A367="","",VLOOKUP($A367,'[2]3-Elaboration.O'!$A:$T,MATCH(B$1,'[2]150-Modele SGO'!$1:$1,0),FALSE))</f>
        <v>Si oui, quelle clause est applicable</v>
      </c>
      <c r="C367" s="229" t="str">
        <f>IF($A367="","",VLOOKUP($A367,'[2]3-Elaboration.O'!$A:$T,MATCH(C$1,'[2]150-Modele SGO'!$1:$1,0),FALSE))</f>
        <v>Stock Savigny le Temple;Stock déporté chez le fournisseur;Stock en plateforme externalisée (La Poste) ;Possibilité de faire du stock de consignation chez le fournisseur</v>
      </c>
      <c r="D367" s="229" t="str">
        <f>IF($A367="","",VLOOKUP($A367,'[2]3-Elaboration.O'!$A:$T,MATCH(D$1,'[2]150-Modele SGO'!$1:$1,0),FALSE))</f>
        <v>Liste choix multiple</v>
      </c>
      <c r="E367" s="230" t="s">
        <v>70</v>
      </c>
      <c r="F367" s="230" t="s">
        <v>44</v>
      </c>
      <c r="G367" s="231"/>
      <c r="H367" s="232" t="s">
        <v>19</v>
      </c>
      <c r="I367" s="233" t="s">
        <v>46</v>
      </c>
      <c r="J367" s="231"/>
      <c r="K367" s="231"/>
      <c r="L367" s="231"/>
      <c r="M367" s="232" t="s">
        <v>26</v>
      </c>
      <c r="N367" s="231"/>
      <c r="O367" s="233" t="s">
        <v>1713</v>
      </c>
      <c r="P367" s="233" t="s">
        <v>35</v>
      </c>
      <c r="Q367" s="233" t="s">
        <v>19</v>
      </c>
      <c r="R367" s="233" t="s">
        <v>473</v>
      </c>
      <c r="S367" s="231" t="s">
        <v>24</v>
      </c>
      <c r="T367" s="233" t="s">
        <v>24</v>
      </c>
      <c r="U367" s="233" t="s">
        <v>24</v>
      </c>
      <c r="V367" s="232" t="s">
        <v>19</v>
      </c>
      <c r="W367" s="233" t="s">
        <v>46</v>
      </c>
      <c r="X367" s="231"/>
      <c r="Y367" s="231"/>
      <c r="Z367" s="231"/>
      <c r="AA367" s="234"/>
      <c r="AB367" s="231"/>
      <c r="AC367" s="231"/>
      <c r="AD367" s="232" t="s">
        <v>19</v>
      </c>
      <c r="AE367" s="233" t="s">
        <v>46</v>
      </c>
      <c r="AF367" s="231"/>
      <c r="AG367" s="231"/>
      <c r="AH367" s="231"/>
      <c r="AI367" s="231"/>
      <c r="AJ367" s="231"/>
      <c r="AK367" s="231"/>
      <c r="AL367" s="234" t="s">
        <v>35</v>
      </c>
      <c r="AM367" s="233"/>
      <c r="AN367" s="231"/>
    </row>
    <row r="368" spans="1:40" s="9" customFormat="1" ht="15.75" x14ac:dyDescent="0.25">
      <c r="A368" s="108" t="s">
        <v>1088</v>
      </c>
      <c r="B368" s="244" t="str">
        <f>IF($A368="","",VLOOKUP($A368,'[2]3-Elaboration.O'!$A:$T,MATCH(B$1,'[2]150-Modele SGO'!$1:$1,0),FALSE))</f>
        <v>11.2 Conditions d'achat</v>
      </c>
      <c r="C368" s="244">
        <f>IF($A368="","",VLOOKUP($A368,'[2]3-Elaboration.O'!$A:$T,MATCH(C$1,'[2]150-Modele SGO'!$1:$1,0),FALSE))</f>
        <v>0</v>
      </c>
      <c r="D368" s="244">
        <f>IF($A368="","",VLOOKUP($A368,'[2]3-Elaboration.O'!$A:$T,MATCH(D$1,'[2]150-Modele SGO'!$1:$1,0),FALSE))</f>
        <v>0</v>
      </c>
      <c r="E368" s="241" t="s">
        <v>70</v>
      </c>
      <c r="F368" s="241"/>
      <c r="G368" s="237"/>
      <c r="H368" s="241" t="s">
        <v>30</v>
      </c>
      <c r="I368" s="237"/>
      <c r="J368" s="237"/>
      <c r="K368" s="237"/>
      <c r="L368" s="237"/>
      <c r="M368" s="241" t="s">
        <v>30</v>
      </c>
      <c r="N368" s="237"/>
      <c r="O368" s="237"/>
      <c r="P368" s="237"/>
      <c r="Q368" s="237" t="s">
        <v>30</v>
      </c>
      <c r="R368" s="237" t="s">
        <v>24</v>
      </c>
      <c r="S368" s="231" t="s">
        <v>24</v>
      </c>
      <c r="T368" s="237" t="s">
        <v>24</v>
      </c>
      <c r="U368" s="237" t="s">
        <v>24</v>
      </c>
      <c r="V368" s="241" t="s">
        <v>30</v>
      </c>
      <c r="W368" s="237"/>
      <c r="X368" s="237"/>
      <c r="Y368" s="237"/>
      <c r="Z368" s="237"/>
      <c r="AA368" s="239"/>
      <c r="AB368" s="237"/>
      <c r="AC368" s="237"/>
      <c r="AD368" s="241" t="s">
        <v>30</v>
      </c>
      <c r="AE368" s="237"/>
      <c r="AF368" s="237"/>
      <c r="AG368" s="237"/>
      <c r="AH368" s="237"/>
      <c r="AI368" s="237"/>
      <c r="AJ368" s="237"/>
      <c r="AK368" s="237"/>
      <c r="AL368" s="239" t="s">
        <v>30</v>
      </c>
      <c r="AM368" s="237"/>
      <c r="AN368" s="237"/>
    </row>
    <row r="369" spans="1:40" s="9" customFormat="1" ht="45" x14ac:dyDescent="0.25">
      <c r="A369" s="13" t="s">
        <v>1090</v>
      </c>
      <c r="B369" s="229" t="str">
        <f>IF($A369="","",VLOOKUP($A369,'[2]3-Elaboration.O'!$A:$T,MATCH(B$1,'[2]150-Modele SGO'!$1:$1,0),FALSE))</f>
        <v>Quelles sont les conditions d'achat applicables ?</v>
      </c>
      <c r="C369" s="229" t="str">
        <f>IF($A369="","",VLOOKUP($A369,'[2]3-Elaboration.O'!$A:$T,MATCH(C$1,'[2]150-Modele SGO'!$1:$1,0),FALSE))</f>
        <v>Franco France Métropolitaine;FEC (Entrepôt UGAP);Départ Usine;Franco France Continentale</v>
      </c>
      <c r="D369" s="229" t="str">
        <f>IF($A369="","",VLOOKUP($A369,'[2]3-Elaboration.O'!$A:$T,MATCH(D$1,'[2]150-Modele SGO'!$1:$1,0),FALSE))</f>
        <v>Liste choix multiple</v>
      </c>
      <c r="E369" s="230" t="s">
        <v>70</v>
      </c>
      <c r="F369" s="230" t="s">
        <v>44</v>
      </c>
      <c r="G369" s="231"/>
      <c r="H369" s="232" t="s">
        <v>19</v>
      </c>
      <c r="I369" s="233" t="s">
        <v>1714</v>
      </c>
      <c r="J369" s="231"/>
      <c r="K369" s="231"/>
      <c r="L369" s="231"/>
      <c r="M369" s="232" t="s">
        <v>26</v>
      </c>
      <c r="N369" s="231"/>
      <c r="O369" s="233" t="s">
        <v>1092</v>
      </c>
      <c r="P369" s="233" t="s">
        <v>35</v>
      </c>
      <c r="Q369" s="233" t="s">
        <v>19</v>
      </c>
      <c r="R369" s="233" t="s">
        <v>46</v>
      </c>
      <c r="S369" s="231" t="s">
        <v>24</v>
      </c>
      <c r="T369" s="231" t="s">
        <v>24</v>
      </c>
      <c r="U369" s="231" t="s">
        <v>24</v>
      </c>
      <c r="V369" s="232" t="s">
        <v>26</v>
      </c>
      <c r="W369" s="231"/>
      <c r="X369" s="233" t="s">
        <v>865</v>
      </c>
      <c r="Y369" s="233" t="s">
        <v>46</v>
      </c>
      <c r="Z369" s="233" t="s">
        <v>1715</v>
      </c>
      <c r="AA369" s="235" t="s">
        <v>865</v>
      </c>
      <c r="AB369" s="233" t="s">
        <v>865</v>
      </c>
      <c r="AC369" s="245" t="s">
        <v>865</v>
      </c>
      <c r="AD369" s="232" t="s">
        <v>19</v>
      </c>
      <c r="AE369" s="233" t="s">
        <v>865</v>
      </c>
      <c r="AF369" s="231"/>
      <c r="AG369" s="231"/>
      <c r="AH369" s="231"/>
      <c r="AI369" s="231"/>
      <c r="AJ369" s="231"/>
      <c r="AK369" s="231"/>
      <c r="AL369" s="234" t="s">
        <v>35</v>
      </c>
      <c r="AM369" s="231"/>
      <c r="AN369" s="231"/>
    </row>
    <row r="370" spans="1:40" s="9" customFormat="1" ht="30" x14ac:dyDescent="0.25">
      <c r="A370" s="13" t="s">
        <v>1093</v>
      </c>
      <c r="B370" s="229" t="str">
        <f>IF($A370="","",VLOOKUP($A370,'[2]3-Elaboration.O'!$A:$T,MATCH(B$1,'[2]150-Modele SGO'!$1:$1,0),FALSE))</f>
        <v>Si FFM, quels sont les lots concernés</v>
      </c>
      <c r="C370" s="229" t="str">
        <f>IF($A370="","",VLOOKUP($A370,'[2]3-Elaboration.O'!$A:$T,MATCH(C$1,'[2]150-Modele SGO'!$1:$1,0),FALSE))</f>
        <v>Champs libre</v>
      </c>
      <c r="D370" s="229" t="str">
        <f>IF($A370="","",VLOOKUP($A370,'[2]3-Elaboration.O'!$A:$T,MATCH(D$1,'[2]150-Modele SGO'!$1:$1,0),FALSE))</f>
        <v>Texte</v>
      </c>
      <c r="E370" s="230" t="s">
        <v>70</v>
      </c>
      <c r="F370" s="230"/>
      <c r="G370" s="231"/>
      <c r="H370" s="232" t="s">
        <v>35</v>
      </c>
      <c r="I370" s="231"/>
      <c r="J370" s="231"/>
      <c r="K370" s="231"/>
      <c r="L370" s="231"/>
      <c r="M370" s="232" t="s">
        <v>35</v>
      </c>
      <c r="N370" s="231"/>
      <c r="O370" s="231"/>
      <c r="P370" s="231"/>
      <c r="Q370" s="233" t="s">
        <v>19</v>
      </c>
      <c r="R370" s="233" t="s">
        <v>46</v>
      </c>
      <c r="S370" s="231" t="s">
        <v>24</v>
      </c>
      <c r="T370" s="231" t="s">
        <v>24</v>
      </c>
      <c r="U370" s="231" t="s">
        <v>24</v>
      </c>
      <c r="V370" s="232" t="s">
        <v>35</v>
      </c>
      <c r="W370" s="231"/>
      <c r="X370" s="231"/>
      <c r="Y370" s="231"/>
      <c r="Z370" s="231"/>
      <c r="AA370" s="234"/>
      <c r="AB370" s="231"/>
      <c r="AC370" s="231"/>
      <c r="AD370" s="232" t="s">
        <v>35</v>
      </c>
      <c r="AE370" s="231"/>
      <c r="AF370" s="231"/>
      <c r="AG370" s="231"/>
      <c r="AH370" s="231"/>
      <c r="AI370" s="231"/>
      <c r="AJ370" s="231"/>
      <c r="AK370" s="231"/>
      <c r="AL370" s="234" t="s">
        <v>35</v>
      </c>
      <c r="AM370" s="231"/>
      <c r="AN370" s="231"/>
    </row>
    <row r="371" spans="1:40" s="9" customFormat="1" ht="30" x14ac:dyDescent="0.25">
      <c r="A371" s="13" t="s">
        <v>1095</v>
      </c>
      <c r="B371" s="229" t="str">
        <f>IF($A371="","",VLOOKUP($A371,'[2]3-Elaboration.O'!$A:$T,MATCH(B$1,'[2]150-Modele SGO'!$1:$1,0),FALSE))</f>
        <v>Si FFC, quels sont les lots concernés</v>
      </c>
      <c r="C371" s="229" t="str">
        <f>IF($A371="","",VLOOKUP($A371,'[2]3-Elaboration.O'!$A:$T,MATCH(C$1,'[2]150-Modele SGO'!$1:$1,0),FALSE))</f>
        <v>Champs libre</v>
      </c>
      <c r="D371" s="229" t="str">
        <f>IF($A371="","",VLOOKUP($A371,'[2]3-Elaboration.O'!$A:$T,MATCH(D$1,'[2]150-Modele SGO'!$1:$1,0),FALSE))</f>
        <v>Texte</v>
      </c>
      <c r="E371" s="230" t="s">
        <v>70</v>
      </c>
      <c r="F371" s="230"/>
      <c r="G371" s="231"/>
      <c r="H371" s="232" t="s">
        <v>35</v>
      </c>
      <c r="I371" s="231"/>
      <c r="J371" s="231"/>
      <c r="K371" s="231"/>
      <c r="L371" s="231"/>
      <c r="M371" s="232" t="s">
        <v>35</v>
      </c>
      <c r="N371" s="231"/>
      <c r="O371" s="231"/>
      <c r="P371" s="231"/>
      <c r="Q371" s="233" t="s">
        <v>19</v>
      </c>
      <c r="R371" s="233" t="s">
        <v>46</v>
      </c>
      <c r="S371" s="231" t="s">
        <v>24</v>
      </c>
      <c r="T371" s="231" t="s">
        <v>24</v>
      </c>
      <c r="U371" s="231" t="s">
        <v>24</v>
      </c>
      <c r="V371" s="232" t="s">
        <v>35</v>
      </c>
      <c r="W371" s="231"/>
      <c r="X371" s="231"/>
      <c r="Y371" s="231"/>
      <c r="Z371" s="231"/>
      <c r="AA371" s="234"/>
      <c r="AB371" s="231"/>
      <c r="AC371" s="231"/>
      <c r="AD371" s="232" t="s">
        <v>35</v>
      </c>
      <c r="AE371" s="231"/>
      <c r="AF371" s="231"/>
      <c r="AG371" s="231"/>
      <c r="AH371" s="231"/>
      <c r="AI371" s="231"/>
      <c r="AJ371" s="231"/>
      <c r="AK371" s="231"/>
      <c r="AL371" s="235" t="s">
        <v>35</v>
      </c>
      <c r="AM371" s="231"/>
      <c r="AN371" s="231"/>
    </row>
    <row r="372" spans="1:40" s="9" customFormat="1" ht="30" x14ac:dyDescent="0.25">
      <c r="A372" s="13" t="s">
        <v>1096</v>
      </c>
      <c r="B372" s="229" t="str">
        <f>IF($A372="","",VLOOKUP($A372,'[2]3-Elaboration.O'!$A:$T,MATCH(B$1,'[2]150-Modele SGO'!$1:$1,0),FALSE))</f>
        <v>Si DU, quels sont les lots concernés</v>
      </c>
      <c r="C372" s="229" t="str">
        <f>IF($A372="","",VLOOKUP($A372,'[2]3-Elaboration.O'!$A:$T,MATCH(C$1,'[2]150-Modele SGO'!$1:$1,0),FALSE))</f>
        <v>Champs libre</v>
      </c>
      <c r="D372" s="229" t="str">
        <f>IF($A372="","",VLOOKUP($A372,'[2]3-Elaboration.O'!$A:$T,MATCH(D$1,'[2]150-Modele SGO'!$1:$1,0),FALSE))</f>
        <v>Texte</v>
      </c>
      <c r="E372" s="230" t="s">
        <v>70</v>
      </c>
      <c r="F372" s="230"/>
      <c r="G372" s="231"/>
      <c r="H372" s="232" t="s">
        <v>35</v>
      </c>
      <c r="I372" s="231"/>
      <c r="J372" s="231"/>
      <c r="K372" s="231"/>
      <c r="L372" s="231"/>
      <c r="M372" s="232" t="s">
        <v>35</v>
      </c>
      <c r="N372" s="231"/>
      <c r="O372" s="231"/>
      <c r="P372" s="231"/>
      <c r="Q372" s="233" t="s">
        <v>19</v>
      </c>
      <c r="R372" s="233" t="s">
        <v>46</v>
      </c>
      <c r="S372" s="231" t="s">
        <v>24</v>
      </c>
      <c r="T372" s="231" t="s">
        <v>24</v>
      </c>
      <c r="U372" s="231" t="s">
        <v>24</v>
      </c>
      <c r="V372" s="232" t="s">
        <v>35</v>
      </c>
      <c r="W372" s="231"/>
      <c r="X372" s="231"/>
      <c r="Y372" s="231"/>
      <c r="Z372" s="231"/>
      <c r="AA372" s="234"/>
      <c r="AB372" s="231"/>
      <c r="AC372" s="231"/>
      <c r="AD372" s="232" t="s">
        <v>35</v>
      </c>
      <c r="AE372" s="231"/>
      <c r="AF372" s="231"/>
      <c r="AG372" s="231"/>
      <c r="AH372" s="231"/>
      <c r="AI372" s="231"/>
      <c r="AJ372" s="231"/>
      <c r="AK372" s="231"/>
      <c r="AL372" s="235" t="s">
        <v>35</v>
      </c>
      <c r="AM372" s="231"/>
      <c r="AN372" s="231"/>
    </row>
    <row r="373" spans="1:40" s="9" customFormat="1" ht="30" x14ac:dyDescent="0.25">
      <c r="A373" s="13" t="s">
        <v>1097</v>
      </c>
      <c r="B373" s="229" t="str">
        <f>IF($A373="","",VLOOKUP($A373,'[2]3-Elaboration.O'!$A:$T,MATCH(B$1,'[2]150-Modele SGO'!$1:$1,0),FALSE))</f>
        <v>Si FEC, quels sont les lots concernés</v>
      </c>
      <c r="C373" s="229" t="str">
        <f>IF($A373="","",VLOOKUP($A373,'[2]3-Elaboration.O'!$A:$T,MATCH(C$1,'[2]150-Modele SGO'!$1:$1,0),FALSE))</f>
        <v>Champs libre</v>
      </c>
      <c r="D373" s="229" t="str">
        <f>IF($A373="","",VLOOKUP($A373,'[2]3-Elaboration.O'!$A:$T,MATCH(D$1,'[2]150-Modele SGO'!$1:$1,0),FALSE))</f>
        <v>Texte</v>
      </c>
      <c r="E373" s="230" t="s">
        <v>70</v>
      </c>
      <c r="F373" s="230"/>
      <c r="G373" s="231"/>
      <c r="H373" s="232" t="s">
        <v>35</v>
      </c>
      <c r="I373" s="231"/>
      <c r="J373" s="231"/>
      <c r="K373" s="231"/>
      <c r="L373" s="231"/>
      <c r="M373" s="232" t="s">
        <v>35</v>
      </c>
      <c r="N373" s="231"/>
      <c r="O373" s="231"/>
      <c r="P373" s="231"/>
      <c r="Q373" s="233" t="s">
        <v>19</v>
      </c>
      <c r="R373" s="233" t="s">
        <v>46</v>
      </c>
      <c r="S373" s="231" t="s">
        <v>24</v>
      </c>
      <c r="T373" s="231" t="s">
        <v>24</v>
      </c>
      <c r="U373" s="231" t="s">
        <v>24</v>
      </c>
      <c r="V373" s="232" t="s">
        <v>35</v>
      </c>
      <c r="W373" s="231"/>
      <c r="X373" s="231"/>
      <c r="Y373" s="231"/>
      <c r="Z373" s="231"/>
      <c r="AA373" s="234"/>
      <c r="AB373" s="231"/>
      <c r="AC373" s="231"/>
      <c r="AD373" s="232" t="s">
        <v>35</v>
      </c>
      <c r="AE373" s="231"/>
      <c r="AF373" s="231"/>
      <c r="AG373" s="231"/>
      <c r="AH373" s="231"/>
      <c r="AI373" s="231"/>
      <c r="AJ373" s="231"/>
      <c r="AK373" s="231"/>
      <c r="AL373" s="234" t="s">
        <v>35</v>
      </c>
      <c r="AM373" s="231"/>
      <c r="AN373" s="231"/>
    </row>
    <row r="374" spans="1:40" s="9" customFormat="1" ht="15.75" x14ac:dyDescent="0.25">
      <c r="A374" s="108" t="s">
        <v>1098</v>
      </c>
      <c r="B374" s="244" t="str">
        <f>IF($A374="","",VLOOKUP($A374,'[2]3-Elaboration.O'!$A:$T,MATCH(B$1,'[2]150-Modele SGO'!$1:$1,0),FALSE))</f>
        <v>11.3 Modalités de livraison</v>
      </c>
      <c r="C374" s="244">
        <f>IF($A374="","",VLOOKUP($A374,'[2]3-Elaboration.O'!$A:$T,MATCH(C$1,'[2]150-Modele SGO'!$1:$1,0),FALSE))</f>
        <v>0</v>
      </c>
      <c r="D374" s="244">
        <f>IF($A374="","",VLOOKUP($A374,'[2]3-Elaboration.O'!$A:$T,MATCH(D$1,'[2]150-Modele SGO'!$1:$1,0),FALSE))</f>
        <v>0</v>
      </c>
      <c r="E374" s="241" t="s">
        <v>70</v>
      </c>
      <c r="F374" s="241"/>
      <c r="G374" s="237"/>
      <c r="H374" s="241" t="s">
        <v>30</v>
      </c>
      <c r="I374" s="237"/>
      <c r="J374" s="237"/>
      <c r="K374" s="237"/>
      <c r="L374" s="237"/>
      <c r="M374" s="241" t="s">
        <v>30</v>
      </c>
      <c r="N374" s="237"/>
      <c r="O374" s="237"/>
      <c r="P374" s="237"/>
      <c r="Q374" s="237" t="s">
        <v>30</v>
      </c>
      <c r="R374" s="237" t="s">
        <v>24</v>
      </c>
      <c r="S374" s="231" t="s">
        <v>24</v>
      </c>
      <c r="T374" s="237" t="s">
        <v>24</v>
      </c>
      <c r="U374" s="237" t="s">
        <v>24</v>
      </c>
      <c r="V374" s="241" t="s">
        <v>30</v>
      </c>
      <c r="W374" s="237"/>
      <c r="X374" s="237"/>
      <c r="Y374" s="237"/>
      <c r="Z374" s="237"/>
      <c r="AA374" s="239"/>
      <c r="AB374" s="237"/>
      <c r="AC374" s="237"/>
      <c r="AD374" s="241" t="s">
        <v>30</v>
      </c>
      <c r="AE374" s="237"/>
      <c r="AF374" s="237"/>
      <c r="AG374" s="237"/>
      <c r="AH374" s="237"/>
      <c r="AI374" s="237"/>
      <c r="AJ374" s="237"/>
      <c r="AK374" s="237"/>
      <c r="AL374" s="253" t="s">
        <v>30</v>
      </c>
      <c r="AM374" s="237"/>
      <c r="AN374" s="237"/>
    </row>
    <row r="375" spans="1:40" s="9" customFormat="1" ht="120" x14ac:dyDescent="0.25">
      <c r="A375" s="13" t="s">
        <v>1100</v>
      </c>
      <c r="B375" s="229" t="str">
        <f>IF($A375="","",VLOOKUP($A375,'[2]3-Elaboration.O'!$A:$T,MATCH(B$1,'[2]150-Modele SGO'!$1:$1,0),FALSE))</f>
        <v>Quelles sont les modalités de livraison (hors France métropolitaine)</v>
      </c>
      <c r="C375" s="229" t="str">
        <f>IF($A375="","",VLOOKUP($A375,'[2]3-Elaboration.O'!$A:$T,MATCH(C$1,'[2]150-Modele SGO'!$1:$1,0),FALSE))</f>
        <v>Chez le transitaire du bénéficiaire en France Métropolitaine;Sur le site du bénéficiaire avec prise en charge des frais d'emballage de transport et de dédouanement</v>
      </c>
      <c r="D375" s="229" t="str">
        <f>IF($A375="","",VLOOKUP($A375,'[2]3-Elaboration.O'!$A:$T,MATCH(D$1,'[2]150-Modele SGO'!$1:$1,0),FALSE))</f>
        <v>Liste choix multiple</v>
      </c>
      <c r="E375" s="230" t="s">
        <v>70</v>
      </c>
      <c r="F375" s="230" t="s">
        <v>44</v>
      </c>
      <c r="G375" s="231"/>
      <c r="H375" s="232" t="s">
        <v>19</v>
      </c>
      <c r="I375" s="233" t="s">
        <v>1102</v>
      </c>
      <c r="J375" s="231"/>
      <c r="K375" s="231"/>
      <c r="L375" s="231"/>
      <c r="M375" s="232" t="s">
        <v>26</v>
      </c>
      <c r="N375" s="231"/>
      <c r="O375" s="233" t="s">
        <v>1102</v>
      </c>
      <c r="P375" s="233" t="s">
        <v>35</v>
      </c>
      <c r="Q375" s="233" t="s">
        <v>19</v>
      </c>
      <c r="R375" s="233" t="s">
        <v>46</v>
      </c>
      <c r="S375" s="231" t="s">
        <v>24</v>
      </c>
      <c r="T375" s="231" t="s">
        <v>24</v>
      </c>
      <c r="U375" s="231" t="s">
        <v>24</v>
      </c>
      <c r="V375" s="232" t="s">
        <v>26</v>
      </c>
      <c r="W375" s="231"/>
      <c r="X375" s="233" t="s">
        <v>46</v>
      </c>
      <c r="Y375" s="233" t="s">
        <v>46</v>
      </c>
      <c r="Z375" s="245" t="s">
        <v>1102</v>
      </c>
      <c r="AA375" s="235" t="s">
        <v>46</v>
      </c>
      <c r="AB375" s="233" t="s">
        <v>46</v>
      </c>
      <c r="AC375" s="245" t="s">
        <v>1102</v>
      </c>
      <c r="AD375" s="248" t="s">
        <v>26</v>
      </c>
      <c r="AE375" s="231"/>
      <c r="AF375" s="233" t="s">
        <v>1102</v>
      </c>
      <c r="AG375" s="233" t="s">
        <v>1102</v>
      </c>
      <c r="AH375" s="233" t="s">
        <v>1102</v>
      </c>
      <c r="AI375" s="233" t="s">
        <v>1102</v>
      </c>
      <c r="AJ375" s="233" t="s">
        <v>1716</v>
      </c>
      <c r="AK375" s="233" t="s">
        <v>1716</v>
      </c>
      <c r="AL375" s="235" t="s">
        <v>35</v>
      </c>
      <c r="AM375" s="231"/>
      <c r="AN375" s="231"/>
    </row>
    <row r="376" spans="1:40" s="9" customFormat="1" ht="30" x14ac:dyDescent="0.25">
      <c r="A376" s="13" t="s">
        <v>1103</v>
      </c>
      <c r="B376" s="229" t="str">
        <f>IF($A376="","",VLOOKUP($A376,'[2]3-Elaboration.O'!$A:$T,MATCH(B$1,'[2]150-Modele SGO'!$1:$1,0),FALSE))</f>
        <v>Livraison Tête de série?</v>
      </c>
      <c r="C376" s="229" t="str">
        <f>IF($A376="","",VLOOKUP($A376,'[2]3-Elaboration.O'!$A:$T,MATCH(C$1,'[2]150-Modele SGO'!$1:$1,0),FALSE))</f>
        <v>Oui, livraison tête de série;Non, absence de livraison tête de série</v>
      </c>
      <c r="D376" s="229" t="str">
        <f>IF($A376="","",VLOOKUP($A376,'[2]3-Elaboration.O'!$A:$T,MATCH(D$1,'[2]150-Modele SGO'!$1:$1,0),FALSE))</f>
        <v xml:space="preserve">Liste choix unique </v>
      </c>
      <c r="E376" s="230" t="s">
        <v>1521</v>
      </c>
      <c r="F376" s="230"/>
      <c r="G376" s="231"/>
      <c r="H376" s="232" t="s">
        <v>35</v>
      </c>
      <c r="I376" s="231"/>
      <c r="J376" s="231"/>
      <c r="K376" s="231"/>
      <c r="L376" s="231"/>
      <c r="M376" s="232" t="s">
        <v>35</v>
      </c>
      <c r="N376" s="231"/>
      <c r="O376" s="231" t="s">
        <v>1717</v>
      </c>
      <c r="P376" s="231"/>
      <c r="Q376" s="233" t="s">
        <v>19</v>
      </c>
      <c r="R376" s="233" t="s">
        <v>46</v>
      </c>
      <c r="S376" s="231" t="s">
        <v>24</v>
      </c>
      <c r="T376" s="231" t="s">
        <v>24</v>
      </c>
      <c r="U376" s="231" t="s">
        <v>24</v>
      </c>
      <c r="V376" s="232" t="s">
        <v>19</v>
      </c>
      <c r="W376" s="233" t="s">
        <v>46</v>
      </c>
      <c r="X376" s="231"/>
      <c r="Y376" s="231"/>
      <c r="Z376" s="231"/>
      <c r="AA376" s="234"/>
      <c r="AB376" s="231"/>
      <c r="AC376" s="247"/>
      <c r="AD376" s="232" t="s">
        <v>26</v>
      </c>
      <c r="AE376" s="231"/>
      <c r="AF376" s="233" t="s">
        <v>46</v>
      </c>
      <c r="AG376" s="233" t="s">
        <v>46</v>
      </c>
      <c r="AH376" s="233" t="s">
        <v>46</v>
      </c>
      <c r="AI376" s="233" t="s">
        <v>46</v>
      </c>
      <c r="AJ376" s="233" t="s">
        <v>46</v>
      </c>
      <c r="AK376" s="233" t="s">
        <v>46</v>
      </c>
      <c r="AL376" s="235" t="s">
        <v>35</v>
      </c>
      <c r="AM376" s="231"/>
      <c r="AN376" s="231"/>
    </row>
    <row r="377" spans="1:40" s="9" customFormat="1" ht="15.75" x14ac:dyDescent="0.25">
      <c r="A377" s="192" t="s">
        <v>1106</v>
      </c>
      <c r="B377" s="244" t="str">
        <f>IF($A377="","",VLOOKUP($A377,'[2]3-Elaboration.O'!$A:$T,MATCH(B$1,'[2]150-Modele SGO'!$1:$1,0),FALSE))</f>
        <v>11.4 Délais</v>
      </c>
      <c r="C377" s="244">
        <f>IF($A377="","",VLOOKUP($A377,'[2]3-Elaboration.O'!$A:$T,MATCH(C$1,'[2]150-Modele SGO'!$1:$1,0),FALSE))</f>
        <v>0</v>
      </c>
      <c r="D377" s="244">
        <f>IF($A377="","",VLOOKUP($A377,'[2]3-Elaboration.O'!$A:$T,MATCH(D$1,'[2]150-Modele SGO'!$1:$1,0),FALSE))</f>
        <v>0</v>
      </c>
      <c r="E377" s="241" t="s">
        <v>70</v>
      </c>
      <c r="F377" s="241"/>
      <c r="G377" s="237"/>
      <c r="H377" s="241" t="s">
        <v>30</v>
      </c>
      <c r="I377" s="237"/>
      <c r="J377" s="237"/>
      <c r="K377" s="237"/>
      <c r="L377" s="237"/>
      <c r="M377" s="241" t="s">
        <v>30</v>
      </c>
      <c r="N377" s="237"/>
      <c r="O377" s="237"/>
      <c r="P377" s="237"/>
      <c r="Q377" s="237" t="s">
        <v>30</v>
      </c>
      <c r="R377" s="237" t="s">
        <v>24</v>
      </c>
      <c r="S377" s="231" t="s">
        <v>24</v>
      </c>
      <c r="T377" s="237" t="s">
        <v>24</v>
      </c>
      <c r="U377" s="237" t="s">
        <v>24</v>
      </c>
      <c r="V377" s="241" t="s">
        <v>30</v>
      </c>
      <c r="W377" s="237"/>
      <c r="X377" s="237"/>
      <c r="Y377" s="237"/>
      <c r="Z377" s="237"/>
      <c r="AA377" s="239"/>
      <c r="AB377" s="237"/>
      <c r="AC377" s="237"/>
      <c r="AD377" s="241" t="s">
        <v>30</v>
      </c>
      <c r="AE377" s="237"/>
      <c r="AF377" s="237"/>
      <c r="AG377" s="237"/>
      <c r="AH377" s="237"/>
      <c r="AI377" s="237"/>
      <c r="AJ377" s="237"/>
      <c r="AK377" s="237"/>
      <c r="AL377" s="253" t="s">
        <v>30</v>
      </c>
      <c r="AM377" s="237"/>
      <c r="AN377" s="237"/>
    </row>
    <row r="378" spans="1:40" s="9" customFormat="1" ht="45" x14ac:dyDescent="0.25">
      <c r="A378" s="13" t="s">
        <v>1108</v>
      </c>
      <c r="B378" s="229" t="str">
        <f>IF($A378="","",VLOOKUP($A378,'[2]3-Elaboration.O'!$A:$T,MATCH(B$1,'[2]150-Modele SGO'!$1:$1,0),FALSE))</f>
        <v>L'offre est-elle concernée par des délais courts/ délai réduit (stock savigny le temple ou stock plateforme externalisée - Ugap Pack service plus)</v>
      </c>
      <c r="C378" s="229" t="str">
        <f>IF($A378="","",VLOOKUP($A378,'[2]3-Elaboration.O'!$A:$T,MATCH(C$1,'[2]150-Modele SGO'!$1:$1,0),FALSE))</f>
        <v>Oui, Offre concernée par les délais courts/délai réduits; Non, offre non concernée par les délais courts/réduits</v>
      </c>
      <c r="D378" s="229" t="str">
        <f>IF($A378="","",VLOOKUP($A378,'[2]3-Elaboration.O'!$A:$T,MATCH(D$1,'[2]150-Modele SGO'!$1:$1,0),FALSE))</f>
        <v xml:space="preserve">Liste choix unique </v>
      </c>
      <c r="E378" s="230" t="s">
        <v>70</v>
      </c>
      <c r="F378" s="230"/>
      <c r="G378" s="231"/>
      <c r="H378" s="232" t="s">
        <v>26</v>
      </c>
      <c r="I378" s="231"/>
      <c r="J378" s="233" t="s">
        <v>1109</v>
      </c>
      <c r="K378" s="233" t="s">
        <v>1718</v>
      </c>
      <c r="L378" s="233" t="s">
        <v>1109</v>
      </c>
      <c r="M378" s="232" t="s">
        <v>26</v>
      </c>
      <c r="N378" s="231"/>
      <c r="O378" s="233" t="s">
        <v>1719</v>
      </c>
      <c r="P378" s="233" t="s">
        <v>35</v>
      </c>
      <c r="Q378" s="233" t="s">
        <v>19</v>
      </c>
      <c r="R378" s="233" t="s">
        <v>46</v>
      </c>
      <c r="S378" s="231" t="s">
        <v>24</v>
      </c>
      <c r="T378" s="231" t="s">
        <v>24</v>
      </c>
      <c r="U378" s="231" t="s">
        <v>24</v>
      </c>
      <c r="V378" s="232" t="s">
        <v>26</v>
      </c>
      <c r="W378" s="231"/>
      <c r="X378" s="233" t="s">
        <v>1109</v>
      </c>
      <c r="Y378" s="233" t="s">
        <v>1109</v>
      </c>
      <c r="Z378" s="233" t="s">
        <v>1718</v>
      </c>
      <c r="AA378" s="235" t="s">
        <v>1109</v>
      </c>
      <c r="AB378" s="233" t="s">
        <v>1109</v>
      </c>
      <c r="AC378" s="245" t="s">
        <v>1109</v>
      </c>
      <c r="AD378" s="232" t="s">
        <v>26</v>
      </c>
      <c r="AE378" s="231"/>
      <c r="AF378" s="233" t="s">
        <v>1109</v>
      </c>
      <c r="AG378" s="233" t="s">
        <v>1109</v>
      </c>
      <c r="AH378" s="233" t="s">
        <v>1109</v>
      </c>
      <c r="AI378" s="233" t="s">
        <v>1109</v>
      </c>
      <c r="AJ378" s="233" t="s">
        <v>1109</v>
      </c>
      <c r="AK378" s="233" t="s">
        <v>1109</v>
      </c>
      <c r="AL378" s="235" t="s">
        <v>35</v>
      </c>
      <c r="AM378" s="231"/>
      <c r="AN378" s="231"/>
    </row>
    <row r="379" spans="1:40" s="9" customFormat="1" ht="69" customHeight="1" x14ac:dyDescent="0.25">
      <c r="A379" s="13" t="s">
        <v>1112</v>
      </c>
      <c r="B379" s="229" t="str">
        <f>IF($A379="","",VLOOKUP($A379,'[2]3-Elaboration.O'!$A:$T,MATCH(B$1,'[2]150-Modele SGO'!$1:$1,0),FALSE))</f>
        <v>Préciser les délais maximum de livraison / d'intervention / d'exécution attendu pour chaque lot</v>
      </c>
      <c r="C379" s="229" t="str">
        <f>IF($A379="","",VLOOKUP($A379,'[2]3-Elaboration.O'!$A:$T,MATCH(C$1,'[2]150-Modele SGO'!$1:$1,0),FALSE))</f>
        <v>Annexe 10 - Détail_Lots</v>
      </c>
      <c r="D379" s="229" t="str">
        <f>IF($A379="","",VLOOKUP($A379,'[2]3-Elaboration.O'!$A:$T,MATCH(D$1,'[2]150-Modele SGO'!$1:$1,0),FALSE))</f>
        <v>Annexe 10 - Détail lots</v>
      </c>
      <c r="E379" s="230" t="s">
        <v>1521</v>
      </c>
      <c r="F379" s="230"/>
      <c r="G379" s="231"/>
      <c r="H379" s="232" t="s">
        <v>35</v>
      </c>
      <c r="I379" s="231"/>
      <c r="J379" s="231"/>
      <c r="K379" s="231"/>
      <c r="L379" s="231"/>
      <c r="M379" s="232" t="s">
        <v>35</v>
      </c>
      <c r="N379" s="231"/>
      <c r="O379" s="231"/>
      <c r="P379" s="231"/>
      <c r="Q379" s="231" t="s">
        <v>35</v>
      </c>
      <c r="R379" s="231" t="s">
        <v>24</v>
      </c>
      <c r="S379" s="231"/>
      <c r="T379" s="231" t="s">
        <v>24</v>
      </c>
      <c r="U379" s="231" t="s">
        <v>24</v>
      </c>
      <c r="V379" s="232" t="s">
        <v>35</v>
      </c>
      <c r="W379" s="231"/>
      <c r="X379" s="231"/>
      <c r="Y379" s="231"/>
      <c r="Z379" s="231"/>
      <c r="AA379" s="234"/>
      <c r="AB379" s="231"/>
      <c r="AC379" s="231"/>
      <c r="AD379" s="232" t="s">
        <v>35</v>
      </c>
      <c r="AE379" s="231"/>
      <c r="AF379" s="231"/>
      <c r="AG379" s="231"/>
      <c r="AH379" s="231"/>
      <c r="AI379" s="231"/>
      <c r="AJ379" s="231"/>
      <c r="AK379" s="231"/>
      <c r="AL379" s="234" t="s">
        <v>35</v>
      </c>
      <c r="AM379" s="231"/>
      <c r="AN379" s="231"/>
    </row>
    <row r="380" spans="1:40" s="9" customFormat="1" ht="30" x14ac:dyDescent="0.25">
      <c r="A380" s="13" t="s">
        <v>1114</v>
      </c>
      <c r="B380" s="229" t="str">
        <f>IF($A380="","",VLOOKUP($A380,'[2]3-Elaboration.O'!$A:$T,MATCH(B$1,'[2]150-Modele SGO'!$1:$1,0),FALSE))</f>
        <v>Si oui, préciser le / les délais maximum par lots/produits concernés concernés</v>
      </c>
      <c r="C380" s="229" t="str">
        <f>IF($A380="","",VLOOKUP($A380,'[2]3-Elaboration.O'!$A:$T,MATCH(C$1,'[2]150-Modele SGO'!$1:$1,0),FALSE))</f>
        <v>Champs libre</v>
      </c>
      <c r="D380" s="229" t="str">
        <f>IF($A380="","",VLOOKUP($A380,'[2]3-Elaboration.O'!$A:$T,MATCH(D$1,'[2]150-Modele SGO'!$1:$1,0),FALSE))</f>
        <v>Texte</v>
      </c>
      <c r="E380" s="230" t="s">
        <v>70</v>
      </c>
      <c r="F380" s="230"/>
      <c r="G380" s="231"/>
      <c r="H380" s="232" t="s">
        <v>35</v>
      </c>
      <c r="I380" s="231"/>
      <c r="J380" s="231"/>
      <c r="K380" s="231"/>
      <c r="L380" s="231"/>
      <c r="M380" s="232" t="s">
        <v>35</v>
      </c>
      <c r="N380" s="231"/>
      <c r="O380" s="231"/>
      <c r="P380" s="231"/>
      <c r="Q380" s="233" t="s">
        <v>19</v>
      </c>
      <c r="R380" s="233" t="s">
        <v>46</v>
      </c>
      <c r="S380" s="231" t="s">
        <v>24</v>
      </c>
      <c r="T380" s="231" t="s">
        <v>24</v>
      </c>
      <c r="U380" s="231" t="s">
        <v>24</v>
      </c>
      <c r="V380" s="232" t="s">
        <v>35</v>
      </c>
      <c r="W380" s="231"/>
      <c r="X380" s="231"/>
      <c r="Y380" s="231"/>
      <c r="Z380" s="231"/>
      <c r="AA380" s="234"/>
      <c r="AB380" s="231"/>
      <c r="AC380" s="247"/>
      <c r="AD380" s="232" t="s">
        <v>35</v>
      </c>
      <c r="AE380" s="231"/>
      <c r="AF380" s="231"/>
      <c r="AG380" s="231"/>
      <c r="AH380" s="231"/>
      <c r="AI380" s="231"/>
      <c r="AJ380" s="231"/>
      <c r="AK380" s="231"/>
      <c r="AL380" s="234" t="s">
        <v>35</v>
      </c>
      <c r="AM380" s="231"/>
      <c r="AN380" s="231"/>
    </row>
    <row r="381" spans="1:40" s="9" customFormat="1" ht="45" x14ac:dyDescent="0.25">
      <c r="A381" s="13" t="s">
        <v>1116</v>
      </c>
      <c r="B381" s="229" t="str">
        <f>IF($A381="","",VLOOKUP($A381,'[2]3-Elaboration.O'!$A:$T,MATCH(B$1,'[2]150-Modele SGO'!$1:$1,0),FALSE))</f>
        <v>Une période de neutralisation des prestations (hors SAV) est-elle à prévoir ?</v>
      </c>
      <c r="C381" s="229" t="str">
        <f>IF($A381="","",VLOOKUP($A381,'[2]3-Elaboration.O'!$A:$T,MATCH(C$1,'[2]150-Modele SGO'!$1:$1,0),FALSE))</f>
        <v>Non, aucune période de neutralisation; Période de congés;Changement de modèle;impact industriel lourd;Autre</v>
      </c>
      <c r="D381" s="229" t="str">
        <f>IF($A381="","",VLOOKUP($A381,'[2]3-Elaboration.O'!$A:$T,MATCH(D$1,'[2]150-Modele SGO'!$1:$1,0),FALSE))</f>
        <v>Liste choix multiple</v>
      </c>
      <c r="E381" s="230" t="s">
        <v>1521</v>
      </c>
      <c r="F381" s="230"/>
      <c r="G381" s="231"/>
      <c r="H381" s="232" t="s">
        <v>19</v>
      </c>
      <c r="I381" s="233" t="s">
        <v>1720</v>
      </c>
      <c r="J381" s="231"/>
      <c r="K381" s="231"/>
      <c r="L381" s="231"/>
      <c r="M381" s="232" t="s">
        <v>26</v>
      </c>
      <c r="N381" s="231"/>
      <c r="O381" s="233" t="s">
        <v>1720</v>
      </c>
      <c r="P381" s="233"/>
      <c r="Q381" s="233" t="s">
        <v>19</v>
      </c>
      <c r="R381" s="233" t="s">
        <v>46</v>
      </c>
      <c r="S381" s="231" t="s">
        <v>24</v>
      </c>
      <c r="T381" s="231" t="s">
        <v>24</v>
      </c>
      <c r="U381" s="231" t="s">
        <v>24</v>
      </c>
      <c r="V381" s="232" t="s">
        <v>26</v>
      </c>
      <c r="W381" s="231"/>
      <c r="X381" s="233" t="s">
        <v>1117</v>
      </c>
      <c r="Y381" s="233" t="s">
        <v>1117</v>
      </c>
      <c r="Z381" s="233" t="s">
        <v>1721</v>
      </c>
      <c r="AA381" s="233" t="s">
        <v>1117</v>
      </c>
      <c r="AB381" s="233" t="s">
        <v>1117</v>
      </c>
      <c r="AC381" s="233" t="s">
        <v>1117</v>
      </c>
      <c r="AD381" s="232" t="s">
        <v>26</v>
      </c>
      <c r="AE381" s="231"/>
      <c r="AF381" s="233" t="s">
        <v>1720</v>
      </c>
      <c r="AG381" s="233" t="s">
        <v>1720</v>
      </c>
      <c r="AH381" s="233" t="s">
        <v>1720</v>
      </c>
      <c r="AI381" s="233" t="s">
        <v>1720</v>
      </c>
      <c r="AJ381" s="233" t="s">
        <v>1720</v>
      </c>
      <c r="AK381" s="233" t="s">
        <v>1720</v>
      </c>
      <c r="AL381" s="235" t="s">
        <v>35</v>
      </c>
      <c r="AM381" s="231"/>
      <c r="AN381" s="231"/>
    </row>
    <row r="382" spans="1:40" s="9" customFormat="1" ht="30" x14ac:dyDescent="0.25">
      <c r="A382" s="13" t="s">
        <v>1120</v>
      </c>
      <c r="B382" s="229" t="str">
        <f>IF($A382="","",VLOOKUP($A382,'[2]3-Elaboration.O'!$A:$T,MATCH(B$1,'[2]150-Modele SGO'!$1:$1,0),FALSE))</f>
        <v>Quelle est sa durée maximale et le délai de prévenance ?</v>
      </c>
      <c r="C382" s="229" t="str">
        <f>IF($A382="","",VLOOKUP($A382,'[2]3-Elaboration.O'!$A:$T,MATCH(C$1,'[2]150-Modele SGO'!$1:$1,0),FALSE))</f>
        <v>Durée maximale de 40 jours et délai de prévenance de 6 mois;Autre</v>
      </c>
      <c r="D382" s="229" t="str">
        <f>IF($A382="","",VLOOKUP($A382,'[2]3-Elaboration.O'!$A:$T,MATCH(D$1,'[2]150-Modele SGO'!$1:$1,0),FALSE))</f>
        <v xml:space="preserve">Liste choix unique </v>
      </c>
      <c r="E382" s="230" t="s">
        <v>1521</v>
      </c>
      <c r="F382" s="230"/>
      <c r="G382" s="231"/>
      <c r="H382" s="232" t="s">
        <v>19</v>
      </c>
      <c r="I382" s="233" t="s">
        <v>1722</v>
      </c>
      <c r="J382" s="231"/>
      <c r="K382" s="231"/>
      <c r="L382" s="231"/>
      <c r="M382" s="232" t="s">
        <v>35</v>
      </c>
      <c r="N382" s="231"/>
      <c r="O382" s="231"/>
      <c r="P382" s="286"/>
      <c r="Q382" s="233" t="s">
        <v>19</v>
      </c>
      <c r="R382" s="288" t="s">
        <v>46</v>
      </c>
      <c r="S382" s="231" t="s">
        <v>24</v>
      </c>
      <c r="T382" s="286" t="s">
        <v>24</v>
      </c>
      <c r="U382" s="286" t="s">
        <v>24</v>
      </c>
      <c r="V382" s="232" t="s">
        <v>35</v>
      </c>
      <c r="W382" s="231"/>
      <c r="X382" s="231"/>
      <c r="Y382" s="231"/>
      <c r="Z382" s="231"/>
      <c r="AA382" s="234"/>
      <c r="AB382" s="231"/>
      <c r="AC382" s="231"/>
      <c r="AD382" s="232" t="s">
        <v>35</v>
      </c>
      <c r="AE382" s="231"/>
      <c r="AF382" s="286"/>
      <c r="AG382" s="286"/>
      <c r="AH382" s="286"/>
      <c r="AI382" s="286"/>
      <c r="AJ382" s="286"/>
      <c r="AK382" s="286"/>
      <c r="AL382" s="292" t="s">
        <v>35</v>
      </c>
      <c r="AM382" s="231"/>
      <c r="AN382" s="286"/>
    </row>
    <row r="383" spans="1:40" s="9" customFormat="1" ht="30" x14ac:dyDescent="0.25">
      <c r="A383" s="13" t="s">
        <v>1123</v>
      </c>
      <c r="B383" s="229" t="str">
        <f>IF($A383="","",VLOOKUP($A383,'[2]3-Elaboration.O'!$A:$T,MATCH(B$1,'[2]150-Modele SGO'!$1:$1,0),FALSE))</f>
        <v>Si autre, préciser la durée maximale et le délai de prévenance</v>
      </c>
      <c r="C383" s="229" t="str">
        <f>IF($A383="","",VLOOKUP($A383,'[2]3-Elaboration.O'!$A:$T,MATCH(C$1,'[2]150-Modele SGO'!$1:$1,0),FALSE))</f>
        <v>Champs libre</v>
      </c>
      <c r="D383" s="229" t="str">
        <f>IF($A383="","",VLOOKUP($A383,'[2]3-Elaboration.O'!$A:$T,MATCH(D$1,'[2]150-Modele SGO'!$1:$1,0),FALSE))</f>
        <v>Texte</v>
      </c>
      <c r="E383" s="230" t="s">
        <v>70</v>
      </c>
      <c r="F383" s="230"/>
      <c r="G383" s="231"/>
      <c r="H383" s="232" t="s">
        <v>35</v>
      </c>
      <c r="I383" s="231"/>
      <c r="J383" s="231"/>
      <c r="K383" s="231"/>
      <c r="L383" s="231"/>
      <c r="M383" s="232" t="s">
        <v>35</v>
      </c>
      <c r="N383" s="231"/>
      <c r="O383" s="231"/>
      <c r="P383" s="286"/>
      <c r="Q383" s="233" t="s">
        <v>19</v>
      </c>
      <c r="R383" s="288" t="s">
        <v>46</v>
      </c>
      <c r="S383" s="231" t="s">
        <v>24</v>
      </c>
      <c r="T383" s="286" t="s">
        <v>24</v>
      </c>
      <c r="U383" s="286" t="s">
        <v>24</v>
      </c>
      <c r="V383" s="232" t="s">
        <v>35</v>
      </c>
      <c r="W383" s="231"/>
      <c r="X383" s="231"/>
      <c r="Y383" s="231"/>
      <c r="Z383" s="231"/>
      <c r="AA383" s="234"/>
      <c r="AB383" s="231"/>
      <c r="AC383" s="293"/>
      <c r="AD383" s="232" t="s">
        <v>35</v>
      </c>
      <c r="AE383" s="231"/>
      <c r="AF383" s="286"/>
      <c r="AG383" s="286"/>
      <c r="AH383" s="286"/>
      <c r="AI383" s="286"/>
      <c r="AJ383" s="286"/>
      <c r="AK383" s="286"/>
      <c r="AL383" s="292" t="s">
        <v>35</v>
      </c>
      <c r="AM383" s="231"/>
      <c r="AN383" s="286"/>
    </row>
    <row r="384" spans="1:40" s="9" customFormat="1" ht="15.75" x14ac:dyDescent="0.25">
      <c r="A384" s="108" t="s">
        <v>1125</v>
      </c>
      <c r="B384" s="244" t="str">
        <f>IF($A384="","",VLOOKUP($A384,'[2]3-Elaboration.O'!$A:$T,MATCH(B$1,'[2]150-Modele SGO'!$1:$1,0),FALSE))</f>
        <v>11.5 Modalités particulières d'exécution</v>
      </c>
      <c r="C384" s="244">
        <f>IF($A384="","",VLOOKUP($A384,'[2]3-Elaboration.O'!$A:$T,MATCH(C$1,'[2]150-Modele SGO'!$1:$1,0),FALSE))</f>
        <v>0</v>
      </c>
      <c r="D384" s="244">
        <f>IF($A384="","",VLOOKUP($A384,'[2]3-Elaboration.O'!$A:$T,MATCH(D$1,'[2]150-Modele SGO'!$1:$1,0),FALSE))</f>
        <v>0</v>
      </c>
      <c r="E384" s="241" t="s">
        <v>70</v>
      </c>
      <c r="F384" s="241"/>
      <c r="G384" s="237"/>
      <c r="H384" s="241" t="s">
        <v>30</v>
      </c>
      <c r="I384" s="237"/>
      <c r="J384" s="237"/>
      <c r="K384" s="237"/>
      <c r="L384" s="237"/>
      <c r="M384" s="241" t="s">
        <v>30</v>
      </c>
      <c r="N384" s="237"/>
      <c r="O384" s="237"/>
      <c r="P384" s="237"/>
      <c r="Q384" s="237" t="s">
        <v>30</v>
      </c>
      <c r="R384" s="237" t="s">
        <v>24</v>
      </c>
      <c r="S384" s="231" t="s">
        <v>24</v>
      </c>
      <c r="T384" s="237" t="s">
        <v>24</v>
      </c>
      <c r="U384" s="237" t="s">
        <v>24</v>
      </c>
      <c r="V384" s="241" t="s">
        <v>30</v>
      </c>
      <c r="W384" s="237"/>
      <c r="X384" s="237"/>
      <c r="Y384" s="237"/>
      <c r="Z384" s="237"/>
      <c r="AA384" s="239"/>
      <c r="AB384" s="237"/>
      <c r="AC384" s="237"/>
      <c r="AD384" s="241" t="s">
        <v>30</v>
      </c>
      <c r="AE384" s="237"/>
      <c r="AF384" s="237"/>
      <c r="AG384" s="237"/>
      <c r="AH384" s="237"/>
      <c r="AI384" s="237"/>
      <c r="AJ384" s="237"/>
      <c r="AK384" s="237"/>
      <c r="AL384" s="239" t="s">
        <v>30</v>
      </c>
      <c r="AM384" s="237"/>
      <c r="AN384" s="237"/>
    </row>
    <row r="385" spans="1:40" s="9" customFormat="1" ht="55.35" customHeight="1" x14ac:dyDescent="0.25">
      <c r="A385" s="13" t="s">
        <v>1127</v>
      </c>
      <c r="B385" s="229" t="str">
        <f>IF($A385="","",VLOOKUP($A385,'[2]3-Elaboration.O'!$A:$T,MATCH(B$1,'[2]150-Modele SGO'!$1:$1,0),FALSE))</f>
        <v>Exécution des prestations Iles littorales et/ou DROM – COM (offres de produits)</v>
      </c>
      <c r="C385" s="229" t="str">
        <f>IF($A385="","",VLOOKUP($A385,'[2]3-Elaboration.O'!$A:$T,MATCH(C$1,'[2]150-Modele SGO'!$1:$1,0),FALSE))</f>
        <v>Oui, exécution des prestations iles littorales et/ou DROM-COM; Non, absence d'exécution des prestations iles littorales et/ou DROM-COM</v>
      </c>
      <c r="D385" s="229" t="str">
        <f>IF($A385="","",VLOOKUP($A385,'[2]3-Elaboration.O'!$A:$T,MATCH(D$1,'[2]150-Modele SGO'!$1:$1,0),FALSE))</f>
        <v xml:space="preserve">Liste choix unique </v>
      </c>
      <c r="E385" s="230" t="s">
        <v>70</v>
      </c>
      <c r="F385" s="230"/>
      <c r="G385" s="231"/>
      <c r="H385" s="232" t="s">
        <v>19</v>
      </c>
      <c r="I385" s="233" t="s">
        <v>1128</v>
      </c>
      <c r="J385" s="231"/>
      <c r="K385" s="231"/>
      <c r="L385" s="231"/>
      <c r="M385" s="232" t="s">
        <v>26</v>
      </c>
      <c r="N385" s="231"/>
      <c r="O385" s="233" t="s">
        <v>1128</v>
      </c>
      <c r="P385" s="233" t="s">
        <v>35</v>
      </c>
      <c r="Q385" s="233" t="s">
        <v>26</v>
      </c>
      <c r="R385" s="231" t="s">
        <v>24</v>
      </c>
      <c r="S385" s="233" t="s">
        <v>46</v>
      </c>
      <c r="T385" s="233" t="s">
        <v>46</v>
      </c>
      <c r="U385" s="233" t="s">
        <v>1128</v>
      </c>
      <c r="V385" s="232" t="s">
        <v>19</v>
      </c>
      <c r="W385" s="233" t="s">
        <v>1128</v>
      </c>
      <c r="X385" s="231"/>
      <c r="Y385" s="231"/>
      <c r="Z385" s="231"/>
      <c r="AA385" s="234"/>
      <c r="AB385" s="242"/>
      <c r="AC385" s="247"/>
      <c r="AD385" s="232" t="s">
        <v>26</v>
      </c>
      <c r="AE385" s="231"/>
      <c r="AF385" s="233" t="s">
        <v>1128</v>
      </c>
      <c r="AG385" s="233" t="s">
        <v>1128</v>
      </c>
      <c r="AH385" s="233" t="s">
        <v>1128</v>
      </c>
      <c r="AI385" s="233" t="s">
        <v>1128</v>
      </c>
      <c r="AJ385" s="233" t="s">
        <v>1128</v>
      </c>
      <c r="AK385" s="233" t="s">
        <v>1128</v>
      </c>
      <c r="AL385" s="235" t="s">
        <v>35</v>
      </c>
      <c r="AM385" s="231"/>
      <c r="AN385" s="231"/>
    </row>
    <row r="386" spans="1:40" s="9" customFormat="1" ht="55.35" customHeight="1" x14ac:dyDescent="0.25">
      <c r="A386" s="13" t="s">
        <v>1131</v>
      </c>
      <c r="B386" s="229" t="str">
        <f>IF($A386="","",VLOOKUP($A386,'[2]3-Elaboration.O'!$A:$T,MATCH(B$1,'[2]150-Modele SGO'!$1:$1,0),FALSE))</f>
        <v>Si oui, préciser si un traitement particulier doit être mis en place sur les iles littorales (mise en œuvre de la garantie contractuelle, prestations associées de base, recette technique le cas échéant, prestations associées optionnelles, autres...</v>
      </c>
      <c r="C386" s="229" t="str">
        <f>IF($A386="","",VLOOKUP($A386,'[2]3-Elaboration.O'!$A:$T,MATCH(C$1,'[2]150-Modele SGO'!$1:$1,0),FALSE))</f>
        <v>Les îles littorales :
o	Garantie contractuelle,
o	Prestations incluses dans le prix du matériel de base,
o	Prestations annexes non incluses dans le prix du matériel de base.</v>
      </c>
      <c r="D386" s="229" t="str">
        <f>IF($A386="","",VLOOKUP($A386,'[2]3-Elaboration.O'!$A:$T,MATCH(D$1,'[2]150-Modele SGO'!$1:$1,0),FALSE))</f>
        <v>Liste choix multiple</v>
      </c>
      <c r="E386" s="230" t="s">
        <v>70</v>
      </c>
      <c r="F386" s="230" t="s">
        <v>44</v>
      </c>
      <c r="G386" s="231"/>
      <c r="H386" s="232" t="s">
        <v>19</v>
      </c>
      <c r="I386" s="233" t="s">
        <v>1723</v>
      </c>
      <c r="J386" s="231"/>
      <c r="K386" s="231"/>
      <c r="L386" s="231"/>
      <c r="M386" s="232" t="s">
        <v>35</v>
      </c>
      <c r="N386" s="231"/>
      <c r="O386" s="231"/>
      <c r="P386" s="231"/>
      <c r="Q386" s="233" t="s">
        <v>26</v>
      </c>
      <c r="R386" s="231" t="s">
        <v>24</v>
      </c>
      <c r="S386" s="233" t="s">
        <v>46</v>
      </c>
      <c r="T386" s="233" t="s">
        <v>46</v>
      </c>
      <c r="U386" s="233" t="s">
        <v>1573</v>
      </c>
      <c r="V386" s="232" t="s">
        <v>19</v>
      </c>
      <c r="W386" s="233" t="s">
        <v>46</v>
      </c>
      <c r="X386" s="231"/>
      <c r="Y386" s="231"/>
      <c r="Z386" s="231"/>
      <c r="AA386" s="234"/>
      <c r="AB386" s="242"/>
      <c r="AC386" s="247"/>
      <c r="AD386" s="232" t="s">
        <v>35</v>
      </c>
      <c r="AE386" s="231"/>
      <c r="AF386" s="231"/>
      <c r="AG386" s="231" t="s">
        <v>1724</v>
      </c>
      <c r="AH386" s="231"/>
      <c r="AI386" s="231"/>
      <c r="AJ386" s="231"/>
      <c r="AK386" s="231"/>
      <c r="AL386" s="234" t="s">
        <v>35</v>
      </c>
      <c r="AM386" s="231"/>
      <c r="AN386" s="231"/>
    </row>
    <row r="387" spans="1:40" s="9" customFormat="1" ht="55.35" customHeight="1" x14ac:dyDescent="0.25">
      <c r="A387" s="13" t="s">
        <v>1134</v>
      </c>
      <c r="B387" s="229" t="str">
        <f>IF($A387="","",VLOOKUP($A387,'[2]3-Elaboration.O'!$A:$T,MATCH(B$1,'[2]150-Modele SGO'!$1:$1,0),FALSE))</f>
        <v>Si oui, préciser si un traitement particulier doit être mis en place sur les DROM-COM (mise en œuvre de la garantie contractuelle, prestations associées de base, recette technique le cas échéant, prestations associées optionnelles, autres...</v>
      </c>
      <c r="C387" s="229" t="str">
        <f>IF($A387="","",VLOOKUP($A387,'[2]3-Elaboration.O'!$A:$T,MATCH(C$1,'[2]150-Modele SGO'!$1:$1,0),FALSE))</f>
        <v>DROM-COM : Garantie contractuelle;DROM-COM : Prestations incluses dans le prix du matériel de base;DROM-COM : Prestations annexes non incluses dans le prix du matériel de base.</v>
      </c>
      <c r="D387" s="229" t="str">
        <f>IF($A387="","",VLOOKUP($A387,'[2]3-Elaboration.O'!$A:$T,MATCH(D$1,'[2]150-Modele SGO'!$1:$1,0),FALSE))</f>
        <v>Liste choix multiple</v>
      </c>
      <c r="E387" s="230" t="s">
        <v>70</v>
      </c>
      <c r="F387" s="230" t="s">
        <v>44</v>
      </c>
      <c r="G387" s="231"/>
      <c r="H387" s="232" t="s">
        <v>19</v>
      </c>
      <c r="I387" s="233" t="s">
        <v>1136</v>
      </c>
      <c r="J387" s="231"/>
      <c r="K387" s="231"/>
      <c r="L387" s="231"/>
      <c r="M387" s="232" t="s">
        <v>35</v>
      </c>
      <c r="N387" s="231"/>
      <c r="O387" s="231"/>
      <c r="P387" s="231"/>
      <c r="Q387" s="233" t="s">
        <v>26</v>
      </c>
      <c r="R387" s="231" t="s">
        <v>24</v>
      </c>
      <c r="S387" s="233" t="s">
        <v>46</v>
      </c>
      <c r="T387" s="233" t="s">
        <v>46</v>
      </c>
      <c r="U387" s="233" t="s">
        <v>1573</v>
      </c>
      <c r="V387" s="232" t="s">
        <v>35</v>
      </c>
      <c r="W387" s="231"/>
      <c r="X387" s="231"/>
      <c r="Y387" s="231"/>
      <c r="Z387" s="231"/>
      <c r="AA387" s="234"/>
      <c r="AB387" s="242"/>
      <c r="AC387" s="247"/>
      <c r="AD387" s="232" t="s">
        <v>35</v>
      </c>
      <c r="AE387" s="231"/>
      <c r="AF387" s="231"/>
      <c r="AG387" s="231"/>
      <c r="AH387" s="231"/>
      <c r="AI387" s="231"/>
      <c r="AJ387" s="231"/>
      <c r="AK387" s="231"/>
      <c r="AL387" s="234" t="s">
        <v>35</v>
      </c>
      <c r="AM387" s="231"/>
      <c r="AN387" s="231"/>
    </row>
    <row r="388" spans="1:40" s="9" customFormat="1" ht="38.1" customHeight="1" x14ac:dyDescent="0.25">
      <c r="A388" s="13" t="s">
        <v>1137</v>
      </c>
      <c r="B388" s="229" t="str">
        <f>IF($A388="","",VLOOKUP($A388,'[2]3-Elaboration.O'!$A:$T,MATCH(B$1,'[2]150-Modele SGO'!$1:$1,0),FALSE))</f>
        <v>Retour du matériel (offres de produits)</v>
      </c>
      <c r="C388" s="229" t="str">
        <f>IF($A388="","",VLOOKUP($A388,'[2]3-Elaboration.O'!$A:$T,MATCH(C$1,'[2]150-Modele SGO'!$1:$1,0),FALSE))</f>
        <v>Oui, reprise de matériel;Non, absence de reprise de matériel</v>
      </c>
      <c r="D388" s="229" t="str">
        <f>IF($A388="","",VLOOKUP($A388,'[2]3-Elaboration.O'!$A:$T,MATCH(D$1,'[2]150-Modele SGO'!$1:$1,0),FALSE))</f>
        <v xml:space="preserve">Liste choix unique </v>
      </c>
      <c r="E388" s="230" t="s">
        <v>70</v>
      </c>
      <c r="F388" s="230"/>
      <c r="G388" s="231"/>
      <c r="H388" s="232" t="s">
        <v>19</v>
      </c>
      <c r="I388" s="233" t="s">
        <v>1725</v>
      </c>
      <c r="J388" s="231"/>
      <c r="K388" s="231"/>
      <c r="L388" s="231"/>
      <c r="M388" s="232" t="s">
        <v>26</v>
      </c>
      <c r="N388" s="231"/>
      <c r="O388" s="233" t="s">
        <v>1138</v>
      </c>
      <c r="P388" s="233" t="s">
        <v>35</v>
      </c>
      <c r="Q388" s="233" t="s">
        <v>19</v>
      </c>
      <c r="R388" s="233" t="s">
        <v>46</v>
      </c>
      <c r="S388" s="231"/>
      <c r="T388" s="231" t="s">
        <v>24</v>
      </c>
      <c r="U388" s="231" t="s">
        <v>24</v>
      </c>
      <c r="V388" s="232" t="s">
        <v>19</v>
      </c>
      <c r="W388" s="233" t="s">
        <v>1138</v>
      </c>
      <c r="X388" s="231"/>
      <c r="Y388" s="231"/>
      <c r="Z388" s="231"/>
      <c r="AA388" s="234"/>
      <c r="AB388" s="231"/>
      <c r="AC388" s="247"/>
      <c r="AD388" s="232" t="s">
        <v>26</v>
      </c>
      <c r="AE388" s="231"/>
      <c r="AF388" s="233" t="s">
        <v>1725</v>
      </c>
      <c r="AG388" s="233" t="s">
        <v>1725</v>
      </c>
      <c r="AH388" s="233" t="s">
        <v>1725</v>
      </c>
      <c r="AI388" s="233" t="s">
        <v>1725</v>
      </c>
      <c r="AJ388" s="233" t="s">
        <v>1725</v>
      </c>
      <c r="AK388" s="233" t="s">
        <v>1725</v>
      </c>
      <c r="AL388" s="235" t="s">
        <v>35</v>
      </c>
      <c r="AM388" s="231"/>
      <c r="AN388" s="231"/>
    </row>
    <row r="389" spans="1:40" s="9" customFormat="1" ht="30" x14ac:dyDescent="0.25">
      <c r="A389" s="13" t="s">
        <v>1141</v>
      </c>
      <c r="B389" s="229" t="str">
        <f>IF($A389="","",VLOOKUP($A389,'[2]3-Elaboration.O'!$A:$T,MATCH(B$1,'[2]150-Modele SGO'!$1:$1,0),FALSE))</f>
        <v>Si oui, détailler les modalités de retour de produit par typologie</v>
      </c>
      <c r="C389" s="229" t="str">
        <f>IF($A389="","",VLOOKUP($A389,'[2]3-Elaboration.O'!$A:$T,MATCH(C$1,'[2]150-Modele SGO'!$1:$1,0),FALSE))</f>
        <v>Champ libre</v>
      </c>
      <c r="D389" s="229" t="str">
        <f>IF($A389="","",VLOOKUP($A389,'[2]3-Elaboration.O'!$A:$T,MATCH(D$1,'[2]150-Modele SGO'!$1:$1,0),FALSE))</f>
        <v>Texte</v>
      </c>
      <c r="E389" s="230" t="s">
        <v>70</v>
      </c>
      <c r="F389" s="230"/>
      <c r="G389" s="231"/>
      <c r="H389" s="232" t="s">
        <v>35</v>
      </c>
      <c r="I389" s="231"/>
      <c r="J389" s="231"/>
      <c r="K389" s="231"/>
      <c r="L389" s="231"/>
      <c r="M389" s="232" t="s">
        <v>35</v>
      </c>
      <c r="N389" s="231"/>
      <c r="O389" s="231"/>
      <c r="P389" s="231"/>
      <c r="Q389" s="233" t="s">
        <v>19</v>
      </c>
      <c r="R389" s="233" t="s">
        <v>46</v>
      </c>
      <c r="S389" s="231"/>
      <c r="T389" s="231" t="s">
        <v>24</v>
      </c>
      <c r="U389" s="231" t="s">
        <v>24</v>
      </c>
      <c r="V389" s="232" t="s">
        <v>35</v>
      </c>
      <c r="W389" s="231"/>
      <c r="X389" s="231"/>
      <c r="Y389" s="231"/>
      <c r="Z389" s="231"/>
      <c r="AA389" s="234"/>
      <c r="AB389" s="231"/>
      <c r="AC389" s="247"/>
      <c r="AD389" s="232" t="s">
        <v>35</v>
      </c>
      <c r="AE389" s="231"/>
      <c r="AF389" s="231"/>
      <c r="AG389" s="231"/>
      <c r="AH389" s="231"/>
      <c r="AI389" s="231"/>
      <c r="AJ389" s="231"/>
      <c r="AK389" s="231"/>
      <c r="AL389" s="234" t="s">
        <v>35</v>
      </c>
      <c r="AM389" s="231"/>
      <c r="AN389" s="231"/>
    </row>
    <row r="390" spans="1:40" s="9" customFormat="1" ht="45" x14ac:dyDescent="0.25">
      <c r="A390" s="13" t="s">
        <v>1143</v>
      </c>
      <c r="B390" s="229" t="str">
        <f>IF($A390="","",VLOOKUP($A390,'[2]3-Elaboration.O'!$A:$T,MATCH(B$1,'[2]150-Modele SGO'!$1:$1,0),FALSE))</f>
        <v>Autres modalités particulières d’exécution (toute offre)</v>
      </c>
      <c r="C390" s="229" t="str">
        <f>IF($A390="","",VLOOKUP($A390,'[2]3-Elaboration.O'!$A:$T,MATCH(C$1,'[2]150-Modele SGO'!$1:$1,0),FALSE))</f>
        <v>Oui, modalités particulières d'exécution; Non, absence de modalités particulières d'exécution</v>
      </c>
      <c r="D390" s="229" t="str">
        <f>IF($A390="","",VLOOKUP($A390,'[2]3-Elaboration.O'!$A:$T,MATCH(D$1,'[2]150-Modele SGO'!$1:$1,0),FALSE))</f>
        <v xml:space="preserve">Liste choix unique </v>
      </c>
      <c r="E390" s="230" t="s">
        <v>70</v>
      </c>
      <c r="F390" s="230"/>
      <c r="G390" s="231"/>
      <c r="H390" s="232" t="s">
        <v>19</v>
      </c>
      <c r="I390" s="233" t="s">
        <v>1726</v>
      </c>
      <c r="J390" s="231"/>
      <c r="K390" s="231"/>
      <c r="L390" s="231"/>
      <c r="M390" s="232" t="s">
        <v>35</v>
      </c>
      <c r="N390" s="231"/>
      <c r="O390" s="231"/>
      <c r="P390" s="231"/>
      <c r="Q390" s="233" t="s">
        <v>19</v>
      </c>
      <c r="R390" s="233" t="s">
        <v>46</v>
      </c>
      <c r="S390" s="231" t="s">
        <v>24</v>
      </c>
      <c r="T390" s="231" t="s">
        <v>24</v>
      </c>
      <c r="U390" s="231" t="s">
        <v>24</v>
      </c>
      <c r="V390" s="232" t="s">
        <v>26</v>
      </c>
      <c r="W390" s="231"/>
      <c r="X390" s="233" t="s">
        <v>1144</v>
      </c>
      <c r="Y390" s="233" t="s">
        <v>1144</v>
      </c>
      <c r="Z390" s="233" t="s">
        <v>1726</v>
      </c>
      <c r="AA390" s="235" t="s">
        <v>1144</v>
      </c>
      <c r="AB390" s="233" t="s">
        <v>1144</v>
      </c>
      <c r="AC390" s="233" t="s">
        <v>1144</v>
      </c>
      <c r="AD390" s="232" t="s">
        <v>35</v>
      </c>
      <c r="AE390" s="231"/>
      <c r="AF390" s="231"/>
      <c r="AG390" s="231"/>
      <c r="AH390" s="231"/>
      <c r="AI390" s="231"/>
      <c r="AJ390" s="231"/>
      <c r="AK390" s="231"/>
      <c r="AL390" s="234" t="s">
        <v>35</v>
      </c>
      <c r="AM390" s="231"/>
      <c r="AN390" s="231"/>
    </row>
    <row r="391" spans="1:40" s="9" customFormat="1" ht="255" x14ac:dyDescent="0.25">
      <c r="A391" s="13" t="s">
        <v>1147</v>
      </c>
      <c r="B391" s="229" t="str">
        <f>IF($A391="","",VLOOKUP($A391,'[2]3-Elaboration.O'!$A:$T,MATCH(B$1,'[2]150-Modele SGO'!$1:$1,0),FALSE))</f>
        <v>Si oui, préciser lesquelles et par qui (client / Fournisseur / UGAP)</v>
      </c>
      <c r="C391" s="229" t="str">
        <f>IF($A391="","",VLOOKUP($A391,'[2]3-Elaboration.O'!$A:$T,MATCH(C$1,'[2]150-Modele SGO'!$1:$1,0),FALSE))</f>
        <v>Champ libre</v>
      </c>
      <c r="D391" s="229" t="str">
        <f>IF($A391="","",VLOOKUP($A391,'[2]3-Elaboration.O'!$A:$T,MATCH(D$1,'[2]150-Modele SGO'!$1:$1,0),FALSE))</f>
        <v>Texte</v>
      </c>
      <c r="E391" s="230" t="s">
        <v>70</v>
      </c>
      <c r="F391" s="230"/>
      <c r="G391" s="231"/>
      <c r="H391" s="232" t="s">
        <v>35</v>
      </c>
      <c r="I391" s="231"/>
      <c r="J391" s="231"/>
      <c r="K391" s="231"/>
      <c r="L391" s="231"/>
      <c r="M391" s="232" t="s">
        <v>35</v>
      </c>
      <c r="N391" s="231"/>
      <c r="O391" s="231"/>
      <c r="P391" s="231"/>
      <c r="Q391" s="231" t="s">
        <v>35</v>
      </c>
      <c r="R391" s="231" t="s">
        <v>24</v>
      </c>
      <c r="S391" s="231" t="s">
        <v>24</v>
      </c>
      <c r="T391" s="231" t="s">
        <v>24</v>
      </c>
      <c r="U391" s="231" t="s">
        <v>24</v>
      </c>
      <c r="V391" s="232" t="s">
        <v>35</v>
      </c>
      <c r="W391" s="231"/>
      <c r="X391" s="231"/>
      <c r="Y391" s="231"/>
      <c r="Z391" s="231"/>
      <c r="AA391" s="234"/>
      <c r="AB391" s="231"/>
      <c r="AC391" s="247"/>
      <c r="AD391" s="232" t="s">
        <v>35</v>
      </c>
      <c r="AE391" s="231"/>
      <c r="AF391" s="231"/>
      <c r="AG391" s="231" t="s">
        <v>1727</v>
      </c>
      <c r="AH391" s="231"/>
      <c r="AI391" s="231"/>
      <c r="AJ391" s="231"/>
      <c r="AK391" s="231"/>
      <c r="AL391" s="234" t="s">
        <v>35</v>
      </c>
      <c r="AM391" s="231"/>
      <c r="AN391" s="231"/>
    </row>
    <row r="392" spans="1:40" s="9" customFormat="1" ht="15.75" x14ac:dyDescent="0.25">
      <c r="A392" s="108" t="s">
        <v>1149</v>
      </c>
      <c r="B392" s="244" t="str">
        <f>IF($A392="","",VLOOKUP($A392,'[2]3-Elaboration.O'!$A:$T,MATCH(B$1,'[2]150-Modele SGO'!$1:$1,0),FALSE))</f>
        <v>11.6 Politiques publiques</v>
      </c>
      <c r="C392" s="244">
        <f>IF($A392="","",VLOOKUP($A392,'[2]3-Elaboration.O'!$A:$T,MATCH(C$1,'[2]150-Modele SGO'!$1:$1,0),FALSE))</f>
        <v>0</v>
      </c>
      <c r="D392" s="244">
        <f>IF($A392="","",VLOOKUP($A392,'[2]3-Elaboration.O'!$A:$T,MATCH(D$1,'[2]150-Modele SGO'!$1:$1,0),FALSE))</f>
        <v>0</v>
      </c>
      <c r="E392" s="241" t="s">
        <v>70</v>
      </c>
      <c r="F392" s="241"/>
      <c r="G392" s="251"/>
      <c r="H392" s="241" t="s">
        <v>30</v>
      </c>
      <c r="I392" s="237"/>
      <c r="J392" s="237"/>
      <c r="K392" s="237"/>
      <c r="L392" s="237"/>
      <c r="M392" s="241" t="s">
        <v>30</v>
      </c>
      <c r="N392" s="237"/>
      <c r="O392" s="237"/>
      <c r="P392" s="237"/>
      <c r="Q392" s="237" t="s">
        <v>30</v>
      </c>
      <c r="R392" s="237" t="s">
        <v>24</v>
      </c>
      <c r="S392" s="231" t="s">
        <v>24</v>
      </c>
      <c r="T392" s="237" t="s">
        <v>24</v>
      </c>
      <c r="U392" s="237" t="s">
        <v>24</v>
      </c>
      <c r="V392" s="241" t="s">
        <v>30</v>
      </c>
      <c r="W392" s="237"/>
      <c r="X392" s="237"/>
      <c r="Y392" s="237"/>
      <c r="Z392" s="237"/>
      <c r="AA392" s="239"/>
      <c r="AB392" s="237"/>
      <c r="AC392" s="237"/>
      <c r="AD392" s="241" t="s">
        <v>30</v>
      </c>
      <c r="AE392" s="251"/>
      <c r="AF392" s="251"/>
      <c r="AG392" s="252"/>
      <c r="AH392" s="251"/>
      <c r="AI392" s="251"/>
      <c r="AJ392" s="251"/>
      <c r="AK392" s="251"/>
      <c r="AL392" s="253" t="s">
        <v>30</v>
      </c>
      <c r="AM392" s="251"/>
      <c r="AN392" s="251"/>
    </row>
    <row r="393" spans="1:40" s="9" customFormat="1" ht="45" x14ac:dyDescent="0.25">
      <c r="A393" s="13" t="s">
        <v>1151</v>
      </c>
      <c r="B393" s="229" t="str">
        <f>IF($A393="","",VLOOKUP($A393,'[2]3-Elaboration.O'!$A:$T,MATCH(B$1,'[2]150-Modele SGO'!$1:$1,0),FALSE))</f>
        <v>Une considération environnementale est-elle intégrée à chaque lot ?</v>
      </c>
      <c r="C393" s="229" t="str">
        <f>IF($A393="","",VLOOKUP($A393,'[2]3-Elaboration.O'!$A:$T,MATCH(C$1,'[2]150-Modele SGO'!$1:$1,0),FALSE))</f>
        <v>Oui, une considération environnementale est intégrée à chaque lot ; Non, Tout ou partie des lots n'intègre pas de considération environnementale</v>
      </c>
      <c r="D393" s="229" t="str">
        <f>IF($A393="","",VLOOKUP($A393,'[2]3-Elaboration.O'!$A:$T,MATCH(D$1,'[2]150-Modele SGO'!$1:$1,0),FALSE))</f>
        <v xml:space="preserve">Liste choix unique </v>
      </c>
      <c r="E393" s="230" t="s">
        <v>70</v>
      </c>
      <c r="F393" s="294"/>
      <c r="G393" s="295" t="s">
        <v>1152</v>
      </c>
      <c r="H393" s="232" t="s">
        <v>51</v>
      </c>
      <c r="I393" s="234" t="s">
        <v>51</v>
      </c>
      <c r="J393" s="234" t="s">
        <v>51</v>
      </c>
      <c r="K393" s="234" t="s">
        <v>51</v>
      </c>
      <c r="L393" s="234" t="s">
        <v>51</v>
      </c>
      <c r="M393" s="232" t="s">
        <v>51</v>
      </c>
      <c r="N393" s="234"/>
      <c r="O393" s="234"/>
      <c r="P393" s="234"/>
      <c r="Q393" s="234" t="s">
        <v>51</v>
      </c>
      <c r="R393" s="234" t="s">
        <v>24</v>
      </c>
      <c r="S393" s="231" t="s">
        <v>24</v>
      </c>
      <c r="T393" s="234" t="s">
        <v>24</v>
      </c>
      <c r="U393" s="234" t="s">
        <v>24</v>
      </c>
      <c r="V393" s="232" t="s">
        <v>51</v>
      </c>
      <c r="W393" s="231"/>
      <c r="X393" s="231"/>
      <c r="Y393" s="247"/>
      <c r="Z393" s="231"/>
      <c r="AA393" s="234"/>
      <c r="AB393" s="231"/>
      <c r="AC393" s="247"/>
      <c r="AD393" s="232" t="s">
        <v>51</v>
      </c>
      <c r="AE393" s="231"/>
      <c r="AF393" s="231"/>
      <c r="AG393" s="231"/>
      <c r="AH393" s="231"/>
      <c r="AI393" s="231"/>
      <c r="AJ393" s="231"/>
      <c r="AK393" s="231"/>
      <c r="AL393" s="234" t="s">
        <v>51</v>
      </c>
      <c r="AM393" s="231"/>
      <c r="AN393" s="231"/>
    </row>
    <row r="394" spans="1:40" s="9" customFormat="1" ht="45" x14ac:dyDescent="0.25">
      <c r="A394" s="13" t="s">
        <v>1155</v>
      </c>
      <c r="B394" s="229" t="str">
        <f>IF($A394="","",VLOOKUP($A394,'[2]3-Elaboration.O'!$A:$T,MATCH(B$1,'[2]150-Modele SGO'!$1:$1,0),FALSE))</f>
        <v>Préciser par lot la considération environnementale applicable (spécification technique, condition d'exécution et critère environnemental)</v>
      </c>
      <c r="C394" s="229" t="str">
        <f>IF($A394="","",VLOOKUP($A394,'[2]3-Elaboration.O'!$A:$T,MATCH(C$1,'[2]150-Modele SGO'!$1:$1,0),FALSE))</f>
        <v>Annexe 10 - Détail_Lots</v>
      </c>
      <c r="D394" s="229" t="str">
        <f>IF($A394="","",VLOOKUP($A394,'[2]3-Elaboration.O'!$A:$T,MATCH(D$1,'[2]150-Modele SGO'!$1:$1,0),FALSE))</f>
        <v>Annexe 10 - Détail lots</v>
      </c>
      <c r="E394" s="230" t="s">
        <v>1521</v>
      </c>
      <c r="F394" s="230"/>
      <c r="G394" s="231"/>
      <c r="H394" s="232" t="s">
        <v>35</v>
      </c>
      <c r="I394" s="231"/>
      <c r="J394" s="231"/>
      <c r="K394" s="231"/>
      <c r="L394" s="231"/>
      <c r="M394" s="232" t="s">
        <v>35</v>
      </c>
      <c r="N394" s="234"/>
      <c r="O394" s="234"/>
      <c r="P394" s="234"/>
      <c r="Q394" s="231" t="s">
        <v>35</v>
      </c>
      <c r="R394" s="231" t="s">
        <v>24</v>
      </c>
      <c r="S394" s="231" t="s">
        <v>24</v>
      </c>
      <c r="T394" s="231" t="s">
        <v>24</v>
      </c>
      <c r="U394" s="231" t="s">
        <v>24</v>
      </c>
      <c r="V394" s="232" t="s">
        <v>35</v>
      </c>
      <c r="W394" s="234"/>
      <c r="X394" s="234"/>
      <c r="Y394" s="234"/>
      <c r="Z394" s="234"/>
      <c r="AA394" s="234"/>
      <c r="AB394" s="234"/>
      <c r="AC394" s="234"/>
      <c r="AD394" s="232" t="s">
        <v>35</v>
      </c>
      <c r="AE394" s="231"/>
      <c r="AF394" s="231"/>
      <c r="AG394" s="231"/>
      <c r="AH394" s="231"/>
      <c r="AI394" s="231"/>
      <c r="AJ394" s="231"/>
      <c r="AK394" s="231"/>
      <c r="AL394" s="234" t="s">
        <v>35</v>
      </c>
      <c r="AM394" s="231"/>
      <c r="AN394" s="231"/>
    </row>
    <row r="395" spans="1:40" s="9" customFormat="1" ht="45" x14ac:dyDescent="0.25">
      <c r="A395" s="13" t="s">
        <v>1157</v>
      </c>
      <c r="B395" s="229" t="str">
        <f>IF($A395="","",VLOOKUP($A395,'[2]3-Elaboration.O'!$A:$T,MATCH(B$1,'[2]150-Modele SGO'!$1:$1,0),FALSE))</f>
        <v>L'offre inclut-elle des exigences en matière d'impact environnemental du transport?</v>
      </c>
      <c r="C395" s="229" t="str">
        <f>IF($A395="","",VLOOKUP($A395,'[2]3-Elaboration.O'!$A:$T,MATCH(C$1,'[2]150-Modele SGO'!$1:$1,0),FALSE))</f>
        <v>Oui, l'offre inclut des exigences en matière d'impact environnemental du transport;Oui, l'offre n'inclut pas d'exigences en matière d'impact environnemental du transport</v>
      </c>
      <c r="D395" s="229" t="str">
        <f>IF($A395="","",VLOOKUP($A395,'[2]3-Elaboration.O'!$A:$T,MATCH(D$1,'[2]150-Modele SGO'!$1:$1,0),FALSE))</f>
        <v xml:space="preserve">Liste choix unique </v>
      </c>
      <c r="E395" s="230" t="s">
        <v>1521</v>
      </c>
      <c r="F395" s="230"/>
      <c r="G395" s="231"/>
      <c r="H395" s="232" t="s">
        <v>35</v>
      </c>
      <c r="I395" s="231"/>
      <c r="J395" s="231"/>
      <c r="K395" s="231"/>
      <c r="L395" s="231"/>
      <c r="M395" s="232" t="s">
        <v>35</v>
      </c>
      <c r="N395" s="234"/>
      <c r="O395" s="234"/>
      <c r="P395" s="234"/>
      <c r="Q395" s="231" t="s">
        <v>35</v>
      </c>
      <c r="R395" s="234" t="s">
        <v>24</v>
      </c>
      <c r="S395" s="231" t="s">
        <v>24</v>
      </c>
      <c r="T395" s="231" t="s">
        <v>24</v>
      </c>
      <c r="U395" s="231" t="s">
        <v>24</v>
      </c>
      <c r="V395" s="232" t="s">
        <v>35</v>
      </c>
      <c r="W395" s="234"/>
      <c r="X395" s="234"/>
      <c r="Y395" s="234"/>
      <c r="Z395" s="234"/>
      <c r="AA395" s="234"/>
      <c r="AB395" s="234"/>
      <c r="AC395" s="234"/>
      <c r="AD395" s="232" t="s">
        <v>35</v>
      </c>
      <c r="AE395" s="231"/>
      <c r="AF395" s="231"/>
      <c r="AG395" s="231"/>
      <c r="AH395" s="231"/>
      <c r="AI395" s="231"/>
      <c r="AJ395" s="231"/>
      <c r="AK395" s="231"/>
      <c r="AL395" s="234" t="s">
        <v>35</v>
      </c>
      <c r="AM395" s="231"/>
      <c r="AN395" s="231"/>
    </row>
    <row r="396" spans="1:40" s="9" customFormat="1" ht="30" x14ac:dyDescent="0.25">
      <c r="A396" s="13" t="s">
        <v>1160</v>
      </c>
      <c r="B396" s="229" t="str">
        <f>IF($A396="","",VLOOKUP($A396,'[2]3-Elaboration.O'!$A:$T,MATCH(B$1,'[2]150-Modele SGO'!$1:$1,0),FALSE))</f>
        <v>L'offre prévoit-elle un plan de progrès décarbonation du transport?</v>
      </c>
      <c r="C396" s="229" t="str">
        <f>IF($A396="","",VLOOKUP($A396,'[2]3-Elaboration.O'!$A:$T,MATCH(C$1,'[2]150-Modele SGO'!$1:$1,0),FALSE))</f>
        <v>Oui, l'offre prévoit un plan de progrès décarbonation du transport;Non, l'offre ne prévoit pas de plan de progrès décarbonation du transport</v>
      </c>
      <c r="D396" s="229" t="str">
        <f>IF($A396="","",VLOOKUP($A396,'[2]3-Elaboration.O'!$A:$T,MATCH(D$1,'[2]150-Modele SGO'!$1:$1,0),FALSE))</f>
        <v xml:space="preserve">Liste choix unique </v>
      </c>
      <c r="E396" s="230" t="s">
        <v>1521</v>
      </c>
      <c r="F396" s="230"/>
      <c r="G396" s="231"/>
      <c r="H396" s="232" t="s">
        <v>35</v>
      </c>
      <c r="I396" s="231"/>
      <c r="J396" s="231"/>
      <c r="K396" s="231"/>
      <c r="L396" s="231"/>
      <c r="M396" s="232" t="s">
        <v>35</v>
      </c>
      <c r="N396" s="234"/>
      <c r="O396" s="234"/>
      <c r="P396" s="234"/>
      <c r="Q396" s="231" t="s">
        <v>35</v>
      </c>
      <c r="R396" s="234" t="s">
        <v>24</v>
      </c>
      <c r="S396" s="231" t="s">
        <v>24</v>
      </c>
      <c r="T396" s="231" t="s">
        <v>24</v>
      </c>
      <c r="U396" s="231" t="s">
        <v>24</v>
      </c>
      <c r="V396" s="232" t="s">
        <v>35</v>
      </c>
      <c r="W396" s="234"/>
      <c r="X396" s="234"/>
      <c r="Y396" s="234"/>
      <c r="Z396" s="234"/>
      <c r="AA396" s="234"/>
      <c r="AB396" s="234"/>
      <c r="AC396" s="234"/>
      <c r="AD396" s="232" t="s">
        <v>35</v>
      </c>
      <c r="AE396" s="231"/>
      <c r="AF396" s="231"/>
      <c r="AG396" s="231"/>
      <c r="AH396" s="231"/>
      <c r="AI396" s="231"/>
      <c r="AJ396" s="231"/>
      <c r="AK396" s="231"/>
      <c r="AL396" s="234" t="s">
        <v>35</v>
      </c>
      <c r="AM396" s="231"/>
      <c r="AN396" s="231"/>
    </row>
    <row r="397" spans="1:40" s="9" customFormat="1" ht="30" x14ac:dyDescent="0.25">
      <c r="A397" s="13" t="s">
        <v>1163</v>
      </c>
      <c r="B397" s="229" t="str">
        <f>IF($A397="","",VLOOKUP($A397,'[2]3-Elaboration.O'!$A:$T,MATCH(B$1,'[2]150-Modele SGO'!$1:$1,0),FALSE))</f>
        <v>L'offre est-elle concernée par une ou plusieurs REP (Responsabilité Elargie des Producteurs) ?</v>
      </c>
      <c r="C397" s="229" t="str">
        <f>IF($A397="","",VLOOKUP($A397,'[2]3-Elaboration.O'!$A:$T,MATCH(C$1,'[2]150-Modele SGO'!$1:$1,0),FALSE))</f>
        <v>Tout ou partie des lots sont concernés par une ou plusieurs REP ; Aucun lot n'est concerné par une REP</v>
      </c>
      <c r="D397" s="229" t="str">
        <f>IF($A397="","",VLOOKUP($A397,'[2]3-Elaboration.O'!$A:$T,MATCH(D$1,'[2]150-Modele SGO'!$1:$1,0),FALSE))</f>
        <v xml:space="preserve">Liste choix unique </v>
      </c>
      <c r="E397" s="230" t="s">
        <v>70</v>
      </c>
      <c r="F397" s="230"/>
      <c r="G397" s="231"/>
      <c r="H397" s="232" t="s">
        <v>35</v>
      </c>
      <c r="I397" s="231"/>
      <c r="J397" s="231"/>
      <c r="K397" s="231"/>
      <c r="L397" s="231"/>
      <c r="M397" s="232" t="s">
        <v>35</v>
      </c>
      <c r="N397" s="234"/>
      <c r="O397" s="234"/>
      <c r="P397" s="234"/>
      <c r="Q397" s="233" t="s">
        <v>19</v>
      </c>
      <c r="R397" s="235" t="s">
        <v>1728</v>
      </c>
      <c r="S397" s="231" t="s">
        <v>24</v>
      </c>
      <c r="T397" s="234" t="s">
        <v>24</v>
      </c>
      <c r="U397" s="234" t="s">
        <v>24</v>
      </c>
      <c r="V397" s="232" t="s">
        <v>35</v>
      </c>
      <c r="W397" s="234"/>
      <c r="X397" s="234"/>
      <c r="Y397" s="234"/>
      <c r="Z397" s="234"/>
      <c r="AA397" s="234"/>
      <c r="AB397" s="234"/>
      <c r="AC397" s="234"/>
      <c r="AD397" s="232" t="s">
        <v>35</v>
      </c>
      <c r="AE397" s="231"/>
      <c r="AF397" s="231"/>
      <c r="AG397" s="231"/>
      <c r="AH397" s="231"/>
      <c r="AI397" s="231"/>
      <c r="AJ397" s="231"/>
      <c r="AK397" s="231"/>
      <c r="AL397" s="234" t="s">
        <v>35</v>
      </c>
      <c r="AM397" s="231"/>
      <c r="AN397" s="231"/>
    </row>
    <row r="398" spans="1:40" s="9" customFormat="1" ht="30" x14ac:dyDescent="0.25">
      <c r="A398" s="13" t="s">
        <v>1166</v>
      </c>
      <c r="B398" s="229" t="str">
        <f>IF($A398="","",VLOOKUP($A398,'[2]3-Elaboration.O'!$A:$T,MATCH(B$1,'[2]150-Modele SGO'!$1:$1,0),FALSE))</f>
        <v>Si tout ou partie des lots concernés, préciser lesquels</v>
      </c>
      <c r="C398" s="229" t="str">
        <f>IF($A398="","",VLOOKUP($A398,'[2]3-Elaboration.O'!$A:$T,MATCH(C$1,'[2]150-Modele SGO'!$1:$1,0),FALSE))</f>
        <v>Annexe 10 - Détail_Lots</v>
      </c>
      <c r="D398" s="229" t="str">
        <f>IF($A398="","",VLOOKUP($A398,'[2]3-Elaboration.O'!$A:$T,MATCH(D$1,'[2]150-Modele SGO'!$1:$1,0),FALSE))</f>
        <v>Annexe 10 - Détail lots</v>
      </c>
      <c r="E398" s="230" t="s">
        <v>70</v>
      </c>
      <c r="F398" s="230"/>
      <c r="G398" s="231"/>
      <c r="H398" s="232" t="s">
        <v>35</v>
      </c>
      <c r="I398" s="231"/>
      <c r="J398" s="231"/>
      <c r="K398" s="231"/>
      <c r="L398" s="231"/>
      <c r="M398" s="232" t="s">
        <v>35</v>
      </c>
      <c r="N398" s="234"/>
      <c r="O398" s="234"/>
      <c r="P398" s="234"/>
      <c r="Q398" s="231" t="s">
        <v>35</v>
      </c>
      <c r="R398" s="231" t="s">
        <v>24</v>
      </c>
      <c r="S398" s="231" t="s">
        <v>24</v>
      </c>
      <c r="T398" s="231" t="s">
        <v>24</v>
      </c>
      <c r="U398" s="231" t="s">
        <v>24</v>
      </c>
      <c r="V398" s="232" t="s">
        <v>35</v>
      </c>
      <c r="W398" s="234"/>
      <c r="X398" s="234"/>
      <c r="Y398" s="234"/>
      <c r="Z398" s="234" t="s">
        <v>46</v>
      </c>
      <c r="AA398" s="234" t="s">
        <v>46</v>
      </c>
      <c r="AB398" s="234" t="s">
        <v>46</v>
      </c>
      <c r="AC398" s="234"/>
      <c r="AD398" s="232" t="s">
        <v>35</v>
      </c>
      <c r="AE398" s="231"/>
      <c r="AF398" s="234"/>
      <c r="AG398" s="231"/>
      <c r="AH398" s="231"/>
      <c r="AI398" s="231"/>
      <c r="AJ398" s="231"/>
      <c r="AK398" s="234"/>
      <c r="AL398" s="234" t="s">
        <v>35</v>
      </c>
      <c r="AM398" s="231"/>
      <c r="AN398" s="234"/>
    </row>
    <row r="399" spans="1:40" s="9" customFormat="1" ht="30" x14ac:dyDescent="0.25">
      <c r="A399" s="13" t="s">
        <v>1168</v>
      </c>
      <c r="B399" s="229" t="str">
        <f>IF($A399="","",VLOOKUP($A399,'[2]3-Elaboration.O'!$A:$T,MATCH(B$1,'[2]150-Modele SGO'!$1:$1,0),FALSE))</f>
        <v>L'offre est-elle concernée par de la reprise 1 pour 1</v>
      </c>
      <c r="C399" s="229" t="str">
        <f>IF($A399="","",VLOOKUP($A399,'[2]3-Elaboration.O'!$A:$T,MATCH(C$1,'[2]150-Modele SGO'!$1:$1,0),FALSE))</f>
        <v>Tout ou partie des lots sont concernés par de la reprise 1 pour 1; Aucun lot n'est concerné par de la reprise 1 pour 1</v>
      </c>
      <c r="D399" s="229" t="str">
        <f>IF($A399="","",VLOOKUP($A399,'[2]3-Elaboration.O'!$A:$T,MATCH(D$1,'[2]150-Modele SGO'!$1:$1,0),FALSE))</f>
        <v xml:space="preserve">Liste choix unique </v>
      </c>
      <c r="E399" s="230"/>
      <c r="F399" s="230"/>
      <c r="G399" s="231"/>
      <c r="H399" s="232" t="s">
        <v>19</v>
      </c>
      <c r="I399" s="233" t="s">
        <v>46</v>
      </c>
      <c r="J399" s="231"/>
      <c r="K399" s="231"/>
      <c r="L399" s="231"/>
      <c r="M399" s="232" t="s">
        <v>35</v>
      </c>
      <c r="N399" s="234"/>
      <c r="O399" s="234"/>
      <c r="P399" s="234"/>
      <c r="Q399" s="233" t="s">
        <v>19</v>
      </c>
      <c r="R399" s="235" t="s">
        <v>1729</v>
      </c>
      <c r="S399" s="231" t="s">
        <v>24</v>
      </c>
      <c r="T399" s="234" t="s">
        <v>24</v>
      </c>
      <c r="U399" s="234" t="s">
        <v>24</v>
      </c>
      <c r="V399" s="232" t="s">
        <v>35</v>
      </c>
      <c r="W399" s="234"/>
      <c r="X399" s="234"/>
      <c r="Y399" s="234"/>
      <c r="Z399" s="234" t="s">
        <v>46</v>
      </c>
      <c r="AA399" s="234" t="s">
        <v>46</v>
      </c>
      <c r="AB399" s="234" t="s">
        <v>46</v>
      </c>
      <c r="AC399" s="234"/>
      <c r="AD399" s="232" t="s">
        <v>35</v>
      </c>
      <c r="AE399" s="231"/>
      <c r="AF399" s="234"/>
      <c r="AG399" s="231"/>
      <c r="AH399" s="231"/>
      <c r="AI399" s="231"/>
      <c r="AJ399" s="231"/>
      <c r="AK399" s="234"/>
      <c r="AL399" s="234" t="s">
        <v>35</v>
      </c>
      <c r="AM399" s="231"/>
      <c r="AN399" s="234"/>
    </row>
    <row r="400" spans="1:40" s="9" customFormat="1" ht="30" x14ac:dyDescent="0.25">
      <c r="A400" s="13" t="s">
        <v>1171</v>
      </c>
      <c r="B400" s="229" t="str">
        <f>IF($A400="","",VLOOKUP($A400,'[2]3-Elaboration.O'!$A:$T,MATCH(B$1,'[2]150-Modele SGO'!$1:$1,0),FALSE))</f>
        <v>Si tout ou partie des lots concernés, préciser lesquels</v>
      </c>
      <c r="C400" s="229" t="str">
        <f>IF($A400="","",VLOOKUP($A400,'[2]3-Elaboration.O'!$A:$T,MATCH(C$1,'[2]150-Modele SGO'!$1:$1,0),FALSE))</f>
        <v>Annexe 10 - Détail_Lots</v>
      </c>
      <c r="D400" s="229" t="str">
        <f>IF($A400="","",VLOOKUP($A400,'[2]3-Elaboration.O'!$A:$T,MATCH(D$1,'[2]150-Modele SGO'!$1:$1,0),FALSE))</f>
        <v>Annexe 10 - Détail lots</v>
      </c>
      <c r="E400" s="230"/>
      <c r="F400" s="230"/>
      <c r="G400" s="231"/>
      <c r="H400" s="232" t="s">
        <v>35</v>
      </c>
      <c r="I400" s="231"/>
      <c r="J400" s="231"/>
      <c r="K400" s="231"/>
      <c r="L400" s="231"/>
      <c r="M400" s="232" t="s">
        <v>35</v>
      </c>
      <c r="N400" s="234"/>
      <c r="O400" s="234"/>
      <c r="P400" s="234"/>
      <c r="Q400" s="231" t="s">
        <v>35</v>
      </c>
      <c r="R400" s="231" t="s">
        <v>24</v>
      </c>
      <c r="S400" s="231" t="s">
        <v>24</v>
      </c>
      <c r="T400" s="231" t="s">
        <v>24</v>
      </c>
      <c r="U400" s="231" t="s">
        <v>24</v>
      </c>
      <c r="V400" s="232" t="s">
        <v>35</v>
      </c>
      <c r="W400" s="234"/>
      <c r="X400" s="234"/>
      <c r="Y400" s="234"/>
      <c r="Z400" s="234"/>
      <c r="AA400" s="234"/>
      <c r="AB400" s="234"/>
      <c r="AC400" s="234"/>
      <c r="AD400" s="232" t="s">
        <v>35</v>
      </c>
      <c r="AE400" s="231"/>
      <c r="AF400" s="231"/>
      <c r="AG400" s="231"/>
      <c r="AH400" s="231"/>
      <c r="AI400" s="231"/>
      <c r="AJ400" s="231"/>
      <c r="AK400" s="231"/>
      <c r="AL400" s="234" t="s">
        <v>35</v>
      </c>
      <c r="AM400" s="231"/>
      <c r="AN400" s="231"/>
    </row>
    <row r="401" spans="1:40" s="9" customFormat="1" ht="45" x14ac:dyDescent="0.25">
      <c r="A401" s="13" t="s">
        <v>1172</v>
      </c>
      <c r="B401" s="229" t="str">
        <f>IF($A401="","",VLOOKUP($A401,'[2]3-Elaboration.O'!$A:$T,MATCH(B$1,'[2]150-Modele SGO'!$1:$1,0),FALSE))</f>
        <v>Les produits issus du réemploi/réutilisation sont-ils intégrés dans l'offre (exemple : architecture lot dédié, facultatif libre ...)?</v>
      </c>
      <c r="C401" s="229" t="str">
        <f>IF($A401="","",VLOOKUP($A401,'[2]3-Elaboration.O'!$A:$T,MATCH(C$1,'[2]150-Modele SGO'!$1:$1,0),FALSE))</f>
        <v xml:space="preserve">Oui, l'offre intègre des produits issus du réemploi/réutilisation; Non, l'offre n'intègre pas des produits issus du réemploi/réutilisation </v>
      </c>
      <c r="D401" s="229" t="str">
        <f>IF($A401="","",VLOOKUP($A401,'[2]3-Elaboration.O'!$A:$T,MATCH(D$1,'[2]150-Modele SGO'!$1:$1,0),FALSE))</f>
        <v>Liste choix unique</v>
      </c>
      <c r="E401" s="230" t="s">
        <v>1521</v>
      </c>
      <c r="F401" s="230"/>
      <c r="G401" s="264" t="s">
        <v>1173</v>
      </c>
      <c r="H401" s="232" t="s">
        <v>51</v>
      </c>
      <c r="I401" s="234"/>
      <c r="J401" s="234"/>
      <c r="K401" s="234"/>
      <c r="L401" s="234"/>
      <c r="M401" s="232" t="s">
        <v>51</v>
      </c>
      <c r="N401" s="234"/>
      <c r="O401" s="234"/>
      <c r="P401" s="234"/>
      <c r="Q401" s="234" t="s">
        <v>51</v>
      </c>
      <c r="R401" s="234" t="s">
        <v>24</v>
      </c>
      <c r="S401" s="231" t="s">
        <v>24</v>
      </c>
      <c r="T401" s="234" t="s">
        <v>24</v>
      </c>
      <c r="U401" s="234" t="s">
        <v>24</v>
      </c>
      <c r="V401" s="232" t="s">
        <v>51</v>
      </c>
      <c r="W401" s="234"/>
      <c r="X401" s="234"/>
      <c r="Y401" s="234"/>
      <c r="Z401" s="234" t="s">
        <v>46</v>
      </c>
      <c r="AA401" s="234" t="s">
        <v>46</v>
      </c>
      <c r="AB401" s="234" t="s">
        <v>46</v>
      </c>
      <c r="AC401" s="234"/>
      <c r="AD401" s="232" t="s">
        <v>51</v>
      </c>
      <c r="AE401" s="231"/>
      <c r="AF401" s="231"/>
      <c r="AG401" s="231"/>
      <c r="AH401" s="231"/>
      <c r="AI401" s="231"/>
      <c r="AJ401" s="234"/>
      <c r="AK401" s="234"/>
      <c r="AL401" s="234" t="s">
        <v>51</v>
      </c>
      <c r="AM401" s="231"/>
      <c r="AN401" s="231"/>
    </row>
    <row r="402" spans="1:40" s="9" customFormat="1" ht="56.85" customHeight="1" x14ac:dyDescent="0.25">
      <c r="A402" s="13" t="s">
        <v>1176</v>
      </c>
      <c r="B402" s="229" t="str">
        <f>IF($A402="","",VLOOKUP($A402,'[2]3-Elaboration.O'!$A:$T,MATCH(B$1,'[2]150-Modele SGO'!$1:$1,0),FALSE))</f>
        <v>Si tout ou partie des lots concernés, préciser lesquels</v>
      </c>
      <c r="C402" s="229" t="str">
        <f>IF($A402="","",VLOOKUP($A402,'[2]3-Elaboration.O'!$A:$T,MATCH(C$1,'[2]150-Modele SGO'!$1:$1,0),FALSE))</f>
        <v>Annexe 10 - Détail_Lots</v>
      </c>
      <c r="D402" s="229" t="str">
        <f>IF($A402="","",VLOOKUP($A402,'[2]3-Elaboration.O'!$A:$T,MATCH(D$1,'[2]150-Modele SGO'!$1:$1,0),FALSE))</f>
        <v>Annexe 10 - Détail lots</v>
      </c>
      <c r="E402" s="230"/>
      <c r="F402" s="230"/>
      <c r="G402" s="265"/>
      <c r="H402" s="232" t="s">
        <v>35</v>
      </c>
      <c r="I402" s="231"/>
      <c r="J402" s="231"/>
      <c r="K402" s="231"/>
      <c r="L402" s="231"/>
      <c r="M402" s="232" t="s">
        <v>35</v>
      </c>
      <c r="N402" s="234"/>
      <c r="O402" s="234"/>
      <c r="P402" s="234"/>
      <c r="Q402" s="231" t="s">
        <v>35</v>
      </c>
      <c r="R402" s="231" t="s">
        <v>24</v>
      </c>
      <c r="S402" s="231" t="s">
        <v>24</v>
      </c>
      <c r="T402" s="231" t="s">
        <v>24</v>
      </c>
      <c r="U402" s="231" t="s">
        <v>24</v>
      </c>
      <c r="V402" s="232" t="s">
        <v>35</v>
      </c>
      <c r="W402" s="234"/>
      <c r="X402" s="234"/>
      <c r="Y402" s="234"/>
      <c r="Z402" s="234"/>
      <c r="AA402" s="234"/>
      <c r="AB402" s="234"/>
      <c r="AC402" s="234"/>
      <c r="AD402" s="232" t="s">
        <v>35</v>
      </c>
      <c r="AE402" s="231"/>
      <c r="AF402" s="231"/>
      <c r="AG402" s="231"/>
      <c r="AH402" s="231"/>
      <c r="AI402" s="231"/>
      <c r="AJ402" s="231"/>
      <c r="AK402" s="231"/>
      <c r="AL402" s="234" t="s">
        <v>35</v>
      </c>
      <c r="AM402" s="231"/>
      <c r="AN402" s="231"/>
    </row>
    <row r="403" spans="1:40" s="9" customFormat="1" ht="112.35" customHeight="1" x14ac:dyDescent="0.25">
      <c r="A403" s="13" t="s">
        <v>1730</v>
      </c>
      <c r="B403" s="229" t="str">
        <f>IF($A403="","",VLOOKUP($A403,'[2]3-Elaboration.O'!$A:$T,MATCH(B$1,'[2]150-Modele SGO'!$1:$1,0),FALSE))</f>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
      <c r="C403" s="229" t="str">
        <f>IF($A403="","",VLOOKUP($A403,'[2]3-Elaboration.O'!$A:$T,MATCH(C$1,'[2]150-Modele SGO'!$1:$1,0),FALSE))</f>
        <v>Oui, l'offre prévoit pour le titulaire l'obligation de remettre pendant l'exécution du marché ces informations; Non, l'offre ne prévoit pas la remise de ces informations</v>
      </c>
      <c r="D403" s="229" t="str">
        <f>IF($A403="","",VLOOKUP($A403,'[2]3-Elaboration.O'!$A:$T,MATCH(D$1,'[2]150-Modele SGO'!$1:$1,0),FALSE))</f>
        <v>Liste choix unique</v>
      </c>
      <c r="E403" s="230" t="s">
        <v>70</v>
      </c>
      <c r="F403" s="230"/>
      <c r="G403" s="264" t="s">
        <v>1178</v>
      </c>
      <c r="H403" s="232" t="s">
        <v>51</v>
      </c>
      <c r="I403" s="234"/>
      <c r="J403" s="234"/>
      <c r="K403" s="234"/>
      <c r="L403" s="234"/>
      <c r="M403" s="232" t="s">
        <v>51</v>
      </c>
      <c r="N403" s="234"/>
      <c r="O403" s="234"/>
      <c r="P403" s="234"/>
      <c r="Q403" s="234" t="s">
        <v>51</v>
      </c>
      <c r="R403" s="234" t="s">
        <v>24</v>
      </c>
      <c r="S403" s="231" t="s">
        <v>24</v>
      </c>
      <c r="T403" s="234" t="s">
        <v>24</v>
      </c>
      <c r="U403" s="234" t="s">
        <v>24</v>
      </c>
      <c r="V403" s="232" t="s">
        <v>51</v>
      </c>
      <c r="W403" s="234"/>
      <c r="X403" s="234"/>
      <c r="Y403" s="234"/>
      <c r="Z403" s="234" t="s">
        <v>46</v>
      </c>
      <c r="AA403" s="234" t="s">
        <v>46</v>
      </c>
      <c r="AB403" s="234" t="s">
        <v>46</v>
      </c>
      <c r="AC403" s="234"/>
      <c r="AD403" s="232" t="s">
        <v>51</v>
      </c>
      <c r="AE403" s="231"/>
      <c r="AF403" s="231"/>
      <c r="AG403" s="231"/>
      <c r="AH403" s="231"/>
      <c r="AI403" s="231"/>
      <c r="AJ403" s="234"/>
      <c r="AK403" s="234"/>
      <c r="AL403" s="234" t="s">
        <v>51</v>
      </c>
      <c r="AM403" s="231"/>
      <c r="AN403" s="231"/>
    </row>
    <row r="404" spans="1:40" s="9" customFormat="1" ht="60" x14ac:dyDescent="0.25">
      <c r="A404" s="13" t="s">
        <v>1731</v>
      </c>
      <c r="B404" s="229" t="str">
        <f>IF($A404="","",VLOOKUP($A404,'[2]3-Elaboration.O'!$A:$T,MATCH(B$1,'[2]150-Modele SGO'!$1:$1,0),FALSE))</f>
        <v>Une considération sociale est elle intégrée à chaque lot (spécifications sociales, conditions d'exécution, critère social avec questionnaire, ots réservés…)  ?</v>
      </c>
      <c r="C404" s="229" t="str">
        <f>IF($A404="","",VLOOKUP($A404,'[2]3-Elaboration.O'!$A:$T,MATCH(C$1,'[2]150-Modele SGO'!$1:$1,0),FALSE))</f>
        <v xml:space="preserve">Oui, une considération sociale est intégrée à minima à chaque lot ; Non, Tout ou partie des lots n'intègre pas de considération sociale
</v>
      </c>
      <c r="D404" s="229" t="str">
        <f>IF($A404="","",VLOOKUP($A404,'[2]3-Elaboration.O'!$A:$T,MATCH(D$1,'[2]150-Modele SGO'!$1:$1,0),FALSE))</f>
        <v>Liste choix unique</v>
      </c>
      <c r="E404" s="230" t="s">
        <v>70</v>
      </c>
      <c r="F404" s="230"/>
      <c r="G404" s="233" t="s">
        <v>1182</v>
      </c>
      <c r="H404" s="232" t="s">
        <v>51</v>
      </c>
      <c r="I404" s="234"/>
      <c r="J404" s="234"/>
      <c r="K404" s="234"/>
      <c r="L404" s="234"/>
      <c r="M404" s="232" t="s">
        <v>51</v>
      </c>
      <c r="N404" s="234"/>
      <c r="O404" s="234"/>
      <c r="P404" s="234"/>
      <c r="Q404" s="234" t="s">
        <v>51</v>
      </c>
      <c r="R404" s="234" t="s">
        <v>24</v>
      </c>
      <c r="S404" s="231" t="s">
        <v>24</v>
      </c>
      <c r="T404" s="254" t="s">
        <v>24</v>
      </c>
      <c r="U404" s="254" t="s">
        <v>24</v>
      </c>
      <c r="V404" s="232" t="s">
        <v>51</v>
      </c>
      <c r="W404" s="234"/>
      <c r="X404" s="234"/>
      <c r="Y404" s="234"/>
      <c r="Z404" s="234"/>
      <c r="AA404" s="234"/>
      <c r="AB404" s="234"/>
      <c r="AC404" s="234"/>
      <c r="AD404" s="232" t="s">
        <v>51</v>
      </c>
      <c r="AE404" s="234"/>
      <c r="AF404" s="231"/>
      <c r="AG404" s="231"/>
      <c r="AH404" s="231"/>
      <c r="AI404" s="231"/>
      <c r="AJ404" s="231"/>
      <c r="AK404" s="231"/>
      <c r="AL404" s="234" t="s">
        <v>51</v>
      </c>
      <c r="AM404" s="234"/>
      <c r="AN404" s="231"/>
    </row>
    <row r="405" spans="1:40" s="9" customFormat="1" ht="60" x14ac:dyDescent="0.25">
      <c r="A405" s="13" t="s">
        <v>1732</v>
      </c>
      <c r="B405" s="229" t="str">
        <f>IF($A405="","",VLOOKUP($A405,'[2]3-Elaboration.O'!$A:$T,MATCH(B$1,'[2]150-Modele SGO'!$1:$1,0),FALSE))</f>
        <v>Si oui, préciser par lot la considération sociale applicable (Spécification technique sociale (dont l'objet du marché), condition d'exécution sociale et critère social)</v>
      </c>
      <c r="C405" s="229" t="str">
        <f>IF($A405="","",VLOOKUP($A405,'[2]3-Elaboration.O'!$A:$T,MATCH(C$1,'[2]150-Modele SGO'!$1:$1,0),FALSE))</f>
        <v>Annexe 10 - Détail_Lots</v>
      </c>
      <c r="D405" s="229" t="str">
        <f>IF($A405="","",VLOOKUP($A405,'[2]3-Elaboration.O'!$A:$T,MATCH(D$1,'[2]150-Modele SGO'!$1:$1,0),FALSE))</f>
        <v>Annexe 10 - Détail lots</v>
      </c>
      <c r="E405" s="230" t="s">
        <v>70</v>
      </c>
      <c r="F405" s="230"/>
      <c r="G405" s="250"/>
      <c r="H405" s="232" t="s">
        <v>35</v>
      </c>
      <c r="I405" s="231"/>
      <c r="J405" s="231"/>
      <c r="K405" s="231"/>
      <c r="L405" s="231"/>
      <c r="M405" s="232" t="s">
        <v>35</v>
      </c>
      <c r="N405" s="234"/>
      <c r="O405" s="234"/>
      <c r="P405" s="234"/>
      <c r="Q405" s="231" t="s">
        <v>35</v>
      </c>
      <c r="R405" s="231" t="s">
        <v>24</v>
      </c>
      <c r="S405" s="231" t="s">
        <v>24</v>
      </c>
      <c r="T405" s="231" t="s">
        <v>24</v>
      </c>
      <c r="U405" s="231" t="s">
        <v>24</v>
      </c>
      <c r="V405" s="232" t="s">
        <v>35</v>
      </c>
      <c r="W405" s="234"/>
      <c r="X405" s="234"/>
      <c r="Y405" s="234"/>
      <c r="Z405" s="234"/>
      <c r="AA405" s="234"/>
      <c r="AB405" s="234"/>
      <c r="AC405" s="234"/>
      <c r="AD405" s="232" t="s">
        <v>35</v>
      </c>
      <c r="AE405" s="250"/>
      <c r="AF405" s="250"/>
      <c r="AG405" s="250"/>
      <c r="AH405" s="250"/>
      <c r="AI405" s="250"/>
      <c r="AJ405" s="250"/>
      <c r="AK405" s="250"/>
      <c r="AL405" s="254" t="s">
        <v>35</v>
      </c>
      <c r="AM405" s="250"/>
      <c r="AN405" s="250"/>
    </row>
    <row r="406" spans="1:40" s="9" customFormat="1" ht="15.75" x14ac:dyDescent="0.25">
      <c r="A406" s="13" t="s">
        <v>1733</v>
      </c>
      <c r="B406" s="229" t="str">
        <f>IF($A406="","",VLOOKUP($A406,'[2]3-Elaboration.O'!$A:$T,MATCH(B$1,'[2]150-Modele SGO'!$1:$1,0),FALSE))</f>
        <v>Si  non,préciser les lots concernés par cette clause</v>
      </c>
      <c r="C406" s="229" t="str">
        <f>IF($A406="","",VLOOKUP($A406,'[2]3-Elaboration.O'!$A:$T,MATCH(C$1,'[2]150-Modele SGO'!$1:$1,0),FALSE))</f>
        <v>Annexe 10 - Détail_Lots</v>
      </c>
      <c r="D406" s="229" t="str">
        <f>IF($A406="","",VLOOKUP($A406,'[2]3-Elaboration.O'!$A:$T,MATCH(D$1,'[2]150-Modele SGO'!$1:$1,0),FALSE))</f>
        <v>Annexe 10 - Détail lots</v>
      </c>
      <c r="E406" s="230" t="s">
        <v>70</v>
      </c>
      <c r="F406" s="230"/>
      <c r="G406" s="231"/>
      <c r="H406" s="232" t="s">
        <v>35</v>
      </c>
      <c r="I406" s="231"/>
      <c r="J406" s="231"/>
      <c r="K406" s="231"/>
      <c r="L406" s="231"/>
      <c r="M406" s="232" t="s">
        <v>35</v>
      </c>
      <c r="N406" s="234"/>
      <c r="O406" s="234"/>
      <c r="P406" s="234"/>
      <c r="Q406" s="231" t="s">
        <v>35</v>
      </c>
      <c r="R406" s="231" t="s">
        <v>24</v>
      </c>
      <c r="S406" s="231" t="s">
        <v>24</v>
      </c>
      <c r="T406" s="231" t="s">
        <v>24</v>
      </c>
      <c r="U406" s="231" t="s">
        <v>24</v>
      </c>
      <c r="V406" s="232" t="s">
        <v>35</v>
      </c>
      <c r="W406" s="234"/>
      <c r="X406" s="234"/>
      <c r="Y406" s="234"/>
      <c r="Z406" s="234"/>
      <c r="AA406" s="234"/>
      <c r="AB406" s="234"/>
      <c r="AC406" s="234"/>
      <c r="AD406" s="232" t="s">
        <v>35</v>
      </c>
      <c r="AE406" s="231"/>
      <c r="AF406" s="231"/>
      <c r="AG406" s="231"/>
      <c r="AH406" s="231"/>
      <c r="AI406" s="231"/>
      <c r="AJ406" s="231"/>
      <c r="AK406" s="231"/>
      <c r="AL406" s="254" t="s">
        <v>35</v>
      </c>
      <c r="AM406" s="231"/>
      <c r="AN406" s="231"/>
    </row>
    <row r="407" spans="1:40" s="9" customFormat="1" ht="36" customHeight="1" x14ac:dyDescent="0.25">
      <c r="A407" s="13" t="s">
        <v>1734</v>
      </c>
      <c r="B407" s="229" t="str">
        <f>IF($A407="","",VLOOKUP($A407,'[2]3-Elaboration.O'!$A:$T,MATCH(B$1,'[2]150-Modele SGO'!$1:$1,0),FALSE))</f>
        <v>L'offre comprend elle des lots réservés ?</v>
      </c>
      <c r="C407" s="229" t="str">
        <f>IF($A407="","",VLOOKUP($A407,'[2]3-Elaboration.O'!$A:$T,MATCH(C$1,'[2]150-Modele SGO'!$1:$1,0),FALSE))</f>
        <v>Oui,au moins un lot réservé ; Non, absence de lots réservés</v>
      </c>
      <c r="D407" s="229" t="str">
        <f>IF($A407="","",VLOOKUP($A407,'[2]3-Elaboration.O'!$A:$T,MATCH(D$1,'[2]150-Modele SGO'!$1:$1,0),FALSE))</f>
        <v xml:space="preserve">Liste choix unique </v>
      </c>
      <c r="E407" s="230" t="s">
        <v>70</v>
      </c>
      <c r="F407" s="230"/>
      <c r="G407" s="231"/>
      <c r="H407" s="232" t="s">
        <v>35</v>
      </c>
      <c r="I407" s="231"/>
      <c r="J407" s="231"/>
      <c r="K407" s="231"/>
      <c r="L407" s="231"/>
      <c r="M407" s="232" t="s">
        <v>35</v>
      </c>
      <c r="N407" s="234"/>
      <c r="O407" s="234"/>
      <c r="P407" s="234"/>
      <c r="Q407" s="233" t="s">
        <v>19</v>
      </c>
      <c r="R407" s="235" t="s">
        <v>1735</v>
      </c>
      <c r="S407" s="231" t="s">
        <v>24</v>
      </c>
      <c r="T407" s="234" t="s">
        <v>24</v>
      </c>
      <c r="U407" s="234" t="s">
        <v>24</v>
      </c>
      <c r="V407" s="232" t="s">
        <v>35</v>
      </c>
      <c r="W407" s="234"/>
      <c r="X407" s="234"/>
      <c r="Y407" s="234"/>
      <c r="Z407" s="234"/>
      <c r="AA407" s="234"/>
      <c r="AB407" s="234"/>
      <c r="AC407" s="234"/>
      <c r="AD407" s="232" t="s">
        <v>35</v>
      </c>
      <c r="AE407" s="231"/>
      <c r="AF407" s="231"/>
      <c r="AG407" s="231"/>
      <c r="AH407" s="231"/>
      <c r="AI407" s="231"/>
      <c r="AJ407" s="231"/>
      <c r="AK407" s="231"/>
      <c r="AL407" s="254" t="s">
        <v>35</v>
      </c>
      <c r="AM407" s="231"/>
      <c r="AN407" s="231"/>
    </row>
    <row r="408" spans="1:40" s="9" customFormat="1" ht="36" customHeight="1" x14ac:dyDescent="0.25">
      <c r="A408" s="13" t="s">
        <v>1736</v>
      </c>
      <c r="B408" s="229" t="str">
        <f>IF($A408="","",VLOOKUP($A408,'[2]3-Elaboration.O'!$A:$T,MATCH(B$1,'[2]150-Modele SGO'!$1:$1,0),FALSE))</f>
        <v>Si oui, préciser le publics concernés par les lots réservés dans l'annexe tableau allotissement</v>
      </c>
      <c r="C408" s="229" t="str">
        <f>IF($A408="","",VLOOKUP($A408,'[2]3-Elaboration.O'!$A:$T,MATCH(C$1,'[2]150-Modele SGO'!$1:$1,0),FALSE))</f>
        <v>Annexe 10 - Détail_Lots</v>
      </c>
      <c r="D408" s="229" t="str">
        <f>IF($A408="","",VLOOKUP($A408,'[2]3-Elaboration.O'!$A:$T,MATCH(D$1,'[2]150-Modele SGO'!$1:$1,0),FALSE))</f>
        <v>Annexe 10 - Détail lots</v>
      </c>
      <c r="E408" s="230"/>
      <c r="F408" s="230"/>
      <c r="G408" s="231"/>
      <c r="H408" s="232" t="s">
        <v>35</v>
      </c>
      <c r="I408" s="231"/>
      <c r="J408" s="231"/>
      <c r="K408" s="231"/>
      <c r="L408" s="231"/>
      <c r="M408" s="232" t="s">
        <v>35</v>
      </c>
      <c r="N408" s="234"/>
      <c r="O408" s="234"/>
      <c r="P408" s="234"/>
      <c r="Q408" s="231" t="s">
        <v>35</v>
      </c>
      <c r="R408" s="231" t="s">
        <v>24</v>
      </c>
      <c r="S408" s="231" t="s">
        <v>24</v>
      </c>
      <c r="T408" s="231" t="s">
        <v>24</v>
      </c>
      <c r="U408" s="231" t="s">
        <v>24</v>
      </c>
      <c r="V408" s="232" t="s">
        <v>35</v>
      </c>
      <c r="W408" s="234"/>
      <c r="X408" s="234"/>
      <c r="Y408" s="234"/>
      <c r="Z408" s="234"/>
      <c r="AA408" s="234"/>
      <c r="AB408" s="234"/>
      <c r="AC408" s="234"/>
      <c r="AD408" s="232" t="s">
        <v>35</v>
      </c>
      <c r="AE408" s="231"/>
      <c r="AF408" s="231"/>
      <c r="AG408" s="231"/>
      <c r="AH408" s="231"/>
      <c r="AI408" s="231"/>
      <c r="AJ408" s="231"/>
      <c r="AK408" s="231"/>
      <c r="AL408" s="234" t="s">
        <v>35</v>
      </c>
      <c r="AM408" s="231"/>
      <c r="AN408" s="231"/>
    </row>
    <row r="409" spans="1:40" s="9" customFormat="1" ht="30" x14ac:dyDescent="0.25">
      <c r="A409" s="13" t="s">
        <v>1737</v>
      </c>
      <c r="B409" s="229" t="str">
        <f>IF($A409="","",VLOOKUP($A409,'[2]3-Elaboration.O'!$A:$T,MATCH(B$1,'[2]150-Modele SGO'!$1:$1,0),FALSE))</f>
        <v>Si oui, préciser le publics concernés par les lots réservés</v>
      </c>
      <c r="C409" s="229" t="str">
        <f>IF($A409="","",VLOOKUP($A409,'[2]3-Elaboration.O'!$A:$T,MATCH(C$1,'[2]150-Modele SGO'!$1:$1,0),FALSE))</f>
        <v>Annexe 10 - Détail_Lots</v>
      </c>
      <c r="D409" s="229" t="str">
        <f>IF($A409="","",VLOOKUP($A409,'[2]3-Elaboration.O'!$A:$T,MATCH(D$1,'[2]150-Modele SGO'!$1:$1,0),FALSE))</f>
        <v>Annexe 10 - Détail lots</v>
      </c>
      <c r="E409" s="230" t="s">
        <v>70</v>
      </c>
      <c r="F409" s="230"/>
      <c r="G409" s="231"/>
      <c r="H409" s="232" t="s">
        <v>35</v>
      </c>
      <c r="I409" s="231"/>
      <c r="J409" s="231"/>
      <c r="K409" s="231"/>
      <c r="L409" s="231"/>
      <c r="M409" s="232" t="s">
        <v>35</v>
      </c>
      <c r="N409" s="234"/>
      <c r="O409" s="234"/>
      <c r="P409" s="234"/>
      <c r="Q409" s="231" t="s">
        <v>35</v>
      </c>
      <c r="R409" s="231" t="s">
        <v>24</v>
      </c>
      <c r="S409" s="231" t="s">
        <v>24</v>
      </c>
      <c r="T409" s="231" t="s">
        <v>24</v>
      </c>
      <c r="U409" s="231" t="s">
        <v>24</v>
      </c>
      <c r="V409" s="232" t="s">
        <v>35</v>
      </c>
      <c r="W409" s="234"/>
      <c r="X409" s="234"/>
      <c r="Y409" s="234"/>
      <c r="Z409" s="234"/>
      <c r="AA409" s="234"/>
      <c r="AB409" s="234"/>
      <c r="AC409" s="234"/>
      <c r="AD409" s="232" t="s">
        <v>35</v>
      </c>
      <c r="AE409" s="231"/>
      <c r="AF409" s="231"/>
      <c r="AG409" s="231"/>
      <c r="AH409" s="231"/>
      <c r="AI409" s="231"/>
      <c r="AJ409" s="231"/>
      <c r="AK409" s="231"/>
      <c r="AL409" s="234" t="s">
        <v>35</v>
      </c>
      <c r="AM409" s="231"/>
      <c r="AN409" s="231"/>
    </row>
    <row r="410" spans="1:40" s="9" customFormat="1" ht="36" customHeight="1" x14ac:dyDescent="0.25">
      <c r="A410" s="13" t="s">
        <v>1738</v>
      </c>
      <c r="B410" s="229" t="str">
        <f>IF($A410="","",VLOOKUP($A410,'[2]3-Elaboration.O'!$A:$T,MATCH(B$1,'[2]150-Modele SGO'!$1:$1,0),FALSE))</f>
        <v>Les lots prévoient-ils une traçabilité sociale des chaines d'approvisionnement ?</v>
      </c>
      <c r="C410" s="229" t="str">
        <f>IF($A410="","",VLOOKUP($A410,'[2]3-Elaboration.O'!$A:$T,MATCH(C$1,'[2]150-Modele SGO'!$1:$1,0),FALSE))</f>
        <v>Oui, traçabilité sociale des chaines d'approvisionnement pour tous les lots des univers concernés ; Non, pas de traçabilité sociale des chaines d'approvisionnement pour tous les lots des univers concernés.</v>
      </c>
      <c r="D410" s="229" t="str">
        <f>IF($A410="","",VLOOKUP($A410,'[2]3-Elaboration.O'!$A:$T,MATCH(D$1,'[2]150-Modele SGO'!$1:$1,0),FALSE))</f>
        <v>Liste choix unique</v>
      </c>
      <c r="E410" s="230" t="s">
        <v>70</v>
      </c>
      <c r="F410" s="230"/>
      <c r="G410" s="231"/>
      <c r="H410" s="232" t="s">
        <v>19</v>
      </c>
      <c r="I410" s="233" t="s">
        <v>1739</v>
      </c>
      <c r="J410" s="231"/>
      <c r="K410" s="231"/>
      <c r="L410" s="231"/>
      <c r="M410" s="232" t="s">
        <v>26</v>
      </c>
      <c r="N410" s="234"/>
      <c r="O410" s="235" t="s">
        <v>1739</v>
      </c>
      <c r="P410" s="233" t="s">
        <v>35</v>
      </c>
      <c r="Q410" s="233" t="s">
        <v>19</v>
      </c>
      <c r="R410" s="233" t="s">
        <v>1739</v>
      </c>
      <c r="S410" s="231" t="s">
        <v>24</v>
      </c>
      <c r="T410" s="233" t="s">
        <v>24</v>
      </c>
      <c r="U410" s="233" t="s">
        <v>24</v>
      </c>
      <c r="V410" s="232" t="s">
        <v>26</v>
      </c>
      <c r="W410" s="234"/>
      <c r="X410" s="235" t="s">
        <v>1739</v>
      </c>
      <c r="Y410" s="235" t="s">
        <v>1739</v>
      </c>
      <c r="Z410" s="235" t="s">
        <v>46</v>
      </c>
      <c r="AA410" s="235" t="s">
        <v>46</v>
      </c>
      <c r="AB410" s="235" t="s">
        <v>46</v>
      </c>
      <c r="AC410" s="235" t="s">
        <v>1740</v>
      </c>
      <c r="AD410" s="232" t="s">
        <v>26</v>
      </c>
      <c r="AE410" s="231"/>
      <c r="AF410" s="233" t="s">
        <v>1739</v>
      </c>
      <c r="AG410" s="233" t="s">
        <v>1739</v>
      </c>
      <c r="AH410" s="233" t="s">
        <v>1740</v>
      </c>
      <c r="AI410" s="233" t="s">
        <v>1739</v>
      </c>
      <c r="AJ410" s="233" t="s">
        <v>1740</v>
      </c>
      <c r="AK410" s="233" t="s">
        <v>1740</v>
      </c>
      <c r="AL410" s="235" t="s">
        <v>35</v>
      </c>
      <c r="AM410" s="231"/>
      <c r="AN410" s="233"/>
    </row>
    <row r="411" spans="1:40" s="9" customFormat="1" ht="60" x14ac:dyDescent="0.25">
      <c r="A411" s="13" t="s">
        <v>1741</v>
      </c>
      <c r="B411" s="229" t="str">
        <f>IF($A411="","",VLOOKUP($A411,'[2]3-Elaboration.O'!$A:$T,MATCH(B$1,'[2]150-Modele SGO'!$1:$1,0),FALSE))</f>
        <v>Une  clause imposant aux fournisseurs de remettre pendant l'exécution du marché l'information sur l'origine des produits est-elle bien intégrée pour chaque lot ?</v>
      </c>
      <c r="C411" s="229" t="str">
        <f>IF($A411="","",VLOOKUP($A411,'[2]3-Elaboration.O'!$A:$T,MATCH(C$1,'[2]150-Modele SGO'!$1:$1,0),FALSE))</f>
        <v>Oui, cette clause est intégrée pour chaque lot ; Non, cette clause n'est pas intégrée pour chaque lot</v>
      </c>
      <c r="D411" s="229" t="str">
        <f>IF($A411="","",VLOOKUP($A411,'[2]3-Elaboration.O'!$A:$T,MATCH(D$1,'[2]150-Modele SGO'!$1:$1,0),FALSE))</f>
        <v>Liste choix unique</v>
      </c>
      <c r="E411" s="230" t="s">
        <v>70</v>
      </c>
      <c r="F411" s="230"/>
      <c r="G411" s="233" t="s">
        <v>1200</v>
      </c>
      <c r="H411" s="232" t="s">
        <v>51</v>
      </c>
      <c r="I411" s="231"/>
      <c r="J411" s="231"/>
      <c r="K411" s="231"/>
      <c r="L411" s="231"/>
      <c r="M411" s="232" t="s">
        <v>51</v>
      </c>
      <c r="N411" s="234"/>
      <c r="O411" s="234"/>
      <c r="P411" s="234"/>
      <c r="Q411" s="234" t="s">
        <v>51</v>
      </c>
      <c r="R411" s="234" t="s">
        <v>24</v>
      </c>
      <c r="S411" s="231" t="s">
        <v>24</v>
      </c>
      <c r="T411" s="234" t="s">
        <v>24</v>
      </c>
      <c r="U411" s="234" t="s">
        <v>24</v>
      </c>
      <c r="V411" s="232" t="s">
        <v>51</v>
      </c>
      <c r="W411" s="234"/>
      <c r="X411" s="234"/>
      <c r="Y411" s="234"/>
      <c r="Z411" s="234"/>
      <c r="AA411" s="234"/>
      <c r="AB411" s="234"/>
      <c r="AC411" s="234"/>
      <c r="AD411" s="232" t="s">
        <v>51</v>
      </c>
      <c r="AE411" s="231"/>
      <c r="AF411" s="231"/>
      <c r="AG411" s="231"/>
      <c r="AH411" s="231"/>
      <c r="AI411" s="231"/>
      <c r="AJ411" s="231"/>
      <c r="AK411" s="231"/>
      <c r="AL411" s="234" t="s">
        <v>51</v>
      </c>
      <c r="AM411" s="231"/>
      <c r="AN411" s="231"/>
    </row>
    <row r="412" spans="1:40" s="9" customFormat="1" ht="15.75" x14ac:dyDescent="0.25">
      <c r="A412" s="108" t="s">
        <v>1203</v>
      </c>
      <c r="B412" s="244" t="str">
        <f>IF($A412="","",VLOOKUP($A412,'[2]3-Elaboration.O'!$A:$T,MATCH(B$1,'[2]150-Modele SGO'!$1:$1,0),FALSE))</f>
        <v>11.7 Admission des prestations</v>
      </c>
      <c r="C412" s="244">
        <f>IF($A412="","",VLOOKUP($A412,'[2]3-Elaboration.O'!$A:$T,MATCH(C$1,'[2]150-Modele SGO'!$1:$1,0),FALSE))</f>
        <v>0</v>
      </c>
      <c r="D412" s="244">
        <f>IF($A412="","",VLOOKUP($A412,'[2]3-Elaboration.O'!$A:$T,MATCH(D$1,'[2]150-Modele SGO'!$1:$1,0),FALSE))</f>
        <v>0</v>
      </c>
      <c r="E412" s="241" t="s">
        <v>70</v>
      </c>
      <c r="F412" s="241"/>
      <c r="G412" s="237"/>
      <c r="H412" s="241" t="s">
        <v>30</v>
      </c>
      <c r="I412" s="237"/>
      <c r="J412" s="237"/>
      <c r="K412" s="237"/>
      <c r="L412" s="237"/>
      <c r="M412" s="241" t="s">
        <v>30</v>
      </c>
      <c r="N412" s="237"/>
      <c r="O412" s="237"/>
      <c r="P412" s="237"/>
      <c r="Q412" s="237" t="s">
        <v>30</v>
      </c>
      <c r="R412" s="237" t="s">
        <v>24</v>
      </c>
      <c r="S412" s="231" t="s">
        <v>24</v>
      </c>
      <c r="T412" s="237" t="s">
        <v>24</v>
      </c>
      <c r="U412" s="237" t="s">
        <v>24</v>
      </c>
      <c r="V412" s="241" t="s">
        <v>30</v>
      </c>
      <c r="W412" s="237"/>
      <c r="X412" s="237"/>
      <c r="Y412" s="237"/>
      <c r="Z412" s="237"/>
      <c r="AA412" s="239"/>
      <c r="AB412" s="237"/>
      <c r="AC412" s="237"/>
      <c r="AD412" s="241" t="s">
        <v>30</v>
      </c>
      <c r="AE412" s="237"/>
      <c r="AF412" s="237"/>
      <c r="AG412" s="237"/>
      <c r="AH412" s="237"/>
      <c r="AI412" s="237"/>
      <c r="AJ412" s="237"/>
      <c r="AK412" s="237"/>
      <c r="AL412" s="239" t="s">
        <v>30</v>
      </c>
      <c r="AM412" s="237"/>
      <c r="AN412" s="237"/>
    </row>
    <row r="413" spans="1:40" s="9" customFormat="1" ht="75" x14ac:dyDescent="0.25">
      <c r="A413" s="13" t="s">
        <v>1205</v>
      </c>
      <c r="B413" s="229" t="str">
        <f>IF($A413="","",VLOOKUP($A413,'[2]3-Elaboration.O'!$A:$T,MATCH(B$1,'[2]150-Modele SGO'!$1:$1,0),FALSE))</f>
        <v>Des modalités particulières de vérification/d'admission sont-elles envisagées ?</v>
      </c>
      <c r="C413" s="229" t="str">
        <f>IF($A413="","",VLOOKUP($A413,'[2]3-Elaboration.O'!$A:$T,MATCH(C$1,'[2]150-Modele SGO'!$1:$1,0),FALSE))</f>
        <v xml:space="preserve">Oui, Modalités particulières de vérification/d'admission sont envisagées ;Non, absence de modalités particulières de vérification/d'admission </v>
      </c>
      <c r="D413" s="229" t="str">
        <f>IF($A413="","",VLOOKUP($A413,'[2]3-Elaboration.O'!$A:$T,MATCH(D$1,'[2]150-Modele SGO'!$1:$1,0),FALSE))</f>
        <v xml:space="preserve">Liste choix unique </v>
      </c>
      <c r="E413" s="230" t="s">
        <v>70</v>
      </c>
      <c r="F413" s="230"/>
      <c r="G413" s="231"/>
      <c r="H413" s="232" t="s">
        <v>26</v>
      </c>
      <c r="I413" s="231"/>
      <c r="J413" s="233" t="s">
        <v>1206</v>
      </c>
      <c r="K413" s="233" t="s">
        <v>1742</v>
      </c>
      <c r="L413" s="233" t="s">
        <v>1206</v>
      </c>
      <c r="M413" s="232" t="s">
        <v>26</v>
      </c>
      <c r="N413" s="231"/>
      <c r="O413" s="233" t="s">
        <v>1742</v>
      </c>
      <c r="P413" s="233" t="s">
        <v>35</v>
      </c>
      <c r="Q413" s="233" t="s">
        <v>19</v>
      </c>
      <c r="R413" s="233" t="s">
        <v>1206</v>
      </c>
      <c r="S413" s="231" t="s">
        <v>24</v>
      </c>
      <c r="T413" s="233" t="s">
        <v>24</v>
      </c>
      <c r="U413" s="233" t="s">
        <v>24</v>
      </c>
      <c r="V413" s="232" t="s">
        <v>26</v>
      </c>
      <c r="W413" s="231"/>
      <c r="X413" s="233" t="s">
        <v>1206</v>
      </c>
      <c r="Y413" s="233" t="s">
        <v>1206</v>
      </c>
      <c r="Z413" s="233" t="s">
        <v>1742</v>
      </c>
      <c r="AA413" s="233" t="s">
        <v>1206</v>
      </c>
      <c r="AB413" s="233" t="s">
        <v>1206</v>
      </c>
      <c r="AC413" s="233" t="s">
        <v>1206</v>
      </c>
      <c r="AD413" s="248" t="s">
        <v>26</v>
      </c>
      <c r="AE413" s="231"/>
      <c r="AF413" s="233" t="s">
        <v>1206</v>
      </c>
      <c r="AG413" s="233" t="s">
        <v>1743</v>
      </c>
      <c r="AH413" s="233" t="s">
        <v>1744</v>
      </c>
      <c r="AI413" s="233" t="s">
        <v>1743</v>
      </c>
      <c r="AJ413" s="233" t="s">
        <v>1744</v>
      </c>
      <c r="AK413" s="233" t="s">
        <v>1744</v>
      </c>
      <c r="AL413" s="235" t="s">
        <v>35</v>
      </c>
      <c r="AM413" s="231"/>
      <c r="AN413" s="233"/>
    </row>
    <row r="414" spans="1:40" s="9" customFormat="1" ht="210" x14ac:dyDescent="0.25">
      <c r="A414" s="13" t="s">
        <v>1209</v>
      </c>
      <c r="B414" s="229" t="str">
        <f>IF($A414="","",VLOOKUP($A414,'[2]3-Elaboration.O'!$A:$T,MATCH(B$1,'[2]150-Modele SGO'!$1:$1,0),FALSE))</f>
        <v>Si oui, préciser lesquelles (VA/VSR, contrôle qualité, attestation de service fait à produire…) et préciser notamment quelles sont les actions attendues du client</v>
      </c>
      <c r="C414" s="229" t="str">
        <f>IF($A414="","",VLOOKUP($A414,'[2]3-Elaboration.O'!$A:$T,MATCH(C$1,'[2]150-Modele SGO'!$1:$1,0),FALSE))</f>
        <v>Champ libre</v>
      </c>
      <c r="D414" s="229" t="str">
        <f>IF($A414="","",VLOOKUP($A414,'[2]3-Elaboration.O'!$A:$T,MATCH(D$1,'[2]150-Modele SGO'!$1:$1,0),FALSE))</f>
        <v>Texte</v>
      </c>
      <c r="E414" s="230" t="s">
        <v>70</v>
      </c>
      <c r="F414" s="230"/>
      <c r="G414" s="231"/>
      <c r="H414" s="232" t="s">
        <v>35</v>
      </c>
      <c r="I414" s="231"/>
      <c r="J414" s="231"/>
      <c r="K414" s="231"/>
      <c r="L414" s="231"/>
      <c r="M414" s="232" t="s">
        <v>35</v>
      </c>
      <c r="N414" s="231"/>
      <c r="O414" s="231"/>
      <c r="P414" s="231"/>
      <c r="Q414" s="231" t="s">
        <v>35</v>
      </c>
      <c r="R414" s="231" t="s">
        <v>24</v>
      </c>
      <c r="S414" s="231" t="s">
        <v>24</v>
      </c>
      <c r="T414" s="231" t="s">
        <v>24</v>
      </c>
      <c r="U414" s="231" t="s">
        <v>24</v>
      </c>
      <c r="V414" s="232" t="s">
        <v>35</v>
      </c>
      <c r="W414" s="231"/>
      <c r="X414" s="231"/>
      <c r="Y414" s="231"/>
      <c r="Z414" s="231"/>
      <c r="AA414" s="234"/>
      <c r="AB414" s="231"/>
      <c r="AC414" s="231"/>
      <c r="AD414" s="232" t="s">
        <v>35</v>
      </c>
      <c r="AE414" s="231"/>
      <c r="AF414" s="231"/>
      <c r="AG414" s="231" t="s">
        <v>1745</v>
      </c>
      <c r="AH414" s="231"/>
      <c r="AI414" s="231" t="s">
        <v>1746</v>
      </c>
      <c r="AJ414" s="231"/>
      <c r="AK414" s="231"/>
      <c r="AL414" s="234" t="s">
        <v>35</v>
      </c>
      <c r="AM414" s="231"/>
      <c r="AN414" s="231"/>
    </row>
    <row r="415" spans="1:40" s="9" customFormat="1" ht="59.1" customHeight="1" x14ac:dyDescent="0.25">
      <c r="A415" s="13" t="s">
        <v>1211</v>
      </c>
      <c r="B415" s="229" t="str">
        <f>IF($A415="","",VLOOKUP($A415,'[2]3-Elaboration.O'!$A:$T,MATCH(B$1,'[2]150-Modele SGO'!$1:$1,0),FALSE))</f>
        <v>Une vérification d'aptitude technique est-elle prévue?</v>
      </c>
      <c r="C415" s="229" t="str">
        <f>IF($A415="","",VLOOKUP($A415,'[2]3-Elaboration.O'!$A:$T,MATCH(C$1,'[2]150-Modele SGO'!$1:$1,0),FALSE))</f>
        <v>Oui, vérification d'aptitude technique;Non, absence de vérification d'aptitude technique</v>
      </c>
      <c r="D415" s="229" t="str">
        <f>IF($A415="","",VLOOKUP($A415,'[2]3-Elaboration.O'!$A:$T,MATCH(D$1,'[2]150-Modele SGO'!$1:$1,0),FALSE))</f>
        <v xml:space="preserve">Liste choix unique </v>
      </c>
      <c r="E415" s="230" t="s">
        <v>1521</v>
      </c>
      <c r="F415" s="230"/>
      <c r="G415" s="231"/>
      <c r="H415" s="232" t="s">
        <v>19</v>
      </c>
      <c r="I415" s="233" t="s">
        <v>1747</v>
      </c>
      <c r="J415" s="231"/>
      <c r="K415" s="231"/>
      <c r="L415" s="231"/>
      <c r="M415" s="232" t="s">
        <v>26</v>
      </c>
      <c r="N415" s="231"/>
      <c r="O415" s="233" t="s">
        <v>46</v>
      </c>
      <c r="P415" s="233" t="s">
        <v>35</v>
      </c>
      <c r="Q415" s="233" t="s">
        <v>19</v>
      </c>
      <c r="R415" s="233" t="s">
        <v>46</v>
      </c>
      <c r="S415" s="231" t="s">
        <v>24</v>
      </c>
      <c r="T415" s="231" t="s">
        <v>24</v>
      </c>
      <c r="U415" s="231" t="s">
        <v>24</v>
      </c>
      <c r="V415" s="232" t="s">
        <v>19</v>
      </c>
      <c r="W415" s="233" t="s">
        <v>46</v>
      </c>
      <c r="X415" s="231"/>
      <c r="Y415" s="231"/>
      <c r="Z415" s="231"/>
      <c r="AA415" s="234"/>
      <c r="AB415" s="231"/>
      <c r="AC415" s="247"/>
      <c r="AD415" s="232" t="s">
        <v>19</v>
      </c>
      <c r="AE415" s="233" t="s">
        <v>46</v>
      </c>
      <c r="AF415" s="231"/>
      <c r="AG415" s="231"/>
      <c r="AH415" s="231"/>
      <c r="AI415" s="231"/>
      <c r="AJ415" s="231"/>
      <c r="AK415" s="231"/>
      <c r="AL415" s="254" t="s">
        <v>35</v>
      </c>
      <c r="AM415" s="231"/>
      <c r="AN415" s="231"/>
    </row>
    <row r="416" spans="1:40" s="9" customFormat="1" ht="66.599999999999994" customHeight="1" x14ac:dyDescent="0.25">
      <c r="A416" s="13" t="s">
        <v>1214</v>
      </c>
      <c r="B416" s="229" t="str">
        <f>IF($A416="","",VLOOKUP($A416,'[2]3-Elaboration.O'!$A:$T,MATCH(B$1,'[2]150-Modele SGO'!$1:$1,0),FALSE))</f>
        <v>Pour les offres de produits, la réalisation d'une recette technique réalisée par l'UGAP est-elle envisagée ?</v>
      </c>
      <c r="C416" s="229" t="str">
        <f>IF($A416="","",VLOOKUP($A416,'[2]3-Elaboration.O'!$A:$T,MATCH(C$1,'[2]150-Modele SGO'!$1:$1,0),FALSE))</f>
        <v>Oui, réalisation d'une recette technique;Non, absence de recette technique réalisée par l'UGAP</v>
      </c>
      <c r="D416" s="229" t="str">
        <f>IF($A416="","",VLOOKUP($A416,'[2]3-Elaboration.O'!$A:$T,MATCH(D$1,'[2]150-Modele SGO'!$1:$1,0),FALSE))</f>
        <v xml:space="preserve">Liste choix unique </v>
      </c>
      <c r="E416" s="230" t="s">
        <v>70</v>
      </c>
      <c r="F416" s="230"/>
      <c r="G416" s="231"/>
      <c r="H416" s="232" t="s">
        <v>26</v>
      </c>
      <c r="I416" s="231"/>
      <c r="J416" s="233" t="s">
        <v>1748</v>
      </c>
      <c r="K416" s="233" t="s">
        <v>1748</v>
      </c>
      <c r="L416" s="233" t="s">
        <v>1749</v>
      </c>
      <c r="M416" s="232" t="s">
        <v>26</v>
      </c>
      <c r="N416" s="231"/>
      <c r="O416" s="233" t="s">
        <v>46</v>
      </c>
      <c r="P416" s="233" t="s">
        <v>35</v>
      </c>
      <c r="Q416" s="233" t="s">
        <v>19</v>
      </c>
      <c r="R416" s="233" t="s">
        <v>46</v>
      </c>
      <c r="S416" s="231" t="s">
        <v>24</v>
      </c>
      <c r="T416" s="231" t="s">
        <v>24</v>
      </c>
      <c r="U416" s="231" t="s">
        <v>24</v>
      </c>
      <c r="V416" s="232" t="s">
        <v>19</v>
      </c>
      <c r="W416" s="233" t="s">
        <v>46</v>
      </c>
      <c r="X416" s="231"/>
      <c r="Y416" s="231"/>
      <c r="Z416" s="231"/>
      <c r="AA416" s="234"/>
      <c r="AB416" s="242"/>
      <c r="AC416" s="247"/>
      <c r="AD416" s="232" t="s">
        <v>19</v>
      </c>
      <c r="AE416" s="233" t="s">
        <v>46</v>
      </c>
      <c r="AF416" s="231"/>
      <c r="AG416" s="231"/>
      <c r="AH416" s="231"/>
      <c r="AI416" s="231"/>
      <c r="AJ416" s="231"/>
      <c r="AK416" s="231"/>
      <c r="AL416" s="254" t="s">
        <v>35</v>
      </c>
      <c r="AM416" s="231"/>
      <c r="AN416" s="231"/>
    </row>
    <row r="417" spans="1:40" s="9" customFormat="1" ht="60" x14ac:dyDescent="0.25">
      <c r="A417" s="13" t="s">
        <v>1217</v>
      </c>
      <c r="B417" s="229" t="str">
        <f>IF($A417="","",VLOOKUP($A417,'[2]3-Elaboration.O'!$A:$T,MATCH(B$1,'[2]150-Modele SGO'!$1:$1,0),FALSE))</f>
        <v xml:space="preserve">Des documents doivent-ils être fournis par le titulaire au moment de la livraison? (notice, carnet d'entretien, liste des distributeurs/agents et réparateurs agréés) </v>
      </c>
      <c r="C417" s="229" t="str">
        <f>IF($A417="","",VLOOKUP($A417,'[2]3-Elaboration.O'!$A:$T,MATCH(C$1,'[2]150-Modele SGO'!$1:$1,0),FALSE))</f>
        <v>Oui, des documents doivent être fournis par le titulaire au moment de la livraison; Non, absence de documents à fournir</v>
      </c>
      <c r="D417" s="229" t="str">
        <f>IF($A417="","",VLOOKUP($A417,'[2]3-Elaboration.O'!$A:$T,MATCH(D$1,'[2]150-Modele SGO'!$1:$1,0),FALSE))</f>
        <v xml:space="preserve">Liste choix unique </v>
      </c>
      <c r="E417" s="230" t="s">
        <v>1521</v>
      </c>
      <c r="F417" s="230"/>
      <c r="G417" s="231"/>
      <c r="H417" s="232" t="s">
        <v>19</v>
      </c>
      <c r="I417" s="233" t="s">
        <v>1218</v>
      </c>
      <c r="J417" s="231"/>
      <c r="K417" s="231"/>
      <c r="L417" s="231"/>
      <c r="M417" s="232" t="s">
        <v>26</v>
      </c>
      <c r="N417" s="231"/>
      <c r="O417" s="233" t="s">
        <v>46</v>
      </c>
      <c r="P417" s="233" t="s">
        <v>35</v>
      </c>
      <c r="Q417" s="233" t="s">
        <v>19</v>
      </c>
      <c r="R417" s="233" t="s">
        <v>46</v>
      </c>
      <c r="S417" s="231" t="s">
        <v>24</v>
      </c>
      <c r="T417" s="231" t="s">
        <v>24</v>
      </c>
      <c r="U417" s="231" t="s">
        <v>24</v>
      </c>
      <c r="V417" s="232" t="s">
        <v>26</v>
      </c>
      <c r="W417" s="231"/>
      <c r="X417" s="233" t="s">
        <v>46</v>
      </c>
      <c r="Y417" s="233" t="s">
        <v>1218</v>
      </c>
      <c r="Z417" s="233" t="s">
        <v>46</v>
      </c>
      <c r="AA417" s="235" t="s">
        <v>1218</v>
      </c>
      <c r="AB417" s="233" t="s">
        <v>1218</v>
      </c>
      <c r="AC417" s="245" t="s">
        <v>1218</v>
      </c>
      <c r="AD417" s="248" t="s">
        <v>19</v>
      </c>
      <c r="AE417" s="233" t="s">
        <v>46</v>
      </c>
      <c r="AF417" s="231"/>
      <c r="AG417" s="231"/>
      <c r="AH417" s="231"/>
      <c r="AI417" s="231"/>
      <c r="AJ417" s="231"/>
      <c r="AK417" s="231"/>
      <c r="AL417" s="234" t="s">
        <v>35</v>
      </c>
      <c r="AM417" s="231"/>
      <c r="AN417" s="231"/>
    </row>
    <row r="418" spans="1:40" s="9" customFormat="1" ht="30" x14ac:dyDescent="0.25">
      <c r="A418" s="13" t="s">
        <v>1221</v>
      </c>
      <c r="B418" s="229" t="str">
        <f>IF($A418="","",VLOOKUP($A418,'[2]3-Elaboration.O'!$A:$T,MATCH(B$1,'[2]150-Modele SGO'!$1:$1,0),FALSE))</f>
        <v>La possibilité de réalisation d'un audit lors de l'exécution du marché est-il prévu à l'offre?</v>
      </c>
      <c r="C418" s="229" t="str">
        <f>IF($A418="","",VLOOKUP($A418,'[2]3-Elaboration.O'!$A:$T,MATCH(C$1,'[2]150-Modele SGO'!$1:$1,0),FALSE))</f>
        <v>Oui, un audit est prévu au démarrage des prestations; Non, absence d'audit prévu au démarrage des prestations</v>
      </c>
      <c r="D418" s="229" t="str">
        <f>IF($A418="","",VLOOKUP($A418,'[2]3-Elaboration.O'!$A:$T,MATCH(D$1,'[2]150-Modele SGO'!$1:$1,0),FALSE))</f>
        <v xml:space="preserve">Liste choix unique </v>
      </c>
      <c r="E418" s="230" t="s">
        <v>1521</v>
      </c>
      <c r="F418" s="230"/>
      <c r="G418" s="233" t="s">
        <v>1222</v>
      </c>
      <c r="H418" s="232" t="s">
        <v>51</v>
      </c>
      <c r="I418" s="231"/>
      <c r="J418" s="231"/>
      <c r="K418" s="231"/>
      <c r="L418" s="231"/>
      <c r="M418" s="232" t="s">
        <v>51</v>
      </c>
      <c r="N418" s="231"/>
      <c r="O418" s="231"/>
      <c r="P418" s="231"/>
      <c r="Q418" s="231" t="s">
        <v>51</v>
      </c>
      <c r="R418" s="231" t="s">
        <v>24</v>
      </c>
      <c r="S418" s="231" t="s">
        <v>24</v>
      </c>
      <c r="T418" s="231" t="s">
        <v>24</v>
      </c>
      <c r="U418" s="231" t="s">
        <v>24</v>
      </c>
      <c r="V418" s="232" t="s">
        <v>51</v>
      </c>
      <c r="W418" s="231"/>
      <c r="X418" s="231"/>
      <c r="Y418" s="231"/>
      <c r="Z418" s="231"/>
      <c r="AA418" s="234"/>
      <c r="AB418" s="231"/>
      <c r="AC418" s="247"/>
      <c r="AD418" s="248" t="s">
        <v>51</v>
      </c>
      <c r="AE418" s="231"/>
      <c r="AF418" s="231"/>
      <c r="AG418" s="231"/>
      <c r="AH418" s="231"/>
      <c r="AI418" s="231"/>
      <c r="AJ418" s="231"/>
      <c r="AK418" s="231"/>
      <c r="AL418" s="234" t="s">
        <v>51</v>
      </c>
      <c r="AM418" s="231"/>
      <c r="AN418" s="231"/>
    </row>
    <row r="419" spans="1:40" s="9" customFormat="1" ht="30" x14ac:dyDescent="0.25">
      <c r="A419" s="13" t="s">
        <v>1225</v>
      </c>
      <c r="B419" s="229" t="str">
        <f>IF($A419="","",VLOOKUP($A419,'[2]3-Elaboration.O'!$A:$T,MATCH(B$1,'[2]150-Modele SGO'!$1:$1,0),FALSE))</f>
        <v>Le transfert de propriété au profit du bénéficiaire s'effectue</v>
      </c>
      <c r="C419" s="229" t="str">
        <f>IF($A419="","",VLOOKUP($A419,'[2]3-Elaboration.O'!$A:$T,MATCH(C$1,'[2]150-Modele SGO'!$1:$1,0),FALSE))</f>
        <v>A la livraison;A la mise en service;Au jour de l'admission</v>
      </c>
      <c r="D419" s="229" t="str">
        <f>IF($A419="","",VLOOKUP($A419,'[2]3-Elaboration.O'!$A:$T,MATCH(D$1,'[2]150-Modele SGO'!$1:$1,0),FALSE))</f>
        <v>Liste choix multiple</v>
      </c>
      <c r="E419" s="230" t="s">
        <v>1521</v>
      </c>
      <c r="F419" s="230"/>
      <c r="G419" s="231"/>
      <c r="H419" s="232" t="s">
        <v>19</v>
      </c>
      <c r="I419" s="233" t="s">
        <v>1226</v>
      </c>
      <c r="J419" s="231"/>
      <c r="K419" s="231"/>
      <c r="L419" s="231"/>
      <c r="M419" s="232" t="s">
        <v>26</v>
      </c>
      <c r="N419" s="231"/>
      <c r="O419" s="233" t="s">
        <v>1226</v>
      </c>
      <c r="P419" s="233" t="s">
        <v>35</v>
      </c>
      <c r="Q419" s="233" t="s">
        <v>19</v>
      </c>
      <c r="R419" s="233" t="s">
        <v>46</v>
      </c>
      <c r="S419" s="231" t="s">
        <v>24</v>
      </c>
      <c r="T419" s="231" t="s">
        <v>24</v>
      </c>
      <c r="U419" s="231" t="s">
        <v>24</v>
      </c>
      <c r="V419" s="232" t="s">
        <v>26</v>
      </c>
      <c r="W419" s="277"/>
      <c r="X419" s="233" t="s">
        <v>1226</v>
      </c>
      <c r="Y419" s="233" t="s">
        <v>46</v>
      </c>
      <c r="Z419" s="233" t="s">
        <v>1226</v>
      </c>
      <c r="AA419" s="235" t="s">
        <v>1226</v>
      </c>
      <c r="AB419" s="233" t="s">
        <v>1226</v>
      </c>
      <c r="AC419" s="233" t="s">
        <v>1750</v>
      </c>
      <c r="AD419" s="248" t="s">
        <v>26</v>
      </c>
      <c r="AE419" s="231"/>
      <c r="AF419" s="233" t="s">
        <v>1751</v>
      </c>
      <c r="AG419" s="233" t="s">
        <v>1751</v>
      </c>
      <c r="AH419" s="233" t="s">
        <v>1751</v>
      </c>
      <c r="AI419" s="233" t="s">
        <v>1751</v>
      </c>
      <c r="AJ419" s="233" t="s">
        <v>1751</v>
      </c>
      <c r="AK419" s="233" t="s">
        <v>1751</v>
      </c>
      <c r="AL419" s="235" t="s">
        <v>35</v>
      </c>
      <c r="AM419" s="231"/>
      <c r="AN419" s="231"/>
    </row>
    <row r="420" spans="1:40" s="9" customFormat="1" ht="30" x14ac:dyDescent="0.25">
      <c r="A420" s="24" t="s">
        <v>1229</v>
      </c>
      <c r="B420" s="249" t="str">
        <f>IF($A420="","",VLOOKUP($A420,'[2]3-Elaboration.O'!$A:$T,MATCH(B$1,'[2]150-Modele SGO'!$1:$1,0),FALSE))</f>
        <v>12.0 MODALITES D'ANALYSE DES CANDIDATURES ET DES OFFRES</v>
      </c>
      <c r="C420" s="255">
        <f>IF($A420="","",VLOOKUP($A420,'[2]3-Elaboration.O'!$A:$T,MATCH(C$1,'[2]150-Modele SGO'!$1:$1,0),FALSE))</f>
        <v>0</v>
      </c>
      <c r="D420" s="255">
        <f>IF($A420="","",VLOOKUP($A420,'[2]3-Elaboration.O'!$A:$T,MATCH(D$1,'[2]150-Modele SGO'!$1:$1,0),FALSE))</f>
        <v>0</v>
      </c>
      <c r="E420" s="1" t="s">
        <v>70</v>
      </c>
      <c r="F420" s="1"/>
      <c r="G420" s="231"/>
      <c r="H420" s="238" t="s">
        <v>30</v>
      </c>
      <c r="I420" s="231"/>
      <c r="J420" s="231"/>
      <c r="K420" s="231"/>
      <c r="L420" s="231"/>
      <c r="M420" s="238" t="s">
        <v>30</v>
      </c>
      <c r="N420" s="231"/>
      <c r="O420" s="231"/>
      <c r="P420" s="231"/>
      <c r="Q420" s="231" t="s">
        <v>30</v>
      </c>
      <c r="R420" s="231" t="s">
        <v>24</v>
      </c>
      <c r="S420" s="231" t="s">
        <v>24</v>
      </c>
      <c r="T420" s="231" t="s">
        <v>24</v>
      </c>
      <c r="U420" s="231" t="s">
        <v>24</v>
      </c>
      <c r="V420" s="238" t="s">
        <v>30</v>
      </c>
      <c r="W420" s="231" t="s">
        <v>1752</v>
      </c>
      <c r="X420" s="231"/>
      <c r="Y420" s="231"/>
      <c r="Z420" s="231"/>
      <c r="AA420" s="234"/>
      <c r="AB420" s="231"/>
      <c r="AC420" s="231"/>
      <c r="AD420" s="238" t="s">
        <v>30</v>
      </c>
      <c r="AE420" s="231"/>
      <c r="AF420" s="231"/>
      <c r="AG420" s="231"/>
      <c r="AH420" s="231"/>
      <c r="AI420" s="231"/>
      <c r="AJ420" s="231"/>
      <c r="AK420" s="231"/>
      <c r="AL420" s="234" t="s">
        <v>30</v>
      </c>
      <c r="AM420" s="231"/>
      <c r="AN420" s="231"/>
    </row>
    <row r="421" spans="1:40" s="9" customFormat="1" ht="15.75" x14ac:dyDescent="0.25">
      <c r="A421" s="108" t="s">
        <v>1231</v>
      </c>
      <c r="B421" s="244" t="str">
        <f>IF($A421="","",VLOOKUP($A421,'[2]3-Elaboration.O'!$A:$T,MATCH(B$1,'[2]150-Modele SGO'!$1:$1,0),FALSE))</f>
        <v>12.1 - Analyse des candidatures</v>
      </c>
      <c r="C421" s="244">
        <f>IF($A421="","",VLOOKUP($A421,'[2]3-Elaboration.O'!$A:$T,MATCH(C$1,'[2]150-Modele SGO'!$1:$1,0),FALSE))</f>
        <v>0</v>
      </c>
      <c r="D421" s="244">
        <f>IF($A421="","",VLOOKUP($A421,'[2]3-Elaboration.O'!$A:$T,MATCH(D$1,'[2]150-Modele SGO'!$1:$1,0),FALSE))</f>
        <v>0</v>
      </c>
      <c r="E421" s="241" t="s">
        <v>70</v>
      </c>
      <c r="F421" s="241"/>
      <c r="G421" s="237"/>
      <c r="H421" s="241" t="s">
        <v>30</v>
      </c>
      <c r="I421" s="237"/>
      <c r="J421" s="237"/>
      <c r="K421" s="237"/>
      <c r="L421" s="237"/>
      <c r="M421" s="241" t="s">
        <v>30</v>
      </c>
      <c r="N421" s="237"/>
      <c r="O421" s="237"/>
      <c r="P421" s="237"/>
      <c r="Q421" s="237" t="s">
        <v>30</v>
      </c>
      <c r="R421" s="237" t="s">
        <v>24</v>
      </c>
      <c r="S421" s="231" t="s">
        <v>24</v>
      </c>
      <c r="T421" s="237" t="s">
        <v>24</v>
      </c>
      <c r="U421" s="237" t="s">
        <v>24</v>
      </c>
      <c r="V421" s="241" t="s">
        <v>30</v>
      </c>
      <c r="W421" s="231" t="s">
        <v>1752</v>
      </c>
      <c r="X421" s="237"/>
      <c r="Y421" s="237"/>
      <c r="Z421" s="237"/>
      <c r="AA421" s="239"/>
      <c r="AB421" s="237"/>
      <c r="AC421" s="237"/>
      <c r="AD421" s="241" t="s">
        <v>30</v>
      </c>
      <c r="AE421" s="237"/>
      <c r="AF421" s="237"/>
      <c r="AG421" s="237"/>
      <c r="AH421" s="237"/>
      <c r="AI421" s="237"/>
      <c r="AJ421" s="237"/>
      <c r="AK421" s="237"/>
      <c r="AL421" s="239" t="s">
        <v>30</v>
      </c>
      <c r="AM421" s="237"/>
      <c r="AN421" s="237"/>
    </row>
    <row r="422" spans="1:40" s="9" customFormat="1" ht="15.75" x14ac:dyDescent="0.25">
      <c r="A422" s="123" t="s">
        <v>1233</v>
      </c>
      <c r="B422" s="256" t="str">
        <f>IF($A422="","",VLOOKUP($A422,'[2]3-Elaboration.O'!$A:$T,MATCH(B$1,'[2]150-Modele SGO'!$1:$1,0),FALSE))</f>
        <v>12.1.1 - Forme de la candidature</v>
      </c>
      <c r="C422" s="256">
        <f>IF($A422="","",VLOOKUP($A422,'[2]3-Elaboration.O'!$A:$T,MATCH(C$1,'[2]150-Modele SGO'!$1:$1,0),FALSE))</f>
        <v>0</v>
      </c>
      <c r="D422" s="256">
        <f>IF($A422="","",VLOOKUP($A422,'[2]3-Elaboration.O'!$A:$T,MATCH(D$1,'[2]150-Modele SGO'!$1:$1,0),FALSE))</f>
        <v>0</v>
      </c>
      <c r="E422" s="257" t="s">
        <v>70</v>
      </c>
      <c r="F422" s="257"/>
      <c r="G422" s="260"/>
      <c r="H422" s="257" t="s">
        <v>30</v>
      </c>
      <c r="I422" s="258"/>
      <c r="J422" s="258"/>
      <c r="K422" s="258"/>
      <c r="L422" s="258"/>
      <c r="M422" s="257" t="s">
        <v>30</v>
      </c>
      <c r="N422" s="258"/>
      <c r="O422" s="258"/>
      <c r="P422" s="258"/>
      <c r="Q422" s="258" t="s">
        <v>30</v>
      </c>
      <c r="R422" s="258" t="s">
        <v>24</v>
      </c>
      <c r="S422" s="231" t="s">
        <v>24</v>
      </c>
      <c r="T422" s="258" t="s">
        <v>24</v>
      </c>
      <c r="U422" s="258" t="s">
        <v>24</v>
      </c>
      <c r="V422" s="257" t="s">
        <v>30</v>
      </c>
      <c r="W422" s="231" t="s">
        <v>1752</v>
      </c>
      <c r="X422" s="258"/>
      <c r="Y422" s="258"/>
      <c r="Z422" s="258"/>
      <c r="AA422" s="259"/>
      <c r="AB422" s="258"/>
      <c r="AC422" s="258"/>
      <c r="AD422" s="257" t="s">
        <v>30</v>
      </c>
      <c r="AE422" s="260"/>
      <c r="AF422" s="260"/>
      <c r="AG422" s="260"/>
      <c r="AH422" s="260"/>
      <c r="AI422" s="260"/>
      <c r="AJ422" s="260"/>
      <c r="AK422" s="260"/>
      <c r="AL422" s="262" t="s">
        <v>30</v>
      </c>
      <c r="AM422" s="260"/>
      <c r="AN422" s="260"/>
    </row>
    <row r="423" spans="1:40" s="9" customFormat="1" ht="30" x14ac:dyDescent="0.25">
      <c r="A423" s="13" t="s">
        <v>1235</v>
      </c>
      <c r="B423" s="229" t="str">
        <f>IF($A423="","",VLOOKUP($A423,'[2]3-Elaboration.O'!$A:$T,MATCH(B$1,'[2]150-Modele SGO'!$1:$1,0),FALSE))</f>
        <v>Quelle forme de candidature est-elle acceptée ?</v>
      </c>
      <c r="C423" s="229" t="str">
        <f>IF($A423="","",VLOOKUP($A423,'[2]3-Elaboration.O'!$A:$T,MATCH(C$1,'[2]150-Modele SGO'!$1:$1,0),FALSE))</f>
        <v>Groupement solidaire obligatoire;Groupement solidaire et conjoint (avec mandataire solidaire)</v>
      </c>
      <c r="D423" s="229" t="str">
        <f>IF($A423="","",VLOOKUP($A423,'[2]3-Elaboration.O'!$A:$T,MATCH(D$1,'[2]150-Modele SGO'!$1:$1,0),FALSE))</f>
        <v xml:space="preserve">Liste choix unique </v>
      </c>
      <c r="E423" s="230" t="s">
        <v>70</v>
      </c>
      <c r="F423" s="230"/>
      <c r="G423" s="233" t="s">
        <v>1236</v>
      </c>
      <c r="H423" s="232" t="s">
        <v>51</v>
      </c>
      <c r="I423" s="231"/>
      <c r="J423" s="231"/>
      <c r="K423" s="231"/>
      <c r="L423" s="231"/>
      <c r="M423" s="232" t="s">
        <v>51</v>
      </c>
      <c r="N423" s="231"/>
      <c r="O423" s="231"/>
      <c r="P423" s="231"/>
      <c r="Q423" s="231" t="s">
        <v>51</v>
      </c>
      <c r="R423" s="231" t="s">
        <v>24</v>
      </c>
      <c r="S423" s="231" t="s">
        <v>24</v>
      </c>
      <c r="T423" s="231" t="s">
        <v>24</v>
      </c>
      <c r="U423" s="231" t="s">
        <v>24</v>
      </c>
      <c r="V423" s="232" t="s">
        <v>51</v>
      </c>
      <c r="W423" s="231"/>
      <c r="X423" s="231"/>
      <c r="Y423" s="231"/>
      <c r="Z423" s="231"/>
      <c r="AA423" s="234"/>
      <c r="AB423" s="231"/>
      <c r="AC423" s="231"/>
      <c r="AD423" s="232" t="s">
        <v>51</v>
      </c>
      <c r="AE423" s="231"/>
      <c r="AF423" s="231"/>
      <c r="AG423" s="231"/>
      <c r="AH423" s="231"/>
      <c r="AI423" s="231"/>
      <c r="AJ423" s="231"/>
      <c r="AK423" s="231"/>
      <c r="AL423" s="234" t="s">
        <v>51</v>
      </c>
      <c r="AM423" s="231"/>
      <c r="AN423" s="231"/>
    </row>
    <row r="424" spans="1:40" s="9" customFormat="1" ht="30" x14ac:dyDescent="0.25">
      <c r="A424" s="13" t="s">
        <v>1239</v>
      </c>
      <c r="B424" s="229" t="str">
        <f>IF($A424="","",VLOOKUP($A424,'[2]3-Elaboration.O'!$A:$T,MATCH(B$1,'[2]150-Modele SGO'!$1:$1,0),FALSE))</f>
        <v>Si groupement solidaire obligatoire, justifier de ce choix</v>
      </c>
      <c r="C424" s="229" t="str">
        <f>IF($A424="","",VLOOKUP($A424,'[2]3-Elaboration.O'!$A:$T,MATCH(C$1,'[2]150-Modele SGO'!$1:$1,0),FALSE))</f>
        <v>Texte</v>
      </c>
      <c r="D424" s="229" t="str">
        <f>IF($A424="","",VLOOKUP($A424,'[2]3-Elaboration.O'!$A:$T,MATCH(D$1,'[2]150-Modele SGO'!$1:$1,0),FALSE))</f>
        <v>Texte</v>
      </c>
      <c r="E424" s="230" t="s">
        <v>70</v>
      </c>
      <c r="F424" s="230"/>
      <c r="G424" s="231"/>
      <c r="H424" s="232" t="s">
        <v>35</v>
      </c>
      <c r="I424" s="231"/>
      <c r="J424" s="231"/>
      <c r="K424" s="231"/>
      <c r="L424" s="231"/>
      <c r="M424" s="232" t="s">
        <v>35</v>
      </c>
      <c r="N424" s="231"/>
      <c r="O424" s="231"/>
      <c r="P424" s="231"/>
      <c r="Q424" s="231" t="s">
        <v>35</v>
      </c>
      <c r="R424" s="231" t="s">
        <v>24</v>
      </c>
      <c r="S424" s="231" t="s">
        <v>24</v>
      </c>
      <c r="T424" s="231" t="s">
        <v>24</v>
      </c>
      <c r="U424" s="231" t="s">
        <v>24</v>
      </c>
      <c r="V424" s="232" t="s">
        <v>35</v>
      </c>
      <c r="W424" s="231"/>
      <c r="X424" s="231"/>
      <c r="Y424" s="231"/>
      <c r="Z424" s="231"/>
      <c r="AA424" s="234"/>
      <c r="AB424" s="231"/>
      <c r="AC424" s="231"/>
      <c r="AD424" s="232" t="s">
        <v>35</v>
      </c>
      <c r="AE424" s="231"/>
      <c r="AF424" s="231"/>
      <c r="AG424" s="231"/>
      <c r="AH424" s="231"/>
      <c r="AI424" s="231"/>
      <c r="AJ424" s="231"/>
      <c r="AK424" s="231"/>
      <c r="AL424" s="234" t="s">
        <v>35</v>
      </c>
      <c r="AM424" s="231"/>
      <c r="AN424" s="231"/>
    </row>
    <row r="425" spans="1:40" s="9" customFormat="1" ht="15.75" x14ac:dyDescent="0.25">
      <c r="A425" s="123" t="s">
        <v>1241</v>
      </c>
      <c r="B425" s="256" t="str">
        <f>IF($A425="","",VLOOKUP($A425,'[2]3-Elaboration.O'!$A:$T,MATCH(B$1,'[2]150-Modele SGO'!$1:$1,0),FALSE))</f>
        <v>12.1.2 -Capacité financière</v>
      </c>
      <c r="C425" s="256">
        <f>IF($A425="","",VLOOKUP($A425,'[2]3-Elaboration.O'!$A:$T,MATCH(C$1,'[2]150-Modele SGO'!$1:$1,0),FALSE))</f>
        <v>0</v>
      </c>
      <c r="D425" s="256">
        <f>IF($A425="","",VLOOKUP($A425,'[2]3-Elaboration.O'!$A:$T,MATCH(D$1,'[2]150-Modele SGO'!$1:$1,0),FALSE))</f>
        <v>0</v>
      </c>
      <c r="E425" s="257" t="s">
        <v>70</v>
      </c>
      <c r="F425" s="257"/>
      <c r="G425" s="258"/>
      <c r="H425" s="257" t="s">
        <v>30</v>
      </c>
      <c r="I425" s="258"/>
      <c r="J425" s="258"/>
      <c r="K425" s="258"/>
      <c r="L425" s="258"/>
      <c r="M425" s="257" t="s">
        <v>30</v>
      </c>
      <c r="N425" s="258"/>
      <c r="O425" s="258"/>
      <c r="P425" s="258"/>
      <c r="Q425" s="258" t="s">
        <v>30</v>
      </c>
      <c r="R425" s="258" t="s">
        <v>24</v>
      </c>
      <c r="S425" s="231" t="s">
        <v>24</v>
      </c>
      <c r="T425" s="258" t="s">
        <v>24</v>
      </c>
      <c r="U425" s="258" t="s">
        <v>24</v>
      </c>
      <c r="V425" s="257" t="s">
        <v>30</v>
      </c>
      <c r="W425" s="231"/>
      <c r="X425" s="258"/>
      <c r="Y425" s="258"/>
      <c r="Z425" s="258"/>
      <c r="AA425" s="259"/>
      <c r="AB425" s="258"/>
      <c r="AC425" s="258"/>
      <c r="AD425" s="257" t="s">
        <v>30</v>
      </c>
      <c r="AE425" s="258"/>
      <c r="AF425" s="258"/>
      <c r="AG425" s="258"/>
      <c r="AH425" s="258"/>
      <c r="AI425" s="258"/>
      <c r="AJ425" s="258"/>
      <c r="AK425" s="258"/>
      <c r="AL425" s="262" t="s">
        <v>30</v>
      </c>
      <c r="AM425" s="258"/>
      <c r="AN425" s="258"/>
    </row>
    <row r="426" spans="1:40" s="9" customFormat="1" ht="45" x14ac:dyDescent="0.25">
      <c r="A426" s="13" t="s">
        <v>1243</v>
      </c>
      <c r="B426" s="229" t="str">
        <f>IF($A426="","",VLOOKUP($A426,'[2]3-Elaboration.O'!$A:$T,MATCH(B$1,'[2]150-Modele SGO'!$1:$1,0),FALSE))</f>
        <v xml:space="preserve">Eléments pris en compte </v>
      </c>
      <c r="C426" s="229" t="str">
        <f>IF($A426="","",VLOOKUP($A426,'[2]3-Elaboration.O'!$A:$T,MATCH(C$1,'[2]150-Modele SGO'!$1:$1,0),FALSE))</f>
        <v xml:space="preserve">CA global du candidat réalisé au cours des 3 derniers exercices disponibles;CA du candidat concernant la fourniture/service objet du marché, réalisé au cours des 3 derniers exercices disponibles </v>
      </c>
      <c r="D426" s="229" t="str">
        <f>IF($A426="","",VLOOKUP($A426,'[2]3-Elaboration.O'!$A:$T,MATCH(D$1,'[2]150-Modele SGO'!$1:$1,0),FALSE))</f>
        <v xml:space="preserve">Liste choix unique </v>
      </c>
      <c r="E426" s="230" t="s">
        <v>70</v>
      </c>
      <c r="F426" s="230"/>
      <c r="G426" s="233" t="s">
        <v>1244</v>
      </c>
      <c r="H426" s="232" t="s">
        <v>51</v>
      </c>
      <c r="I426" s="231"/>
      <c r="J426" s="231"/>
      <c r="K426" s="231"/>
      <c r="L426" s="231"/>
      <c r="M426" s="232" t="s">
        <v>51</v>
      </c>
      <c r="N426" s="231"/>
      <c r="O426" s="231"/>
      <c r="P426" s="231"/>
      <c r="Q426" s="250" t="s">
        <v>51</v>
      </c>
      <c r="R426" s="231" t="s">
        <v>24</v>
      </c>
      <c r="S426" s="231" t="s">
        <v>24</v>
      </c>
      <c r="T426" s="231" t="s">
        <v>24</v>
      </c>
      <c r="U426" s="231" t="s">
        <v>24</v>
      </c>
      <c r="V426" s="232" t="s">
        <v>51</v>
      </c>
      <c r="W426" s="231"/>
      <c r="X426" s="231"/>
      <c r="Y426" s="231"/>
      <c r="Z426" s="231"/>
      <c r="AA426" s="234"/>
      <c r="AB426" s="231"/>
      <c r="AC426" s="231"/>
      <c r="AD426" s="232" t="s">
        <v>51</v>
      </c>
      <c r="AE426" s="231"/>
      <c r="AF426" s="231"/>
      <c r="AG426" s="231"/>
      <c r="AH426" s="231"/>
      <c r="AI426" s="231"/>
      <c r="AJ426" s="231"/>
      <c r="AK426" s="231"/>
      <c r="AL426" s="234" t="s">
        <v>51</v>
      </c>
      <c r="AM426" s="231"/>
      <c r="AN426" s="231"/>
    </row>
    <row r="427" spans="1:40" s="9" customFormat="1" ht="94.35" customHeight="1" x14ac:dyDescent="0.25">
      <c r="A427" s="13" t="s">
        <v>1247</v>
      </c>
      <c r="B427" s="229" t="str">
        <f>IF($A427="","",VLOOKUP($A427,'[2]3-Elaboration.O'!$A:$T,MATCH(B$1,'[2]150-Modele SGO'!$1:$1,0),FALSE))</f>
        <v xml:space="preserve">Modalités de sélection </v>
      </c>
      <c r="C427" s="229" t="str">
        <f>IF($A427="","",VLOOKUP($A427,'[2]3-Elaboration.O'!$A:$T,MATCH(C$1,'[2]150-Modele SGO'!$1:$1,0),FALSE))</f>
        <v>Pas de niveau minimal imposé; Chiffres d’affaires minimum en montant; Ratio financier inférieur ou égal à un pourcentage du CA global du candidat; Ratio financier inférieur ou égal à un pourcentage du CA objet du (des) lot(s) du candidat</v>
      </c>
      <c r="D427" s="229" t="str">
        <f>IF($A427="","",VLOOKUP($A427,'[2]3-Elaboration.O'!$A:$T,MATCH(D$1,'[2]150-Modele SGO'!$1:$1,0),FALSE))</f>
        <v xml:space="preserve">Liste choix unique </v>
      </c>
      <c r="E427" s="230" t="s">
        <v>70</v>
      </c>
      <c r="F427" s="230"/>
      <c r="G427" s="231"/>
      <c r="H427" s="232" t="s">
        <v>19</v>
      </c>
      <c r="I427" s="233" t="s">
        <v>1248</v>
      </c>
      <c r="J427" s="231"/>
      <c r="K427" s="231"/>
      <c r="L427" s="231"/>
      <c r="M427" s="232" t="s">
        <v>26</v>
      </c>
      <c r="N427" s="231"/>
      <c r="O427" s="233" t="s">
        <v>1753</v>
      </c>
      <c r="P427" s="233" t="s">
        <v>35</v>
      </c>
      <c r="Q427" s="233" t="s">
        <v>26</v>
      </c>
      <c r="R427" s="231" t="s">
        <v>24</v>
      </c>
      <c r="S427" s="233" t="s">
        <v>1248</v>
      </c>
      <c r="T427" s="233" t="s">
        <v>1248</v>
      </c>
      <c r="U427" s="233" t="s">
        <v>1753</v>
      </c>
      <c r="V427" s="248" t="s">
        <v>19</v>
      </c>
      <c r="W427" s="233" t="s">
        <v>1248</v>
      </c>
      <c r="X427" s="231"/>
      <c r="Y427" s="231"/>
      <c r="Z427" s="231"/>
      <c r="AA427" s="234"/>
      <c r="AB427" s="242"/>
      <c r="AC427" s="242"/>
      <c r="AD427" s="248" t="s">
        <v>26</v>
      </c>
      <c r="AE427" s="231"/>
      <c r="AF427" s="233" t="s">
        <v>1753</v>
      </c>
      <c r="AG427" s="233" t="s">
        <v>1753</v>
      </c>
      <c r="AH427" s="233" t="s">
        <v>1753</v>
      </c>
      <c r="AI427" s="233" t="s">
        <v>1753</v>
      </c>
      <c r="AJ427" s="233" t="s">
        <v>1753</v>
      </c>
      <c r="AK427" s="233" t="s">
        <v>1753</v>
      </c>
      <c r="AL427" s="235" t="s">
        <v>35</v>
      </c>
      <c r="AM427" s="231"/>
      <c r="AN427" s="231"/>
    </row>
    <row r="428" spans="1:40" s="9" customFormat="1" ht="15.75" x14ac:dyDescent="0.25">
      <c r="A428" s="123" t="s">
        <v>1251</v>
      </c>
      <c r="B428" s="256" t="str">
        <f>IF($A428="","",VLOOKUP($A428,'[2]3-Elaboration.O'!$A:$T,MATCH(B$1,'[2]150-Modele SGO'!$1:$1,0),FALSE))</f>
        <v>12.1.3 -Capacité professionnelle et technique</v>
      </c>
      <c r="C428" s="256">
        <f>IF($A428="","",VLOOKUP($A428,'[2]3-Elaboration.O'!$A:$T,MATCH(C$1,'[2]150-Modele SGO'!$1:$1,0),FALSE))</f>
        <v>0</v>
      </c>
      <c r="D428" s="256">
        <f>IF($A428="","",VLOOKUP($A428,'[2]3-Elaboration.O'!$A:$T,MATCH(D$1,'[2]150-Modele SGO'!$1:$1,0),FALSE))</f>
        <v>0</v>
      </c>
      <c r="E428" s="257" t="s">
        <v>70</v>
      </c>
      <c r="F428" s="257"/>
      <c r="G428" s="258"/>
      <c r="H428" s="257" t="s">
        <v>30</v>
      </c>
      <c r="I428" s="258"/>
      <c r="J428" s="258"/>
      <c r="K428" s="258"/>
      <c r="L428" s="258"/>
      <c r="M428" s="257" t="s">
        <v>30</v>
      </c>
      <c r="N428" s="258"/>
      <c r="O428" s="258"/>
      <c r="P428" s="258"/>
      <c r="Q428" s="258" t="s">
        <v>30</v>
      </c>
      <c r="R428" s="258" t="s">
        <v>24</v>
      </c>
      <c r="S428" s="231" t="s">
        <v>24</v>
      </c>
      <c r="T428" s="258" t="s">
        <v>24</v>
      </c>
      <c r="U428" s="258" t="s">
        <v>24</v>
      </c>
      <c r="V428" s="257" t="s">
        <v>30</v>
      </c>
      <c r="W428" s="231" t="s">
        <v>1752</v>
      </c>
      <c r="X428" s="258"/>
      <c r="Y428" s="258"/>
      <c r="Z428" s="258"/>
      <c r="AA428" s="259"/>
      <c r="AB428" s="258"/>
      <c r="AC428" s="258"/>
      <c r="AD428" s="257" t="s">
        <v>30</v>
      </c>
      <c r="AE428" s="258"/>
      <c r="AF428" s="258"/>
      <c r="AG428" s="258"/>
      <c r="AH428" s="258"/>
      <c r="AI428" s="258"/>
      <c r="AJ428" s="258"/>
      <c r="AK428" s="258"/>
      <c r="AL428" s="259" t="s">
        <v>30</v>
      </c>
      <c r="AM428" s="258"/>
      <c r="AN428" s="258"/>
    </row>
    <row r="429" spans="1:40" s="9" customFormat="1" ht="165" x14ac:dyDescent="0.25">
      <c r="A429" s="13" t="s">
        <v>1253</v>
      </c>
      <c r="B429" s="229" t="str">
        <f>IF($A429="","",VLOOKUP($A429,'[2]3-Elaboration.O'!$A:$T,MATCH(B$1,'[2]150-Modele SGO'!$1:$1,0),FALSE))</f>
        <v>Eléments pris en compte pour l'analyse du critère capacité professionnelles et techniques</v>
      </c>
      <c r="C429" s="229" t="str">
        <f>IF($A429="","",VLOOKUP($A429,'[2]3-Elaboration.O'!$A:$T,MATCH(C$1,'[2]150-Modele SGO'!$1:$1,0),FALSE))</f>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
      <c r="D429" s="229" t="str">
        <f>IF($A429="","",VLOOKUP($A429,'[2]3-Elaboration.O'!$A:$T,MATCH(D$1,'[2]150-Modele SGO'!$1:$1,0),FALSE))</f>
        <v>Liste choix multiple</v>
      </c>
      <c r="E429" s="230" t="s">
        <v>70</v>
      </c>
      <c r="F429" s="230" t="s">
        <v>44</v>
      </c>
      <c r="G429" s="231"/>
      <c r="H429" s="232" t="s">
        <v>19</v>
      </c>
      <c r="I429" s="233" t="s">
        <v>1254</v>
      </c>
      <c r="J429" s="231"/>
      <c r="K429" s="231"/>
      <c r="L429" s="231"/>
      <c r="M429" s="232" t="s">
        <v>26</v>
      </c>
      <c r="N429" s="231"/>
      <c r="O429" s="233" t="s">
        <v>1254</v>
      </c>
      <c r="P429" s="233" t="s">
        <v>35</v>
      </c>
      <c r="Q429" s="233" t="s">
        <v>19</v>
      </c>
      <c r="R429" s="233" t="s">
        <v>1254</v>
      </c>
      <c r="S429" s="231"/>
      <c r="T429" s="231" t="s">
        <v>24</v>
      </c>
      <c r="U429" s="231" t="s">
        <v>24</v>
      </c>
      <c r="V429" s="232" t="s">
        <v>19</v>
      </c>
      <c r="W429" s="233" t="s">
        <v>1254</v>
      </c>
      <c r="X429" s="231"/>
      <c r="Y429" s="231"/>
      <c r="Z429" s="231"/>
      <c r="AA429" s="234"/>
      <c r="AB429" s="242"/>
      <c r="AC429" s="242"/>
      <c r="AD429" s="232" t="s">
        <v>26</v>
      </c>
      <c r="AE429" s="231"/>
      <c r="AF429" s="233" t="s">
        <v>1254</v>
      </c>
      <c r="AG429" s="233" t="s">
        <v>1254</v>
      </c>
      <c r="AH429" s="233" t="s">
        <v>1254</v>
      </c>
      <c r="AI429" s="233" t="s">
        <v>1254</v>
      </c>
      <c r="AJ429" s="233" t="s">
        <v>1254</v>
      </c>
      <c r="AK429" s="233" t="s">
        <v>1254</v>
      </c>
      <c r="AL429" s="235" t="s">
        <v>35</v>
      </c>
      <c r="AM429" s="231"/>
      <c r="AN429" s="231"/>
    </row>
    <row r="430" spans="1:40" s="9" customFormat="1" ht="30" x14ac:dyDescent="0.25">
      <c r="A430" s="13" t="s">
        <v>1257</v>
      </c>
      <c r="B430" s="229" t="str">
        <f>IF($A430="","",VLOOKUP($A430,'[2]3-Elaboration.O'!$A:$T,MATCH(B$1,'[2]150-Modele SGO'!$1:$1,0),FALSE))</f>
        <v>Un minimum est-il imposé sur ce critère ?</v>
      </c>
      <c r="C430" s="229" t="str">
        <f>IF($A430="","",VLOOKUP($A430,'[2]3-Elaboration.O'!$A:$T,MATCH(C$1,'[2]150-Modele SGO'!$1:$1,0),FALSE))</f>
        <v>Non, Pas de niveau minimal imposé;Oui, Niveau minimal imposé</v>
      </c>
      <c r="D430" s="229" t="str">
        <f>IF($A430="","",VLOOKUP($A430,'[2]3-Elaboration.O'!$A:$T,MATCH(D$1,'[2]150-Modele SGO'!$1:$1,0),FALSE))</f>
        <v xml:space="preserve">Liste choix unique </v>
      </c>
      <c r="E430" s="230" t="s">
        <v>70</v>
      </c>
      <c r="F430" s="230"/>
      <c r="G430" s="231"/>
      <c r="H430" s="232" t="s">
        <v>19</v>
      </c>
      <c r="I430" s="233" t="s">
        <v>1258</v>
      </c>
      <c r="J430" s="231"/>
      <c r="K430" s="231"/>
      <c r="L430" s="231"/>
      <c r="M430" s="232" t="s">
        <v>26</v>
      </c>
      <c r="N430" s="231"/>
      <c r="O430" s="233" t="s">
        <v>1258</v>
      </c>
      <c r="P430" s="233" t="s">
        <v>35</v>
      </c>
      <c r="Q430" s="233" t="s">
        <v>19</v>
      </c>
      <c r="R430" s="233" t="s">
        <v>1258</v>
      </c>
      <c r="S430" s="231" t="s">
        <v>24</v>
      </c>
      <c r="T430" s="231" t="s">
        <v>24</v>
      </c>
      <c r="U430" s="231" t="s">
        <v>24</v>
      </c>
      <c r="V430" s="232" t="s">
        <v>19</v>
      </c>
      <c r="W430" s="233" t="s">
        <v>1258</v>
      </c>
      <c r="X430" s="231"/>
      <c r="Y430" s="231"/>
      <c r="Z430" s="231"/>
      <c r="AA430" s="234"/>
      <c r="AB430" s="231"/>
      <c r="AC430" s="231"/>
      <c r="AD430" s="232" t="s">
        <v>26</v>
      </c>
      <c r="AE430" s="231"/>
      <c r="AF430" s="233" t="s">
        <v>1258</v>
      </c>
      <c r="AG430" s="233" t="s">
        <v>1258</v>
      </c>
      <c r="AH430" s="233" t="s">
        <v>1258</v>
      </c>
      <c r="AI430" s="233" t="s">
        <v>1258</v>
      </c>
      <c r="AJ430" s="233" t="s">
        <v>1258</v>
      </c>
      <c r="AK430" s="233" t="s">
        <v>1258</v>
      </c>
      <c r="AL430" s="235" t="s">
        <v>35</v>
      </c>
      <c r="AM430" s="231"/>
      <c r="AN430" s="231"/>
    </row>
    <row r="431" spans="1:40" s="9" customFormat="1" ht="15.75" x14ac:dyDescent="0.25">
      <c r="A431" s="13" t="s">
        <v>1261</v>
      </c>
      <c r="B431" s="229" t="str">
        <f>IF($A431="","",VLOOKUP($A431,'[2]3-Elaboration.O'!$A:$T,MATCH(B$1,'[2]150-Modele SGO'!$1:$1,0),FALSE))</f>
        <v>Si oui, apporter la justification</v>
      </c>
      <c r="C431" s="229" t="str">
        <f>IF($A431="","",VLOOKUP($A431,'[2]3-Elaboration.O'!$A:$T,MATCH(C$1,'[2]150-Modele SGO'!$1:$1,0),FALSE))</f>
        <v>Champ libre</v>
      </c>
      <c r="D431" s="229" t="str">
        <f>IF($A431="","",VLOOKUP($A431,'[2]3-Elaboration.O'!$A:$T,MATCH(D$1,'[2]150-Modele SGO'!$1:$1,0),FALSE))</f>
        <v>Texte</v>
      </c>
      <c r="E431" s="230" t="s">
        <v>70</v>
      </c>
      <c r="F431" s="230"/>
      <c r="G431" s="231"/>
      <c r="H431" s="232" t="s">
        <v>35</v>
      </c>
      <c r="I431" s="231"/>
      <c r="J431" s="231"/>
      <c r="K431" s="231"/>
      <c r="L431" s="231"/>
      <c r="M431" s="232" t="s">
        <v>35</v>
      </c>
      <c r="N431" s="231"/>
      <c r="O431" s="231"/>
      <c r="P431" s="231"/>
      <c r="Q431" s="231" t="s">
        <v>35</v>
      </c>
      <c r="R431" s="231" t="s">
        <v>24</v>
      </c>
      <c r="S431" s="231" t="s">
        <v>24</v>
      </c>
      <c r="T431" s="231" t="s">
        <v>24</v>
      </c>
      <c r="U431" s="231" t="s">
        <v>24</v>
      </c>
      <c r="V431" s="232" t="s">
        <v>35</v>
      </c>
      <c r="W431" s="231"/>
      <c r="X431" s="231"/>
      <c r="Y431" s="231"/>
      <c r="Z431" s="231"/>
      <c r="AA431" s="234"/>
      <c r="AB431" s="231"/>
      <c r="AC431" s="231"/>
      <c r="AD431" s="232" t="s">
        <v>35</v>
      </c>
      <c r="AE431" s="231"/>
      <c r="AF431" s="231"/>
      <c r="AG431" s="231" t="s">
        <v>75</v>
      </c>
      <c r="AH431" s="231"/>
      <c r="AI431" s="231"/>
      <c r="AJ431" s="231"/>
      <c r="AK431" s="231"/>
      <c r="AL431" s="234" t="s">
        <v>35</v>
      </c>
      <c r="AM431" s="231"/>
      <c r="AN431" s="231"/>
    </row>
    <row r="432" spans="1:40" s="9" customFormat="1" ht="15.75" x14ac:dyDescent="0.25">
      <c r="A432" s="123" t="s">
        <v>1263</v>
      </c>
      <c r="B432" s="256" t="str">
        <f>IF($A432="","",VLOOKUP($A432,'[2]3-Elaboration.O'!$A:$T,MATCH(B$1,'[2]150-Modele SGO'!$1:$1,0),FALSE))</f>
        <v>12.1.4 -Convenance des prix</v>
      </c>
      <c r="C432" s="256">
        <f>IF($A432="","",VLOOKUP($A432,'[2]3-Elaboration.O'!$A:$T,MATCH(C$1,'[2]150-Modele SGO'!$1:$1,0),FALSE))</f>
        <v>0</v>
      </c>
      <c r="D432" s="256">
        <f>IF($A432="","",VLOOKUP($A432,'[2]3-Elaboration.O'!$A:$T,MATCH(D$1,'[2]150-Modele SGO'!$1:$1,0),FALSE))</f>
        <v>0</v>
      </c>
      <c r="E432" s="257" t="s">
        <v>70</v>
      </c>
      <c r="F432" s="257"/>
      <c r="G432" s="260"/>
      <c r="H432" s="257" t="s">
        <v>30</v>
      </c>
      <c r="I432" s="258"/>
      <c r="J432" s="258"/>
      <c r="K432" s="258"/>
      <c r="L432" s="258"/>
      <c r="M432" s="257" t="s">
        <v>30</v>
      </c>
      <c r="N432" s="258"/>
      <c r="O432" s="258"/>
      <c r="P432" s="258"/>
      <c r="Q432" s="258" t="s">
        <v>30</v>
      </c>
      <c r="R432" s="258" t="s">
        <v>24</v>
      </c>
      <c r="S432" s="231" t="s">
        <v>24</v>
      </c>
      <c r="T432" s="258" t="s">
        <v>24</v>
      </c>
      <c r="U432" s="258" t="s">
        <v>24</v>
      </c>
      <c r="V432" s="257" t="s">
        <v>30</v>
      </c>
      <c r="W432" s="231" t="s">
        <v>1752</v>
      </c>
      <c r="X432" s="258"/>
      <c r="Y432" s="258"/>
      <c r="Z432" s="258"/>
      <c r="AA432" s="259"/>
      <c r="AB432" s="258"/>
      <c r="AC432" s="258"/>
      <c r="AD432" s="257" t="s">
        <v>30</v>
      </c>
      <c r="AE432" s="260"/>
      <c r="AF432" s="260"/>
      <c r="AG432" s="260"/>
      <c r="AH432" s="260"/>
      <c r="AI432" s="260"/>
      <c r="AJ432" s="260"/>
      <c r="AK432" s="260"/>
      <c r="AL432" s="262" t="s">
        <v>30</v>
      </c>
      <c r="AM432" s="260"/>
      <c r="AN432" s="260"/>
    </row>
    <row r="433" spans="1:40" s="9" customFormat="1" ht="60" x14ac:dyDescent="0.25">
      <c r="A433" s="13" t="s">
        <v>1265</v>
      </c>
      <c r="B433" s="229" t="str">
        <f>IF($A433="","",VLOOKUP($A433,'[2]3-Elaboration.O'!$A:$T,MATCH(B$1,'[2]150-Modele SGO'!$1:$1,0),FALSE))</f>
        <v>Analyse de la convenance des prix</v>
      </c>
      <c r="C433" s="229" t="str">
        <f>IF($A433="","",VLOOKUP($A433,'[2]3-Elaboration.O'!$A:$T,MATCH(C$1,'[2]150-Modele SGO'!$1:$1,0),FALSE))</f>
        <v>L’analyse de la convenance des prix se fera sur la base du panel articles visé ci-dessus dans la partie « performance de l’offre »; L’analyse de la convenance est prévue sur une autre configuration</v>
      </c>
      <c r="D433" s="229" t="str">
        <f>IF($A433="","",VLOOKUP($A433,'[2]3-Elaboration.O'!$A:$T,MATCH(D$1,'[2]150-Modele SGO'!$1:$1,0),FALSE))</f>
        <v xml:space="preserve">Liste choix unique </v>
      </c>
      <c r="E433" s="230" t="s">
        <v>70</v>
      </c>
      <c r="F433" s="230"/>
      <c r="G433" s="233" t="s">
        <v>1266</v>
      </c>
      <c r="H433" s="232" t="s">
        <v>51</v>
      </c>
      <c r="I433" s="231"/>
      <c r="J433" s="231"/>
      <c r="K433" s="231"/>
      <c r="L433" s="231"/>
      <c r="M433" s="232" t="s">
        <v>51</v>
      </c>
      <c r="N433" s="250"/>
      <c r="O433" s="250"/>
      <c r="P433" s="250"/>
      <c r="Q433" s="250" t="s">
        <v>51</v>
      </c>
      <c r="R433" s="250" t="s">
        <v>24</v>
      </c>
      <c r="S433" s="231" t="s">
        <v>24</v>
      </c>
      <c r="T433" s="250" t="s">
        <v>24</v>
      </c>
      <c r="U433" s="250" t="s">
        <v>24</v>
      </c>
      <c r="V433" s="232" t="s">
        <v>51</v>
      </c>
      <c r="W433" s="231"/>
      <c r="X433" s="231"/>
      <c r="Y433" s="231"/>
      <c r="Z433" s="231"/>
      <c r="AA433" s="234"/>
      <c r="AB433" s="231"/>
      <c r="AC433" s="231"/>
      <c r="AD433" s="232" t="s">
        <v>51</v>
      </c>
      <c r="AE433" s="231"/>
      <c r="AF433" s="231"/>
      <c r="AG433" s="231"/>
      <c r="AH433" s="231"/>
      <c r="AI433" s="231"/>
      <c r="AJ433" s="231"/>
      <c r="AK433" s="231"/>
      <c r="AL433" s="234" t="s">
        <v>51</v>
      </c>
      <c r="AM433" s="231"/>
      <c r="AN433" s="231"/>
    </row>
    <row r="434" spans="1:40" s="9" customFormat="1" ht="30" x14ac:dyDescent="0.25">
      <c r="A434" s="13" t="s">
        <v>1269</v>
      </c>
      <c r="B434" s="229" t="str">
        <f>IF($A434="","",VLOOKUP($A434,'[2]3-Elaboration.O'!$A:$T,MATCH(B$1,'[2]150-Modele SGO'!$1:$1,0),FALSE))</f>
        <v>Présenter et motiver le choix d'une analyse de la convenance sur une autre configuration</v>
      </c>
      <c r="C434" s="229" t="str">
        <f>IF($A434="","",VLOOKUP($A434,'[2]3-Elaboration.O'!$A:$T,MATCH(C$1,'[2]150-Modele SGO'!$1:$1,0),FALSE))</f>
        <v>Champ libre</v>
      </c>
      <c r="D434" s="229" t="str">
        <f>IF($A434="","",VLOOKUP($A434,'[2]3-Elaboration.O'!$A:$T,MATCH(D$1,'[2]150-Modele SGO'!$1:$1,0),FALSE))</f>
        <v xml:space="preserve">Texte </v>
      </c>
      <c r="E434" s="230" t="s">
        <v>70</v>
      </c>
      <c r="F434" s="230"/>
      <c r="G434" s="250"/>
      <c r="H434" s="232" t="s">
        <v>35</v>
      </c>
      <c r="I434" s="231"/>
      <c r="J434" s="231"/>
      <c r="K434" s="231"/>
      <c r="L434" s="231"/>
      <c r="M434" s="232" t="s">
        <v>35</v>
      </c>
      <c r="N434" s="231"/>
      <c r="O434" s="231"/>
      <c r="P434" s="231"/>
      <c r="Q434" s="231" t="s">
        <v>35</v>
      </c>
      <c r="R434" s="231" t="s">
        <v>24</v>
      </c>
      <c r="S434" s="231" t="s">
        <v>24</v>
      </c>
      <c r="T434" s="231" t="s">
        <v>24</v>
      </c>
      <c r="U434" s="231" t="s">
        <v>24</v>
      </c>
      <c r="V434" s="232" t="s">
        <v>35</v>
      </c>
      <c r="W434" s="231"/>
      <c r="X434" s="231"/>
      <c r="Y434" s="231"/>
      <c r="Z434" s="231"/>
      <c r="AA434" s="234"/>
      <c r="AB434" s="231"/>
      <c r="AC434" s="231"/>
      <c r="AD434" s="232" t="s">
        <v>35</v>
      </c>
      <c r="AE434" s="231"/>
      <c r="AF434" s="231"/>
      <c r="AG434" s="233"/>
      <c r="AH434" s="231"/>
      <c r="AI434" s="231"/>
      <c r="AJ434" s="231"/>
      <c r="AK434" s="231"/>
      <c r="AL434" s="234" t="s">
        <v>35</v>
      </c>
      <c r="AM434" s="231"/>
      <c r="AN434" s="231"/>
    </row>
    <row r="435" spans="1:40" s="9" customFormat="1" ht="15.75" x14ac:dyDescent="0.25">
      <c r="A435" s="123" t="s">
        <v>1272</v>
      </c>
      <c r="B435" s="256" t="str">
        <f>IF($A435="","",VLOOKUP($A435,'[2]3-Elaboration.O'!$A:$T,MATCH(B$1,'[2]150-Modele SGO'!$1:$1,0),FALSE))</f>
        <v>12.1.5 -Spécimens</v>
      </c>
      <c r="C435" s="256">
        <f>IF($A435="","",VLOOKUP($A435,'[2]3-Elaboration.O'!$A:$T,MATCH(C$1,'[2]150-Modele SGO'!$1:$1,0),FALSE))</f>
        <v>0</v>
      </c>
      <c r="D435" s="256">
        <f>IF($A435="","",VLOOKUP($A435,'[2]3-Elaboration.O'!$A:$T,MATCH(D$1,'[2]150-Modele SGO'!$1:$1,0),FALSE))</f>
        <v>0</v>
      </c>
      <c r="E435" s="257" t="s">
        <v>70</v>
      </c>
      <c r="F435" s="257"/>
      <c r="G435" s="258"/>
      <c r="H435" s="257" t="s">
        <v>30</v>
      </c>
      <c r="I435" s="258"/>
      <c r="J435" s="258"/>
      <c r="K435" s="258"/>
      <c r="L435" s="258"/>
      <c r="M435" s="257" t="s">
        <v>30</v>
      </c>
      <c r="N435" s="258"/>
      <c r="O435" s="258"/>
      <c r="P435" s="258"/>
      <c r="Q435" s="258" t="s">
        <v>30</v>
      </c>
      <c r="R435" s="258" t="s">
        <v>24</v>
      </c>
      <c r="S435" s="231" t="s">
        <v>24</v>
      </c>
      <c r="T435" s="258" t="s">
        <v>24</v>
      </c>
      <c r="U435" s="258" t="s">
        <v>24</v>
      </c>
      <c r="V435" s="257" t="s">
        <v>30</v>
      </c>
      <c r="W435" s="231" t="s">
        <v>1752</v>
      </c>
      <c r="X435" s="258"/>
      <c r="Y435" s="258"/>
      <c r="Z435" s="258"/>
      <c r="AA435" s="259"/>
      <c r="AB435" s="258"/>
      <c r="AC435" s="258"/>
      <c r="AD435" s="257" t="s">
        <v>30</v>
      </c>
      <c r="AE435" s="258"/>
      <c r="AF435" s="258"/>
      <c r="AG435" s="258"/>
      <c r="AH435" s="258"/>
      <c r="AI435" s="258"/>
      <c r="AJ435" s="258"/>
      <c r="AK435" s="258"/>
      <c r="AL435" s="262" t="s">
        <v>30</v>
      </c>
      <c r="AM435" s="258"/>
      <c r="AN435" s="258"/>
    </row>
    <row r="436" spans="1:40" s="9" customFormat="1" ht="30" x14ac:dyDescent="0.25">
      <c r="A436" s="13" t="s">
        <v>1274</v>
      </c>
      <c r="B436" s="229" t="str">
        <f>IF($A436="","",VLOOKUP($A436,'[2]3-Elaboration.O'!$A:$T,MATCH(B$1,'[2]150-Modele SGO'!$1:$1,0),FALSE))</f>
        <v>Nécessité de demander des spécimens dans le cadre de l'analyse des offres ?</v>
      </c>
      <c r="C436" s="229" t="str">
        <f>IF($A436="","",VLOOKUP($A436,'[2]3-Elaboration.O'!$A:$T,MATCH(C$1,'[2]150-Modele SGO'!$1:$1,0),FALSE))</f>
        <v>Oui, nécessité de spécimens dans le cadre de l'analyse de l'offre; Non, pas de spécimen demandé</v>
      </c>
      <c r="D436" s="229" t="str">
        <f>IF($A436="","",VLOOKUP($A436,'[2]3-Elaboration.O'!$A:$T,MATCH(D$1,'[2]150-Modele SGO'!$1:$1,0),FALSE))</f>
        <v xml:space="preserve">Liste choix unique </v>
      </c>
      <c r="E436" s="230" t="s">
        <v>70</v>
      </c>
      <c r="F436" s="230"/>
      <c r="G436" s="231"/>
      <c r="H436" s="232" t="s">
        <v>19</v>
      </c>
      <c r="I436" s="233" t="s">
        <v>1754</v>
      </c>
      <c r="J436" s="231"/>
      <c r="K436" s="231"/>
      <c r="L436" s="231"/>
      <c r="M436" s="232" t="s">
        <v>26</v>
      </c>
      <c r="N436" s="231"/>
      <c r="O436" s="233" t="s">
        <v>1755</v>
      </c>
      <c r="P436" s="233" t="s">
        <v>35</v>
      </c>
      <c r="Q436" s="233" t="s">
        <v>19</v>
      </c>
      <c r="R436" s="233" t="s">
        <v>46</v>
      </c>
      <c r="S436" s="231" t="s">
        <v>24</v>
      </c>
      <c r="T436" s="231" t="s">
        <v>24</v>
      </c>
      <c r="U436" s="231" t="s">
        <v>24</v>
      </c>
      <c r="V436" s="232" t="s">
        <v>19</v>
      </c>
      <c r="W436" s="233" t="s">
        <v>46</v>
      </c>
      <c r="X436" s="231"/>
      <c r="Y436" s="231"/>
      <c r="Z436" s="231"/>
      <c r="AA436" s="234"/>
      <c r="AB436" s="242"/>
      <c r="AC436" s="242"/>
      <c r="AD436" s="232" t="s">
        <v>35</v>
      </c>
      <c r="AE436" s="231"/>
      <c r="AF436" s="231"/>
      <c r="AG436" s="231"/>
      <c r="AH436" s="231"/>
      <c r="AI436" s="231"/>
      <c r="AJ436" s="231"/>
      <c r="AK436" s="231"/>
      <c r="AL436" s="234" t="s">
        <v>35</v>
      </c>
      <c r="AM436" s="231"/>
      <c r="AN436" s="231"/>
    </row>
    <row r="437" spans="1:40" s="9" customFormat="1" ht="30" x14ac:dyDescent="0.25">
      <c r="A437" s="13" t="s">
        <v>1277</v>
      </c>
      <c r="B437" s="229" t="str">
        <f>IF($A437="","",VLOOKUP($A437,'[2]3-Elaboration.O'!$A:$T,MATCH(B$1,'[2]150-Modele SGO'!$1:$1,0),FALSE))</f>
        <v>Si oui, le versement d'une prime est-elle envisagée ?</v>
      </c>
      <c r="C437" s="229" t="str">
        <f>IF($A437="","",VLOOKUP($A437,'[2]3-Elaboration.O'!$A:$T,MATCH(C$1,'[2]150-Modele SGO'!$1:$1,0),FALSE))</f>
        <v>Oui / Non</v>
      </c>
      <c r="D437" s="229" t="str">
        <f>IF($A437="","",VLOOKUP($A437,'[2]3-Elaboration.O'!$A:$T,MATCH(D$1,'[2]150-Modele SGO'!$1:$1,0),FALSE))</f>
        <v xml:space="preserve">Liste choix unique </v>
      </c>
      <c r="E437" s="230" t="s">
        <v>70</v>
      </c>
      <c r="F437" s="230"/>
      <c r="G437" s="231"/>
      <c r="H437" s="232" t="s">
        <v>35</v>
      </c>
      <c r="I437" s="231"/>
      <c r="J437" s="231"/>
      <c r="K437" s="231"/>
      <c r="L437" s="231"/>
      <c r="M437" s="232" t="s">
        <v>26</v>
      </c>
      <c r="N437" s="231"/>
      <c r="O437" s="233" t="s">
        <v>70</v>
      </c>
      <c r="P437" s="233" t="s">
        <v>35</v>
      </c>
      <c r="Q437" s="233" t="s">
        <v>19</v>
      </c>
      <c r="R437" s="233" t="s">
        <v>46</v>
      </c>
      <c r="S437" s="231" t="s">
        <v>24</v>
      </c>
      <c r="T437" s="231" t="s">
        <v>24</v>
      </c>
      <c r="U437" s="231" t="s">
        <v>24</v>
      </c>
      <c r="V437" s="232" t="s">
        <v>19</v>
      </c>
      <c r="W437" s="233" t="s">
        <v>46</v>
      </c>
      <c r="X437" s="231"/>
      <c r="Y437" s="231"/>
      <c r="Z437" s="231"/>
      <c r="AA437" s="234"/>
      <c r="AB437" s="242"/>
      <c r="AC437" s="242"/>
      <c r="AD437" s="232" t="s">
        <v>35</v>
      </c>
      <c r="AE437" s="231"/>
      <c r="AF437" s="231"/>
      <c r="AG437" s="231"/>
      <c r="AH437" s="231"/>
      <c r="AI437" s="231"/>
      <c r="AJ437" s="231"/>
      <c r="AK437" s="231"/>
      <c r="AL437" s="234" t="s">
        <v>35</v>
      </c>
      <c r="AM437" s="231"/>
      <c r="AN437" s="231"/>
    </row>
    <row r="438" spans="1:40" s="9" customFormat="1" ht="15.75" x14ac:dyDescent="0.25">
      <c r="A438" s="108" t="s">
        <v>1280</v>
      </c>
      <c r="B438" s="244" t="str">
        <f>IF($A438="","",VLOOKUP($A438,'[2]3-Elaboration.O'!$A:$T,MATCH(B$1,'[2]150-Modele SGO'!$1:$1,0),FALSE))</f>
        <v>12.2 - Analyse des offres</v>
      </c>
      <c r="C438" s="244">
        <f>IF($A438="","",VLOOKUP($A438,'[2]3-Elaboration.O'!$A:$T,MATCH(C$1,'[2]150-Modele SGO'!$1:$1,0),FALSE))</f>
        <v>0</v>
      </c>
      <c r="D438" s="244">
        <f>IF($A438="","",VLOOKUP($A438,'[2]3-Elaboration.O'!$A:$T,MATCH(D$1,'[2]150-Modele SGO'!$1:$1,0),FALSE))</f>
        <v>0</v>
      </c>
      <c r="E438" s="241" t="s">
        <v>70</v>
      </c>
      <c r="F438" s="241"/>
      <c r="G438" s="237"/>
      <c r="H438" s="241" t="s">
        <v>30</v>
      </c>
      <c r="I438" s="237"/>
      <c r="J438" s="237"/>
      <c r="K438" s="237"/>
      <c r="L438" s="237"/>
      <c r="M438" s="241" t="s">
        <v>30</v>
      </c>
      <c r="N438" s="237"/>
      <c r="O438" s="237"/>
      <c r="P438" s="237"/>
      <c r="Q438" s="237" t="s">
        <v>30</v>
      </c>
      <c r="R438" s="237" t="s">
        <v>24</v>
      </c>
      <c r="S438" s="231" t="s">
        <v>24</v>
      </c>
      <c r="T438" s="237" t="s">
        <v>24</v>
      </c>
      <c r="U438" s="237" t="s">
        <v>24</v>
      </c>
      <c r="V438" s="241" t="s">
        <v>30</v>
      </c>
      <c r="W438" s="231" t="s">
        <v>1752</v>
      </c>
      <c r="X438" s="237"/>
      <c r="Y438" s="237"/>
      <c r="Z438" s="237"/>
      <c r="AA438" s="239"/>
      <c r="AB438" s="237"/>
      <c r="AC438" s="237"/>
      <c r="AD438" s="241" t="s">
        <v>30</v>
      </c>
      <c r="AE438" s="237"/>
      <c r="AF438" s="237"/>
      <c r="AG438" s="237"/>
      <c r="AH438" s="237"/>
      <c r="AI438" s="237"/>
      <c r="AJ438" s="237"/>
      <c r="AK438" s="237"/>
      <c r="AL438" s="239" t="s">
        <v>30</v>
      </c>
      <c r="AM438" s="237"/>
      <c r="AN438" s="237"/>
    </row>
    <row r="439" spans="1:40" s="9" customFormat="1" ht="30" x14ac:dyDescent="0.25">
      <c r="A439" s="13" t="s">
        <v>1282</v>
      </c>
      <c r="B439" s="229" t="str">
        <f>IF($A439="","",VLOOKUP($A439,'[2]3-Elaboration.O'!$A:$T,MATCH(B$1,'[2]150-Modele SGO'!$1:$1,0),FALSE))</f>
        <v>Quels sont les critères de pondération et pondération applicables</v>
      </c>
      <c r="C439" s="229" t="str">
        <f>IF($A439="","",VLOOKUP($A439,'[2]3-Elaboration.O'!$A:$T,MATCH(C$1,'[2]150-Modele SGO'!$1:$1,0),FALSE))</f>
        <v>Annexe 10 - Analyse critères</v>
      </c>
      <c r="D439" s="229" t="str">
        <f>IF($A439="","",VLOOKUP($A439,'[2]3-Elaboration.O'!$A:$T,MATCH(D$1,'[2]150-Modele SGO'!$1:$1,0),FALSE))</f>
        <v>Annexe 10 - Analyse Critères</v>
      </c>
      <c r="E439" s="230" t="s">
        <v>70</v>
      </c>
      <c r="F439" s="230"/>
      <c r="G439" s="250"/>
      <c r="H439" s="232" t="s">
        <v>35</v>
      </c>
      <c r="I439" s="231"/>
      <c r="J439" s="231"/>
      <c r="K439" s="231"/>
      <c r="L439" s="231"/>
      <c r="M439" s="232" t="s">
        <v>35</v>
      </c>
      <c r="N439" s="231"/>
      <c r="O439" s="231"/>
      <c r="P439" s="231"/>
      <c r="Q439" s="231" t="s">
        <v>35</v>
      </c>
      <c r="R439" s="231" t="s">
        <v>24</v>
      </c>
      <c r="S439" s="231" t="s">
        <v>24</v>
      </c>
      <c r="T439" s="231" t="s">
        <v>24</v>
      </c>
      <c r="U439" s="231" t="s">
        <v>24</v>
      </c>
      <c r="V439" s="232" t="s">
        <v>35</v>
      </c>
      <c r="W439" s="231"/>
      <c r="X439" s="231"/>
      <c r="Y439" s="231"/>
      <c r="Z439" s="231"/>
      <c r="AA439" s="234"/>
      <c r="AB439" s="231"/>
      <c r="AC439" s="231"/>
      <c r="AD439" s="232" t="s">
        <v>35</v>
      </c>
      <c r="AE439" s="231"/>
      <c r="AF439" s="231"/>
      <c r="AG439" s="233"/>
      <c r="AH439" s="231"/>
      <c r="AI439" s="231"/>
      <c r="AJ439" s="231"/>
      <c r="AK439" s="231"/>
      <c r="AL439" s="234" t="s">
        <v>35</v>
      </c>
      <c r="AM439" s="231"/>
      <c r="AN439" s="231"/>
    </row>
    <row r="440" spans="1:40" s="9" customFormat="1" ht="15.75" x14ac:dyDescent="0.25">
      <c r="A440" s="108" t="s">
        <v>1287</v>
      </c>
      <c r="B440" s="244" t="str">
        <f>IF($A440="","",VLOOKUP($A440,'[2]3-Elaboration.O'!$A:$T,MATCH(B$1,'[2]150-Modele SGO'!$1:$1,0),FALSE))</f>
        <v>12.3 - Gain à l'achat</v>
      </c>
      <c r="C440" s="244">
        <f>IF($A440="","",VLOOKUP($A440,'[2]3-Elaboration.O'!$A:$T,MATCH(C$1,'[2]150-Modele SGO'!$1:$1,0),FALSE))</f>
        <v>0</v>
      </c>
      <c r="D440" s="244">
        <f>IF($A440="","",VLOOKUP($A440,'[2]3-Elaboration.O'!$A:$T,MATCH(D$1,'[2]150-Modele SGO'!$1:$1,0),FALSE))</f>
        <v>0</v>
      </c>
      <c r="E440" s="241" t="s">
        <v>70</v>
      </c>
      <c r="F440" s="241"/>
      <c r="G440" s="251"/>
      <c r="H440" s="241" t="s">
        <v>30</v>
      </c>
      <c r="I440" s="237"/>
      <c r="J440" s="237"/>
      <c r="K440" s="237"/>
      <c r="L440" s="237"/>
      <c r="M440" s="241" t="s">
        <v>30</v>
      </c>
      <c r="N440" s="237"/>
      <c r="O440" s="237"/>
      <c r="P440" s="237"/>
      <c r="Q440" s="237" t="s">
        <v>30</v>
      </c>
      <c r="R440" s="237" t="s">
        <v>24</v>
      </c>
      <c r="S440" s="231" t="s">
        <v>24</v>
      </c>
      <c r="T440" s="237" t="s">
        <v>24</v>
      </c>
      <c r="U440" s="237" t="s">
        <v>24</v>
      </c>
      <c r="V440" s="241" t="s">
        <v>30</v>
      </c>
      <c r="W440" s="231" t="s">
        <v>1752</v>
      </c>
      <c r="X440" s="237"/>
      <c r="Y440" s="237"/>
      <c r="Z440" s="237"/>
      <c r="AA440" s="239"/>
      <c r="AB440" s="237"/>
      <c r="AC440" s="237"/>
      <c r="AD440" s="241" t="s">
        <v>30</v>
      </c>
      <c r="AE440" s="251"/>
      <c r="AF440" s="251"/>
      <c r="AG440" s="251"/>
      <c r="AH440" s="251"/>
      <c r="AI440" s="251"/>
      <c r="AJ440" s="251"/>
      <c r="AK440" s="251"/>
      <c r="AL440" s="253" t="s">
        <v>30</v>
      </c>
      <c r="AM440" s="251"/>
      <c r="AN440" s="251"/>
    </row>
    <row r="441" spans="1:40" s="9" customFormat="1" ht="75" customHeight="1" x14ac:dyDescent="0.25">
      <c r="A441" s="13" t="s">
        <v>1289</v>
      </c>
      <c r="B441" s="229" t="str">
        <f>IF($A441="","",VLOOKUP($A441,'[2]3-Elaboration.O'!$A:$T,MATCH(B$1,'[2]150-Modele SGO'!$1:$1,0),FALSE))</f>
        <v xml:space="preserve"> Un accompagnement est-il nécessaire pour le calcul du gain achat ?</v>
      </c>
      <c r="C441" s="229" t="str">
        <f>IF($A441="","",VLOOKUP($A441,'[2]3-Elaboration.O'!$A:$T,MATCH(C$1,'[2]150-Modele SGO'!$1:$1,0),FALSE))</f>
        <v>Oui,Accompagnement nécessaire pour le calcul des gains à l'achat; Non, Aucun accompagnement nécessaire pour la calcul des gains à l'achat</v>
      </c>
      <c r="D441" s="229" t="str">
        <f>IF($A441="","",VLOOKUP($A441,'[2]3-Elaboration.O'!$A:$T,MATCH(D$1,'[2]150-Modele SGO'!$1:$1,0),FALSE))</f>
        <v xml:space="preserve">Liste choix unique </v>
      </c>
      <c r="E441" s="230" t="s">
        <v>70</v>
      </c>
      <c r="F441" s="230"/>
      <c r="G441" s="231"/>
      <c r="H441" s="232" t="s">
        <v>19</v>
      </c>
      <c r="I441" s="233" t="s">
        <v>1756</v>
      </c>
      <c r="J441" s="231"/>
      <c r="K441" s="231"/>
      <c r="L441" s="231"/>
      <c r="M441" s="232" t="s">
        <v>26</v>
      </c>
      <c r="N441" s="231"/>
      <c r="O441" s="233" t="s">
        <v>1756</v>
      </c>
      <c r="P441" s="233" t="s">
        <v>35</v>
      </c>
      <c r="Q441" s="233" t="s">
        <v>19</v>
      </c>
      <c r="R441" s="233" t="s">
        <v>1756</v>
      </c>
      <c r="S441" s="231" t="s">
        <v>24</v>
      </c>
      <c r="T441" s="231" t="s">
        <v>24</v>
      </c>
      <c r="U441" s="231" t="s">
        <v>24</v>
      </c>
      <c r="V441" s="232" t="s">
        <v>26</v>
      </c>
      <c r="W441" s="231"/>
      <c r="X441" s="233" t="s">
        <v>1756</v>
      </c>
      <c r="Y441" s="233" t="s">
        <v>1756</v>
      </c>
      <c r="Z441" s="233" t="s">
        <v>1290</v>
      </c>
      <c r="AA441" s="235" t="s">
        <v>1290</v>
      </c>
      <c r="AB441" s="233" t="s">
        <v>1756</v>
      </c>
      <c r="AC441" s="245" t="s">
        <v>1756</v>
      </c>
      <c r="AD441" s="232" t="s">
        <v>26</v>
      </c>
      <c r="AE441" s="231"/>
      <c r="AF441" s="233" t="s">
        <v>1756</v>
      </c>
      <c r="AG441" s="233" t="s">
        <v>1756</v>
      </c>
      <c r="AH441" s="233" t="s">
        <v>1756</v>
      </c>
      <c r="AI441" s="233" t="s">
        <v>1756</v>
      </c>
      <c r="AJ441" s="233" t="s">
        <v>1756</v>
      </c>
      <c r="AK441" s="233" t="s">
        <v>1756</v>
      </c>
      <c r="AL441" s="235" t="s">
        <v>35</v>
      </c>
      <c r="AM441" s="231"/>
      <c r="AN441" s="231"/>
    </row>
    <row r="442" spans="1:40" s="9" customFormat="1" ht="15.75" x14ac:dyDescent="0.25">
      <c r="A442" s="13" t="s">
        <v>1293</v>
      </c>
      <c r="B442" s="229" t="str">
        <f>IF($A442="","",VLOOKUP($A442,'[2]3-Elaboration.O'!$A:$T,MATCH(B$1,'[2]150-Modele SGO'!$1:$1,0),FALSE))</f>
        <v>Panel articles</v>
      </c>
      <c r="C442" s="229" t="str">
        <f>IF($A442="","",VLOOKUP($A442,'[2]3-Elaboration.O'!$A:$T,MATCH(C$1,'[2]150-Modele SGO'!$1:$1,0),FALSE))</f>
        <v>Champ libre</v>
      </c>
      <c r="D442" s="229" t="str">
        <f>IF($A442="","",VLOOKUP($A442,'[2]3-Elaboration.O'!$A:$T,MATCH(D$1,'[2]150-Modele SGO'!$1:$1,0),FALSE))</f>
        <v>Texte</v>
      </c>
      <c r="E442" s="230" t="s">
        <v>70</v>
      </c>
      <c r="F442" s="230"/>
      <c r="G442" s="231"/>
      <c r="H442" s="232" t="s">
        <v>35</v>
      </c>
      <c r="I442" s="231"/>
      <c r="J442" s="231"/>
      <c r="K442" s="231"/>
      <c r="L442" s="231"/>
      <c r="M442" s="232" t="s">
        <v>35</v>
      </c>
      <c r="N442" s="231"/>
      <c r="O442" s="231"/>
      <c r="P442" s="231"/>
      <c r="Q442" s="231" t="s">
        <v>35</v>
      </c>
      <c r="R442" s="231" t="s">
        <v>24</v>
      </c>
      <c r="S442" s="231" t="s">
        <v>24</v>
      </c>
      <c r="T442" s="231" t="s">
        <v>24</v>
      </c>
      <c r="U442" s="231" t="s">
        <v>24</v>
      </c>
      <c r="V442" s="232" t="s">
        <v>35</v>
      </c>
      <c r="W442" s="231"/>
      <c r="X442" s="231"/>
      <c r="Y442" s="231"/>
      <c r="Z442" s="231"/>
      <c r="AA442" s="234"/>
      <c r="AB442" s="231"/>
      <c r="AC442" s="247"/>
      <c r="AD442" s="232" t="s">
        <v>35</v>
      </c>
      <c r="AE442" s="231"/>
      <c r="AF442" s="231"/>
      <c r="AG442" s="231"/>
      <c r="AH442" s="231"/>
      <c r="AI442" s="231"/>
      <c r="AJ442" s="231"/>
      <c r="AK442" s="231"/>
      <c r="AL442" s="234" t="s">
        <v>35</v>
      </c>
      <c r="AM442" s="231"/>
      <c r="AN442" s="231"/>
    </row>
    <row r="443" spans="1:40" s="9" customFormat="1" ht="30" x14ac:dyDescent="0.25">
      <c r="A443" s="24" t="s">
        <v>1295</v>
      </c>
      <c r="B443" s="249" t="str">
        <f>IF($A443="","",VLOOKUP($A443,'[2]3-Elaboration.O'!$A:$T,MATCH(B$1,'[2]150-Modele SGO'!$1:$1,0),FALSE))</f>
        <v>13.0- COMMERCIALISATION - COMMUNICATION - PROMOTION</v>
      </c>
      <c r="C443" s="255">
        <f>IF($A443="","",VLOOKUP($A443,'[2]3-Elaboration.O'!$A:$T,MATCH(C$1,'[2]150-Modele SGO'!$1:$1,0),FALSE))</f>
        <v>0</v>
      </c>
      <c r="D443" s="255">
        <f>IF($A443="","",VLOOKUP($A443,'[2]3-Elaboration.O'!$A:$T,MATCH(D$1,'[2]150-Modele SGO'!$1:$1,0),FALSE))</f>
        <v>0</v>
      </c>
      <c r="E443" s="1" t="s">
        <v>70</v>
      </c>
      <c r="F443" s="1"/>
      <c r="G443" s="231"/>
      <c r="H443" s="238" t="s">
        <v>30</v>
      </c>
      <c r="I443" s="231"/>
      <c r="J443" s="231"/>
      <c r="K443" s="231"/>
      <c r="L443" s="231"/>
      <c r="M443" s="238" t="s">
        <v>30</v>
      </c>
      <c r="N443" s="231"/>
      <c r="O443" s="231"/>
      <c r="P443" s="231"/>
      <c r="Q443" s="231" t="s">
        <v>30</v>
      </c>
      <c r="R443" s="231" t="s">
        <v>24</v>
      </c>
      <c r="S443" s="231" t="s">
        <v>24</v>
      </c>
      <c r="T443" s="231" t="s">
        <v>24</v>
      </c>
      <c r="U443" s="231" t="s">
        <v>24</v>
      </c>
      <c r="V443" s="238" t="s">
        <v>30</v>
      </c>
      <c r="W443" s="231" t="s">
        <v>1752</v>
      </c>
      <c r="X443" s="231"/>
      <c r="Y443" s="231"/>
      <c r="Z443" s="231"/>
      <c r="AA443" s="234"/>
      <c r="AB443" s="231"/>
      <c r="AC443" s="231"/>
      <c r="AD443" s="238" t="s">
        <v>30</v>
      </c>
      <c r="AE443" s="231"/>
      <c r="AF443" s="231"/>
      <c r="AG443" s="231"/>
      <c r="AH443" s="231"/>
      <c r="AI443" s="231"/>
      <c r="AJ443" s="231"/>
      <c r="AK443" s="231"/>
      <c r="AL443" s="234" t="s">
        <v>30</v>
      </c>
      <c r="AM443" s="231"/>
      <c r="AN443" s="231"/>
    </row>
    <row r="444" spans="1:40" s="9" customFormat="1" ht="15.75" x14ac:dyDescent="0.25">
      <c r="A444" s="108" t="s">
        <v>1297</v>
      </c>
      <c r="B444" s="244" t="str">
        <f>IF($A444="","",VLOOKUP($A444,'[2]3-Elaboration.O'!$A:$T,MATCH(B$1,'[2]150-Modele SGO'!$1:$1,0),FALSE))</f>
        <v>13.1 Référencement</v>
      </c>
      <c r="C444" s="244">
        <f>IF($A444="","",VLOOKUP($A444,'[2]3-Elaboration.O'!$A:$T,MATCH(C$1,'[2]150-Modele SGO'!$1:$1,0),FALSE))</f>
        <v>0</v>
      </c>
      <c r="D444" s="244">
        <f>IF($A444="","",VLOOKUP($A444,'[2]3-Elaboration.O'!$A:$T,MATCH(D$1,'[2]150-Modele SGO'!$1:$1,0),FALSE))</f>
        <v>0</v>
      </c>
      <c r="E444" s="241" t="s">
        <v>70</v>
      </c>
      <c r="F444" s="241"/>
      <c r="G444" s="237"/>
      <c r="H444" s="241" t="s">
        <v>30</v>
      </c>
      <c r="I444" s="237"/>
      <c r="J444" s="237"/>
      <c r="K444" s="237"/>
      <c r="L444" s="237"/>
      <c r="M444" s="241" t="s">
        <v>30</v>
      </c>
      <c r="N444" s="237"/>
      <c r="O444" s="237"/>
      <c r="P444" s="237"/>
      <c r="Q444" s="237" t="s">
        <v>30</v>
      </c>
      <c r="R444" s="237" t="s">
        <v>24</v>
      </c>
      <c r="S444" s="231" t="s">
        <v>24</v>
      </c>
      <c r="T444" s="237" t="s">
        <v>24</v>
      </c>
      <c r="U444" s="237" t="s">
        <v>24</v>
      </c>
      <c r="V444" s="241" t="s">
        <v>30</v>
      </c>
      <c r="W444" s="231" t="s">
        <v>1752</v>
      </c>
      <c r="X444" s="237"/>
      <c r="Y444" s="237"/>
      <c r="Z444" s="237"/>
      <c r="AA444" s="239"/>
      <c r="AB444" s="237"/>
      <c r="AC444" s="237"/>
      <c r="AD444" s="241" t="s">
        <v>30</v>
      </c>
      <c r="AE444" s="237"/>
      <c r="AF444" s="237"/>
      <c r="AG444" s="237"/>
      <c r="AH444" s="237"/>
      <c r="AI444" s="237"/>
      <c r="AJ444" s="237"/>
      <c r="AK444" s="237"/>
      <c r="AL444" s="239" t="s">
        <v>30</v>
      </c>
      <c r="AM444" s="237"/>
      <c r="AN444" s="237"/>
    </row>
    <row r="445" spans="1:40" s="9" customFormat="1" ht="30" x14ac:dyDescent="0.25">
      <c r="A445" s="13" t="s">
        <v>101</v>
      </c>
      <c r="B445" s="229" t="str">
        <f>IF($A445="","",VLOOKUP($A445,'[2]3-Elaboration.O'!$A:$T,MATCH(B$1,'[2]150-Modele SGO'!$1:$1,0),FALSE))</f>
        <v>Le montant total de la procédure est-il supérieur à 250 millions d'euros HT ?</v>
      </c>
      <c r="C445" s="229" t="str">
        <f>IF($A445="","",VLOOKUP($A445,'[2]3-Elaboration.O'!$A:$T,MATCH(C$1,'[2]150-Modele SGO'!$1:$1,0),FALSE))</f>
        <v>Oui, le principe d'engagement maximum avec montants estimés s'applique;Non, dérogation au standard</v>
      </c>
      <c r="D445" s="229" t="str">
        <f>IF($A445="","",VLOOKUP($A445,'[2]3-Elaboration.O'!$A:$T,MATCH(D$1,'[2]150-Modele SGO'!$1:$1,0),FALSE))</f>
        <v xml:space="preserve">Liste choix unique </v>
      </c>
      <c r="E445" s="230" t="s">
        <v>70</v>
      </c>
      <c r="F445" s="230"/>
      <c r="G445" s="233" t="s">
        <v>1757</v>
      </c>
      <c r="H445" s="232" t="s">
        <v>51</v>
      </c>
      <c r="I445" s="237"/>
      <c r="J445" s="237"/>
      <c r="K445" s="237"/>
      <c r="L445" s="237"/>
      <c r="M445" s="232" t="s">
        <v>51</v>
      </c>
      <c r="N445" s="237"/>
      <c r="O445" s="237"/>
      <c r="P445" s="237"/>
      <c r="Q445" s="233" t="s">
        <v>51</v>
      </c>
      <c r="R445" s="237" t="s">
        <v>24</v>
      </c>
      <c r="S445" s="231" t="s">
        <v>24</v>
      </c>
      <c r="T445" s="231" t="s">
        <v>24</v>
      </c>
      <c r="U445" s="231" t="s">
        <v>24</v>
      </c>
      <c r="V445" s="232" t="s">
        <v>51</v>
      </c>
      <c r="W445" s="231"/>
      <c r="X445" s="237"/>
      <c r="Y445" s="237"/>
      <c r="Z445" s="237"/>
      <c r="AA445" s="239"/>
      <c r="AB445" s="237"/>
      <c r="AC445" s="237"/>
      <c r="AD445" s="232" t="s">
        <v>51</v>
      </c>
      <c r="AE445" s="237"/>
      <c r="AF445" s="237"/>
      <c r="AG445" s="237"/>
      <c r="AH445" s="237"/>
      <c r="AI445" s="237"/>
      <c r="AJ445" s="237"/>
      <c r="AK445" s="237"/>
      <c r="AL445" s="239" t="s">
        <v>51</v>
      </c>
      <c r="AM445" s="237"/>
      <c r="AN445" s="237"/>
    </row>
    <row r="446" spans="1:40" s="9" customFormat="1" ht="30" x14ac:dyDescent="0.25">
      <c r="A446" s="13" t="s">
        <v>1301</v>
      </c>
      <c r="B446" s="229" t="str">
        <f>IF($A446="","",VLOOKUP($A446,'[2]3-Elaboration.O'!$A:$T,MATCH(B$1,'[2]150-Modele SGO'!$1:$1,0),FALSE))</f>
        <v xml:space="preserve">Conclusion de la réunion criticité du référencement </v>
      </c>
      <c r="C446" s="229" t="str">
        <f>IF($A446="","",VLOOKUP($A446,'[2]3-Elaboration.O'!$A:$T,MATCH(C$1,'[2]150-Modele SGO'!$1:$1,0),FALSE))</f>
        <v>Annexe 10 - Criticité Référencement</v>
      </c>
      <c r="D446" s="229" t="str">
        <f>IF($A446="","",VLOOKUP($A446,'[2]3-Elaboration.O'!$A:$T,MATCH(D$1,'[2]150-Modele SGO'!$1:$1,0),FALSE))</f>
        <v>Annexe 10 - Criticité référencement</v>
      </c>
      <c r="E446" s="230" t="s">
        <v>70</v>
      </c>
      <c r="F446" s="230"/>
      <c r="G446" s="231"/>
      <c r="H446" s="232" t="s">
        <v>35</v>
      </c>
      <c r="I446" s="231"/>
      <c r="J446" s="231"/>
      <c r="K446" s="231"/>
      <c r="L446" s="231"/>
      <c r="M446" s="232" t="s">
        <v>35</v>
      </c>
      <c r="N446" s="231"/>
      <c r="O446" s="231"/>
      <c r="P446" s="231"/>
      <c r="Q446" s="231" t="s">
        <v>35</v>
      </c>
      <c r="R446" s="231" t="s">
        <v>24</v>
      </c>
      <c r="S446" s="231" t="s">
        <v>24</v>
      </c>
      <c r="T446" s="231" t="s">
        <v>24</v>
      </c>
      <c r="U446" s="231" t="s">
        <v>24</v>
      </c>
      <c r="V446" s="232" t="s">
        <v>35</v>
      </c>
      <c r="W446" s="231"/>
      <c r="X446" s="231"/>
      <c r="Y446" s="231"/>
      <c r="Z446" s="231"/>
      <c r="AA446" s="234"/>
      <c r="AB446" s="231"/>
      <c r="AC446" s="231"/>
      <c r="AD446" s="232" t="s">
        <v>35</v>
      </c>
      <c r="AE446" s="231"/>
      <c r="AF446" s="231"/>
      <c r="AG446" s="231"/>
      <c r="AH446" s="231"/>
      <c r="AI446" s="231"/>
      <c r="AJ446" s="231"/>
      <c r="AK446" s="231"/>
      <c r="AL446" s="234" t="s">
        <v>35</v>
      </c>
      <c r="AM446" s="231"/>
      <c r="AN446" s="231"/>
    </row>
    <row r="447" spans="1:40" s="9" customFormat="1" ht="45" x14ac:dyDescent="0.25">
      <c r="A447" s="13" t="s">
        <v>1306</v>
      </c>
      <c r="B447" s="229" t="str">
        <f>IF($A447="","",VLOOKUP($A447,'[2]3-Elaboration.O'!$A:$T,MATCH(B$1,'[2]150-Modele SGO'!$1:$1,0),FALSE))</f>
        <v xml:space="preserve">Un comité de référencement est-il à prévoir suite à l'analyse de la criticité du référencement menée par le référent référencement ? </v>
      </c>
      <c r="C447" s="229" t="str">
        <f>IF($A447="","",VLOOKUP($A447,'[2]3-Elaboration.O'!$A:$T,MATCH(C$1,'[2]150-Modele SGO'!$1:$1,0),FALSE))</f>
        <v>Oui, un comité de référencement 1 est à prévoir; Non, pas de comité de référencement 1</v>
      </c>
      <c r="D447" s="229" t="str">
        <f>IF($A447="","",VLOOKUP($A447,'[2]3-Elaboration.O'!$A:$T,MATCH(D$1,'[2]150-Modele SGO'!$1:$1,0),FALSE))</f>
        <v xml:space="preserve">Liste choix unique </v>
      </c>
      <c r="E447" s="230" t="s">
        <v>70</v>
      </c>
      <c r="F447" s="230"/>
      <c r="G447" s="231"/>
      <c r="H447" s="232" t="s">
        <v>35</v>
      </c>
      <c r="I447" s="231"/>
      <c r="J447" s="231"/>
      <c r="K447" s="231"/>
      <c r="L447" s="231"/>
      <c r="M447" s="232" t="s">
        <v>35</v>
      </c>
      <c r="N447" s="231"/>
      <c r="O447" s="231"/>
      <c r="P447" s="231"/>
      <c r="Q447" s="231" t="s">
        <v>19</v>
      </c>
      <c r="R447" s="231" t="s">
        <v>1758</v>
      </c>
      <c r="S447" s="231" t="s">
        <v>24</v>
      </c>
      <c r="T447" s="231" t="s">
        <v>24</v>
      </c>
      <c r="U447" s="231" t="s">
        <v>24</v>
      </c>
      <c r="V447" s="232" t="s">
        <v>35</v>
      </c>
      <c r="W447" s="231"/>
      <c r="X447" s="231"/>
      <c r="Y447" s="231"/>
      <c r="Z447" s="231"/>
      <c r="AA447" s="234"/>
      <c r="AB447" s="231"/>
      <c r="AC447" s="231"/>
      <c r="AD447" s="232" t="s">
        <v>35</v>
      </c>
      <c r="AE447" s="231"/>
      <c r="AF447" s="231"/>
      <c r="AG447" s="231"/>
      <c r="AH447" s="231"/>
      <c r="AI447" s="231"/>
      <c r="AJ447" s="231"/>
      <c r="AK447" s="231"/>
      <c r="AL447" s="234" t="s">
        <v>35</v>
      </c>
      <c r="AM447" s="231"/>
      <c r="AN447" s="231"/>
    </row>
    <row r="448" spans="1:40" s="9" customFormat="1" ht="30" x14ac:dyDescent="0.25">
      <c r="A448" s="13" t="s">
        <v>1309</v>
      </c>
      <c r="B448" s="229" t="str">
        <f>IF($A448="","",VLOOKUP($A448,'[2]3-Elaboration.O'!$A:$T,MATCH(B$1,'[2]150-Modele SGO'!$1:$1,0),FALSE))</f>
        <v xml:space="preserve">Si oui, sur quelle problématique/thématique du référencement ? </v>
      </c>
      <c r="C448" s="229" t="str">
        <f>IF($A448="","",VLOOKUP($A448,'[2]3-Elaboration.O'!$A:$T,MATCH(C$1,'[2]150-Modele SGO'!$1:$1,0),FALSE))</f>
        <v>Champ libre</v>
      </c>
      <c r="D448" s="229" t="str">
        <f>IF($A448="","",VLOOKUP($A448,'[2]3-Elaboration.O'!$A:$T,MATCH(D$1,'[2]150-Modele SGO'!$1:$1,0),FALSE))</f>
        <v>Texte</v>
      </c>
      <c r="E448" s="230" t="s">
        <v>70</v>
      </c>
      <c r="F448" s="230"/>
      <c r="G448" s="231"/>
      <c r="H448" s="232" t="s">
        <v>35</v>
      </c>
      <c r="I448" s="231"/>
      <c r="J448" s="231"/>
      <c r="K448" s="231"/>
      <c r="L448" s="231"/>
      <c r="M448" s="232" t="s">
        <v>35</v>
      </c>
      <c r="N448" s="231"/>
      <c r="O448" s="231"/>
      <c r="P448" s="231"/>
      <c r="Q448" s="231" t="s">
        <v>35</v>
      </c>
      <c r="R448" s="231" t="s">
        <v>24</v>
      </c>
      <c r="S448" s="231" t="s">
        <v>24</v>
      </c>
      <c r="T448" s="231" t="s">
        <v>24</v>
      </c>
      <c r="U448" s="231" t="s">
        <v>24</v>
      </c>
      <c r="V448" s="232" t="s">
        <v>35</v>
      </c>
      <c r="W448" s="231"/>
      <c r="X448" s="231"/>
      <c r="Y448" s="231"/>
      <c r="Z448" s="231"/>
      <c r="AA448" s="234"/>
      <c r="AB448" s="231"/>
      <c r="AC448" s="231"/>
      <c r="AD448" s="232" t="s">
        <v>35</v>
      </c>
      <c r="AE448" s="231"/>
      <c r="AF448" s="231"/>
      <c r="AG448" s="231"/>
      <c r="AH448" s="231"/>
      <c r="AI448" s="231"/>
      <c r="AJ448" s="231"/>
      <c r="AK448" s="231"/>
      <c r="AL448" s="234" t="s">
        <v>35</v>
      </c>
      <c r="AM448" s="231"/>
      <c r="AN448" s="231"/>
    </row>
    <row r="449" spans="1:40" s="9" customFormat="1" ht="15.75" x14ac:dyDescent="0.25">
      <c r="A449" s="108" t="s">
        <v>1311</v>
      </c>
      <c r="B449" s="244" t="str">
        <f>IF($A449="","",VLOOKUP($A449,'[2]3-Elaboration.O'!$A:$T,MATCH(B$1,'[2]150-Modele SGO'!$1:$1,0),FALSE))</f>
        <v>13.2 Promotion de l'offre</v>
      </c>
      <c r="C449" s="244">
        <f>IF($A449="","",VLOOKUP($A449,'[2]3-Elaboration.O'!$A:$T,MATCH(C$1,'[2]150-Modele SGO'!$1:$1,0),FALSE))</f>
        <v>0</v>
      </c>
      <c r="D449" s="244">
        <f>IF($A449="","",VLOOKUP($A449,'[2]3-Elaboration.O'!$A:$T,MATCH(D$1,'[2]150-Modele SGO'!$1:$1,0),FALSE))</f>
        <v>0</v>
      </c>
      <c r="E449" s="241" t="s">
        <v>70</v>
      </c>
      <c r="F449" s="241"/>
      <c r="G449" s="237"/>
      <c r="H449" s="241" t="s">
        <v>30</v>
      </c>
      <c r="I449" s="237"/>
      <c r="J449" s="237"/>
      <c r="K449" s="237"/>
      <c r="L449" s="237"/>
      <c r="M449" s="241" t="s">
        <v>30</v>
      </c>
      <c r="N449" s="237"/>
      <c r="O449" s="237"/>
      <c r="P449" s="237"/>
      <c r="Q449" s="237" t="s">
        <v>30</v>
      </c>
      <c r="R449" s="237" t="s">
        <v>24</v>
      </c>
      <c r="S449" s="231" t="s">
        <v>24</v>
      </c>
      <c r="T449" s="237" t="s">
        <v>24</v>
      </c>
      <c r="U449" s="237" t="s">
        <v>24</v>
      </c>
      <c r="V449" s="241" t="s">
        <v>30</v>
      </c>
      <c r="W449" s="231" t="s">
        <v>1752</v>
      </c>
      <c r="X449" s="237"/>
      <c r="Y449" s="237"/>
      <c r="Z449" s="237"/>
      <c r="AA449" s="239"/>
      <c r="AB449" s="237"/>
      <c r="AC449" s="237"/>
      <c r="AD449" s="241" t="s">
        <v>30</v>
      </c>
      <c r="AE449" s="237"/>
      <c r="AF449" s="237"/>
      <c r="AG449" s="237"/>
      <c r="AH449" s="237"/>
      <c r="AI449" s="237"/>
      <c r="AJ449" s="237"/>
      <c r="AK449" s="237"/>
      <c r="AL449" s="239" t="s">
        <v>30</v>
      </c>
      <c r="AM449" s="237"/>
      <c r="AN449" s="237"/>
    </row>
    <row r="450" spans="1:40" s="9" customFormat="1" ht="105" x14ac:dyDescent="0.25">
      <c r="A450" s="13" t="s">
        <v>1313</v>
      </c>
      <c r="B450" s="229" t="str">
        <f>IF($A450="","",VLOOKUP($A450,'[2]3-Elaboration.O'!$A:$T,MATCH(B$1,'[2]150-Modele SGO'!$1:$1,0),FALSE))</f>
        <v>Supports utilisés</v>
      </c>
      <c r="C450" s="229" t="str">
        <f>IF($A450="","",VLOOKUP($A450,'[2]3-Elaboration.O'!$A:$T,MATCH(C$1,'[2]150-Modele SGO'!$1:$1,0),FALSE))</f>
        <v>Print (catalogue général, catalogue spécialisé, plaquettes fournisseurs…);Web (ugap.fr);Animation (emailing, communiqué de presse, push…)</v>
      </c>
      <c r="D450" s="229" t="str">
        <f>IF($A450="","",VLOOKUP($A450,'[2]3-Elaboration.O'!$A:$T,MATCH(D$1,'[2]150-Modele SGO'!$1:$1,0),FALSE))</f>
        <v>Liste choix multiple</v>
      </c>
      <c r="E450" s="230" t="s">
        <v>70</v>
      </c>
      <c r="F450" s="230" t="s">
        <v>44</v>
      </c>
      <c r="G450" s="231"/>
      <c r="H450" s="232" t="s">
        <v>19</v>
      </c>
      <c r="I450" s="233" t="s">
        <v>1316</v>
      </c>
      <c r="J450" s="231"/>
      <c r="K450" s="231"/>
      <c r="L450" s="231"/>
      <c r="M450" s="232" t="s">
        <v>26</v>
      </c>
      <c r="N450" s="231"/>
      <c r="O450" s="233" t="s">
        <v>1316</v>
      </c>
      <c r="P450" s="233" t="s">
        <v>35</v>
      </c>
      <c r="Q450" s="233" t="s">
        <v>19</v>
      </c>
      <c r="R450" s="233" t="s">
        <v>1316</v>
      </c>
      <c r="S450" s="231" t="s">
        <v>24</v>
      </c>
      <c r="T450" s="231" t="s">
        <v>24</v>
      </c>
      <c r="U450" s="231" t="s">
        <v>24</v>
      </c>
      <c r="V450" s="232" t="s">
        <v>19</v>
      </c>
      <c r="W450" s="233" t="s">
        <v>1314</v>
      </c>
      <c r="X450" s="231"/>
      <c r="Y450" s="231"/>
      <c r="Z450" s="231"/>
      <c r="AA450" s="234"/>
      <c r="AB450" s="242"/>
      <c r="AC450" s="231"/>
      <c r="AD450" s="232" t="s">
        <v>26</v>
      </c>
      <c r="AE450" s="231"/>
      <c r="AF450" s="233" t="s">
        <v>1316</v>
      </c>
      <c r="AG450" s="233" t="s">
        <v>1316</v>
      </c>
      <c r="AH450" s="233" t="s">
        <v>1316</v>
      </c>
      <c r="AI450" s="233" t="s">
        <v>1316</v>
      </c>
      <c r="AJ450" s="233" t="s">
        <v>1316</v>
      </c>
      <c r="AK450" s="233" t="s">
        <v>1316</v>
      </c>
      <c r="AL450" s="235" t="s">
        <v>35</v>
      </c>
      <c r="AM450" s="231"/>
      <c r="AN450" s="231"/>
    </row>
    <row r="451" spans="1:40" s="9" customFormat="1" ht="38.1" customHeight="1" x14ac:dyDescent="0.25">
      <c r="A451" s="13" t="s">
        <v>1317</v>
      </c>
      <c r="B451" s="229" t="str">
        <f>IF($A451="","",VLOOKUP($A451,'[2]3-Elaboration.O'!$A:$T,MATCH(B$1,'[2]150-Modele SGO'!$1:$1,0),FALSE))</f>
        <v>Un ou des catalogues privatifs sont-ils en place ?</v>
      </c>
      <c r="C451" s="229" t="str">
        <f>IF($A451="","",VLOOKUP($A451,'[2]3-Elaboration.O'!$A:$T,MATCH(C$1,'[2]150-Modele SGO'!$1:$1,0),FALSE))</f>
        <v>Oui, Catalogue privatif en place; Non, absence de catalogue privatif</v>
      </c>
      <c r="D451" s="229" t="str">
        <f>IF($A451="","",VLOOKUP($A451,'[2]3-Elaboration.O'!$A:$T,MATCH(D$1,'[2]150-Modele SGO'!$1:$1,0),FALSE))</f>
        <v xml:space="preserve">Liste choix unique </v>
      </c>
      <c r="E451" s="230" t="s">
        <v>70</v>
      </c>
      <c r="F451" s="230"/>
      <c r="G451" s="231"/>
      <c r="H451" s="232" t="s">
        <v>26</v>
      </c>
      <c r="I451" s="231"/>
      <c r="J451" s="233" t="s">
        <v>1318</v>
      </c>
      <c r="K451" s="233" t="s">
        <v>1759</v>
      </c>
      <c r="L451" s="233" t="s">
        <v>1318</v>
      </c>
      <c r="M451" s="232" t="s">
        <v>35</v>
      </c>
      <c r="N451" s="231"/>
      <c r="O451" s="231"/>
      <c r="P451" s="231"/>
      <c r="Q451" s="233" t="s">
        <v>19</v>
      </c>
      <c r="R451" s="233" t="s">
        <v>1318</v>
      </c>
      <c r="S451" s="231" t="s">
        <v>24</v>
      </c>
      <c r="T451" s="231" t="s">
        <v>24</v>
      </c>
      <c r="U451" s="231" t="s">
        <v>24</v>
      </c>
      <c r="V451" s="232" t="s">
        <v>19</v>
      </c>
      <c r="W451" s="233" t="s">
        <v>1318</v>
      </c>
      <c r="X451" s="231"/>
      <c r="Y451" s="231"/>
      <c r="Z451" s="231"/>
      <c r="AA451" s="234"/>
      <c r="AB451" s="242"/>
      <c r="AC451" s="247"/>
      <c r="AD451" s="232" t="s">
        <v>26</v>
      </c>
      <c r="AE451" s="231"/>
      <c r="AF451" s="233" t="s">
        <v>1318</v>
      </c>
      <c r="AG451" s="233" t="s">
        <v>1759</v>
      </c>
      <c r="AH451" s="233" t="s">
        <v>1318</v>
      </c>
      <c r="AI451" s="233" t="s">
        <v>1318</v>
      </c>
      <c r="AJ451" s="233" t="s">
        <v>1318</v>
      </c>
      <c r="AK451" s="233" t="s">
        <v>1318</v>
      </c>
      <c r="AL451" s="235" t="s">
        <v>35</v>
      </c>
      <c r="AM451" s="231"/>
      <c r="AN451" s="231"/>
    </row>
    <row r="452" spans="1:40" s="9" customFormat="1" ht="15.75" x14ac:dyDescent="0.25">
      <c r="A452" s="13" t="s">
        <v>1321</v>
      </c>
      <c r="B452" s="229" t="str">
        <f>IF($A452="","",VLOOKUP($A452,'[2]3-Elaboration.O'!$A:$T,MATCH(B$1,'[2]150-Modele SGO'!$1:$1,0),FALSE))</f>
        <v>Si oui, préciser</v>
      </c>
      <c r="C452" s="229" t="str">
        <f>IF($A452="","",VLOOKUP($A452,'[2]3-Elaboration.O'!$A:$T,MATCH(C$1,'[2]150-Modele SGO'!$1:$1,0),FALSE))</f>
        <v>Champ libre</v>
      </c>
      <c r="D452" s="229" t="str">
        <f>IF($A452="","",VLOOKUP($A452,'[2]3-Elaboration.O'!$A:$T,MATCH(D$1,'[2]150-Modele SGO'!$1:$1,0),FALSE))</f>
        <v>Texte</v>
      </c>
      <c r="E452" s="230" t="s">
        <v>70</v>
      </c>
      <c r="F452" s="230"/>
      <c r="G452" s="231"/>
      <c r="H452" s="232" t="s">
        <v>35</v>
      </c>
      <c r="I452" s="231"/>
      <c r="J452" s="231"/>
      <c r="K452" s="231"/>
      <c r="L452" s="231"/>
      <c r="M452" s="232" t="s">
        <v>35</v>
      </c>
      <c r="N452" s="231"/>
      <c r="O452" s="231"/>
      <c r="P452" s="231"/>
      <c r="Q452" s="231" t="s">
        <v>35</v>
      </c>
      <c r="R452" s="231" t="s">
        <v>24</v>
      </c>
      <c r="S452" s="231" t="s">
        <v>24</v>
      </c>
      <c r="T452" s="231" t="s">
        <v>24</v>
      </c>
      <c r="U452" s="231" t="s">
        <v>24</v>
      </c>
      <c r="V452" s="232" t="s">
        <v>35</v>
      </c>
      <c r="W452" s="231" t="s">
        <v>46</v>
      </c>
      <c r="X452" s="231"/>
      <c r="Y452" s="231"/>
      <c r="Z452" s="231"/>
      <c r="AA452" s="234"/>
      <c r="AB452" s="231"/>
      <c r="AC452" s="247"/>
      <c r="AD452" s="232" t="s">
        <v>35</v>
      </c>
      <c r="AE452" s="231"/>
      <c r="AF452" s="231"/>
      <c r="AG452" s="231"/>
      <c r="AH452" s="231"/>
      <c r="AI452" s="231"/>
      <c r="AJ452" s="231"/>
      <c r="AK452" s="231"/>
      <c r="AL452" s="235" t="s">
        <v>35</v>
      </c>
      <c r="AM452" s="231"/>
      <c r="AN452" s="231"/>
    </row>
    <row r="453" spans="1:40" s="9" customFormat="1" ht="30" x14ac:dyDescent="0.25">
      <c r="A453" s="13" t="s">
        <v>1323</v>
      </c>
      <c r="B453" s="229" t="str">
        <f>IF($A453="","",VLOOKUP($A453,'[2]3-Elaboration.O'!$A:$T,MATCH(B$1,'[2]150-Modele SGO'!$1:$1,0),FALSE))</f>
        <v>Une e-boutique spécifique est-elle en place ?</v>
      </c>
      <c r="C453" s="229" t="str">
        <f>IF($A453="","",VLOOKUP($A453,'[2]3-Elaboration.O'!$A:$T,MATCH(C$1,'[2]150-Modele SGO'!$1:$1,0),FALSE))</f>
        <v>Oui, une e-boutique spécifique est en place; Non, absence d'une e-boutique spécifique</v>
      </c>
      <c r="D453" s="229" t="str">
        <f>IF($A453="","",VLOOKUP($A453,'[2]3-Elaboration.O'!$A:$T,MATCH(D$1,'[2]150-Modele SGO'!$1:$1,0),FALSE))</f>
        <v xml:space="preserve">Liste choix unique </v>
      </c>
      <c r="E453" s="230" t="s">
        <v>70</v>
      </c>
      <c r="F453" s="230"/>
      <c r="G453" s="231"/>
      <c r="H453" s="232" t="s">
        <v>19</v>
      </c>
      <c r="I453" s="233" t="s">
        <v>1324</v>
      </c>
      <c r="J453" s="231"/>
      <c r="K453" s="231"/>
      <c r="L453" s="231"/>
      <c r="M453" s="232" t="s">
        <v>35</v>
      </c>
      <c r="N453" s="231"/>
      <c r="O453" s="231"/>
      <c r="P453" s="231"/>
      <c r="Q453" s="233" t="s">
        <v>19</v>
      </c>
      <c r="R453" s="233" t="s">
        <v>1324</v>
      </c>
      <c r="S453" s="231" t="s">
        <v>24</v>
      </c>
      <c r="T453" s="231" t="s">
        <v>24</v>
      </c>
      <c r="U453" s="231" t="s">
        <v>24</v>
      </c>
      <c r="V453" s="232" t="s">
        <v>26</v>
      </c>
      <c r="W453" s="231"/>
      <c r="X453" s="233" t="s">
        <v>1760</v>
      </c>
      <c r="Y453" s="233" t="s">
        <v>1324</v>
      </c>
      <c r="Z453" s="233" t="s">
        <v>1760</v>
      </c>
      <c r="AA453" s="235" t="s">
        <v>1324</v>
      </c>
      <c r="AB453" s="233" t="s">
        <v>1324</v>
      </c>
      <c r="AC453" s="245" t="s">
        <v>1324</v>
      </c>
      <c r="AD453" s="232" t="s">
        <v>26</v>
      </c>
      <c r="AE453" s="231"/>
      <c r="AF453" s="233" t="s">
        <v>1324</v>
      </c>
      <c r="AG453" s="233" t="s">
        <v>1324</v>
      </c>
      <c r="AH453" s="233" t="s">
        <v>1324</v>
      </c>
      <c r="AI453" s="233" t="s">
        <v>1324</v>
      </c>
      <c r="AJ453" s="233" t="s">
        <v>1324</v>
      </c>
      <c r="AK453" s="233" t="s">
        <v>1761</v>
      </c>
      <c r="AL453" s="235" t="s">
        <v>35</v>
      </c>
      <c r="AM453" s="231"/>
      <c r="AN453" s="231"/>
    </row>
    <row r="454" spans="1:40" s="9" customFormat="1" ht="15.75" x14ac:dyDescent="0.25">
      <c r="A454" s="13" t="s">
        <v>1327</v>
      </c>
      <c r="B454" s="229" t="str">
        <f>IF($A454="","",VLOOKUP($A454,'[2]3-Elaboration.O'!$A:$T,MATCH(B$1,'[2]150-Modele SGO'!$1:$1,0),FALSE))</f>
        <v>Si oui, préciser</v>
      </c>
      <c r="C454" s="229" t="str">
        <f>IF($A454="","",VLOOKUP($A454,'[2]3-Elaboration.O'!$A:$T,MATCH(C$1,'[2]150-Modele SGO'!$1:$1,0),FALSE))</f>
        <v>Champ libre</v>
      </c>
      <c r="D454" s="229" t="str">
        <f>IF($A454="","",VLOOKUP($A454,'[2]3-Elaboration.O'!$A:$T,MATCH(D$1,'[2]150-Modele SGO'!$1:$1,0),FALSE))</f>
        <v>Texte</v>
      </c>
      <c r="E454" s="230" t="s">
        <v>70</v>
      </c>
      <c r="F454" s="230"/>
      <c r="G454" s="231"/>
      <c r="H454" s="232" t="s">
        <v>35</v>
      </c>
      <c r="I454" s="231"/>
      <c r="J454" s="231"/>
      <c r="K454" s="231"/>
      <c r="L454" s="231"/>
      <c r="M454" s="232" t="s">
        <v>35</v>
      </c>
      <c r="N454" s="231"/>
      <c r="O454" s="231"/>
      <c r="P454" s="231"/>
      <c r="Q454" s="231" t="s">
        <v>35</v>
      </c>
      <c r="R454" s="231" t="s">
        <v>24</v>
      </c>
      <c r="S454" s="231" t="s">
        <v>24</v>
      </c>
      <c r="T454" s="231" t="s">
        <v>24</v>
      </c>
      <c r="U454" s="231" t="s">
        <v>24</v>
      </c>
      <c r="V454" s="232" t="s">
        <v>35</v>
      </c>
      <c r="W454" s="231"/>
      <c r="X454" s="231"/>
      <c r="Y454" s="231"/>
      <c r="Z454" s="231"/>
      <c r="AA454" s="234"/>
      <c r="AB454" s="231"/>
      <c r="AC454" s="247"/>
      <c r="AD454" s="232" t="s">
        <v>35</v>
      </c>
      <c r="AE454" s="231"/>
      <c r="AF454" s="231"/>
      <c r="AG454" s="231"/>
      <c r="AH454" s="231"/>
      <c r="AI454" s="231"/>
      <c r="AJ454" s="231"/>
      <c r="AK454" s="231"/>
      <c r="AL454" s="234" t="s">
        <v>35</v>
      </c>
      <c r="AM454" s="231"/>
      <c r="AN454" s="231"/>
    </row>
    <row r="455" spans="1:40" s="9" customFormat="1" ht="15.75" x14ac:dyDescent="0.25">
      <c r="A455" s="108" t="s">
        <v>1328</v>
      </c>
      <c r="B455" s="244" t="str">
        <f>IF($A455="","",VLOOKUP($A455,'[2]3-Elaboration.O'!$A:$T,MATCH(B$1,'[2]150-Modele SGO'!$1:$1,0),FALSE))</f>
        <v>13.3 Canaux de vente</v>
      </c>
      <c r="C455" s="244">
        <f>IF($A455="","",VLOOKUP($A455,'[2]3-Elaboration.O'!$A:$T,MATCH(C$1,'[2]150-Modele SGO'!$1:$1,0),FALSE))</f>
        <v>0</v>
      </c>
      <c r="D455" s="244">
        <f>IF($A455="","",VLOOKUP($A455,'[2]3-Elaboration.O'!$A:$T,MATCH(D$1,'[2]150-Modele SGO'!$1:$1,0),FALSE))</f>
        <v>0</v>
      </c>
      <c r="E455" s="241" t="s">
        <v>70</v>
      </c>
      <c r="F455" s="241"/>
      <c r="G455" s="237"/>
      <c r="H455" s="241" t="s">
        <v>30</v>
      </c>
      <c r="I455" s="237"/>
      <c r="J455" s="237"/>
      <c r="K455" s="237"/>
      <c r="L455" s="237"/>
      <c r="M455" s="241" t="s">
        <v>30</v>
      </c>
      <c r="N455" s="237"/>
      <c r="O455" s="237"/>
      <c r="P455" s="237"/>
      <c r="Q455" s="237" t="s">
        <v>30</v>
      </c>
      <c r="R455" s="237" t="s">
        <v>24</v>
      </c>
      <c r="S455" s="231" t="s">
        <v>24</v>
      </c>
      <c r="T455" s="237" t="s">
        <v>24</v>
      </c>
      <c r="U455" s="237" t="s">
        <v>24</v>
      </c>
      <c r="V455" s="241" t="s">
        <v>30</v>
      </c>
      <c r="W455" s="231" t="s">
        <v>1752</v>
      </c>
      <c r="X455" s="237"/>
      <c r="Y455" s="237"/>
      <c r="Z455" s="237"/>
      <c r="AA455" s="239"/>
      <c r="AB455" s="237"/>
      <c r="AC455" s="237"/>
      <c r="AD455" s="241" t="s">
        <v>30</v>
      </c>
      <c r="AE455" s="237"/>
      <c r="AF455" s="237"/>
      <c r="AG455" s="237"/>
      <c r="AH455" s="237"/>
      <c r="AI455" s="237"/>
      <c r="AJ455" s="237"/>
      <c r="AK455" s="237"/>
      <c r="AL455" s="239" t="s">
        <v>30</v>
      </c>
      <c r="AM455" s="237"/>
      <c r="AN455" s="237"/>
    </row>
    <row r="456" spans="1:40" s="9" customFormat="1" ht="84.6" customHeight="1" x14ac:dyDescent="0.25">
      <c r="A456" s="13" t="s">
        <v>1330</v>
      </c>
      <c r="B456" s="229" t="str">
        <f>IF($A456="","",VLOOKUP($A456,'[2]3-Elaboration.O'!$A:$T,MATCH(B$1,'[2]150-Modele SGO'!$1:$1,0),FALSE))</f>
        <v>Commercialisation de l'offre sur le WEB ?</v>
      </c>
      <c r="C456" s="229" t="str">
        <f>IF($A456="","",VLOOKUP($A456,'[2]3-Elaboration.O'!$A:$T,MATCH(C$1,'[2]150-Modele SGO'!$1:$1,0),FALSE))</f>
        <v>Oui, commercialisation de l'offre sur le WEB; Non, absence de commercialisation sur le WEB</v>
      </c>
      <c r="D456" s="229" t="str">
        <f>IF($A456="","",VLOOKUP($A456,'[2]3-Elaboration.O'!$A:$T,MATCH(D$1,'[2]150-Modele SGO'!$1:$1,0),FALSE))</f>
        <v xml:space="preserve">Liste choix unique </v>
      </c>
      <c r="E456" s="230" t="s">
        <v>70</v>
      </c>
      <c r="F456" s="230"/>
      <c r="G456" s="231"/>
      <c r="H456" s="232" t="s">
        <v>19</v>
      </c>
      <c r="I456" s="233" t="s">
        <v>1331</v>
      </c>
      <c r="J456" s="231"/>
      <c r="K456" s="231"/>
      <c r="L456" s="231"/>
      <c r="M456" s="232" t="s">
        <v>26</v>
      </c>
      <c r="N456" s="231"/>
      <c r="O456" s="233" t="s">
        <v>1762</v>
      </c>
      <c r="P456" s="233" t="s">
        <v>35</v>
      </c>
      <c r="Q456" s="233" t="s">
        <v>19</v>
      </c>
      <c r="R456" s="233" t="s">
        <v>1331</v>
      </c>
      <c r="S456" s="231" t="s">
        <v>24</v>
      </c>
      <c r="T456" s="231" t="s">
        <v>24</v>
      </c>
      <c r="U456" s="231" t="s">
        <v>24</v>
      </c>
      <c r="V456" s="232" t="s">
        <v>26</v>
      </c>
      <c r="W456" s="231"/>
      <c r="X456" s="233" t="s">
        <v>1331</v>
      </c>
      <c r="Y456" s="233" t="s">
        <v>1331</v>
      </c>
      <c r="Z456" s="233" t="s">
        <v>1763</v>
      </c>
      <c r="AA456" s="235" t="s">
        <v>1331</v>
      </c>
      <c r="AB456" s="233" t="s">
        <v>1331</v>
      </c>
      <c r="AC456" s="245" t="s">
        <v>1331</v>
      </c>
      <c r="AD456" s="232" t="s">
        <v>26</v>
      </c>
      <c r="AE456" s="231"/>
      <c r="AF456" s="233" t="s">
        <v>1762</v>
      </c>
      <c r="AG456" s="233" t="s">
        <v>1762</v>
      </c>
      <c r="AH456" s="233" t="s">
        <v>1762</v>
      </c>
      <c r="AI456" s="233" t="s">
        <v>1331</v>
      </c>
      <c r="AJ456" s="233" t="s">
        <v>1762</v>
      </c>
      <c r="AK456" s="233" t="s">
        <v>1762</v>
      </c>
      <c r="AL456" s="235" t="s">
        <v>35</v>
      </c>
      <c r="AM456" s="231"/>
      <c r="AN456" s="231"/>
    </row>
    <row r="457" spans="1:40" s="9" customFormat="1" ht="30" x14ac:dyDescent="0.25">
      <c r="A457" s="13" t="s">
        <v>1334</v>
      </c>
      <c r="B457" s="229" t="str">
        <f>IF($A457="","",VLOOKUP($A457,'[2]3-Elaboration.O'!$A:$T,MATCH(B$1,'[2]150-Modele SGO'!$1:$1,0),FALSE))</f>
        <v xml:space="preserve">Si oui exclusivement sur le web ? </v>
      </c>
      <c r="C457" s="229" t="str">
        <f>IF($A457="","",VLOOKUP($A457,'[2]3-Elaboration.O'!$A:$T,MATCH(C$1,'[2]150-Modele SGO'!$1:$1,0),FALSE))</f>
        <v>Oui, commercialisation exclusive sur le WEB; Non, pas d'exclusivité sur le WEB</v>
      </c>
      <c r="D457" s="229" t="str">
        <f>IF($A457="","",VLOOKUP($A457,'[2]3-Elaboration.O'!$A:$T,MATCH(D$1,'[2]150-Modele SGO'!$1:$1,0),FALSE))</f>
        <v xml:space="preserve">Liste choix unique </v>
      </c>
      <c r="E457" s="230" t="s">
        <v>70</v>
      </c>
      <c r="F457" s="230"/>
      <c r="G457" s="231"/>
      <c r="H457" s="232" t="s">
        <v>19</v>
      </c>
      <c r="I457" s="233" t="s">
        <v>1335</v>
      </c>
      <c r="J457" s="231"/>
      <c r="K457" s="231"/>
      <c r="L457" s="231"/>
      <c r="M457" s="232" t="s">
        <v>26</v>
      </c>
      <c r="N457" s="231"/>
      <c r="O457" s="233" t="s">
        <v>1335</v>
      </c>
      <c r="P457" s="233" t="s">
        <v>35</v>
      </c>
      <c r="Q457" s="231" t="s">
        <v>35</v>
      </c>
      <c r="R457" s="231" t="s">
        <v>24</v>
      </c>
      <c r="S457" s="231" t="s">
        <v>24</v>
      </c>
      <c r="T457" s="231" t="s">
        <v>24</v>
      </c>
      <c r="U457" s="231" t="s">
        <v>24</v>
      </c>
      <c r="V457" s="232" t="s">
        <v>19</v>
      </c>
      <c r="W457" s="233" t="s">
        <v>1335</v>
      </c>
      <c r="X457" s="231"/>
      <c r="Y457" s="231"/>
      <c r="Z457" s="231"/>
      <c r="AA457" s="234"/>
      <c r="AB457" s="242"/>
      <c r="AC457" s="247"/>
      <c r="AD457" s="232" t="s">
        <v>26</v>
      </c>
      <c r="AE457" s="231"/>
      <c r="AF457" s="233" t="s">
        <v>1335</v>
      </c>
      <c r="AG457" s="233" t="s">
        <v>1335</v>
      </c>
      <c r="AH457" s="233" t="s">
        <v>1335</v>
      </c>
      <c r="AI457" s="233" t="s">
        <v>1335</v>
      </c>
      <c r="AJ457" s="233" t="s">
        <v>1335</v>
      </c>
      <c r="AK457" s="233" t="s">
        <v>1764</v>
      </c>
      <c r="AL457" s="235" t="s">
        <v>35</v>
      </c>
      <c r="AM457" s="231"/>
      <c r="AN457" s="231"/>
    </row>
    <row r="458" spans="1:40" s="9" customFormat="1" ht="30" x14ac:dyDescent="0.25">
      <c r="A458" s="13" t="s">
        <v>1338</v>
      </c>
      <c r="B458" s="229" t="str">
        <f>IF($A458="","",VLOOKUP($A458,'[2]3-Elaboration.O'!$A:$T,MATCH(B$1,'[2]150-Modele SGO'!$1:$1,0),FALSE))</f>
        <v>Préciser sur toute ou partie de l'offre</v>
      </c>
      <c r="C458" s="229" t="str">
        <f>IF($A458="","",VLOOKUP($A458,'[2]3-Elaboration.O'!$A:$T,MATCH(C$1,'[2]150-Modele SGO'!$1:$1,0),FALSE))</f>
        <v>Totalement;Partiellement</v>
      </c>
      <c r="D458" s="229" t="str">
        <f>IF($A458="","",VLOOKUP($A458,'[2]3-Elaboration.O'!$A:$T,MATCH(D$1,'[2]150-Modele SGO'!$1:$1,0),FALSE))</f>
        <v xml:space="preserve">Liste choix unique </v>
      </c>
      <c r="E458" s="230" t="s">
        <v>70</v>
      </c>
      <c r="F458" s="230"/>
      <c r="G458" s="231"/>
      <c r="H458" s="232" t="s">
        <v>35</v>
      </c>
      <c r="I458" s="231"/>
      <c r="J458" s="231"/>
      <c r="K458" s="231"/>
      <c r="L458" s="231"/>
      <c r="M458" s="232" t="s">
        <v>35</v>
      </c>
      <c r="N458" s="231"/>
      <c r="O458" s="231"/>
      <c r="P458" s="231"/>
      <c r="Q458" s="231" t="s">
        <v>35</v>
      </c>
      <c r="R458" s="231" t="s">
        <v>24</v>
      </c>
      <c r="S458" s="231" t="s">
        <v>24</v>
      </c>
      <c r="T458" s="231" t="s">
        <v>24</v>
      </c>
      <c r="U458" s="231" t="s">
        <v>24</v>
      </c>
      <c r="V458" s="232" t="s">
        <v>35</v>
      </c>
      <c r="W458" s="231"/>
      <c r="X458" s="231"/>
      <c r="Y458" s="231"/>
      <c r="Z458" s="231"/>
      <c r="AA458" s="234"/>
      <c r="AB458" s="231"/>
      <c r="AC458" s="247"/>
      <c r="AD458" s="232" t="s">
        <v>26</v>
      </c>
      <c r="AE458" s="231"/>
      <c r="AF458" s="233" t="s">
        <v>1765</v>
      </c>
      <c r="AG458" s="233" t="s">
        <v>1765</v>
      </c>
      <c r="AH458" s="233" t="s">
        <v>1765</v>
      </c>
      <c r="AI458" s="233" t="s">
        <v>46</v>
      </c>
      <c r="AJ458" s="233" t="s">
        <v>1766</v>
      </c>
      <c r="AK458" s="233" t="s">
        <v>1766</v>
      </c>
      <c r="AL458" s="235" t="s">
        <v>35</v>
      </c>
      <c r="AM458" s="231"/>
      <c r="AN458" s="231"/>
    </row>
    <row r="459" spans="1:40" s="9" customFormat="1" ht="30" x14ac:dyDescent="0.25">
      <c r="A459" s="13" t="s">
        <v>1341</v>
      </c>
      <c r="B459" s="229" t="str">
        <f>IF($A459="","",VLOOKUP($A459,'[2]3-Elaboration.O'!$A:$T,MATCH(B$1,'[2]150-Modele SGO'!$1:$1,0),FALSE))</f>
        <v>Un configurateur est-il en place ?</v>
      </c>
      <c r="C459" s="229" t="str">
        <f>IF($A459="","",VLOOKUP($A459,'[2]3-Elaboration.O'!$A:$T,MATCH(C$1,'[2]150-Modele SGO'!$1:$1,0),FALSE))</f>
        <v>Oui, un configurateur est en place; Non, absence de configurateur</v>
      </c>
      <c r="D459" s="229" t="str">
        <f>IF($A459="","",VLOOKUP($A459,'[2]3-Elaboration.O'!$A:$T,MATCH(D$1,'[2]150-Modele SGO'!$1:$1,0),FALSE))</f>
        <v>Liste choix unique</v>
      </c>
      <c r="E459" s="230" t="s">
        <v>70</v>
      </c>
      <c r="F459" s="230"/>
      <c r="G459" s="231"/>
      <c r="H459" s="232" t="s">
        <v>19</v>
      </c>
      <c r="I459" s="233" t="s">
        <v>1342</v>
      </c>
      <c r="J459" s="231"/>
      <c r="K459" s="231"/>
      <c r="L459" s="231"/>
      <c r="M459" s="232" t="s">
        <v>26</v>
      </c>
      <c r="N459" s="231"/>
      <c r="O459" s="233" t="s">
        <v>1342</v>
      </c>
      <c r="P459" s="233" t="s">
        <v>35</v>
      </c>
      <c r="Q459" s="233" t="s">
        <v>19</v>
      </c>
      <c r="R459" s="233" t="s">
        <v>1342</v>
      </c>
      <c r="S459" s="231" t="s">
        <v>24</v>
      </c>
      <c r="T459" s="231" t="s">
        <v>24</v>
      </c>
      <c r="U459" s="231" t="s">
        <v>24</v>
      </c>
      <c r="V459" s="232" t="s">
        <v>26</v>
      </c>
      <c r="W459" s="231"/>
      <c r="X459" s="233" t="s">
        <v>1767</v>
      </c>
      <c r="Y459" s="233" t="s">
        <v>1342</v>
      </c>
      <c r="Z459" s="233" t="s">
        <v>1767</v>
      </c>
      <c r="AA459" s="235" t="s">
        <v>1342</v>
      </c>
      <c r="AB459" s="233" t="s">
        <v>1342</v>
      </c>
      <c r="AC459" s="245" t="s">
        <v>1767</v>
      </c>
      <c r="AD459" s="232" t="s">
        <v>26</v>
      </c>
      <c r="AE459" s="231"/>
      <c r="AF459" s="233" t="s">
        <v>1342</v>
      </c>
      <c r="AG459" s="233" t="s">
        <v>1767</v>
      </c>
      <c r="AH459" s="233" t="s">
        <v>1342</v>
      </c>
      <c r="AI459" s="233" t="s">
        <v>1767</v>
      </c>
      <c r="AJ459" s="233" t="s">
        <v>1342</v>
      </c>
      <c r="AK459" s="233" t="s">
        <v>1342</v>
      </c>
      <c r="AL459" s="235" t="s">
        <v>35</v>
      </c>
      <c r="AM459" s="231"/>
      <c r="AN459" s="231"/>
    </row>
    <row r="460" spans="1:40" s="9" customFormat="1" ht="30" x14ac:dyDescent="0.25">
      <c r="A460" s="13" t="s">
        <v>1345</v>
      </c>
      <c r="B460" s="229" t="str">
        <f>IF($A460="","",VLOOKUP($A460,'[2]3-Elaboration.O'!$A:$T,MATCH(B$1,'[2]150-Modele SGO'!$1:$1,0),FALSE))</f>
        <v>Si oui, préciser le type de configurateur</v>
      </c>
      <c r="C460" s="229" t="str">
        <f>IF($A460="","",VLOOKUP($A460,'[2]3-Elaboration.O'!$A:$T,MATCH(C$1,'[2]150-Modele SGO'!$1:$1,0),FALSE))</f>
        <v>UGAP; Titulaire</v>
      </c>
      <c r="D460" s="229" t="str">
        <f>IF($A460="","",VLOOKUP($A460,'[2]3-Elaboration.O'!$A:$T,MATCH(D$1,'[2]150-Modele SGO'!$1:$1,0),FALSE))</f>
        <v xml:space="preserve">Liste choix unique </v>
      </c>
      <c r="E460" s="230" t="s">
        <v>70</v>
      </c>
      <c r="F460" s="230"/>
      <c r="G460" s="231"/>
      <c r="H460" s="232" t="s">
        <v>35</v>
      </c>
      <c r="I460" s="231"/>
      <c r="J460" s="231"/>
      <c r="K460" s="231"/>
      <c r="L460" s="231"/>
      <c r="M460" s="232" t="s">
        <v>35</v>
      </c>
      <c r="N460" s="231"/>
      <c r="O460" s="231"/>
      <c r="P460" s="231"/>
      <c r="Q460" s="231" t="s">
        <v>35</v>
      </c>
      <c r="R460" s="231" t="s">
        <v>24</v>
      </c>
      <c r="S460" s="231" t="s">
        <v>24</v>
      </c>
      <c r="T460" s="231" t="s">
        <v>24</v>
      </c>
      <c r="U460" s="231" t="s">
        <v>24</v>
      </c>
      <c r="V460" s="232" t="s">
        <v>26</v>
      </c>
      <c r="W460" s="231"/>
      <c r="X460" s="233" t="s">
        <v>1461</v>
      </c>
      <c r="Y460" s="233" t="s">
        <v>46</v>
      </c>
      <c r="Z460" s="233" t="s">
        <v>1768</v>
      </c>
      <c r="AA460" s="235" t="s">
        <v>46</v>
      </c>
      <c r="AB460" s="233" t="s">
        <v>46</v>
      </c>
      <c r="AC460" s="245" t="s">
        <v>1591</v>
      </c>
      <c r="AD460" s="232" t="s">
        <v>26</v>
      </c>
      <c r="AE460" s="231"/>
      <c r="AF460" s="233" t="s">
        <v>46</v>
      </c>
      <c r="AG460" s="233" t="s">
        <v>1769</v>
      </c>
      <c r="AH460" s="233" t="s">
        <v>46</v>
      </c>
      <c r="AI460" s="233" t="s">
        <v>1461</v>
      </c>
      <c r="AJ460" s="233" t="s">
        <v>46</v>
      </c>
      <c r="AK460" s="233" t="s">
        <v>46</v>
      </c>
      <c r="AL460" s="235" t="s">
        <v>35</v>
      </c>
      <c r="AM460" s="231"/>
      <c r="AN460" s="231"/>
    </row>
    <row r="461" spans="1:40" s="9" customFormat="1" ht="75" x14ac:dyDescent="0.25">
      <c r="A461" s="13" t="s">
        <v>1348</v>
      </c>
      <c r="B461" s="229" t="str">
        <f>IF($A461="","",VLOOKUP($A461,'[2]3-Elaboration.O'!$A:$T,MATCH(B$1,'[2]150-Modele SGO'!$1:$1,0),FALSE))</f>
        <v>Si oui à la commercialisation sur le WEB, Un contrôle/accès restreint à typologie de clients/utilisateurs chez le client est-il en place ?</v>
      </c>
      <c r="C461" s="229" t="str">
        <f>IF($A461="","",VLOOKUP($A461,'[2]3-Elaboration.O'!$A:$T,MATCH(C$1,'[2]150-Modele SGO'!$1:$1,0),FALSE))</f>
        <v>Oui, contrôle/accès restreint à typologie de clients/utilisateurs chez le client; Non, Absence de contrôle/accès restreint à typologie de clients/utilisateurs chez le client</v>
      </c>
      <c r="D461" s="229" t="str">
        <f>IF($A461="","",VLOOKUP($A461,'[2]3-Elaboration.O'!$A:$T,MATCH(D$1,'[2]150-Modele SGO'!$1:$1,0),FALSE))</f>
        <v xml:space="preserve">Liste choix unique </v>
      </c>
      <c r="E461" s="230" t="s">
        <v>70</v>
      </c>
      <c r="F461" s="230"/>
      <c r="G461" s="231"/>
      <c r="H461" s="232" t="s">
        <v>35</v>
      </c>
      <c r="I461" s="231"/>
      <c r="J461" s="231"/>
      <c r="K461" s="231"/>
      <c r="L461" s="231"/>
      <c r="M461" s="232" t="s">
        <v>35</v>
      </c>
      <c r="N461" s="231"/>
      <c r="O461" s="231"/>
      <c r="P461" s="231"/>
      <c r="Q461" s="231" t="s">
        <v>35</v>
      </c>
      <c r="R461" s="231" t="s">
        <v>24</v>
      </c>
      <c r="S461" s="231" t="s">
        <v>24</v>
      </c>
      <c r="T461" s="231" t="s">
        <v>24</v>
      </c>
      <c r="U461" s="231" t="s">
        <v>24</v>
      </c>
      <c r="V461" s="232" t="s">
        <v>35</v>
      </c>
      <c r="W461" s="231"/>
      <c r="X461" s="231"/>
      <c r="Y461" s="231"/>
      <c r="Z461" s="231"/>
      <c r="AA461" s="234"/>
      <c r="AB461" s="231"/>
      <c r="AC461" s="247"/>
      <c r="AD461" s="232" t="s">
        <v>26</v>
      </c>
      <c r="AE461" s="231"/>
      <c r="AF461" s="233" t="s">
        <v>1770</v>
      </c>
      <c r="AG461" s="233" t="s">
        <v>1770</v>
      </c>
      <c r="AH461" s="233" t="s">
        <v>1770</v>
      </c>
      <c r="AI461" s="233" t="s">
        <v>1770</v>
      </c>
      <c r="AJ461" s="233" t="s">
        <v>1770</v>
      </c>
      <c r="AK461" s="233" t="s">
        <v>1770</v>
      </c>
      <c r="AL461" s="235" t="s">
        <v>35</v>
      </c>
      <c r="AM461" s="231"/>
      <c r="AN461" s="231"/>
    </row>
    <row r="462" spans="1:40" s="9" customFormat="1" ht="45" x14ac:dyDescent="0.25">
      <c r="A462" s="13" t="s">
        <v>1351</v>
      </c>
      <c r="B462" s="229" t="str">
        <f>IF($A462="","",VLOOKUP($A462,'[2]3-Elaboration.O'!$A:$T,MATCH(B$1,'[2]150-Modele SGO'!$1:$1,0),FALSE))</f>
        <v xml:space="preserve">Si oui à la commercialisation sur le WEB, L'offre nécessite-elle une connexion à une plateforme tierce </v>
      </c>
      <c r="C462" s="229" t="str">
        <f>IF($A462="","",VLOOKUP($A462,'[2]3-Elaboration.O'!$A:$T,MATCH(C$1,'[2]150-Modele SGO'!$1:$1,0),FALSE))</f>
        <v xml:space="preserve">Oui, connexion à une plateforme tierce; Non, Absence de connexion à une plateforme tierce </v>
      </c>
      <c r="D462" s="229" t="str">
        <f>IF($A462="","",VLOOKUP($A462,'[2]3-Elaboration.O'!$A:$T,MATCH(D$1,'[2]150-Modele SGO'!$1:$1,0),FALSE))</f>
        <v xml:space="preserve">Liste choix unique </v>
      </c>
      <c r="E462" s="230" t="s">
        <v>70</v>
      </c>
      <c r="F462" s="230"/>
      <c r="G462" s="231"/>
      <c r="H462" s="232" t="s">
        <v>35</v>
      </c>
      <c r="I462" s="231"/>
      <c r="J462" s="231"/>
      <c r="K462" s="231"/>
      <c r="L462" s="231"/>
      <c r="M462" s="232" t="s">
        <v>35</v>
      </c>
      <c r="N462" s="231"/>
      <c r="O462" s="231"/>
      <c r="P462" s="231"/>
      <c r="Q462" s="231" t="s">
        <v>35</v>
      </c>
      <c r="R462" s="231" t="s">
        <v>24</v>
      </c>
      <c r="S462" s="231" t="s">
        <v>24</v>
      </c>
      <c r="T462" s="231" t="s">
        <v>24</v>
      </c>
      <c r="U462" s="231" t="s">
        <v>24</v>
      </c>
      <c r="V462" s="232" t="s">
        <v>35</v>
      </c>
      <c r="W462" s="231"/>
      <c r="X462" s="231"/>
      <c r="Y462" s="231"/>
      <c r="Z462" s="231"/>
      <c r="AA462" s="234"/>
      <c r="AB462" s="231"/>
      <c r="AC462" s="247"/>
      <c r="AD462" s="232" t="s">
        <v>26</v>
      </c>
      <c r="AE462" s="231"/>
      <c r="AF462" s="233" t="s">
        <v>1771</v>
      </c>
      <c r="AG462" s="233" t="s">
        <v>1772</v>
      </c>
      <c r="AH462" s="233" t="s">
        <v>1771</v>
      </c>
      <c r="AI462" s="233" t="s">
        <v>1771</v>
      </c>
      <c r="AJ462" s="233" t="s">
        <v>1772</v>
      </c>
      <c r="AK462" s="233" t="s">
        <v>1772</v>
      </c>
      <c r="AL462" s="235" t="s">
        <v>35</v>
      </c>
      <c r="AM462" s="231"/>
      <c r="AN462" s="233"/>
    </row>
    <row r="463" spans="1:40" s="9" customFormat="1" ht="30" x14ac:dyDescent="0.25">
      <c r="A463" s="13" t="s">
        <v>1354</v>
      </c>
      <c r="B463" s="229" t="str">
        <f>IF($A463="","",VLOOKUP($A463,'[2]3-Elaboration.O'!$A:$T,MATCH(B$1,'[2]150-Modele SGO'!$1:$1,0),FALSE))</f>
        <v xml:space="preserve">Si oui à la commercialisation sur le WEB, L'offre est-elle en e-procurement ? </v>
      </c>
      <c r="C463" s="229" t="str">
        <f>IF($A463="","",VLOOKUP($A463,'[2]3-Elaboration.O'!$A:$T,MATCH(C$1,'[2]150-Modele SGO'!$1:$1,0),FALSE))</f>
        <v>Oui, offre en e-procurement ;Non, Absence de e-procurement</v>
      </c>
      <c r="D463" s="229" t="str">
        <f>IF($A463="","",VLOOKUP($A463,'[2]3-Elaboration.O'!$A:$T,MATCH(D$1,'[2]150-Modele SGO'!$1:$1,0),FALSE))</f>
        <v xml:space="preserve">Liste choix unique </v>
      </c>
      <c r="E463" s="230" t="s">
        <v>70</v>
      </c>
      <c r="F463" s="230"/>
      <c r="G463" s="231"/>
      <c r="H463" s="232" t="s">
        <v>19</v>
      </c>
      <c r="I463" s="233" t="s">
        <v>1773</v>
      </c>
      <c r="J463" s="231"/>
      <c r="K463" s="231"/>
      <c r="L463" s="231"/>
      <c r="M463" s="232" t="s">
        <v>35</v>
      </c>
      <c r="N463" s="231"/>
      <c r="O463" s="231"/>
      <c r="P463" s="231"/>
      <c r="Q463" s="231" t="s">
        <v>35</v>
      </c>
      <c r="R463" s="231" t="s">
        <v>24</v>
      </c>
      <c r="S463" s="231" t="s">
        <v>24</v>
      </c>
      <c r="T463" s="231" t="s">
        <v>24</v>
      </c>
      <c r="U463" s="231" t="s">
        <v>24</v>
      </c>
      <c r="V463" s="232" t="s">
        <v>35</v>
      </c>
      <c r="W463" s="231"/>
      <c r="X463" s="231"/>
      <c r="Y463" s="231"/>
      <c r="Z463" s="231"/>
      <c r="AA463" s="234"/>
      <c r="AB463" s="231"/>
      <c r="AC463" s="247"/>
      <c r="AD463" s="232" t="s">
        <v>26</v>
      </c>
      <c r="AE463" s="231"/>
      <c r="AF463" s="233" t="s">
        <v>1773</v>
      </c>
      <c r="AG463" s="233" t="s">
        <v>1774</v>
      </c>
      <c r="AH463" s="233" t="s">
        <v>1773</v>
      </c>
      <c r="AI463" s="233" t="s">
        <v>1773</v>
      </c>
      <c r="AJ463" s="233" t="s">
        <v>1773</v>
      </c>
      <c r="AK463" s="233" t="s">
        <v>1774</v>
      </c>
      <c r="AL463" s="235" t="s">
        <v>35</v>
      </c>
      <c r="AM463" s="231"/>
      <c r="AN463" s="233"/>
    </row>
    <row r="464" spans="1:40" s="9" customFormat="1" ht="30" x14ac:dyDescent="0.25">
      <c r="A464" s="13" t="s">
        <v>1357</v>
      </c>
      <c r="B464" s="229" t="str">
        <f>IF($A464="","",VLOOKUP($A464,'[2]3-Elaboration.O'!$A:$T,MATCH(B$1,'[2]150-Modele SGO'!$1:$1,0),FALSE))</f>
        <v>Répartition client Vente Assistée / Vente à Distance envisagée</v>
      </c>
      <c r="C464" s="229" t="str">
        <f>IF($A464="","",VLOOKUP($A464,'[2]3-Elaboration.O'!$A:$T,MATCH(C$1,'[2]150-Modele SGO'!$1:$1,0),FALSE))</f>
        <v>100 % Vente Assistée; 50% Vente A Distance;50% Vente Assistée / 50% Vente A Distance;Autre</v>
      </c>
      <c r="D464" s="229" t="str">
        <f>IF($A464="","",VLOOKUP($A464,'[2]3-Elaboration.O'!$A:$T,MATCH(D$1,'[2]150-Modele SGO'!$1:$1,0),FALSE))</f>
        <v xml:space="preserve">Liste choix unique </v>
      </c>
      <c r="E464" s="230" t="s">
        <v>70</v>
      </c>
      <c r="F464" s="230"/>
      <c r="G464" s="231"/>
      <c r="H464" s="232" t="s">
        <v>19</v>
      </c>
      <c r="I464" s="233" t="s">
        <v>1358</v>
      </c>
      <c r="J464" s="231"/>
      <c r="K464" s="231"/>
      <c r="L464" s="231"/>
      <c r="M464" s="232" t="s">
        <v>35</v>
      </c>
      <c r="N464" s="231"/>
      <c r="O464" s="231"/>
      <c r="P464" s="231"/>
      <c r="Q464" s="231" t="s">
        <v>19</v>
      </c>
      <c r="R464" s="233" t="s">
        <v>1775</v>
      </c>
      <c r="S464" s="231" t="s">
        <v>24</v>
      </c>
      <c r="T464" s="231" t="s">
        <v>24</v>
      </c>
      <c r="U464" s="231" t="s">
        <v>24</v>
      </c>
      <c r="V464" s="232" t="s">
        <v>26</v>
      </c>
      <c r="W464" s="231"/>
      <c r="X464" s="233" t="s">
        <v>1358</v>
      </c>
      <c r="Y464" s="233" t="s">
        <v>1358</v>
      </c>
      <c r="Z464" s="233" t="s">
        <v>1776</v>
      </c>
      <c r="AA464" s="235" t="s">
        <v>1358</v>
      </c>
      <c r="AB464" s="233" t="s">
        <v>1358</v>
      </c>
      <c r="AC464" s="245" t="s">
        <v>1358</v>
      </c>
      <c r="AD464" s="232" t="s">
        <v>35</v>
      </c>
      <c r="AE464" s="231"/>
      <c r="AF464" s="231"/>
      <c r="AG464" s="231"/>
      <c r="AH464" s="231"/>
      <c r="AI464" s="231"/>
      <c r="AJ464" s="231"/>
      <c r="AK464" s="231"/>
      <c r="AL464" s="234" t="s">
        <v>35</v>
      </c>
      <c r="AM464" s="231"/>
      <c r="AN464" s="231"/>
    </row>
    <row r="465" spans="1:40" s="9" customFormat="1" ht="30" x14ac:dyDescent="0.25">
      <c r="A465" s="13" t="s">
        <v>1361</v>
      </c>
      <c r="B465" s="229" t="str">
        <f>IF($A465="","",VLOOKUP($A465,'[2]3-Elaboration.O'!$A:$T,MATCH(B$1,'[2]150-Modele SGO'!$1:$1,0),FALSE))</f>
        <v xml:space="preserve">Si autre répartion Vente Assistée / Vente A distance, préciser </v>
      </c>
      <c r="C465" s="229" t="str">
        <f>IF($A465="","",VLOOKUP($A465,'[2]3-Elaboration.O'!$A:$T,MATCH(C$1,'[2]150-Modele SGO'!$1:$1,0),FALSE))</f>
        <v>Champ libre</v>
      </c>
      <c r="D465" s="229" t="str">
        <f>IF($A465="","",VLOOKUP($A465,'[2]3-Elaboration.O'!$A:$T,MATCH(D$1,'[2]150-Modele SGO'!$1:$1,0),FALSE))</f>
        <v>Texte</v>
      </c>
      <c r="E465" s="230" t="s">
        <v>70</v>
      </c>
      <c r="F465" s="230"/>
      <c r="G465" s="231"/>
      <c r="H465" s="232" t="s">
        <v>1704</v>
      </c>
      <c r="I465" s="231"/>
      <c r="J465" s="231"/>
      <c r="K465" s="231"/>
      <c r="L465" s="231"/>
      <c r="M465" s="232" t="s">
        <v>35</v>
      </c>
      <c r="N465" s="231"/>
      <c r="O465" s="231"/>
      <c r="P465" s="231"/>
      <c r="Q465" s="231" t="s">
        <v>35</v>
      </c>
      <c r="R465" s="231" t="s">
        <v>24</v>
      </c>
      <c r="S465" s="231" t="s">
        <v>24</v>
      </c>
      <c r="T465" s="231" t="s">
        <v>24</v>
      </c>
      <c r="U465" s="231" t="s">
        <v>24</v>
      </c>
      <c r="V465" s="232" t="s">
        <v>35</v>
      </c>
      <c r="W465" s="231"/>
      <c r="X465" s="231"/>
      <c r="Y465" s="231"/>
      <c r="Z465" s="231"/>
      <c r="AA465" s="234"/>
      <c r="AB465" s="231"/>
      <c r="AC465" s="247"/>
      <c r="AD465" s="232" t="s">
        <v>35</v>
      </c>
      <c r="AE465" s="231"/>
      <c r="AF465" s="231"/>
      <c r="AG465" s="231"/>
      <c r="AH465" s="231"/>
      <c r="AI465" s="231"/>
      <c r="AJ465" s="231"/>
      <c r="AK465" s="231"/>
      <c r="AL465" s="234" t="s">
        <v>35</v>
      </c>
      <c r="AM465" s="231"/>
      <c r="AN465" s="231"/>
    </row>
    <row r="466" spans="1:40" s="9" customFormat="1" ht="45" x14ac:dyDescent="0.25">
      <c r="A466" s="13" t="s">
        <v>1363</v>
      </c>
      <c r="B466" s="229" t="str">
        <f>IF($A466="","",VLOOKUP($A466,'[2]3-Elaboration.O'!$A:$T,MATCH(B$1,'[2]150-Modele SGO'!$1:$1,0),FALSE))</f>
        <v>Commercialisation de l'offre par le CCM  (prise de commande)</v>
      </c>
      <c r="C466" s="229" t="str">
        <f>IF($A466="","",VLOOKUP($A466,'[2]3-Elaboration.O'!$A:$T,MATCH(C$1,'[2]150-Modele SGO'!$1:$1,0),FALSE))</f>
        <v>Oui, commercialisation de l'offre par le CCM; Non, exclusion du canal de vente CCM</v>
      </c>
      <c r="D466" s="229" t="str">
        <f>IF($A466="","",VLOOKUP($A466,'[2]3-Elaboration.O'!$A:$T,MATCH(D$1,'[2]150-Modele SGO'!$1:$1,0),FALSE))</f>
        <v xml:space="preserve">Liste choix unique </v>
      </c>
      <c r="E466" s="230" t="s">
        <v>70</v>
      </c>
      <c r="F466" s="230"/>
      <c r="G466" s="231"/>
      <c r="H466" s="232" t="s">
        <v>19</v>
      </c>
      <c r="I466" s="233" t="s">
        <v>1364</v>
      </c>
      <c r="J466" s="231"/>
      <c r="K466" s="231"/>
      <c r="L466" s="231"/>
      <c r="M466" s="232" t="s">
        <v>26</v>
      </c>
      <c r="N466" s="231"/>
      <c r="O466" s="233" t="s">
        <v>1777</v>
      </c>
      <c r="P466" s="233" t="s">
        <v>35</v>
      </c>
      <c r="Q466" s="233" t="s">
        <v>19</v>
      </c>
      <c r="R466" s="233" t="s">
        <v>1364</v>
      </c>
      <c r="S466" s="231" t="s">
        <v>24</v>
      </c>
      <c r="T466" s="231" t="s">
        <v>24</v>
      </c>
      <c r="U466" s="231" t="s">
        <v>24</v>
      </c>
      <c r="V466" s="232" t="s">
        <v>26</v>
      </c>
      <c r="W466" s="231"/>
      <c r="X466" s="233" t="s">
        <v>1364</v>
      </c>
      <c r="Y466" s="233" t="s">
        <v>1364</v>
      </c>
      <c r="Z466" s="233" t="s">
        <v>1778</v>
      </c>
      <c r="AA466" s="235" t="s">
        <v>1364</v>
      </c>
      <c r="AB466" s="233" t="s">
        <v>1364</v>
      </c>
      <c r="AC466" s="245" t="s">
        <v>1364</v>
      </c>
      <c r="AD466" s="232" t="s">
        <v>26</v>
      </c>
      <c r="AE466" s="231"/>
      <c r="AF466" s="233" t="s">
        <v>1777</v>
      </c>
      <c r="AG466" s="233" t="s">
        <v>1777</v>
      </c>
      <c r="AH466" s="233" t="s">
        <v>1777</v>
      </c>
      <c r="AI466" s="233" t="s">
        <v>1364</v>
      </c>
      <c r="AJ466" s="233" t="s">
        <v>1777</v>
      </c>
      <c r="AK466" s="233" t="s">
        <v>1777</v>
      </c>
      <c r="AL466" s="235" t="s">
        <v>35</v>
      </c>
      <c r="AM466" s="231"/>
      <c r="AN466" s="231"/>
    </row>
    <row r="467" spans="1:40" s="9" customFormat="1" ht="30" x14ac:dyDescent="0.25">
      <c r="A467" s="13" t="s">
        <v>1367</v>
      </c>
      <c r="B467" s="229" t="str">
        <f>IF($A467="","",VLOOKUP($A467,'[2]3-Elaboration.O'!$A:$T,MATCH(B$1,'[2]150-Modele SGO'!$1:$1,0),FALSE))</f>
        <v>Commercialisation de l'offre par le Réseau</v>
      </c>
      <c r="C467" s="229" t="str">
        <f>IF($A467="","",VLOOKUP($A467,'[2]3-Elaboration.O'!$A:$T,MATCH(C$1,'[2]150-Modele SGO'!$1:$1,0),FALSE))</f>
        <v>Oui, commercialisation de l'offre par le réseau; Non, exclusion du commercialisation par le réseau</v>
      </c>
      <c r="D467" s="229" t="str">
        <f>IF($A467="","",VLOOKUP($A467,'[2]3-Elaboration.O'!$A:$T,MATCH(D$1,'[2]150-Modele SGO'!$1:$1,0),FALSE))</f>
        <v xml:space="preserve">Liste choix unique </v>
      </c>
      <c r="E467" s="230" t="s">
        <v>70</v>
      </c>
      <c r="F467" s="230"/>
      <c r="G467" s="231"/>
      <c r="H467" s="232" t="s">
        <v>19</v>
      </c>
      <c r="I467" s="233" t="s">
        <v>1368</v>
      </c>
      <c r="J467" s="231"/>
      <c r="K467" s="231"/>
      <c r="L467" s="231"/>
      <c r="M467" s="232" t="s">
        <v>26</v>
      </c>
      <c r="N467" s="231"/>
      <c r="O467" s="233" t="s">
        <v>1368</v>
      </c>
      <c r="P467" s="233" t="s">
        <v>35</v>
      </c>
      <c r="Q467" s="233" t="s">
        <v>19</v>
      </c>
      <c r="R467" s="233" t="s">
        <v>1368</v>
      </c>
      <c r="S467" s="231" t="s">
        <v>24</v>
      </c>
      <c r="T467" s="231" t="s">
        <v>24</v>
      </c>
      <c r="U467" s="231" t="s">
        <v>24</v>
      </c>
      <c r="V467" s="232" t="s">
        <v>19</v>
      </c>
      <c r="W467" s="233" t="s">
        <v>1368</v>
      </c>
      <c r="X467" s="231"/>
      <c r="Y467" s="231"/>
      <c r="Z467" s="231"/>
      <c r="AA467" s="234"/>
      <c r="AB467" s="231"/>
      <c r="AC467" s="247"/>
      <c r="AD467" s="232" t="s">
        <v>26</v>
      </c>
      <c r="AE467" s="231"/>
      <c r="AF467" s="233" t="s">
        <v>1368</v>
      </c>
      <c r="AG467" s="233" t="s">
        <v>1368</v>
      </c>
      <c r="AH467" s="233" t="s">
        <v>1368</v>
      </c>
      <c r="AI467" s="233" t="s">
        <v>1368</v>
      </c>
      <c r="AJ467" s="233" t="s">
        <v>1368</v>
      </c>
      <c r="AK467" s="233" t="s">
        <v>1368</v>
      </c>
      <c r="AL467" s="235" t="s">
        <v>35</v>
      </c>
      <c r="AM467" s="231"/>
      <c r="AN467" s="231"/>
    </row>
    <row r="468" spans="1:40" s="9" customFormat="1" ht="45" x14ac:dyDescent="0.25">
      <c r="A468" s="13" t="s">
        <v>1371</v>
      </c>
      <c r="B468" s="229" t="str">
        <f>IF($A468="","",VLOOKUP($A468,'[2]3-Elaboration.O'!$A:$T,MATCH(B$1,'[2]150-Modele SGO'!$1:$1,0),FALSE))</f>
        <v>SMAR (Gestion centralisée des commandes/ facturation)</v>
      </c>
      <c r="C468" s="229" t="str">
        <f>IF($A468="","",VLOOKUP($A468,'[2]3-Elaboration.O'!$A:$T,MATCH(C$1,'[2]150-Modele SGO'!$1:$1,0),FALSE))</f>
        <v>Oui, commercialisation par la SMAR; Non, exclusion d'une commercialisation par la SMAR</v>
      </c>
      <c r="D468" s="229" t="str">
        <f>IF($A468="","",VLOOKUP($A468,'[2]3-Elaboration.O'!$A:$T,MATCH(D$1,'[2]150-Modele SGO'!$1:$1,0),FALSE))</f>
        <v xml:space="preserve">Liste choix unique </v>
      </c>
      <c r="E468" s="230" t="s">
        <v>70</v>
      </c>
      <c r="F468" s="230"/>
      <c r="G468" s="231"/>
      <c r="H468" s="232" t="s">
        <v>19</v>
      </c>
      <c r="I468" s="233" t="s">
        <v>1372</v>
      </c>
      <c r="J468" s="231"/>
      <c r="K468" s="231"/>
      <c r="L468" s="231"/>
      <c r="M468" s="232" t="s">
        <v>26</v>
      </c>
      <c r="N468" s="231"/>
      <c r="O468" s="233" t="s">
        <v>1372</v>
      </c>
      <c r="P468" s="233" t="s">
        <v>35</v>
      </c>
      <c r="Q468" s="233" t="s">
        <v>19</v>
      </c>
      <c r="R468" s="233" t="s">
        <v>1372</v>
      </c>
      <c r="S468" s="231" t="s">
        <v>24</v>
      </c>
      <c r="T468" s="231" t="s">
        <v>24</v>
      </c>
      <c r="U468" s="231" t="s">
        <v>24</v>
      </c>
      <c r="V468" s="232" t="s">
        <v>26</v>
      </c>
      <c r="W468" s="231"/>
      <c r="X468" s="233" t="s">
        <v>1372</v>
      </c>
      <c r="Y468" s="233" t="s">
        <v>1779</v>
      </c>
      <c r="Z468" s="233" t="s">
        <v>1372</v>
      </c>
      <c r="AA468" s="235" t="s">
        <v>1372</v>
      </c>
      <c r="AB468" s="233" t="s">
        <v>1372</v>
      </c>
      <c r="AC468" s="245" t="s">
        <v>1372</v>
      </c>
      <c r="AD468" s="232" t="s">
        <v>26</v>
      </c>
      <c r="AE468" s="231"/>
      <c r="AF468" s="233" t="s">
        <v>1372</v>
      </c>
      <c r="AG468" s="233" t="s">
        <v>1779</v>
      </c>
      <c r="AH468" s="233" t="s">
        <v>1372</v>
      </c>
      <c r="AI468" s="233" t="s">
        <v>1372</v>
      </c>
      <c r="AJ468" s="233" t="s">
        <v>1372</v>
      </c>
      <c r="AK468" s="233" t="s">
        <v>1779</v>
      </c>
      <c r="AL468" s="235" t="s">
        <v>35</v>
      </c>
      <c r="AM468" s="231"/>
      <c r="AN468" s="231"/>
    </row>
    <row r="469" spans="1:40" s="9" customFormat="1" ht="15.75" x14ac:dyDescent="0.25">
      <c r="A469" s="108" t="s">
        <v>1375</v>
      </c>
      <c r="B469" s="244" t="str">
        <f>IF($A469="","",VLOOKUP($A469,'[2]3-Elaboration.O'!$A:$T,MATCH(B$1,'[2]150-Modele SGO'!$1:$1,0),FALSE))</f>
        <v>13.4 Schémas de vente</v>
      </c>
      <c r="C469" s="244">
        <f>IF($A469="","",VLOOKUP($A469,'[2]3-Elaboration.O'!$A:$T,MATCH(C$1,'[2]150-Modele SGO'!$1:$1,0),FALSE))</f>
        <v>0</v>
      </c>
      <c r="D469" s="244">
        <f>IF($A469="","",VLOOKUP($A469,'[2]3-Elaboration.O'!$A:$T,MATCH(D$1,'[2]150-Modele SGO'!$1:$1,0),FALSE))</f>
        <v>0</v>
      </c>
      <c r="E469" s="241" t="s">
        <v>70</v>
      </c>
      <c r="F469" s="241"/>
      <c r="G469" s="237"/>
      <c r="H469" s="241" t="s">
        <v>30</v>
      </c>
      <c r="I469" s="237"/>
      <c r="J469" s="237"/>
      <c r="K469" s="237"/>
      <c r="L469" s="237"/>
      <c r="M469" s="241" t="s">
        <v>30</v>
      </c>
      <c r="N469" s="237"/>
      <c r="O469" s="237"/>
      <c r="P469" s="237"/>
      <c r="Q469" s="237" t="s">
        <v>30</v>
      </c>
      <c r="R469" s="237" t="s">
        <v>24</v>
      </c>
      <c r="S469" s="231" t="s">
        <v>24</v>
      </c>
      <c r="T469" s="237" t="s">
        <v>24</v>
      </c>
      <c r="U469" s="237" t="s">
        <v>24</v>
      </c>
      <c r="V469" s="241" t="s">
        <v>30</v>
      </c>
      <c r="W469" s="237" t="s">
        <v>1752</v>
      </c>
      <c r="X469" s="237"/>
      <c r="Y469" s="237"/>
      <c r="Z469" s="237"/>
      <c r="AA469" s="239"/>
      <c r="AB469" s="237"/>
      <c r="AC469" s="237"/>
      <c r="AD469" s="241" t="s">
        <v>30</v>
      </c>
      <c r="AE469" s="237"/>
      <c r="AF469" s="237"/>
      <c r="AG469" s="237"/>
      <c r="AH469" s="237"/>
      <c r="AI469" s="237"/>
      <c r="AJ469" s="237"/>
      <c r="AK469" s="237"/>
      <c r="AL469" s="253" t="s">
        <v>30</v>
      </c>
      <c r="AM469" s="237"/>
      <c r="AN469" s="237"/>
    </row>
    <row r="470" spans="1:40" s="9" customFormat="1" ht="45" x14ac:dyDescent="0.25">
      <c r="A470" s="13" t="s">
        <v>1377</v>
      </c>
      <c r="B470" s="229" t="str">
        <f>IF($A470="","",VLOOKUP($A470,'[2]3-Elaboration.O'!$A:$T,MATCH(B$1,'[2]150-Modele SGO'!$1:$1,0),FALSE))</f>
        <v xml:space="preserve">Schéma de vente opérationnel est-il disponible sous la base de Co ?	</v>
      </c>
      <c r="C470" s="229" t="str">
        <f>IF($A470="","",VLOOKUP($A470,'[2]3-Elaboration.O'!$A:$T,MATCH(C$1,'[2]150-Modele SGO'!$1:$1,0),FALSE))</f>
        <v>Oui, Schéma de vente disponible sous la base de Co; Non, absence du schéma de vente sur la base de co</v>
      </c>
      <c r="D470" s="229" t="str">
        <f>IF($A470="","",VLOOKUP($A470,'[2]3-Elaboration.O'!$A:$T,MATCH(D$1,'[2]150-Modele SGO'!$1:$1,0),FALSE))</f>
        <v xml:space="preserve">Liste choix unique </v>
      </c>
      <c r="E470" s="230" t="s">
        <v>70</v>
      </c>
      <c r="F470" s="230"/>
      <c r="G470" s="231"/>
      <c r="H470" s="232" t="s">
        <v>26</v>
      </c>
      <c r="I470" s="231"/>
      <c r="J470" s="233" t="s">
        <v>1378</v>
      </c>
      <c r="K470" s="233" t="s">
        <v>1780</v>
      </c>
      <c r="L470" s="233" t="s">
        <v>1378</v>
      </c>
      <c r="M470" s="232" t="s">
        <v>26</v>
      </c>
      <c r="N470" s="231"/>
      <c r="O470" s="233" t="s">
        <v>1378</v>
      </c>
      <c r="P470" s="233" t="s">
        <v>35</v>
      </c>
      <c r="Q470" s="233" t="s">
        <v>19</v>
      </c>
      <c r="R470" s="233" t="s">
        <v>1378</v>
      </c>
      <c r="S470" s="231" t="s">
        <v>24</v>
      </c>
      <c r="T470" s="231" t="s">
        <v>24</v>
      </c>
      <c r="U470" s="231" t="s">
        <v>24</v>
      </c>
      <c r="V470" s="232" t="s">
        <v>26</v>
      </c>
      <c r="W470" s="231"/>
      <c r="X470" s="233" t="s">
        <v>1780</v>
      </c>
      <c r="Y470" s="233" t="s">
        <v>1780</v>
      </c>
      <c r="Z470" s="233" t="s">
        <v>1378</v>
      </c>
      <c r="AA470" s="235" t="s">
        <v>1378</v>
      </c>
      <c r="AB470" s="233" t="s">
        <v>1378</v>
      </c>
      <c r="AC470" s="245" t="s">
        <v>1378</v>
      </c>
      <c r="AD470" s="232" t="s">
        <v>26</v>
      </c>
      <c r="AE470" s="231"/>
      <c r="AF470" s="233" t="s">
        <v>1378</v>
      </c>
      <c r="AG470" s="233" t="s">
        <v>1378</v>
      </c>
      <c r="AH470" s="233" t="s">
        <v>1378</v>
      </c>
      <c r="AI470" s="233" t="s">
        <v>1378</v>
      </c>
      <c r="AJ470" s="233" t="s">
        <v>1378</v>
      </c>
      <c r="AK470" s="233" t="s">
        <v>1378</v>
      </c>
      <c r="AL470" s="235" t="s">
        <v>35</v>
      </c>
      <c r="AM470" s="231"/>
      <c r="AN470" s="231"/>
    </row>
    <row r="471" spans="1:40" s="9" customFormat="1" ht="45" x14ac:dyDescent="0.25">
      <c r="A471" s="13" t="s">
        <v>1381</v>
      </c>
      <c r="B471" s="229" t="str">
        <f>IF($A471="","",VLOOKUP($A471,'[2]3-Elaboration.O'!$A:$T,MATCH(B$1,'[2]150-Modele SGO'!$1:$1,0),FALSE))</f>
        <v xml:space="preserve">Type de schéma de vente </v>
      </c>
      <c r="C471" s="229" t="str">
        <f>IF($A471="","",VLOOKUP($A471,'[2]3-Elaboration.O'!$A:$T,MATCH(C$1,'[2]150-Modele SGO'!$1:$1,0),FALSE))</f>
        <v>Schéma de vente offre tripartite;Schéma de vente offre avec prestations associées;Schéma de vente offre sans prestation associée;Autre</v>
      </c>
      <c r="D471" s="229" t="str">
        <f>IF($A471="","",VLOOKUP($A471,'[2]3-Elaboration.O'!$A:$T,MATCH(D$1,'[2]150-Modele SGO'!$1:$1,0),FALSE))</f>
        <v xml:space="preserve">Liste choix unique </v>
      </c>
      <c r="E471" s="230" t="s">
        <v>70</v>
      </c>
      <c r="F471" s="230"/>
      <c r="G471" s="231"/>
      <c r="H471" s="232" t="s">
        <v>26</v>
      </c>
      <c r="I471" s="231"/>
      <c r="J471" s="233" t="s">
        <v>1781</v>
      </c>
      <c r="K471" s="233" t="s">
        <v>1575</v>
      </c>
      <c r="L471" s="233" t="s">
        <v>1781</v>
      </c>
      <c r="M471" s="232" t="s">
        <v>26</v>
      </c>
      <c r="N471" s="231"/>
      <c r="O471" s="233" t="s">
        <v>1781</v>
      </c>
      <c r="P471" s="233" t="s">
        <v>35</v>
      </c>
      <c r="Q471" s="233" t="s">
        <v>19</v>
      </c>
      <c r="R471" s="233" t="s">
        <v>1781</v>
      </c>
      <c r="S471" s="231"/>
      <c r="T471" s="231" t="s">
        <v>24</v>
      </c>
      <c r="U471" s="231" t="s">
        <v>24</v>
      </c>
      <c r="V471" s="232" t="s">
        <v>26</v>
      </c>
      <c r="W471" s="231"/>
      <c r="X471" s="233" t="s">
        <v>1382</v>
      </c>
      <c r="Y471" s="233" t="s">
        <v>1575</v>
      </c>
      <c r="Z471" s="233" t="s">
        <v>1781</v>
      </c>
      <c r="AA471" s="235" t="s">
        <v>1382</v>
      </c>
      <c r="AB471" s="233" t="s">
        <v>1781</v>
      </c>
      <c r="AC471" s="233" t="s">
        <v>1781</v>
      </c>
      <c r="AD471" s="232" t="s">
        <v>26</v>
      </c>
      <c r="AE471" s="231"/>
      <c r="AF471" s="233" t="s">
        <v>1781</v>
      </c>
      <c r="AG471" s="233" t="s">
        <v>1781</v>
      </c>
      <c r="AH471" s="233" t="s">
        <v>1781</v>
      </c>
      <c r="AI471" s="233" t="s">
        <v>1781</v>
      </c>
      <c r="AJ471" s="233" t="s">
        <v>1781</v>
      </c>
      <c r="AK471" s="233" t="s">
        <v>1781</v>
      </c>
      <c r="AL471" s="235" t="s">
        <v>35</v>
      </c>
      <c r="AM471" s="231"/>
      <c r="AN471" s="231"/>
    </row>
    <row r="472" spans="1:40" s="9" customFormat="1" ht="75" x14ac:dyDescent="0.25">
      <c r="A472" s="13" t="s">
        <v>1385</v>
      </c>
      <c r="B472" s="229" t="str">
        <f>IF($A472="","",VLOOKUP($A472,'[2]3-Elaboration.O'!$A:$T,MATCH(B$1,'[2]150-Modele SGO'!$1:$1,0),FALSE))</f>
        <v>Si autre ou si le schéma de vente de l'offre précédente a présenté des écarts ou des problématiques sur le parcours client, présenter le nouveau schéma de vente applicable résultant des échanges avec le référent</v>
      </c>
      <c r="C472" s="229" t="str">
        <f>IF($A472="","",VLOOKUP($A472,'[2]3-Elaboration.O'!$A:$T,MATCH(C$1,'[2]150-Modele SGO'!$1:$1,0),FALSE))</f>
        <v>Champ libre</v>
      </c>
      <c r="D472" s="229" t="str">
        <f>IF($A472="","",VLOOKUP($A472,'[2]3-Elaboration.O'!$A:$T,MATCH(D$1,'[2]150-Modele SGO'!$1:$1,0),FALSE))</f>
        <v>Texte</v>
      </c>
      <c r="E472" s="230" t="s">
        <v>70</v>
      </c>
      <c r="F472" s="230"/>
      <c r="G472" s="231"/>
      <c r="H472" s="232" t="s">
        <v>35</v>
      </c>
      <c r="I472" s="231"/>
      <c r="J472" s="231"/>
      <c r="K472" s="231"/>
      <c r="L472" s="231"/>
      <c r="M472" s="232" t="s">
        <v>35</v>
      </c>
      <c r="N472" s="231"/>
      <c r="O472" s="231"/>
      <c r="P472" s="231"/>
      <c r="Q472" s="231" t="s">
        <v>35</v>
      </c>
      <c r="R472" s="231" t="s">
        <v>24</v>
      </c>
      <c r="S472" s="231" t="s">
        <v>24</v>
      </c>
      <c r="T472" s="231" t="s">
        <v>24</v>
      </c>
      <c r="U472" s="231" t="s">
        <v>24</v>
      </c>
      <c r="V472" s="232" t="s">
        <v>35</v>
      </c>
      <c r="W472" s="231"/>
      <c r="X472" s="231"/>
      <c r="Y472" s="231"/>
      <c r="Z472" s="231"/>
      <c r="AA472" s="234"/>
      <c r="AB472" s="231"/>
      <c r="AC472" s="247"/>
      <c r="AD472" s="232" t="s">
        <v>35</v>
      </c>
      <c r="AE472" s="231"/>
      <c r="AF472" s="231"/>
      <c r="AG472" s="231" t="s">
        <v>1782</v>
      </c>
      <c r="AH472" s="231"/>
      <c r="AI472" s="231"/>
      <c r="AJ472" s="231"/>
      <c r="AK472" s="231"/>
      <c r="AL472" s="234" t="s">
        <v>35</v>
      </c>
      <c r="AM472" s="231"/>
      <c r="AN472" s="231"/>
    </row>
    <row r="473" spans="1:40" s="9" customFormat="1" ht="15.75" x14ac:dyDescent="0.25">
      <c r="A473" s="108" t="s">
        <v>1387</v>
      </c>
      <c r="B473" s="244" t="str">
        <f>IF($A473="","",VLOOKUP($A473,'[2]3-Elaboration.O'!$A:$T,MATCH(B$1,'[2]150-Modele SGO'!$1:$1,0),FALSE))</f>
        <v>13.5 - Support de vente</v>
      </c>
      <c r="C473" s="244">
        <f>IF($A473="","",VLOOKUP($A473,'[2]3-Elaboration.O'!$A:$T,MATCH(C$1,'[2]150-Modele SGO'!$1:$1,0),FALSE))</f>
        <v>0</v>
      </c>
      <c r="D473" s="244">
        <f>IF($A473="","",VLOOKUP($A473,'[2]3-Elaboration.O'!$A:$T,MATCH(D$1,'[2]150-Modele SGO'!$1:$1,0),FALSE))</f>
        <v>0</v>
      </c>
      <c r="E473" s="241" t="s">
        <v>70</v>
      </c>
      <c r="F473" s="241"/>
      <c r="G473" s="237"/>
      <c r="H473" s="241" t="s">
        <v>30</v>
      </c>
      <c r="I473" s="237"/>
      <c r="J473" s="237"/>
      <c r="K473" s="237"/>
      <c r="L473" s="237"/>
      <c r="M473" s="241" t="s">
        <v>30</v>
      </c>
      <c r="N473" s="237"/>
      <c r="O473" s="237"/>
      <c r="P473" s="237"/>
      <c r="Q473" s="237" t="s">
        <v>30</v>
      </c>
      <c r="R473" s="237" t="s">
        <v>24</v>
      </c>
      <c r="S473" s="231" t="s">
        <v>24</v>
      </c>
      <c r="T473" s="237" t="s">
        <v>24</v>
      </c>
      <c r="U473" s="237" t="s">
        <v>24</v>
      </c>
      <c r="V473" s="241" t="s">
        <v>30</v>
      </c>
      <c r="W473" s="237" t="s">
        <v>1752</v>
      </c>
      <c r="X473" s="237"/>
      <c r="Y473" s="237"/>
      <c r="Z473" s="237"/>
      <c r="AA473" s="239"/>
      <c r="AB473" s="237"/>
      <c r="AC473" s="237"/>
      <c r="AD473" s="241" t="s">
        <v>30</v>
      </c>
      <c r="AE473" s="237"/>
      <c r="AF473" s="237"/>
      <c r="AG473" s="237"/>
      <c r="AH473" s="237"/>
      <c r="AI473" s="237"/>
      <c r="AJ473" s="237"/>
      <c r="AK473" s="237"/>
      <c r="AL473" s="239" t="s">
        <v>30</v>
      </c>
      <c r="AM473" s="237"/>
      <c r="AN473" s="237"/>
    </row>
    <row r="474" spans="1:40" s="9" customFormat="1" ht="90" x14ac:dyDescent="0.25">
      <c r="A474" s="13" t="s">
        <v>1389</v>
      </c>
      <c r="B474" s="229" t="str">
        <f>IF($A474="","",VLOOKUP($A474,'[2]3-Elaboration.O'!$A:$T,MATCH(B$1,'[2]150-Modele SGO'!$1:$1,0),FALSE))</f>
        <v xml:space="preserve">Le titulaire s'engage a fournir : </v>
      </c>
      <c r="C474" s="229" t="str">
        <f>IF($A474="","",VLOOKUP($A474,'[2]3-Elaboration.O'!$A:$T,MATCH(C$1,'[2]150-Modele SGO'!$1:$1,0),FALSE))</f>
        <v xml:space="preserve">Fiches technico-commerciales; images numériques; Publipostages;Nuanciers; Une banque de donnée de type AUTOCAD;Matériel de démonstration; Guide de vente </v>
      </c>
      <c r="D474" s="229" t="str">
        <f>IF($A474="","",VLOOKUP($A474,'[2]3-Elaboration.O'!$A:$T,MATCH(D$1,'[2]150-Modele SGO'!$1:$1,0),FALSE))</f>
        <v>Liste choix multiple</v>
      </c>
      <c r="E474" s="230" t="s">
        <v>70</v>
      </c>
      <c r="F474" s="230" t="s">
        <v>44</v>
      </c>
      <c r="G474" s="231"/>
      <c r="H474" s="232" t="s">
        <v>19</v>
      </c>
      <c r="I474" s="235" t="s">
        <v>1783</v>
      </c>
      <c r="J474" s="231"/>
      <c r="K474" s="231"/>
      <c r="L474" s="231"/>
      <c r="M474" s="232" t="s">
        <v>26</v>
      </c>
      <c r="N474" s="231"/>
      <c r="O474" s="233" t="s">
        <v>1784</v>
      </c>
      <c r="P474" s="233" t="s">
        <v>35</v>
      </c>
      <c r="Q474" s="233" t="s">
        <v>19</v>
      </c>
      <c r="R474" s="233" t="s">
        <v>1785</v>
      </c>
      <c r="S474" s="231" t="s">
        <v>24</v>
      </c>
      <c r="T474" s="231" t="s">
        <v>24</v>
      </c>
      <c r="U474" s="231" t="s">
        <v>24</v>
      </c>
      <c r="V474" s="248" t="s">
        <v>19</v>
      </c>
      <c r="W474" s="233" t="s">
        <v>1390</v>
      </c>
      <c r="X474" s="231"/>
      <c r="Y474" s="231"/>
      <c r="Z474" s="231"/>
      <c r="AA474" s="234"/>
      <c r="AB474" s="231"/>
      <c r="AC474" s="247"/>
      <c r="AD474" s="248" t="s">
        <v>26</v>
      </c>
      <c r="AE474" s="231"/>
      <c r="AF474" s="233" t="s">
        <v>1786</v>
      </c>
      <c r="AG474" s="233" t="s">
        <v>1786</v>
      </c>
      <c r="AH474" s="233" t="s">
        <v>1786</v>
      </c>
      <c r="AI474" s="233" t="s">
        <v>1786</v>
      </c>
      <c r="AJ474" s="233" t="s">
        <v>1786</v>
      </c>
      <c r="AK474" s="233" t="s">
        <v>1786</v>
      </c>
      <c r="AL474" s="235" t="s">
        <v>35</v>
      </c>
      <c r="AM474" s="231"/>
      <c r="AN474" s="231"/>
    </row>
    <row r="475" spans="1:40" s="9" customFormat="1" ht="30" x14ac:dyDescent="0.25">
      <c r="A475" s="13" t="s">
        <v>1393</v>
      </c>
      <c r="B475" s="229" t="str">
        <f>IF($A475="","",VLOOKUP($A475,'[2]3-Elaboration.O'!$A:$T,MATCH(B$1,'[2]150-Modele SGO'!$1:$1,0),FALSE))</f>
        <v xml:space="preserve">Dans le cadre du guide vente préciser  les lot(s) concerné(s) ? </v>
      </c>
      <c r="C475" s="229" t="str">
        <f>IF($A475="","",VLOOKUP($A475,'[2]3-Elaboration.O'!$A:$T,MATCH(C$1,'[2]150-Modele SGO'!$1:$1,0),FALSE))</f>
        <v>Numéros de lot</v>
      </c>
      <c r="D475" s="229" t="str">
        <f>IF($A475="","",VLOOKUP($A475,'[2]3-Elaboration.O'!$A:$T,MATCH(D$1,'[2]150-Modele SGO'!$1:$1,0),FALSE))</f>
        <v>Texte</v>
      </c>
      <c r="E475" s="230" t="s">
        <v>70</v>
      </c>
      <c r="F475" s="230"/>
      <c r="G475" s="231"/>
      <c r="H475" s="232" t="s">
        <v>35</v>
      </c>
      <c r="I475" s="231"/>
      <c r="J475" s="231"/>
      <c r="K475" s="231"/>
      <c r="L475" s="231"/>
      <c r="M475" s="232" t="s">
        <v>35</v>
      </c>
      <c r="N475" s="231"/>
      <c r="O475" s="231"/>
      <c r="P475" s="231"/>
      <c r="Q475" s="231" t="s">
        <v>35</v>
      </c>
      <c r="R475" s="231" t="s">
        <v>24</v>
      </c>
      <c r="S475" s="231" t="s">
        <v>24</v>
      </c>
      <c r="T475" s="231" t="s">
        <v>24</v>
      </c>
      <c r="U475" s="231" t="s">
        <v>24</v>
      </c>
      <c r="V475" s="232" t="s">
        <v>35</v>
      </c>
      <c r="W475" s="231" t="s">
        <v>46</v>
      </c>
      <c r="X475" s="231"/>
      <c r="Y475" s="231"/>
      <c r="Z475" s="231"/>
      <c r="AA475" s="234"/>
      <c r="AB475" s="231"/>
      <c r="AC475" s="247"/>
      <c r="AD475" s="232" t="s">
        <v>19</v>
      </c>
      <c r="AE475" s="233" t="s">
        <v>46</v>
      </c>
      <c r="AF475" s="231"/>
      <c r="AG475" s="231"/>
      <c r="AH475" s="231"/>
      <c r="AI475" s="231"/>
      <c r="AJ475" s="231"/>
      <c r="AK475" s="231"/>
      <c r="AL475" s="234" t="s">
        <v>35</v>
      </c>
      <c r="AM475" s="231"/>
      <c r="AN475" s="231"/>
    </row>
    <row r="476" spans="1:40" s="9" customFormat="1" ht="15.75" x14ac:dyDescent="0.25">
      <c r="A476" s="108" t="s">
        <v>1395</v>
      </c>
      <c r="B476" s="244" t="str">
        <f>IF($A476="","",VLOOKUP($A476,'[2]3-Elaboration.O'!$A:$T,MATCH(B$1,'[2]150-Modele SGO'!$1:$1,0),FALSE))</f>
        <v>13.6- Documents contractuels clients</v>
      </c>
      <c r="C476" s="244">
        <f>IF($A476="","",VLOOKUP($A476,'[2]3-Elaboration.O'!$A:$T,MATCH(C$1,'[2]150-Modele SGO'!$1:$1,0),FALSE))</f>
        <v>0</v>
      </c>
      <c r="D476" s="244">
        <f>IF($A476="","",VLOOKUP($A476,'[2]3-Elaboration.O'!$A:$T,MATCH(D$1,'[2]150-Modele SGO'!$1:$1,0),FALSE))</f>
        <v>0</v>
      </c>
      <c r="E476" s="241" t="s">
        <v>70</v>
      </c>
      <c r="F476" s="241"/>
      <c r="G476" s="237"/>
      <c r="H476" s="241" t="s">
        <v>30</v>
      </c>
      <c r="I476" s="237"/>
      <c r="J476" s="237"/>
      <c r="K476" s="237"/>
      <c r="L476" s="237"/>
      <c r="M476" s="241" t="s">
        <v>30</v>
      </c>
      <c r="N476" s="237"/>
      <c r="O476" s="237"/>
      <c r="P476" s="237"/>
      <c r="Q476" s="237" t="s">
        <v>30</v>
      </c>
      <c r="R476" s="237" t="s">
        <v>24</v>
      </c>
      <c r="S476" s="231" t="s">
        <v>24</v>
      </c>
      <c r="T476" s="237" t="s">
        <v>24</v>
      </c>
      <c r="U476" s="237" t="s">
        <v>24</v>
      </c>
      <c r="V476" s="241" t="s">
        <v>30</v>
      </c>
      <c r="W476" s="237" t="s">
        <v>1752</v>
      </c>
      <c r="X476" s="237"/>
      <c r="Y476" s="237"/>
      <c r="Z476" s="237"/>
      <c r="AA476" s="239"/>
      <c r="AB476" s="237"/>
      <c r="AC476" s="237"/>
      <c r="AD476" s="241" t="s">
        <v>30</v>
      </c>
      <c r="AE476" s="237"/>
      <c r="AF476" s="237"/>
      <c r="AG476" s="237"/>
      <c r="AH476" s="237"/>
      <c r="AI476" s="237"/>
      <c r="AJ476" s="237"/>
      <c r="AK476" s="237"/>
      <c r="AL476" s="239" t="s">
        <v>30</v>
      </c>
      <c r="AM476" s="237"/>
      <c r="AN476" s="237"/>
    </row>
    <row r="477" spans="1:40" s="9" customFormat="1" ht="60" x14ac:dyDescent="0.25">
      <c r="A477" s="13" t="s">
        <v>1397</v>
      </c>
      <c r="B477" s="229" t="str">
        <f>IF($A477="","",VLOOKUP($A477,'[2]3-Elaboration.O'!$A:$T,MATCH(B$1,'[2]150-Modele SGO'!$1:$1,0),FALSE))</f>
        <v>Existence d'une convention client?</v>
      </c>
      <c r="C477" s="229" t="str">
        <f>IF($A477="","",VLOOKUP($A477,'[2]3-Elaboration.O'!$A:$T,MATCH(C$1,'[2]150-Modele SGO'!$1:$1,0),FALSE))</f>
        <v>Oui, existence d'une convention client "valant BDC"; Oui existence d'une convention client d'embarquement ; Non, absence de convention client</v>
      </c>
      <c r="D477" s="229" t="str">
        <f>IF($A477="","",VLOOKUP($A477,'[2]3-Elaboration.O'!$A:$T,MATCH(D$1,'[2]150-Modele SGO'!$1:$1,0),FALSE))</f>
        <v xml:space="preserve">Liste choix unique </v>
      </c>
      <c r="E477" s="230" t="s">
        <v>1521</v>
      </c>
      <c r="F477" s="230"/>
      <c r="G477" s="231"/>
      <c r="H477" s="232" t="s">
        <v>19</v>
      </c>
      <c r="I477" s="233" t="s">
        <v>1787</v>
      </c>
      <c r="J477" s="231"/>
      <c r="K477" s="231"/>
      <c r="L477" s="231"/>
      <c r="M477" s="232" t="s">
        <v>26</v>
      </c>
      <c r="N477" s="231"/>
      <c r="O477" s="233" t="s">
        <v>1787</v>
      </c>
      <c r="P477" s="233" t="s">
        <v>35</v>
      </c>
      <c r="Q477" s="233" t="s">
        <v>26</v>
      </c>
      <c r="R477" s="231" t="s">
        <v>24</v>
      </c>
      <c r="S477" s="233" t="s">
        <v>1788</v>
      </c>
      <c r="T477" s="233" t="s">
        <v>1788</v>
      </c>
      <c r="U477" s="233" t="s">
        <v>1398</v>
      </c>
      <c r="V477" s="232" t="s">
        <v>26</v>
      </c>
      <c r="W477" s="231"/>
      <c r="X477" s="233" t="s">
        <v>1787</v>
      </c>
      <c r="Y477" s="233" t="s">
        <v>1789</v>
      </c>
      <c r="Z477" s="233" t="s">
        <v>1787</v>
      </c>
      <c r="AA477" s="235" t="s">
        <v>1398</v>
      </c>
      <c r="AB477" s="233" t="s">
        <v>1787</v>
      </c>
      <c r="AC477" s="245" t="s">
        <v>1787</v>
      </c>
      <c r="AD477" s="232" t="s">
        <v>26</v>
      </c>
      <c r="AE477" s="231"/>
      <c r="AF477" s="233" t="s">
        <v>1787</v>
      </c>
      <c r="AG477" s="233" t="s">
        <v>1398</v>
      </c>
      <c r="AH477" s="233" t="s">
        <v>1787</v>
      </c>
      <c r="AI477" s="233" t="s">
        <v>1787</v>
      </c>
      <c r="AJ477" s="233" t="s">
        <v>1787</v>
      </c>
      <c r="AK477" s="233" t="s">
        <v>1787</v>
      </c>
      <c r="AL477" s="235" t="s">
        <v>35</v>
      </c>
      <c r="AM477" s="231"/>
      <c r="AN477" s="231"/>
    </row>
    <row r="478" spans="1:40" s="9" customFormat="1" ht="15.75" x14ac:dyDescent="0.25">
      <c r="A478" s="13" t="s">
        <v>1401</v>
      </c>
      <c r="B478" s="229" t="str">
        <f>IF($A478="","",VLOOKUP($A478,'[2]3-Elaboration.O'!$A:$T,MATCH(B$1,'[2]150-Modele SGO'!$1:$1,0),FALSE))</f>
        <v>Si oui préciser l'étendue</v>
      </c>
      <c r="C478" s="229" t="str">
        <f>IF($A478="","",VLOOKUP($A478,'[2]3-Elaboration.O'!$A:$T,MATCH(C$1,'[2]150-Modele SGO'!$1:$1,0),FALSE))</f>
        <v>Champ libre</v>
      </c>
      <c r="D478" s="229" t="str">
        <f>IF($A478="","",VLOOKUP($A478,'[2]3-Elaboration.O'!$A:$T,MATCH(D$1,'[2]150-Modele SGO'!$1:$1,0),FALSE))</f>
        <v>Texte</v>
      </c>
      <c r="E478" s="230" t="s">
        <v>70</v>
      </c>
      <c r="F478" s="230"/>
      <c r="G478" s="231"/>
      <c r="H478" s="232" t="s">
        <v>35</v>
      </c>
      <c r="I478" s="231"/>
      <c r="J478" s="231"/>
      <c r="K478" s="231"/>
      <c r="L478" s="231"/>
      <c r="M478" s="232" t="s">
        <v>35</v>
      </c>
      <c r="N478" s="231"/>
      <c r="O478" s="231"/>
      <c r="P478" s="231"/>
      <c r="Q478" s="231" t="s">
        <v>35</v>
      </c>
      <c r="R478" s="231" t="s">
        <v>24</v>
      </c>
      <c r="S478" s="231" t="s">
        <v>24</v>
      </c>
      <c r="T478" s="231" t="s">
        <v>24</v>
      </c>
      <c r="U478" s="231" t="s">
        <v>24</v>
      </c>
      <c r="V478" s="232" t="s">
        <v>35</v>
      </c>
      <c r="W478" s="231"/>
      <c r="X478" s="231"/>
      <c r="Y478" s="231"/>
      <c r="Z478" s="231"/>
      <c r="AA478" s="234"/>
      <c r="AB478" s="231"/>
      <c r="AC478" s="247"/>
      <c r="AD478" s="232" t="s">
        <v>35</v>
      </c>
      <c r="AE478" s="231"/>
      <c r="AF478" s="231"/>
      <c r="AG478" s="231"/>
      <c r="AH478" s="231"/>
      <c r="AI478" s="231"/>
      <c r="AJ478" s="231"/>
      <c r="AK478" s="231"/>
      <c r="AL478" s="234" t="s">
        <v>35</v>
      </c>
      <c r="AM478" s="231"/>
      <c r="AN478" s="231"/>
    </row>
    <row r="479" spans="1:40" s="9" customFormat="1" ht="30" x14ac:dyDescent="0.25">
      <c r="A479" s="13" t="s">
        <v>1403</v>
      </c>
      <c r="B479" s="229" t="str">
        <f>IF($A479="","",VLOOKUP($A479,'[2]3-Elaboration.O'!$A:$T,MATCH(B$1,'[2]150-Modele SGO'!$1:$1,0),FALSE))</f>
        <v>Si oui, préciser qui traite la convention</v>
      </c>
      <c r="C479" s="229" t="str">
        <f>IF($A479="","",VLOOKUP($A479,'[2]3-Elaboration.O'!$A:$T,MATCH(C$1,'[2]150-Modele SGO'!$1:$1,0),FALSE))</f>
        <v>Réseau;SMAR</v>
      </c>
      <c r="D479" s="229" t="str">
        <f>IF($A479="","",VLOOKUP($A479,'[2]3-Elaboration.O'!$A:$T,MATCH(D$1,'[2]150-Modele SGO'!$1:$1,0),FALSE))</f>
        <v>Liste choix multiple</v>
      </c>
      <c r="E479" s="230"/>
      <c r="F479" s="230"/>
      <c r="G479" s="231"/>
      <c r="H479" s="232" t="s">
        <v>19</v>
      </c>
      <c r="I479" s="233" t="s">
        <v>1404</v>
      </c>
      <c r="J479" s="231"/>
      <c r="K479" s="231"/>
      <c r="L479" s="231"/>
      <c r="M479" s="232" t="s">
        <v>26</v>
      </c>
      <c r="N479" s="231"/>
      <c r="O479" s="233" t="s">
        <v>1404</v>
      </c>
      <c r="P479" s="233" t="s">
        <v>35</v>
      </c>
      <c r="Q479" s="233" t="s">
        <v>26</v>
      </c>
      <c r="R479" s="231" t="s">
        <v>24</v>
      </c>
      <c r="S479" s="233" t="s">
        <v>1404</v>
      </c>
      <c r="T479" s="233" t="s">
        <v>1406</v>
      </c>
      <c r="U479" s="233" t="s">
        <v>1404</v>
      </c>
      <c r="V479" s="232" t="s">
        <v>26</v>
      </c>
      <c r="W479" s="231"/>
      <c r="X479" s="233" t="s">
        <v>46</v>
      </c>
      <c r="Y479" s="233" t="s">
        <v>1790</v>
      </c>
      <c r="Z479" s="233" t="s">
        <v>46</v>
      </c>
      <c r="AA479" s="235" t="s">
        <v>1404</v>
      </c>
      <c r="AB479" s="233" t="s">
        <v>46</v>
      </c>
      <c r="AC479" s="233" t="s">
        <v>46</v>
      </c>
      <c r="AD479" s="232" t="s">
        <v>26</v>
      </c>
      <c r="AE479" s="231"/>
      <c r="AF479" s="233" t="s">
        <v>46</v>
      </c>
      <c r="AG479" s="233" t="s">
        <v>1404</v>
      </c>
      <c r="AH479" s="233" t="s">
        <v>46</v>
      </c>
      <c r="AI479" s="233" t="s">
        <v>46</v>
      </c>
      <c r="AJ479" s="233" t="s">
        <v>46</v>
      </c>
      <c r="AK479" s="233" t="s">
        <v>46</v>
      </c>
      <c r="AL479" s="235" t="s">
        <v>35</v>
      </c>
      <c r="AM479" s="231"/>
      <c r="AN479" s="231"/>
    </row>
    <row r="480" spans="1:40" s="9" customFormat="1" ht="15.75" x14ac:dyDescent="0.25">
      <c r="A480" s="13" t="s">
        <v>1407</v>
      </c>
      <c r="B480" s="229" t="str">
        <f>IF($A480="","",VLOOKUP($A480,'[2]3-Elaboration.O'!$A:$T,MATCH(B$1,'[2]150-Modele SGO'!$1:$1,0),FALSE))</f>
        <v>Existence de CGE ?</v>
      </c>
      <c r="C480" s="229" t="str">
        <f>IF($A480="","",VLOOKUP($A480,'[2]3-Elaboration.O'!$A:$T,MATCH(C$1,'[2]150-Modele SGO'!$1:$1,0),FALSE))</f>
        <v>Oui, existence de CGE; Non, absence de CGE</v>
      </c>
      <c r="D480" s="229" t="str">
        <f>IF($A480="","",VLOOKUP($A480,'[2]3-Elaboration.O'!$A:$T,MATCH(D$1,'[2]150-Modele SGO'!$1:$1,0),FALSE))</f>
        <v xml:space="preserve">Liste choix unique </v>
      </c>
      <c r="E480" s="230" t="s">
        <v>70</v>
      </c>
      <c r="F480" s="230"/>
      <c r="G480" s="233" t="s">
        <v>1408</v>
      </c>
      <c r="H480" s="232" t="s">
        <v>51</v>
      </c>
      <c r="I480" s="231"/>
      <c r="J480" s="231"/>
      <c r="K480" s="231"/>
      <c r="L480" s="231"/>
      <c r="M480" s="232" t="s">
        <v>51</v>
      </c>
      <c r="N480" s="231"/>
      <c r="O480" s="242"/>
      <c r="P480" s="242"/>
      <c r="Q480" s="242" t="s">
        <v>51</v>
      </c>
      <c r="R480" s="242" t="s">
        <v>24</v>
      </c>
      <c r="S480" s="231"/>
      <c r="T480" s="242" t="s">
        <v>24</v>
      </c>
      <c r="U480" s="242" t="s">
        <v>24</v>
      </c>
      <c r="V480" s="232" t="s">
        <v>51</v>
      </c>
      <c r="W480" s="231"/>
      <c r="X480" s="231"/>
      <c r="Y480" s="231"/>
      <c r="Z480" s="231"/>
      <c r="AA480" s="234"/>
      <c r="AB480" s="242"/>
      <c r="AC480" s="231"/>
      <c r="AD480" s="232" t="s">
        <v>51</v>
      </c>
      <c r="AE480" s="231"/>
      <c r="AF480" s="242"/>
      <c r="AG480" s="242"/>
      <c r="AH480" s="242"/>
      <c r="AI480" s="242"/>
      <c r="AJ480" s="242"/>
      <c r="AK480" s="242"/>
      <c r="AL480" s="243" t="s">
        <v>51</v>
      </c>
      <c r="AM480" s="231"/>
      <c r="AN480" s="242"/>
    </row>
    <row r="481" spans="1:40" s="9" customFormat="1" ht="60" x14ac:dyDescent="0.25">
      <c r="A481" s="13" t="s">
        <v>1411</v>
      </c>
      <c r="B481" s="229" t="str">
        <f>IF($A481="","",VLOOKUP($A481,'[2]3-Elaboration.O'!$A:$T,MATCH(B$1,'[2]150-Modele SGO'!$1:$1,0),FALSE))</f>
        <v>Existence d'autres documents commerciaux (exemples : kit de remise en concurrence/passation de marché subséquent, trame type rapport d'analyse, lettre de rejet…)</v>
      </c>
      <c r="C481" s="229" t="str">
        <f>IF($A481="","",VLOOKUP($A481,'[2]3-Elaboration.O'!$A:$T,MATCH(C$1,'[2]150-Modele SGO'!$1:$1,0),FALSE))</f>
        <v>Oui, existence d'autres documents commerciaux; Non, absence d'autres documents commerciaux</v>
      </c>
      <c r="D481" s="229" t="str">
        <f>IF($A481="","",VLOOKUP($A481,'[2]3-Elaboration.O'!$A:$T,MATCH(D$1,'[2]150-Modele SGO'!$1:$1,0),FALSE))</f>
        <v xml:space="preserve">Liste choix unique </v>
      </c>
      <c r="E481" s="230" t="s">
        <v>70</v>
      </c>
      <c r="F481" s="230"/>
      <c r="G481" s="231"/>
      <c r="H481" s="232" t="s">
        <v>35</v>
      </c>
      <c r="I481" s="231"/>
      <c r="J481" s="231"/>
      <c r="K481" s="231"/>
      <c r="L481" s="231"/>
      <c r="M481" s="232" t="s">
        <v>35</v>
      </c>
      <c r="N481" s="231"/>
      <c r="O481" s="231"/>
      <c r="P481" s="231"/>
      <c r="Q481" s="231" t="s">
        <v>26</v>
      </c>
      <c r="R481" s="231" t="s">
        <v>24</v>
      </c>
      <c r="S481" s="233" t="s">
        <v>1412</v>
      </c>
      <c r="T481" s="233" t="s">
        <v>1412</v>
      </c>
      <c r="U481" s="233" t="s">
        <v>1791</v>
      </c>
      <c r="V481" s="232" t="s">
        <v>26</v>
      </c>
      <c r="W481" s="231"/>
      <c r="X481" s="233" t="s">
        <v>1412</v>
      </c>
      <c r="Y481" s="233" t="s">
        <v>1792</v>
      </c>
      <c r="Z481" s="233" t="s">
        <v>1412</v>
      </c>
      <c r="AA481" s="235" t="s">
        <v>1412</v>
      </c>
      <c r="AB481" s="233" t="s">
        <v>1412</v>
      </c>
      <c r="AC481" s="245" t="s">
        <v>1412</v>
      </c>
      <c r="AD481" s="232" t="s">
        <v>26</v>
      </c>
      <c r="AE481" s="231"/>
      <c r="AF481" s="233"/>
      <c r="AG481" s="233"/>
      <c r="AH481" s="233"/>
      <c r="AI481" s="233"/>
      <c r="AJ481" s="233" t="s">
        <v>1412</v>
      </c>
      <c r="AK481" s="233"/>
      <c r="AL481" s="235" t="s">
        <v>35</v>
      </c>
      <c r="AM481" s="231"/>
      <c r="AN481" s="231"/>
    </row>
    <row r="482" spans="1:40" s="9" customFormat="1" ht="15.75" x14ac:dyDescent="0.25">
      <c r="A482" s="13" t="s">
        <v>1415</v>
      </c>
      <c r="B482" s="229" t="str">
        <f>IF($A482="","",VLOOKUP($A482,'[2]3-Elaboration.O'!$A:$T,MATCH(B$1,'[2]150-Modele SGO'!$1:$1,0),FALSE))</f>
        <v>Si oui lesquels ?</v>
      </c>
      <c r="C482" s="229" t="str">
        <f>IF($A482="","",VLOOKUP($A482,'[2]3-Elaboration.O'!$A:$T,MATCH(C$1,'[2]150-Modele SGO'!$1:$1,0),FALSE))</f>
        <v>Champ libre</v>
      </c>
      <c r="D482" s="229" t="str">
        <f>IF($A482="","",VLOOKUP($A482,'[2]3-Elaboration.O'!$A:$T,MATCH(D$1,'[2]150-Modele SGO'!$1:$1,0),FALSE))</f>
        <v>Texte</v>
      </c>
      <c r="E482" s="230" t="s">
        <v>70</v>
      </c>
      <c r="F482" s="230"/>
      <c r="G482" s="231"/>
      <c r="H482" s="232" t="s">
        <v>35</v>
      </c>
      <c r="I482" s="231"/>
      <c r="J482" s="231"/>
      <c r="K482" s="231"/>
      <c r="L482" s="231"/>
      <c r="M482" s="232" t="s">
        <v>35</v>
      </c>
      <c r="N482" s="231"/>
      <c r="O482" s="231"/>
      <c r="P482" s="231"/>
      <c r="Q482" s="231" t="s">
        <v>35</v>
      </c>
      <c r="R482" s="231" t="s">
        <v>24</v>
      </c>
      <c r="S482" s="231" t="s">
        <v>1404</v>
      </c>
      <c r="T482" s="231" t="s">
        <v>24</v>
      </c>
      <c r="U482" s="231" t="s">
        <v>24</v>
      </c>
      <c r="V482" s="232" t="s">
        <v>35</v>
      </c>
      <c r="W482" s="231"/>
      <c r="X482" s="231"/>
      <c r="Y482" s="231"/>
      <c r="Z482" s="231"/>
      <c r="AA482" s="234"/>
      <c r="AB482" s="231"/>
      <c r="AC482" s="247"/>
      <c r="AD482" s="232" t="s">
        <v>35</v>
      </c>
      <c r="AE482" s="231"/>
      <c r="AF482" s="231"/>
      <c r="AG482" s="231"/>
      <c r="AH482" s="231"/>
      <c r="AI482" s="231"/>
      <c r="AJ482" s="231"/>
      <c r="AK482" s="231"/>
      <c r="AL482" s="234" t="s">
        <v>35</v>
      </c>
      <c r="AM482" s="231"/>
      <c r="AN482" s="231"/>
    </row>
    <row r="483" spans="1:40" s="9" customFormat="1" ht="15.75" x14ac:dyDescent="0.25">
      <c r="A483" s="108" t="s">
        <v>1417</v>
      </c>
      <c r="B483" s="244" t="str">
        <f>IF($A483="","",VLOOKUP($A483,'[2]3-Elaboration.O'!$A:$T,MATCH(B$1,'[2]150-Modele SGO'!$1:$1,0),FALSE))</f>
        <v>13.7 - Eléments attendus du titulaire</v>
      </c>
      <c r="C483" s="244">
        <f>IF($A483="","",VLOOKUP($A483,'[2]3-Elaboration.O'!$A:$T,MATCH(C$1,'[2]150-Modele SGO'!$1:$1,0),FALSE))</f>
        <v>0</v>
      </c>
      <c r="D483" s="244">
        <f>IF($A483="","",VLOOKUP($A483,'[2]3-Elaboration.O'!$A:$T,MATCH(D$1,'[2]150-Modele SGO'!$1:$1,0),FALSE))</f>
        <v>0</v>
      </c>
      <c r="E483" s="241" t="s">
        <v>70</v>
      </c>
      <c r="F483" s="241"/>
      <c r="G483" s="237"/>
      <c r="H483" s="241" t="s">
        <v>30</v>
      </c>
      <c r="I483" s="237"/>
      <c r="J483" s="237"/>
      <c r="K483" s="237"/>
      <c r="L483" s="237"/>
      <c r="M483" s="241" t="s">
        <v>30</v>
      </c>
      <c r="N483" s="237"/>
      <c r="O483" s="237"/>
      <c r="P483" s="237"/>
      <c r="Q483" s="237" t="s">
        <v>30</v>
      </c>
      <c r="R483" s="237" t="s">
        <v>24</v>
      </c>
      <c r="S483" s="231" t="s">
        <v>24</v>
      </c>
      <c r="T483" s="237" t="s">
        <v>24</v>
      </c>
      <c r="U483" s="237" t="s">
        <v>24</v>
      </c>
      <c r="V483" s="241" t="s">
        <v>30</v>
      </c>
      <c r="W483" s="237" t="s">
        <v>1752</v>
      </c>
      <c r="X483" s="237"/>
      <c r="Y483" s="237"/>
      <c r="Z483" s="237"/>
      <c r="AA483" s="239"/>
      <c r="AB483" s="237"/>
      <c r="AC483" s="237"/>
      <c r="AD483" s="241" t="s">
        <v>30</v>
      </c>
      <c r="AE483" s="237"/>
      <c r="AF483" s="237"/>
      <c r="AG483" s="237"/>
      <c r="AH483" s="237"/>
      <c r="AI483" s="237"/>
      <c r="AJ483" s="237"/>
      <c r="AK483" s="237"/>
      <c r="AL483" s="239" t="s">
        <v>30</v>
      </c>
      <c r="AM483" s="237"/>
      <c r="AN483" s="237"/>
    </row>
    <row r="484" spans="1:40" s="9" customFormat="1" ht="135" x14ac:dyDescent="0.25">
      <c r="A484" s="13" t="s">
        <v>1419</v>
      </c>
      <c r="B484" s="229" t="str">
        <f>IF($A484="","",VLOOKUP($A484,'[2]3-Elaboration.O'!$A:$T,MATCH(B$1,'[2]150-Modele SGO'!$1:$1,0),FALSE))</f>
        <v>Préciser les éléments attendus de la part du titulaire concernant la formation et l'information</v>
      </c>
      <c r="C484" s="229" t="str">
        <f>IF($A484="","",VLOOKUP($A484,'[2]3-Elaboration.O'!$A:$T,MATCH(C$1,'[2]150-Modele SGO'!$1:$1,0),FALSE))</f>
        <v>Réunion de lancement avec le titulaire;Présentation synthétique de son organisation dédiée au marché;Annuaires des contacts;Formation;Information des collaborateurs de l'UGAP;Autre</v>
      </c>
      <c r="D484" s="229" t="str">
        <f>IF($A484="","",VLOOKUP($A484,'[2]3-Elaboration.O'!$A:$T,MATCH(D$1,'[2]150-Modele SGO'!$1:$1,0),FALSE))</f>
        <v>Liste choix multiple</v>
      </c>
      <c r="E484" s="230" t="s">
        <v>70</v>
      </c>
      <c r="F484" s="230" t="s">
        <v>44</v>
      </c>
      <c r="G484" s="231"/>
      <c r="H484" s="232" t="s">
        <v>19</v>
      </c>
      <c r="I484" s="233" t="s">
        <v>1420</v>
      </c>
      <c r="J484" s="231"/>
      <c r="K484" s="231"/>
      <c r="L484" s="231"/>
      <c r="M484" s="232" t="s">
        <v>26</v>
      </c>
      <c r="N484" s="231"/>
      <c r="O484" s="233" t="s">
        <v>1420</v>
      </c>
      <c r="P484" s="233" t="s">
        <v>35</v>
      </c>
      <c r="Q484" s="233" t="s">
        <v>19</v>
      </c>
      <c r="R484" s="233" t="s">
        <v>1420</v>
      </c>
      <c r="S484" s="231"/>
      <c r="T484" s="231" t="s">
        <v>24</v>
      </c>
      <c r="U484" s="231" t="s">
        <v>24</v>
      </c>
      <c r="V484" s="232" t="s">
        <v>19</v>
      </c>
      <c r="W484" s="233" t="s">
        <v>1420</v>
      </c>
      <c r="X484" s="231"/>
      <c r="Y484" s="231"/>
      <c r="Z484" s="231"/>
      <c r="AA484" s="234"/>
      <c r="AB484" s="231"/>
      <c r="AC484" s="247"/>
      <c r="AD484" s="232" t="s">
        <v>26</v>
      </c>
      <c r="AE484" s="231"/>
      <c r="AF484" s="233" t="s">
        <v>1420</v>
      </c>
      <c r="AG484" s="233" t="s">
        <v>1420</v>
      </c>
      <c r="AH484" s="233" t="s">
        <v>1420</v>
      </c>
      <c r="AI484" s="233" t="s">
        <v>1420</v>
      </c>
      <c r="AJ484" s="233" t="s">
        <v>1420</v>
      </c>
      <c r="AK484" s="233" t="s">
        <v>1420</v>
      </c>
      <c r="AL484" s="235" t="s">
        <v>35</v>
      </c>
      <c r="AM484" s="231"/>
      <c r="AN484" s="231"/>
    </row>
    <row r="485" spans="1:40" s="9" customFormat="1" ht="30" x14ac:dyDescent="0.25">
      <c r="A485" s="13" t="s">
        <v>1423</v>
      </c>
      <c r="B485" s="229" t="str">
        <f>IF($A485="","",VLOOKUP($A485,'[2]3-Elaboration.O'!$A:$T,MATCH(B$1,'[2]150-Modele SGO'!$1:$1,0),FALSE))</f>
        <v>Si autres éléments attendus de la part du titulaire concernant la formation et l'information, préciser</v>
      </c>
      <c r="C485" s="229" t="str">
        <f>IF($A485="","",VLOOKUP($A485,'[2]3-Elaboration.O'!$A:$T,MATCH(C$1,'[2]150-Modele SGO'!$1:$1,0),FALSE))</f>
        <v>Champ libre</v>
      </c>
      <c r="D485" s="229" t="str">
        <f>IF($A485="","",VLOOKUP($A485,'[2]3-Elaboration.O'!$A:$T,MATCH(D$1,'[2]150-Modele SGO'!$1:$1,0),FALSE))</f>
        <v>Texte</v>
      </c>
      <c r="E485" s="230" t="s">
        <v>70</v>
      </c>
      <c r="F485" s="230"/>
      <c r="G485" s="231"/>
      <c r="H485" s="232" t="s">
        <v>35</v>
      </c>
      <c r="I485" s="231"/>
      <c r="J485" s="231"/>
      <c r="K485" s="231"/>
      <c r="L485" s="231"/>
      <c r="M485" s="232" t="s">
        <v>35</v>
      </c>
      <c r="N485" s="231"/>
      <c r="O485" s="231"/>
      <c r="P485" s="231"/>
      <c r="Q485" s="231" t="s">
        <v>35</v>
      </c>
      <c r="R485" s="231" t="s">
        <v>24</v>
      </c>
      <c r="S485" s="231" t="s">
        <v>24</v>
      </c>
      <c r="T485" s="231" t="s">
        <v>24</v>
      </c>
      <c r="U485" s="231" t="s">
        <v>24</v>
      </c>
      <c r="V485" s="232" t="s">
        <v>35</v>
      </c>
      <c r="W485" s="231"/>
      <c r="X485" s="231"/>
      <c r="Y485" s="231"/>
      <c r="Z485" s="231"/>
      <c r="AA485" s="234"/>
      <c r="AB485" s="231"/>
      <c r="AC485" s="247"/>
      <c r="AD485" s="232" t="s">
        <v>35</v>
      </c>
      <c r="AE485" s="231"/>
      <c r="AF485" s="231"/>
      <c r="AG485" s="231"/>
      <c r="AH485" s="231"/>
      <c r="AI485" s="231"/>
      <c r="AJ485" s="231"/>
      <c r="AK485" s="231"/>
      <c r="AL485" s="235" t="s">
        <v>35</v>
      </c>
      <c r="AM485" s="231"/>
      <c r="AN485" s="231"/>
    </row>
    <row r="486" spans="1:40" s="9" customFormat="1" ht="135" x14ac:dyDescent="0.25">
      <c r="A486" s="13" t="s">
        <v>1425</v>
      </c>
      <c r="B486" s="229" t="str">
        <f>IF($A486="","",VLOOKUP($A486,'[2]3-Elaboration.O'!$A:$T,MATCH(B$1,'[2]150-Modele SGO'!$1:$1,0),FALSE))</f>
        <v>Préciser les éléments attendus de la part du titulaire concernant le déploiement, la commercialisation et l'exécution de l'offre</v>
      </c>
      <c r="C486" s="229" t="str">
        <f>IF($A486="","",VLOOKUP($A486,'[2]3-Elaboration.O'!$A:$T,MATCH(C$1,'[2]150-Modele SGO'!$1:$1,0),FALSE))</f>
        <v>Alimentation et ou validation du référencement;Documentation SAV;Outils;Impératifs logistiques UGAP (tracabilité…);Eléments pour publication (ex : photo);Aides à la commercialisation (prêt de matériel...);Autre</v>
      </c>
      <c r="D486" s="229" t="str">
        <f>IF($A486="","",VLOOKUP($A486,'[2]3-Elaboration.O'!$A:$T,MATCH(D$1,'[2]150-Modele SGO'!$1:$1,0),FALSE))</f>
        <v>Liste choix multiple</v>
      </c>
      <c r="E486" s="230" t="s">
        <v>70</v>
      </c>
      <c r="F486" s="230" t="s">
        <v>44</v>
      </c>
      <c r="G486" s="231"/>
      <c r="H486" s="232" t="s">
        <v>19</v>
      </c>
      <c r="I486" s="233" t="s">
        <v>1793</v>
      </c>
      <c r="J486" s="231"/>
      <c r="K486" s="231"/>
      <c r="L486" s="231"/>
      <c r="M486" s="232" t="s">
        <v>26</v>
      </c>
      <c r="N486" s="231"/>
      <c r="O486" s="233" t="s">
        <v>1794</v>
      </c>
      <c r="P486" s="233" t="s">
        <v>35</v>
      </c>
      <c r="Q486" s="233" t="s">
        <v>19</v>
      </c>
      <c r="R486" s="233" t="s">
        <v>1794</v>
      </c>
      <c r="S486" s="231" t="s">
        <v>24</v>
      </c>
      <c r="T486" s="231" t="s">
        <v>24</v>
      </c>
      <c r="U486" s="231" t="s">
        <v>24</v>
      </c>
      <c r="V486" s="232" t="s">
        <v>19</v>
      </c>
      <c r="W486" s="233" t="s">
        <v>1426</v>
      </c>
      <c r="X486" s="231"/>
      <c r="Y486" s="231"/>
      <c r="Z486" s="231"/>
      <c r="AA486" s="234"/>
      <c r="AB486" s="231"/>
      <c r="AC486" s="247"/>
      <c r="AD486" s="232" t="s">
        <v>26</v>
      </c>
      <c r="AE486" s="231"/>
      <c r="AF486" s="233" t="s">
        <v>1795</v>
      </c>
      <c r="AG486" s="233" t="s">
        <v>1795</v>
      </c>
      <c r="AH486" s="233" t="s">
        <v>1795</v>
      </c>
      <c r="AI486" s="233" t="s">
        <v>1795</v>
      </c>
      <c r="AJ486" s="233" t="s">
        <v>1795</v>
      </c>
      <c r="AK486" s="233" t="s">
        <v>1795</v>
      </c>
      <c r="AL486" s="235" t="s">
        <v>35</v>
      </c>
      <c r="AM486" s="231"/>
      <c r="AN486" s="231"/>
    </row>
    <row r="487" spans="1:40" s="9" customFormat="1" ht="45" x14ac:dyDescent="0.25">
      <c r="A487" s="13" t="s">
        <v>1429</v>
      </c>
      <c r="B487" s="229" t="str">
        <f>IF($A487="","",VLOOKUP($A487,'[2]3-Elaboration.O'!$A:$T,MATCH(B$1,'[2]150-Modele SGO'!$1:$1,0),FALSE))</f>
        <v>Si autres éléments attendus de la part du titulaire concernant le déploiement, la commercialisation et l'exécution de l'offre, préciser</v>
      </c>
      <c r="C487" s="229" t="str">
        <f>IF($A487="","",VLOOKUP($A487,'[2]3-Elaboration.O'!$A:$T,MATCH(C$1,'[2]150-Modele SGO'!$1:$1,0),FALSE))</f>
        <v>Champ libre</v>
      </c>
      <c r="D487" s="229" t="str">
        <f>IF($A487="","",VLOOKUP($A487,'[2]3-Elaboration.O'!$A:$T,MATCH(D$1,'[2]150-Modele SGO'!$1:$1,0),FALSE))</f>
        <v>Texte</v>
      </c>
      <c r="E487" s="230" t="s">
        <v>70</v>
      </c>
      <c r="F487" s="230"/>
      <c r="G487" s="231"/>
      <c r="H487" s="232" t="s">
        <v>35</v>
      </c>
      <c r="I487" s="231"/>
      <c r="J487" s="231"/>
      <c r="K487" s="231"/>
      <c r="L487" s="231"/>
      <c r="M487" s="232" t="s">
        <v>35</v>
      </c>
      <c r="N487" s="231"/>
      <c r="O487" s="231"/>
      <c r="P487" s="231"/>
      <c r="Q487" s="231" t="s">
        <v>35</v>
      </c>
      <c r="R487" s="231" t="s">
        <v>24</v>
      </c>
      <c r="S487" s="231" t="s">
        <v>24</v>
      </c>
      <c r="T487" s="231" t="s">
        <v>24</v>
      </c>
      <c r="U487" s="231" t="s">
        <v>24</v>
      </c>
      <c r="V487" s="232" t="s">
        <v>35</v>
      </c>
      <c r="W487" s="231"/>
      <c r="X487" s="231"/>
      <c r="Y487" s="231"/>
      <c r="Z487" s="231"/>
      <c r="AA487" s="234"/>
      <c r="AB487" s="231"/>
      <c r="AC487" s="247"/>
      <c r="AD487" s="232" t="s">
        <v>35</v>
      </c>
      <c r="AE487" s="231"/>
      <c r="AF487" s="231"/>
      <c r="AG487" s="231"/>
      <c r="AH487" s="231"/>
      <c r="AI487" s="231"/>
      <c r="AJ487" s="231"/>
      <c r="AK487" s="231"/>
      <c r="AL487" s="235" t="s">
        <v>35</v>
      </c>
      <c r="AM487" s="231"/>
      <c r="AN487" s="231"/>
    </row>
    <row r="488" spans="1:40" s="9" customFormat="1" ht="90" x14ac:dyDescent="0.25">
      <c r="A488" s="13" t="s">
        <v>1431</v>
      </c>
      <c r="B488" s="229" t="str">
        <f>IF($A488="","",VLOOKUP($A488,'[2]3-Elaboration.O'!$A:$T,MATCH(B$1,'[2]150-Modele SGO'!$1:$1,0),FALSE))</f>
        <v>Si autre, préciser (en cas de cas non listé, préciser directement les information en texte libre)</v>
      </c>
      <c r="C488" s="229" t="str">
        <f>IF($A488="","",VLOOKUP($A488,'[2]3-Elaboration.O'!$A:$T,MATCH(C$1,'[2]150-Modele SGO'!$1:$1,0),FALSE))</f>
        <v>Alimentation et ou validation du référencement;Documentation SAV;Outils;Impératifs logistiques UGAP (tracabilité…);Eléments pour publication (ex : photo);Aides à la commercialisation (prêt de matériel...);Autre</v>
      </c>
      <c r="D488" s="229" t="str">
        <f>IF($A488="","",VLOOKUP($A488,'[2]3-Elaboration.O'!$A:$T,MATCH(D$1,'[2]150-Modele SGO'!$1:$1,0),FALSE))</f>
        <v>Liste choix multiple</v>
      </c>
      <c r="E488" s="230" t="s">
        <v>70</v>
      </c>
      <c r="F488" s="230" t="s">
        <v>44</v>
      </c>
      <c r="G488" s="231"/>
      <c r="H488" s="232" t="s">
        <v>19</v>
      </c>
      <c r="I488" s="233" t="s">
        <v>1796</v>
      </c>
      <c r="J488" s="231"/>
      <c r="K488" s="231"/>
      <c r="L488" s="231"/>
      <c r="M488" s="232" t="s">
        <v>35</v>
      </c>
      <c r="N488" s="231"/>
      <c r="O488" s="231"/>
      <c r="P488" s="231"/>
      <c r="Q488" s="231" t="s">
        <v>35</v>
      </c>
      <c r="R488" s="231" t="s">
        <v>24</v>
      </c>
      <c r="S488" s="231" t="s">
        <v>24</v>
      </c>
      <c r="T488" s="231" t="s">
        <v>24</v>
      </c>
      <c r="U488" s="231" t="s">
        <v>24</v>
      </c>
      <c r="V488" s="232" t="s">
        <v>35</v>
      </c>
      <c r="W488" s="231"/>
      <c r="X488" s="231"/>
      <c r="Y488" s="231"/>
      <c r="Z488" s="231"/>
      <c r="AA488" s="234"/>
      <c r="AB488" s="231"/>
      <c r="AC488" s="247"/>
      <c r="AD488" s="232" t="s">
        <v>35</v>
      </c>
      <c r="AE488" s="231"/>
      <c r="AF488" s="231"/>
      <c r="AG488" s="231" t="s">
        <v>1797</v>
      </c>
      <c r="AH488" s="231"/>
      <c r="AI488" s="231"/>
      <c r="AJ488" s="231"/>
      <c r="AK488" s="231"/>
      <c r="AL488" s="235" t="s">
        <v>35</v>
      </c>
      <c r="AM488" s="231"/>
      <c r="AN488" s="231"/>
    </row>
    <row r="489" spans="1:40" s="9" customFormat="1" ht="45" x14ac:dyDescent="0.25">
      <c r="A489" s="13" t="s">
        <v>1433</v>
      </c>
      <c r="B489" s="229" t="str">
        <f>IF($A489="","",VLOOKUP($A489,'[2]3-Elaboration.O'!$A:$T,MATCH(B$1,'[2]150-Modele SGO'!$1:$1,0),FALSE))</f>
        <v>La contractualisation d'un interlocuteur dédié dans le CCAP est-elle à prévoir ?</v>
      </c>
      <c r="C489" s="229" t="str">
        <f>IF($A489="","",VLOOKUP($A489,'[2]3-Elaboration.O'!$A:$T,MATCH(C$1,'[2]150-Modele SGO'!$1:$1,0),FALSE))</f>
        <v>Oui, la contractualisation d'un interlocuteur dédié est à prévoir dans le CCAP;Non, absence de mention de contractualisation d'un interlocuteur dédié dans le CCAP</v>
      </c>
      <c r="D489" s="229" t="str">
        <f>IF($A489="","",VLOOKUP($A489,'[2]3-Elaboration.O'!$A:$T,MATCH(D$1,'[2]150-Modele SGO'!$1:$1,0),FALSE))</f>
        <v xml:space="preserve">Liste choix unique </v>
      </c>
      <c r="E489" s="230" t="s">
        <v>1521</v>
      </c>
      <c r="F489" s="230"/>
      <c r="G489" s="233" t="s">
        <v>1434</v>
      </c>
      <c r="H489" s="232" t="s">
        <v>51</v>
      </c>
      <c r="I489" s="231"/>
      <c r="J489" s="231"/>
      <c r="K489" s="231"/>
      <c r="L489" s="231"/>
      <c r="M489" s="232" t="s">
        <v>51</v>
      </c>
      <c r="N489" s="231"/>
      <c r="O489" s="231"/>
      <c r="P489" s="231"/>
      <c r="Q489" s="231" t="s">
        <v>51</v>
      </c>
      <c r="R489" s="231" t="s">
        <v>24</v>
      </c>
      <c r="S489" s="231" t="s">
        <v>24</v>
      </c>
      <c r="T489" s="231" t="s">
        <v>24</v>
      </c>
      <c r="U489" s="231" t="s">
        <v>24</v>
      </c>
      <c r="V489" s="232" t="s">
        <v>51</v>
      </c>
      <c r="W489" s="231"/>
      <c r="X489" s="231"/>
      <c r="Y489" s="231"/>
      <c r="Z489" s="231"/>
      <c r="AA489" s="234"/>
      <c r="AB489" s="231"/>
      <c r="AC489" s="247"/>
      <c r="AD489" s="232" t="s">
        <v>51</v>
      </c>
      <c r="AE489" s="231"/>
      <c r="AF489" s="231"/>
      <c r="AG489" s="231"/>
      <c r="AH489" s="231"/>
      <c r="AI489" s="231"/>
      <c r="AJ489" s="231"/>
      <c r="AK489" s="231"/>
      <c r="AL489" s="235" t="s">
        <v>51</v>
      </c>
      <c r="AM489" s="231"/>
      <c r="AN489" s="231"/>
    </row>
    <row r="490" spans="1:40" s="9" customFormat="1" ht="90" x14ac:dyDescent="0.25">
      <c r="A490" s="13" t="s">
        <v>1437</v>
      </c>
      <c r="B490" s="229" t="str">
        <f>IF($A490="","",VLOOKUP($A490,'[2]3-Elaboration.O'!$A:$T,MATCH(B$1,'[2]150-Modele SGO'!$1:$1,0),FALSE))</f>
        <v>Si oui, décrire le niveau d'exigences associé et les documents associés (CCAP, CCTP, Annexes….) et les modalités retenues afin d'assurer la disponibilité des données produits ou services nécessaires notamment au déploiement de l'offre (Données, produits, certificats, images...)</v>
      </c>
      <c r="C490" s="229" t="str">
        <f>IF($A490="","",VLOOKUP($A490,'[2]3-Elaboration.O'!$A:$T,MATCH(C$1,'[2]150-Modele SGO'!$1:$1,0),FALSE))</f>
        <v>Champ libre</v>
      </c>
      <c r="D490" s="229" t="str">
        <f>IF($A490="","",VLOOKUP($A490,'[2]3-Elaboration.O'!$A:$T,MATCH(D$1,'[2]150-Modele SGO'!$1:$1,0),FALSE))</f>
        <v>Texte</v>
      </c>
      <c r="E490" s="230" t="s">
        <v>1521</v>
      </c>
      <c r="F490" s="230"/>
      <c r="G490" s="231"/>
      <c r="H490" s="232" t="s">
        <v>35</v>
      </c>
      <c r="I490" s="231"/>
      <c r="J490" s="231"/>
      <c r="K490" s="231"/>
      <c r="L490" s="231"/>
      <c r="M490" s="232" t="s">
        <v>35</v>
      </c>
      <c r="N490" s="231"/>
      <c r="O490" s="231"/>
      <c r="P490" s="231"/>
      <c r="Q490" s="231" t="s">
        <v>35</v>
      </c>
      <c r="R490" s="231" t="s">
        <v>24</v>
      </c>
      <c r="S490" s="231" t="s">
        <v>24</v>
      </c>
      <c r="T490" s="231" t="s">
        <v>24</v>
      </c>
      <c r="U490" s="231" t="s">
        <v>24</v>
      </c>
      <c r="V490" s="232" t="s">
        <v>35</v>
      </c>
      <c r="W490" s="231"/>
      <c r="X490" s="231"/>
      <c r="Y490" s="231"/>
      <c r="Z490" s="231"/>
      <c r="AA490" s="234"/>
      <c r="AB490" s="231"/>
      <c r="AC490" s="247"/>
      <c r="AD490" s="232" t="s">
        <v>35</v>
      </c>
      <c r="AE490" s="231"/>
      <c r="AF490" s="231"/>
      <c r="AG490" s="231"/>
      <c r="AH490" s="231"/>
      <c r="AI490" s="231"/>
      <c r="AJ490" s="231"/>
      <c r="AK490" s="231"/>
      <c r="AL490" s="234" t="s">
        <v>35</v>
      </c>
      <c r="AM490" s="231"/>
      <c r="AN490" s="231"/>
    </row>
    <row r="491" spans="1:40" s="9" customFormat="1" ht="30" x14ac:dyDescent="0.25">
      <c r="A491" s="13" t="s">
        <v>1439</v>
      </c>
      <c r="B491" s="229" t="str">
        <f>IF($A491="","",VLOOKUP($A491,'[2]3-Elaboration.O'!$A:$T,MATCH(B$1,'[2]150-Modele SGO'!$1:$1,0),FALSE))</f>
        <v>Si non, cette obligation fait-elle l'objet d'un critère d'analyse des offres ?</v>
      </c>
      <c r="C491" s="229" t="str">
        <f>IF($A491="","",VLOOKUP($A491,'[2]3-Elaboration.O'!$A:$T,MATCH(C$1,'[2]150-Modele SGO'!$1:$1,0),FALSE))</f>
        <v>Oui, cette obligation fait l'objet d'un critère d'analyse des offres;Non, absence de critère d'analyse des offres</v>
      </c>
      <c r="D491" s="229" t="str">
        <f>IF($A491="","",VLOOKUP($A491,'[2]3-Elaboration.O'!$A:$T,MATCH(D$1,'[2]150-Modele SGO'!$1:$1,0),FALSE))</f>
        <v xml:space="preserve">Liste choix unique </v>
      </c>
      <c r="E491" s="230" t="s">
        <v>1521</v>
      </c>
      <c r="F491" s="230"/>
      <c r="G491" s="231"/>
      <c r="H491" s="232" t="s">
        <v>35</v>
      </c>
      <c r="I491" s="231"/>
      <c r="J491" s="231"/>
      <c r="K491" s="231"/>
      <c r="L491" s="231"/>
      <c r="M491" s="232" t="s">
        <v>35</v>
      </c>
      <c r="N491" s="231"/>
      <c r="O491" s="231"/>
      <c r="P491" s="231"/>
      <c r="Q491" s="231" t="s">
        <v>35</v>
      </c>
      <c r="R491" s="231" t="s">
        <v>24</v>
      </c>
      <c r="S491" s="231" t="s">
        <v>24</v>
      </c>
      <c r="T491" s="231" t="s">
        <v>24</v>
      </c>
      <c r="U491" s="231" t="s">
        <v>24</v>
      </c>
      <c r="V491" s="232" t="s">
        <v>35</v>
      </c>
      <c r="W491" s="231"/>
      <c r="X491" s="231"/>
      <c r="Y491" s="231"/>
      <c r="Z491" s="231"/>
      <c r="AA491" s="234"/>
      <c r="AB491" s="231"/>
      <c r="AC491" s="247"/>
      <c r="AD491" s="232" t="s">
        <v>35</v>
      </c>
      <c r="AE491" s="231"/>
      <c r="AF491" s="231"/>
      <c r="AG491" s="231"/>
      <c r="AH491" s="231"/>
      <c r="AI491" s="231"/>
      <c r="AJ491" s="231"/>
      <c r="AK491" s="231"/>
      <c r="AL491" s="234" t="s">
        <v>35</v>
      </c>
      <c r="AM491" s="231"/>
      <c r="AN491" s="231"/>
    </row>
    <row r="492" spans="1:40" s="9" customFormat="1" ht="30" x14ac:dyDescent="0.25">
      <c r="A492" s="13" t="s">
        <v>1442</v>
      </c>
      <c r="B492" s="229" t="str">
        <f>IF($A492="","",VLOOKUP($A492,'[2]3-Elaboration.O'!$A:$T,MATCH(B$1,'[2]150-Modele SGO'!$1:$1,0),FALSE))</f>
        <v>Quelles sont les annexes à l'acte d'engagement pour chaque lot?</v>
      </c>
      <c r="C492" s="229" t="str">
        <f>IF($A492="","",VLOOKUP($A492,'[2]3-Elaboration.O'!$A:$T,MATCH(C$1,'[2]150-Modele SGO'!$1:$1,0),FALSE))</f>
        <v>Annexe 10 - Listes Annexes AE</v>
      </c>
      <c r="D492" s="229" t="str">
        <f>IF($A492="","",VLOOKUP($A492,'[2]3-Elaboration.O'!$A:$T,MATCH(D$1,'[2]150-Modele SGO'!$1:$1,0),FALSE))</f>
        <v>Annexe 10 - Listes Annexes AE</v>
      </c>
      <c r="E492" s="230" t="s">
        <v>1521</v>
      </c>
      <c r="F492" s="230"/>
      <c r="G492" s="231"/>
      <c r="H492" s="232" t="s">
        <v>35</v>
      </c>
      <c r="I492" s="231"/>
      <c r="J492" s="231"/>
      <c r="K492" s="231"/>
      <c r="L492" s="231"/>
      <c r="M492" s="232" t="s">
        <v>35</v>
      </c>
      <c r="N492" s="231"/>
      <c r="O492" s="231"/>
      <c r="P492" s="231"/>
      <c r="Q492" s="231" t="s">
        <v>35</v>
      </c>
      <c r="R492" s="231" t="s">
        <v>24</v>
      </c>
      <c r="S492" s="231" t="s">
        <v>24</v>
      </c>
      <c r="T492" s="231" t="s">
        <v>24</v>
      </c>
      <c r="U492" s="231" t="s">
        <v>24</v>
      </c>
      <c r="V492" s="232" t="s">
        <v>35</v>
      </c>
      <c r="W492" s="231"/>
      <c r="X492" s="231"/>
      <c r="Y492" s="231"/>
      <c r="Z492" s="231"/>
      <c r="AA492" s="234"/>
      <c r="AB492" s="231"/>
      <c r="AC492" s="247"/>
      <c r="AD492" s="232" t="s">
        <v>35</v>
      </c>
      <c r="AE492" s="231"/>
      <c r="AF492" s="231"/>
      <c r="AG492" s="231"/>
      <c r="AH492" s="231"/>
      <c r="AI492" s="231"/>
      <c r="AJ492" s="231"/>
      <c r="AK492" s="231"/>
      <c r="AL492" s="234" t="s">
        <v>35</v>
      </c>
      <c r="AM492" s="231"/>
      <c r="AN492" s="231"/>
    </row>
    <row r="493" spans="1:40" s="9" customFormat="1" ht="45" x14ac:dyDescent="0.25">
      <c r="A493" s="13" t="s">
        <v>1446</v>
      </c>
      <c r="B493" s="229" t="str">
        <f>IF($A493="","",VLOOKUP($A493,'[2]3-Elaboration.O'!$A:$T,MATCH(B$1,'[2]150-Modele SGO'!$1:$1,0),FALSE))</f>
        <v>Quels sont les autres documents du marché?</v>
      </c>
      <c r="C493" s="229" t="str">
        <f>IF($A493="","",VLOOKUP($A493,'[2]3-Elaboration.O'!$A:$T,MATCH(C$1,'[2]150-Modele SGO'!$1:$1,0),FALSE))</f>
        <v>CCP-COD;CCAP sans annexe;CCAP avec annexes;CCTP;Dossier Technique;Mémoire technique du titulaire;Fiches technico-commerciale;CCF</v>
      </c>
      <c r="D493" s="229" t="str">
        <f>IF($A493="","",VLOOKUP($A493,'[2]3-Elaboration.O'!$A:$T,MATCH(D$1,'[2]150-Modele SGO'!$1:$1,0),FALSE))</f>
        <v>Liste choix multiple</v>
      </c>
      <c r="E493" s="230" t="s">
        <v>1521</v>
      </c>
      <c r="F493" s="230"/>
      <c r="G493" s="231"/>
      <c r="H493" s="232" t="s">
        <v>35</v>
      </c>
      <c r="I493" s="231"/>
      <c r="J493" s="231"/>
      <c r="K493" s="231"/>
      <c r="L493" s="231"/>
      <c r="M493" s="232" t="s">
        <v>35</v>
      </c>
      <c r="N493" s="231"/>
      <c r="O493" s="231"/>
      <c r="P493" s="231"/>
      <c r="Q493" s="231" t="s">
        <v>35</v>
      </c>
      <c r="R493" s="231" t="s">
        <v>24</v>
      </c>
      <c r="S493" s="231" t="s">
        <v>24</v>
      </c>
      <c r="T493" s="231" t="s">
        <v>24</v>
      </c>
      <c r="U493" s="231" t="s">
        <v>24</v>
      </c>
      <c r="V493" s="232" t="s">
        <v>35</v>
      </c>
      <c r="W493" s="231"/>
      <c r="X493" s="231"/>
      <c r="Y493" s="231"/>
      <c r="Z493" s="231"/>
      <c r="AA493" s="234"/>
      <c r="AB493" s="231"/>
      <c r="AC493" s="247"/>
      <c r="AD493" s="232" t="s">
        <v>35</v>
      </c>
      <c r="AE493" s="231"/>
      <c r="AF493" s="231"/>
      <c r="AG493" s="231"/>
      <c r="AH493" s="231"/>
      <c r="AI493" s="231"/>
      <c r="AJ493" s="231"/>
      <c r="AK493" s="231"/>
      <c r="AL493" s="235" t="s">
        <v>35</v>
      </c>
      <c r="AM493" s="231"/>
      <c r="AN493" s="231"/>
    </row>
    <row r="494" spans="1:40" s="9" customFormat="1" ht="75" x14ac:dyDescent="0.25">
      <c r="A494" s="13" t="s">
        <v>1449</v>
      </c>
      <c r="B494" s="229" t="str">
        <f>IF($A494="","",VLOOKUP($A494,'[2]3-Elaboration.O'!$A:$T,MATCH(B$1,'[2]150-Modele SGO'!$1:$1,0),FALSE))</f>
        <v>Si présence d'annexes au CCAP, préciser lesquelles</v>
      </c>
      <c r="C494" s="229" t="str">
        <f>IF($A494="","",VLOOKUP($A494,'[2]3-Elaboration.O'!$A:$T,MATCH(C$1,'[2]150-Modele SGO'!$1:$1,0),FALSE))</f>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
      <c r="D494" s="229" t="str">
        <f>IF($A494="","",VLOOKUP($A494,'[2]3-Elaboration.O'!$A:$T,MATCH(D$1,'[2]150-Modele SGO'!$1:$1,0),FALSE))</f>
        <v>Liste choix multiple</v>
      </c>
      <c r="E494" s="230" t="s">
        <v>1521</v>
      </c>
      <c r="F494" s="230"/>
      <c r="G494" s="231"/>
      <c r="H494" s="232" t="s">
        <v>35</v>
      </c>
      <c r="I494" s="231"/>
      <c r="J494" s="231"/>
      <c r="K494" s="231"/>
      <c r="L494" s="231"/>
      <c r="M494" s="232" t="s">
        <v>35</v>
      </c>
      <c r="N494" s="231"/>
      <c r="O494" s="231"/>
      <c r="P494" s="231"/>
      <c r="Q494" s="231" t="s">
        <v>35</v>
      </c>
      <c r="R494" s="231" t="s">
        <v>24</v>
      </c>
      <c r="S494" s="231" t="s">
        <v>24</v>
      </c>
      <c r="T494" s="231" t="s">
        <v>24</v>
      </c>
      <c r="U494" s="231" t="s">
        <v>24</v>
      </c>
      <c r="V494" s="232" t="s">
        <v>35</v>
      </c>
      <c r="W494" s="231"/>
      <c r="X494" s="231"/>
      <c r="Y494" s="231"/>
      <c r="Z494" s="231"/>
      <c r="AA494" s="234"/>
      <c r="AB494" s="231"/>
      <c r="AC494" s="247"/>
      <c r="AD494" s="232" t="s">
        <v>35</v>
      </c>
      <c r="AE494" s="231"/>
      <c r="AF494" s="231"/>
      <c r="AG494" s="231"/>
      <c r="AH494" s="231"/>
      <c r="AI494" s="231"/>
      <c r="AJ494" s="231"/>
      <c r="AK494" s="231"/>
      <c r="AL494" s="235" t="s">
        <v>35</v>
      </c>
      <c r="AM494" s="231"/>
      <c r="AN494" s="231"/>
    </row>
    <row r="495" spans="1:40" s="9" customFormat="1" ht="15.75" x14ac:dyDescent="0.25">
      <c r="A495" s="108" t="s">
        <v>1452</v>
      </c>
      <c r="B495" s="244" t="str">
        <f>IF($A495="","",VLOOKUP($A495,'[2]3-Elaboration.O'!$A:$T,MATCH(B$1,'[2]150-Modele SGO'!$1:$1,0),FALSE))</f>
        <v>13.8 Embarquement client - Identifier et préciser de manière synthétique si des obligations / actions particulières/spécifiques sont envisagées en avant-vente (recueil besoin, devis, commande) à la charge :</v>
      </c>
      <c r="C495" s="244">
        <f>IF($A495="","",VLOOKUP($A495,'[2]3-Elaboration.O'!$A:$T,MATCH(C$1,'[2]150-Modele SGO'!$1:$1,0),FALSE))</f>
        <v>0</v>
      </c>
      <c r="D495" s="244">
        <f>IF($A495="","",VLOOKUP($A495,'[2]3-Elaboration.O'!$A:$T,MATCH(D$1,'[2]150-Modele SGO'!$1:$1,0),FALSE))</f>
        <v>0</v>
      </c>
      <c r="E495" s="241" t="s">
        <v>70</v>
      </c>
      <c r="F495" s="241"/>
      <c r="G495" s="237"/>
      <c r="H495" s="241" t="s">
        <v>30</v>
      </c>
      <c r="I495" s="237"/>
      <c r="J495" s="237"/>
      <c r="K495" s="237"/>
      <c r="L495" s="237"/>
      <c r="M495" s="241" t="s">
        <v>30</v>
      </c>
      <c r="N495" s="237"/>
      <c r="O495" s="237"/>
      <c r="P495" s="237"/>
      <c r="Q495" s="237" t="s">
        <v>30</v>
      </c>
      <c r="R495" s="237" t="s">
        <v>24</v>
      </c>
      <c r="S495" s="231" t="s">
        <v>24</v>
      </c>
      <c r="T495" s="237" t="s">
        <v>24</v>
      </c>
      <c r="U495" s="237" t="s">
        <v>24</v>
      </c>
      <c r="V495" s="241" t="s">
        <v>30</v>
      </c>
      <c r="W495" s="237" t="s">
        <v>1752</v>
      </c>
      <c r="X495" s="237"/>
      <c r="Y495" s="237"/>
      <c r="Z495" s="237"/>
      <c r="AA495" s="239"/>
      <c r="AB495" s="237"/>
      <c r="AC495" s="237"/>
      <c r="AD495" s="241" t="s">
        <v>30</v>
      </c>
      <c r="AE495" s="237"/>
      <c r="AF495" s="237"/>
      <c r="AG495" s="237"/>
      <c r="AH495" s="237"/>
      <c r="AI495" s="237"/>
      <c r="AJ495" s="237"/>
      <c r="AK495" s="237"/>
      <c r="AL495" s="239" t="s">
        <v>30</v>
      </c>
      <c r="AM495" s="237"/>
      <c r="AN495" s="237"/>
    </row>
    <row r="496" spans="1:40" s="9" customFormat="1" ht="75" x14ac:dyDescent="0.25">
      <c r="A496" s="13" t="s">
        <v>1454</v>
      </c>
      <c r="B496" s="229" t="str">
        <f>IF($A496="","",VLOOKUP($A496,'[2]3-Elaboration.O'!$A:$T,MATCH(B$1,'[2]150-Modele SGO'!$1:$1,0),FALSE))</f>
        <v>Client</v>
      </c>
      <c r="C496" s="229" t="str">
        <f>IF($A496="","",VLOOKUP($A496,'[2]3-Elaboration.O'!$A:$T,MATCH(C$1,'[2]150-Modele SGO'!$1:$1,0),FALSE))</f>
        <v>Définition du besoin, acceptation du devis UGAP;Emission d’une commande client et signature des CGE;Non concerné pour l'offre</v>
      </c>
      <c r="D496" s="229" t="str">
        <f>IF($A496="","",VLOOKUP($A496,'[2]3-Elaboration.O'!$A:$T,MATCH(D$1,'[2]150-Modele SGO'!$1:$1,0),FALSE))</f>
        <v>Liste choix multiple</v>
      </c>
      <c r="E496" s="230" t="s">
        <v>70</v>
      </c>
      <c r="F496" s="230" t="s">
        <v>44</v>
      </c>
      <c r="G496" s="231"/>
      <c r="H496" s="232" t="s">
        <v>19</v>
      </c>
      <c r="I496" s="233" t="s">
        <v>1798</v>
      </c>
      <c r="J496" s="231"/>
      <c r="K496" s="231"/>
      <c r="L496" s="231"/>
      <c r="M496" s="232" t="s">
        <v>35</v>
      </c>
      <c r="N496" s="231"/>
      <c r="O496" s="231"/>
      <c r="P496" s="231"/>
      <c r="Q496" s="233" t="s">
        <v>19</v>
      </c>
      <c r="R496" s="233" t="s">
        <v>1798</v>
      </c>
      <c r="S496" s="231" t="s">
        <v>24</v>
      </c>
      <c r="T496" s="231" t="s">
        <v>24</v>
      </c>
      <c r="U496" s="231" t="s">
        <v>24</v>
      </c>
      <c r="V496" s="232" t="s">
        <v>35</v>
      </c>
      <c r="W496" s="231"/>
      <c r="X496" s="231"/>
      <c r="Y496" s="231"/>
      <c r="Z496" s="231"/>
      <c r="AA496" s="234"/>
      <c r="AB496" s="231"/>
      <c r="AC496" s="247"/>
      <c r="AD496" s="232" t="s">
        <v>35</v>
      </c>
      <c r="AE496" s="231"/>
      <c r="AF496" s="231"/>
      <c r="AG496" s="231" t="s">
        <v>1799</v>
      </c>
      <c r="AH496" s="231"/>
      <c r="AI496" s="231"/>
      <c r="AJ496" s="231"/>
      <c r="AK496" s="231"/>
      <c r="AL496" s="234" t="s">
        <v>35</v>
      </c>
      <c r="AM496" s="231"/>
      <c r="AN496" s="231"/>
    </row>
    <row r="497" spans="1:40" s="9" customFormat="1" ht="80.849999999999994" customHeight="1" x14ac:dyDescent="0.25">
      <c r="A497" s="13" t="s">
        <v>1457</v>
      </c>
      <c r="B497" s="229" t="str">
        <f>IF($A497="","",VLOOKUP($A497,'[2]3-Elaboration.O'!$A:$T,MATCH(B$1,'[2]150-Modele SGO'!$1:$1,0),FALSE))</f>
        <v>Fournisseur</v>
      </c>
      <c r="C497" s="229" t="str">
        <f>IF($A497="","",VLOOKUP($A497,'[2]3-Elaboration.O'!$A:$T,MATCH(C$1,'[2]150-Modele SGO'!$1:$1,0),FALSE))</f>
        <v>Recueil des besoins;Remise d’un dossier technique à l’appui du devis qualification et solution technique;Non concerné pour l'offre</v>
      </c>
      <c r="D497" s="229" t="str">
        <f>IF($A497="","",VLOOKUP($A497,'[2]3-Elaboration.O'!$A:$T,MATCH(D$1,'[2]150-Modele SGO'!$1:$1,0),FALSE))</f>
        <v>Liste choix multiple</v>
      </c>
      <c r="E497" s="230" t="s">
        <v>70</v>
      </c>
      <c r="F497" s="230" t="s">
        <v>44</v>
      </c>
      <c r="G497" s="231"/>
      <c r="H497" s="232" t="s">
        <v>19</v>
      </c>
      <c r="I497" s="233" t="s">
        <v>1800</v>
      </c>
      <c r="J497" s="231"/>
      <c r="K497" s="231"/>
      <c r="L497" s="231"/>
      <c r="M497" s="232" t="s">
        <v>35</v>
      </c>
      <c r="N497" s="231"/>
      <c r="O497" s="231"/>
      <c r="P497" s="231"/>
      <c r="Q497" s="233" t="s">
        <v>19</v>
      </c>
      <c r="R497" s="233" t="s">
        <v>1800</v>
      </c>
      <c r="S497" s="231" t="s">
        <v>24</v>
      </c>
      <c r="T497" s="231" t="s">
        <v>24</v>
      </c>
      <c r="U497" s="231" t="s">
        <v>24</v>
      </c>
      <c r="V497" s="232" t="s">
        <v>35</v>
      </c>
      <c r="W497" s="231"/>
      <c r="X497" s="231"/>
      <c r="Y497" s="231"/>
      <c r="Z497" s="231"/>
      <c r="AA497" s="234"/>
      <c r="AB497" s="231"/>
      <c r="AC497" s="247"/>
      <c r="AD497" s="232" t="s">
        <v>35</v>
      </c>
      <c r="AE497" s="231"/>
      <c r="AF497" s="231"/>
      <c r="AG497" s="231" t="s">
        <v>1801</v>
      </c>
      <c r="AH497" s="231"/>
      <c r="AI497" s="231"/>
      <c r="AJ497" s="231"/>
      <c r="AK497" s="231"/>
      <c r="AL497" s="234" t="s">
        <v>35</v>
      </c>
      <c r="AM497" s="231"/>
      <c r="AN497" s="231"/>
    </row>
    <row r="498" spans="1:40" s="9" customFormat="1" ht="209.1" customHeight="1" x14ac:dyDescent="0.25">
      <c r="A498" s="13" t="s">
        <v>1460</v>
      </c>
      <c r="B498" s="229" t="str">
        <f>IF($A498="","",VLOOKUP($A498,'[2]3-Elaboration.O'!$A:$T,MATCH(B$1,'[2]150-Modele SGO'!$1:$1,0),FALSE))</f>
        <v>UGAP</v>
      </c>
      <c r="C498" s="229" t="str">
        <f>IF($A498="","",VLOOKUP($A498,'[2]3-Elaboration.O'!$A:$T,MATCH(C$1,'[2]150-Modele SGO'!$1:$1,0),FALSE))</f>
        <v>Accompagnement client et réalisation devis/commande;Application du process de commande et veille à ce que celui-ci soit respecté tout au long du marché;D’une manière générale, amélioration de la qualité de service rendue au client;Non concerné pour l'offre</v>
      </c>
      <c r="D498" s="229" t="str">
        <f>IF($A498="","",VLOOKUP($A498,'[2]3-Elaboration.O'!$A:$T,MATCH(D$1,'[2]150-Modele SGO'!$1:$1,0),FALSE))</f>
        <v>Liste choix multiple</v>
      </c>
      <c r="E498" s="230" t="s">
        <v>70</v>
      </c>
      <c r="F498" s="230" t="s">
        <v>44</v>
      </c>
      <c r="G498" s="231"/>
      <c r="H498" s="232" t="s">
        <v>19</v>
      </c>
      <c r="I498" s="233" t="s">
        <v>1802</v>
      </c>
      <c r="J498" s="231"/>
      <c r="K498" s="231"/>
      <c r="L498" s="231"/>
      <c r="M498" s="232" t="s">
        <v>35</v>
      </c>
      <c r="N498" s="231"/>
      <c r="O498" s="231"/>
      <c r="P498" s="231"/>
      <c r="Q498" s="233" t="s">
        <v>19</v>
      </c>
      <c r="R498" s="233" t="s">
        <v>1802</v>
      </c>
      <c r="S498" s="231" t="s">
        <v>24</v>
      </c>
      <c r="T498" s="231" t="s">
        <v>24</v>
      </c>
      <c r="U498" s="231" t="s">
        <v>24</v>
      </c>
      <c r="V498" s="232" t="s">
        <v>35</v>
      </c>
      <c r="W498" s="231"/>
      <c r="X498" s="231"/>
      <c r="Y498" s="231"/>
      <c r="Z498" s="231"/>
      <c r="AA498" s="234"/>
      <c r="AB498" s="231"/>
      <c r="AC498" s="247"/>
      <c r="AD498" s="232" t="s">
        <v>35</v>
      </c>
      <c r="AE498" s="231"/>
      <c r="AF498" s="231"/>
      <c r="AG498" s="231" t="s">
        <v>75</v>
      </c>
      <c r="AH498" s="231"/>
      <c r="AI498" s="231"/>
      <c r="AJ498" s="231"/>
      <c r="AK498" s="231"/>
      <c r="AL498" s="234" t="s">
        <v>35</v>
      </c>
      <c r="AM498" s="231"/>
      <c r="AN498" s="231"/>
    </row>
    <row r="499" spans="1:40" s="9" customFormat="1" ht="15.75" x14ac:dyDescent="0.25">
      <c r="A499" s="296"/>
      <c r="B499" s="229" t="str">
        <f>IF($A499="","",VLOOKUP($A499,'[2]3-Elaboration.O'!$A:$T,MATCH(B$1,'[2]150-Modele SGO'!$1:$1,0),FALSE))</f>
        <v/>
      </c>
      <c r="C499" s="229" t="str">
        <f>IF($A499="","",VLOOKUP($A499,'[2]3-Elaboration.O'!$A:$T,MATCH(C$1,'[2]150-Modele SGO'!$1:$1,0),FALSE))</f>
        <v/>
      </c>
      <c r="D499" s="229" t="str">
        <f>IF($A499="","",VLOOKUP($A499,'[2]3-Elaboration.O'!$A:$T,MATCH(D$1,'[2]150-Modele SGO'!$1:$1,0),FALSE))</f>
        <v/>
      </c>
      <c r="E499" s="230" t="s">
        <v>24</v>
      </c>
      <c r="F499" s="230"/>
      <c r="G499" s="193"/>
      <c r="H499" s="232"/>
      <c r="I499" s="193"/>
      <c r="J499" s="193"/>
      <c r="K499" s="193"/>
      <c r="L499" s="193"/>
      <c r="M499" s="232"/>
      <c r="N499" s="193"/>
      <c r="O499" s="193"/>
      <c r="P499" s="193"/>
      <c r="Q499" s="193"/>
      <c r="R499" s="193"/>
      <c r="S499" s="193" t="s">
        <v>24</v>
      </c>
      <c r="T499" s="193"/>
      <c r="U499" s="193"/>
      <c r="V499" s="232"/>
      <c r="W499" s="193"/>
      <c r="X499" s="193"/>
      <c r="Y499" s="193"/>
      <c r="Z499" s="193"/>
      <c r="AA499" s="232"/>
      <c r="AB499" s="193"/>
      <c r="AC499" s="193"/>
      <c r="AD499" s="232"/>
      <c r="AE499" s="193"/>
      <c r="AF499" s="193"/>
      <c r="AG499" s="193"/>
      <c r="AH499" s="193"/>
      <c r="AI499" s="193"/>
      <c r="AJ499" s="193"/>
      <c r="AK499" s="193"/>
      <c r="AL499" s="232"/>
      <c r="AM499" s="193"/>
      <c r="AN499" s="193"/>
    </row>
    <row r="500" spans="1:40" s="9" customFormat="1" ht="15.75" x14ac:dyDescent="0.25">
      <c r="A500" s="296"/>
      <c r="B500" s="229" t="str">
        <f>IF($A500="","",VLOOKUP($A500,'[2]3-Elaboration.O'!$A:$T,MATCH(B$1,'[2]150-Modele SGO'!$1:$1,0),FALSE))</f>
        <v/>
      </c>
      <c r="C500" s="229" t="str">
        <f>IF($A500="","",VLOOKUP($A500,'[2]3-Elaboration.O'!$A:$T,MATCH(C$1,'[2]150-Modele SGO'!$1:$1,0),FALSE))</f>
        <v/>
      </c>
      <c r="D500" s="229" t="str">
        <f>IF($A500="","",VLOOKUP($A500,'[2]3-Elaboration.O'!$A:$T,MATCH(D$1,'[2]150-Modele SGO'!$1:$1,0),FALSE))</f>
        <v/>
      </c>
      <c r="E500" s="230" t="s">
        <v>24</v>
      </c>
      <c r="F500" s="230"/>
      <c r="G500" s="193"/>
      <c r="H500" s="232"/>
      <c r="I500" s="193"/>
      <c r="J500" s="193"/>
      <c r="K500" s="193"/>
      <c r="L500" s="193"/>
      <c r="M500" s="232"/>
      <c r="N500" s="193"/>
      <c r="O500" s="193"/>
      <c r="P500" s="193"/>
      <c r="Q500" s="193"/>
      <c r="R500" s="193"/>
      <c r="S500" s="193" t="s">
        <v>24</v>
      </c>
      <c r="T500" s="193"/>
      <c r="U500" s="193"/>
      <c r="V500" s="232"/>
      <c r="W500" s="193"/>
      <c r="X500" s="193"/>
      <c r="Y500" s="193"/>
      <c r="Z500" s="193"/>
      <c r="AA500" s="232"/>
      <c r="AB500" s="193"/>
      <c r="AC500" s="193"/>
      <c r="AD500" s="232"/>
      <c r="AE500" s="193"/>
      <c r="AF500" s="193"/>
      <c r="AG500" s="193"/>
      <c r="AH500" s="193"/>
      <c r="AI500" s="193"/>
      <c r="AJ500" s="193"/>
      <c r="AK500" s="193"/>
      <c r="AL500" s="232"/>
      <c r="AM500" s="193"/>
      <c r="AN500" s="193"/>
    </row>
    <row r="501" spans="1:40" ht="15.75" x14ac:dyDescent="0.25">
      <c r="A501" s="296"/>
      <c r="B501" s="229" t="str">
        <f>IF($A501="","",VLOOKUP($A501,'[2]3-Elaboration.O'!$A:$T,MATCH(B$1,'[2]150-Modele SGO'!$1:$1,0),FALSE))</f>
        <v/>
      </c>
      <c r="C501" s="229" t="str">
        <f>IF($A501="","",VLOOKUP($A501,'[2]3-Elaboration.O'!$A:$T,MATCH(C$1,'[2]150-Modele SGO'!$1:$1,0),FALSE))</f>
        <v/>
      </c>
      <c r="D501" s="229" t="str">
        <f>IF($A501="","",VLOOKUP($A501,'[2]3-Elaboration.O'!$A:$T,MATCH(D$1,'[2]150-Modele SGO'!$1:$1,0),FALSE))</f>
        <v/>
      </c>
      <c r="E501" s="230" t="s">
        <v>24</v>
      </c>
      <c r="F501" s="230"/>
      <c r="G501" s="193"/>
      <c r="H501" s="232"/>
      <c r="I501" s="193"/>
      <c r="J501" s="193"/>
      <c r="K501" s="193"/>
      <c r="L501" s="193"/>
      <c r="M501" s="232"/>
      <c r="N501" s="193"/>
      <c r="O501" s="193"/>
      <c r="P501" s="193"/>
      <c r="Q501" s="193"/>
      <c r="R501" s="193"/>
      <c r="S501" s="193" t="s">
        <v>24</v>
      </c>
      <c r="T501" s="193"/>
      <c r="U501" s="193"/>
      <c r="V501" s="232"/>
      <c r="W501" s="193"/>
      <c r="X501" s="193"/>
      <c r="Y501" s="193"/>
      <c r="Z501" s="193"/>
      <c r="AA501" s="232"/>
      <c r="AB501" s="193"/>
      <c r="AC501" s="193"/>
      <c r="AD501" s="232"/>
      <c r="AE501" s="193"/>
      <c r="AF501" s="193"/>
      <c r="AG501" s="193"/>
      <c r="AH501" s="193"/>
      <c r="AI501" s="193"/>
      <c r="AJ501" s="193"/>
      <c r="AK501" s="193"/>
      <c r="AL501" s="232"/>
      <c r="AM501" s="193"/>
      <c r="AN501" s="193"/>
    </row>
    <row r="502" spans="1:40" ht="15.75" x14ac:dyDescent="0.25">
      <c r="A502" s="296"/>
      <c r="B502" s="229" t="str">
        <f>IF($A502="","",VLOOKUP($A502,'[2]3-Elaboration.O'!$A:$T,MATCH(B$1,'[2]150-Modele SGO'!$1:$1,0),FALSE))</f>
        <v/>
      </c>
      <c r="C502" s="229" t="str">
        <f>IF($A502="","",VLOOKUP($A502,'[2]3-Elaboration.O'!$A:$T,MATCH(C$1,'[2]150-Modele SGO'!$1:$1,0),FALSE))</f>
        <v/>
      </c>
      <c r="D502" s="229" t="str">
        <f>IF($A502="","",VLOOKUP($A502,'[2]3-Elaboration.O'!$A:$T,MATCH(D$1,'[2]150-Modele SGO'!$1:$1,0),FALSE))</f>
        <v/>
      </c>
      <c r="E502" s="230" t="s">
        <v>24</v>
      </c>
      <c r="F502" s="230"/>
      <c r="G502" s="193"/>
      <c r="H502" s="232"/>
      <c r="I502" s="193"/>
      <c r="J502" s="193"/>
      <c r="K502" s="193"/>
      <c r="L502" s="193"/>
      <c r="M502" s="232"/>
      <c r="N502" s="193"/>
      <c r="O502" s="193"/>
      <c r="P502" s="193"/>
      <c r="Q502" s="193"/>
      <c r="R502" s="193"/>
      <c r="S502" s="193"/>
      <c r="T502" s="193"/>
      <c r="U502" s="193"/>
      <c r="V502" s="232"/>
      <c r="W502" s="193"/>
      <c r="X502" s="193"/>
      <c r="Y502" s="193"/>
      <c r="Z502" s="193"/>
      <c r="AA502" s="232"/>
      <c r="AB502" s="193"/>
      <c r="AC502" s="193"/>
      <c r="AD502" s="232"/>
      <c r="AE502" s="193"/>
      <c r="AF502" s="193"/>
      <c r="AG502" s="193"/>
      <c r="AH502" s="193"/>
      <c r="AI502" s="193"/>
      <c r="AJ502" s="193"/>
      <c r="AK502" s="193"/>
      <c r="AL502" s="232"/>
      <c r="AM502" s="193"/>
      <c r="AN502" s="193"/>
    </row>
    <row r="503" spans="1:40" ht="15.75" x14ac:dyDescent="0.25">
      <c r="A503" s="296"/>
      <c r="B503" s="229" t="str">
        <f>IF($A503="","",VLOOKUP($A503,'[2]3-Elaboration.O'!$A:$T,MATCH(B$1,'[2]150-Modele SGO'!$1:$1,0),FALSE))</f>
        <v/>
      </c>
      <c r="C503" s="229" t="str">
        <f>IF($A503="","",VLOOKUP($A503,'[2]3-Elaboration.O'!$A:$T,MATCH(C$1,'[2]150-Modele SGO'!$1:$1,0),FALSE))</f>
        <v/>
      </c>
      <c r="D503" s="229" t="str">
        <f>IF($A503="","",VLOOKUP($A503,'[2]3-Elaboration.O'!$A:$T,MATCH(D$1,'[2]150-Modele SGO'!$1:$1,0),FALSE))</f>
        <v/>
      </c>
      <c r="E503" s="230" t="s">
        <v>24</v>
      </c>
      <c r="F503" s="230"/>
      <c r="G503" s="193"/>
      <c r="H503" s="232"/>
      <c r="I503" s="193"/>
      <c r="J503" s="193"/>
      <c r="K503" s="193"/>
      <c r="L503" s="193"/>
      <c r="M503" s="232"/>
      <c r="N503" s="193"/>
      <c r="O503" s="193"/>
      <c r="P503" s="193"/>
      <c r="Q503" s="193"/>
      <c r="R503" s="193"/>
      <c r="S503" s="193"/>
      <c r="T503" s="193"/>
      <c r="U503" s="193"/>
      <c r="V503" s="232"/>
      <c r="W503" s="193"/>
      <c r="X503" s="193"/>
      <c r="Y503" s="193"/>
      <c r="Z503" s="193"/>
      <c r="AA503" s="232"/>
      <c r="AB503" s="193"/>
      <c r="AC503" s="193"/>
      <c r="AD503" s="232"/>
      <c r="AE503" s="193"/>
      <c r="AF503" s="193"/>
      <c r="AG503" s="193"/>
      <c r="AH503" s="193"/>
      <c r="AI503" s="193"/>
      <c r="AJ503" s="193"/>
      <c r="AK503" s="193"/>
      <c r="AL503" s="232"/>
      <c r="AM503" s="193"/>
      <c r="AN503" s="193"/>
    </row>
    <row r="504" spans="1:40" ht="15.75" x14ac:dyDescent="0.25">
      <c r="A504" s="296"/>
      <c r="B504" s="229" t="str">
        <f>IF($A504="","",VLOOKUP($A504,'[2]3-Elaboration.O'!$A:$T,MATCH(B$1,'[2]150-Modele SGO'!$1:$1,0),FALSE))</f>
        <v/>
      </c>
      <c r="C504" s="229" t="str">
        <f>IF($A504="","",VLOOKUP($A504,'[2]3-Elaboration.O'!$A:$T,MATCH(C$1,'[2]150-Modele SGO'!$1:$1,0),FALSE))</f>
        <v/>
      </c>
      <c r="D504" s="229" t="str">
        <f>IF($A504="","",VLOOKUP($A504,'[2]3-Elaboration.O'!$A:$T,MATCH(D$1,'[2]150-Modele SGO'!$1:$1,0),FALSE))</f>
        <v/>
      </c>
      <c r="E504" s="230" t="s">
        <v>24</v>
      </c>
      <c r="F504" s="230"/>
      <c r="G504" s="193"/>
      <c r="H504" s="232"/>
      <c r="I504" s="193"/>
      <c r="J504" s="193"/>
      <c r="K504" s="193"/>
      <c r="L504" s="193"/>
      <c r="M504" s="232"/>
      <c r="N504" s="193"/>
      <c r="O504" s="193"/>
      <c r="P504" s="193"/>
      <c r="Q504" s="193"/>
      <c r="R504" s="193"/>
      <c r="S504" s="193"/>
      <c r="T504" s="193"/>
      <c r="U504" s="193"/>
      <c r="V504" s="232"/>
      <c r="W504" s="193"/>
      <c r="X504" s="193"/>
      <c r="Y504" s="193"/>
      <c r="Z504" s="193"/>
      <c r="AA504" s="232"/>
      <c r="AB504" s="193"/>
      <c r="AC504" s="193"/>
      <c r="AD504" s="232"/>
      <c r="AE504" s="193"/>
      <c r="AF504" s="193"/>
      <c r="AG504" s="193"/>
      <c r="AH504" s="193"/>
      <c r="AI504" s="193"/>
      <c r="AJ504" s="193"/>
      <c r="AK504" s="193"/>
      <c r="AL504" s="232"/>
      <c r="AM504" s="193"/>
      <c r="AN504" s="193"/>
    </row>
    <row r="505" spans="1:40" ht="15.75" x14ac:dyDescent="0.25">
      <c r="A505" s="296"/>
      <c r="B505" s="229" t="str">
        <f>IF($A505="","",VLOOKUP($A505,'[2]3-Elaboration.O'!$A:$T,MATCH(B$1,'[2]150-Modele SGO'!$1:$1,0),FALSE))</f>
        <v/>
      </c>
      <c r="C505" s="229" t="str">
        <f>IF($A505="","",VLOOKUP($A505,'[2]3-Elaboration.O'!$A:$T,MATCH(C$1,'[2]150-Modele SGO'!$1:$1,0),FALSE))</f>
        <v/>
      </c>
      <c r="D505" s="229" t="str">
        <f>IF($A505="","",VLOOKUP($A505,'[2]3-Elaboration.O'!$A:$T,MATCH(D$1,'[2]150-Modele SGO'!$1:$1,0),FALSE))</f>
        <v/>
      </c>
      <c r="E505" s="230" t="s">
        <v>24</v>
      </c>
      <c r="F505" s="230"/>
      <c r="G505" s="193"/>
      <c r="H505" s="232"/>
      <c r="I505" s="193"/>
      <c r="J505" s="193"/>
      <c r="K505" s="193"/>
      <c r="L505" s="193"/>
      <c r="M505" s="232"/>
      <c r="N505" s="193"/>
      <c r="O505" s="193"/>
      <c r="P505" s="193"/>
      <c r="Q505" s="193"/>
      <c r="R505" s="193"/>
      <c r="S505" s="193"/>
      <c r="T505" s="193"/>
      <c r="U505" s="193"/>
      <c r="V505" s="232"/>
      <c r="W505" s="193"/>
      <c r="X505" s="193"/>
      <c r="Y505" s="193"/>
      <c r="Z505" s="193"/>
      <c r="AA505" s="232"/>
      <c r="AB505" s="193"/>
      <c r="AC505" s="193"/>
      <c r="AD505" s="232"/>
      <c r="AE505" s="193"/>
      <c r="AF505" s="193"/>
      <c r="AG505" s="193"/>
      <c r="AH505" s="193"/>
      <c r="AI505" s="193"/>
      <c r="AJ505" s="193"/>
      <c r="AK505" s="193"/>
      <c r="AL505" s="232"/>
      <c r="AM505" s="193"/>
      <c r="AN505" s="193"/>
    </row>
    <row r="506" spans="1:40" ht="15.75" x14ac:dyDescent="0.25">
      <c r="A506" s="296"/>
      <c r="B506" s="229" t="str">
        <f>IF($A506="","",VLOOKUP($A506,'[2]3-Elaboration.O'!$A:$T,MATCH(B$1,'[2]150-Modele SGO'!$1:$1,0),FALSE))</f>
        <v/>
      </c>
      <c r="C506" s="229" t="str">
        <f>IF($A506="","",VLOOKUP($A506,'[2]3-Elaboration.O'!$A:$T,MATCH(C$1,'[2]150-Modele SGO'!$1:$1,0),FALSE))</f>
        <v/>
      </c>
      <c r="D506" s="229" t="str">
        <f>IF($A506="","",VLOOKUP($A506,'[2]3-Elaboration.O'!$A:$T,MATCH(D$1,'[2]150-Modele SGO'!$1:$1,0),FALSE))</f>
        <v/>
      </c>
      <c r="E506" s="230" t="s">
        <v>24</v>
      </c>
      <c r="F506" s="230"/>
      <c r="G506" s="193"/>
      <c r="H506" s="232"/>
      <c r="I506" s="193"/>
      <c r="J506" s="193"/>
      <c r="K506" s="193"/>
      <c r="L506" s="193"/>
      <c r="M506" s="232"/>
      <c r="N506" s="193"/>
      <c r="O506" s="193"/>
      <c r="P506" s="193"/>
      <c r="Q506" s="193"/>
      <c r="R506" s="193"/>
      <c r="S506" s="193"/>
      <c r="T506" s="193"/>
      <c r="U506" s="193"/>
      <c r="V506" s="232"/>
      <c r="W506" s="193"/>
      <c r="X506" s="193"/>
      <c r="Y506" s="193"/>
      <c r="Z506" s="193"/>
      <c r="AA506" s="232"/>
      <c r="AB506" s="193"/>
      <c r="AC506" s="193"/>
      <c r="AD506" s="232"/>
      <c r="AE506" s="193"/>
      <c r="AF506" s="193"/>
      <c r="AG506" s="193"/>
      <c r="AH506" s="193"/>
      <c r="AI506" s="193"/>
      <c r="AJ506" s="193"/>
      <c r="AK506" s="193"/>
      <c r="AL506" s="232"/>
      <c r="AM506" s="193"/>
      <c r="AN506" s="193"/>
    </row>
    <row r="507" spans="1:40" ht="15.75" x14ac:dyDescent="0.25">
      <c r="A507" s="296"/>
      <c r="B507" s="229" t="str">
        <f>IF($A507="","",VLOOKUP($A507,'[2]3-Elaboration.O'!$A:$T,MATCH(B$1,'[2]150-Modele SGO'!$1:$1,0),FALSE))</f>
        <v/>
      </c>
      <c r="C507" s="229" t="str">
        <f>IF($A507="","",VLOOKUP($A507,'[2]3-Elaboration.O'!$A:$T,MATCH(C$1,'[2]150-Modele SGO'!$1:$1,0),FALSE))</f>
        <v/>
      </c>
      <c r="D507" s="229" t="str">
        <f>IF($A507="","",VLOOKUP($A507,'[2]3-Elaboration.O'!$A:$T,MATCH(D$1,'[2]150-Modele SGO'!$1:$1,0),FALSE))</f>
        <v/>
      </c>
      <c r="E507" s="230" t="s">
        <v>24</v>
      </c>
      <c r="F507" s="230"/>
      <c r="G507" s="193"/>
      <c r="H507" s="232"/>
      <c r="I507" s="193"/>
      <c r="J507" s="193"/>
      <c r="K507" s="193"/>
      <c r="L507" s="193"/>
      <c r="M507" s="232"/>
      <c r="N507" s="193"/>
      <c r="O507" s="193"/>
      <c r="P507" s="193"/>
      <c r="Q507" s="193"/>
      <c r="R507" s="193"/>
      <c r="S507" s="193"/>
      <c r="T507" s="193"/>
      <c r="U507" s="193"/>
      <c r="V507" s="232"/>
      <c r="W507" s="193"/>
      <c r="X507" s="193"/>
      <c r="Y507" s="193"/>
      <c r="Z507" s="193"/>
      <c r="AA507" s="232"/>
      <c r="AB507" s="193"/>
      <c r="AC507" s="193"/>
      <c r="AD507" s="232"/>
      <c r="AE507" s="193"/>
      <c r="AF507" s="193"/>
      <c r="AG507" s="193"/>
      <c r="AH507" s="193"/>
      <c r="AI507" s="193"/>
      <c r="AJ507" s="193"/>
      <c r="AK507" s="193"/>
      <c r="AL507" s="232"/>
      <c r="AM507" s="193"/>
      <c r="AN507" s="193"/>
    </row>
    <row r="508" spans="1:40" ht="15.75" x14ac:dyDescent="0.25">
      <c r="A508" s="296"/>
      <c r="B508" s="229" t="str">
        <f>IF($A508="","",VLOOKUP($A508,'[2]3-Elaboration.O'!$A:$T,MATCH(B$1,'[2]150-Modele SGO'!$1:$1,0),FALSE))</f>
        <v/>
      </c>
      <c r="C508" s="229" t="str">
        <f>IF($A508="","",VLOOKUP($A508,'[2]3-Elaboration.O'!$A:$T,MATCH(C$1,'[2]150-Modele SGO'!$1:$1,0),FALSE))</f>
        <v/>
      </c>
      <c r="D508" s="229" t="str">
        <f>IF($A508="","",VLOOKUP($A508,'[2]3-Elaboration.O'!$A:$T,MATCH(D$1,'[2]150-Modele SGO'!$1:$1,0),FALSE))</f>
        <v/>
      </c>
      <c r="E508" s="230" t="s">
        <v>24</v>
      </c>
      <c r="F508" s="230"/>
      <c r="G508" s="193"/>
      <c r="H508" s="232"/>
      <c r="I508" s="193"/>
      <c r="J508" s="193"/>
      <c r="K508" s="193"/>
      <c r="L508" s="193"/>
      <c r="M508" s="232"/>
      <c r="N508" s="193"/>
      <c r="O508" s="193"/>
      <c r="P508" s="193"/>
      <c r="Q508" s="193"/>
      <c r="R508" s="193"/>
      <c r="S508" s="193"/>
      <c r="T508" s="193"/>
      <c r="U508" s="193"/>
      <c r="V508" s="232"/>
      <c r="W508" s="193"/>
      <c r="X508" s="193"/>
      <c r="Y508" s="193"/>
      <c r="Z508" s="193"/>
      <c r="AA508" s="232"/>
      <c r="AB508" s="193"/>
      <c r="AC508" s="193"/>
      <c r="AD508" s="232"/>
      <c r="AE508" s="193"/>
      <c r="AF508" s="193"/>
      <c r="AG508" s="193"/>
      <c r="AH508" s="193"/>
      <c r="AI508" s="193"/>
      <c r="AJ508" s="193"/>
      <c r="AK508" s="193"/>
      <c r="AL508" s="232"/>
      <c r="AM508" s="193"/>
      <c r="AN508" s="193"/>
    </row>
    <row r="509" spans="1:40" ht="15.75" x14ac:dyDescent="0.25">
      <c r="A509" s="296"/>
      <c r="B509" s="229" t="str">
        <f>IF($A509="","",VLOOKUP($A509,'[2]3-Elaboration.O'!$A:$T,MATCH(B$1,'[2]150-Modele SGO'!$1:$1,0),FALSE))</f>
        <v/>
      </c>
      <c r="C509" s="229" t="str">
        <f>IF($A509="","",VLOOKUP($A509,'[2]3-Elaboration.O'!$A:$T,MATCH(C$1,'[2]150-Modele SGO'!$1:$1,0),FALSE))</f>
        <v/>
      </c>
      <c r="D509" s="229" t="str">
        <f>IF($A509="","",VLOOKUP($A509,'[2]3-Elaboration.O'!$A:$T,MATCH(D$1,'[2]150-Modele SGO'!$1:$1,0),FALSE))</f>
        <v/>
      </c>
      <c r="E509" s="230" t="s">
        <v>24</v>
      </c>
      <c r="F509" s="230"/>
      <c r="G509" s="193"/>
      <c r="H509" s="232"/>
      <c r="I509" s="193"/>
      <c r="J509" s="193"/>
      <c r="K509" s="193"/>
      <c r="L509" s="193"/>
      <c r="M509" s="232"/>
      <c r="N509" s="193"/>
      <c r="O509" s="193"/>
      <c r="P509" s="193"/>
      <c r="Q509" s="193"/>
      <c r="R509" s="193"/>
      <c r="S509" s="193"/>
      <c r="T509" s="193"/>
      <c r="U509" s="193"/>
      <c r="V509" s="232"/>
      <c r="W509" s="193"/>
      <c r="X509" s="193"/>
      <c r="Y509" s="193"/>
      <c r="Z509" s="193"/>
      <c r="AA509" s="232"/>
      <c r="AB509" s="193"/>
      <c r="AC509" s="193"/>
      <c r="AD509" s="232"/>
      <c r="AE509" s="193"/>
      <c r="AF509" s="193"/>
      <c r="AG509" s="193"/>
      <c r="AH509" s="193"/>
      <c r="AI509" s="193"/>
      <c r="AJ509" s="193"/>
      <c r="AK509" s="193"/>
      <c r="AL509" s="232"/>
      <c r="AM509" s="193"/>
      <c r="AN509" s="193"/>
    </row>
    <row r="510" spans="1:40" ht="15.75" x14ac:dyDescent="0.25">
      <c r="A510" s="296"/>
      <c r="B510" s="229" t="str">
        <f>IF($A510="","",VLOOKUP($A510,'[2]3-Elaboration.O'!$A:$T,MATCH(B$1,'[2]150-Modele SGO'!$1:$1,0),FALSE))</f>
        <v/>
      </c>
      <c r="C510" s="229" t="str">
        <f>IF($A510="","",VLOOKUP($A510,'[2]3-Elaboration.O'!$A:$T,MATCH(C$1,'[2]150-Modele SGO'!$1:$1,0),FALSE))</f>
        <v/>
      </c>
      <c r="D510" s="229" t="str">
        <f>IF($A510="","",VLOOKUP($A510,'[2]3-Elaboration.O'!$A:$T,MATCH(D$1,'[2]150-Modele SGO'!$1:$1,0),FALSE))</f>
        <v/>
      </c>
      <c r="E510" s="230" t="s">
        <v>24</v>
      </c>
      <c r="F510" s="230"/>
      <c r="G510" s="193"/>
      <c r="H510" s="232"/>
      <c r="I510" s="193"/>
      <c r="J510" s="193"/>
      <c r="K510" s="193"/>
      <c r="L510" s="193"/>
      <c r="M510" s="232"/>
      <c r="N510" s="193"/>
      <c r="O510" s="193"/>
      <c r="P510" s="193"/>
      <c r="Q510" s="193"/>
      <c r="R510" s="193"/>
      <c r="S510" s="193"/>
      <c r="T510" s="193"/>
      <c r="U510" s="193"/>
      <c r="V510" s="232"/>
      <c r="W510" s="193"/>
      <c r="X510" s="193"/>
      <c r="Y510" s="193"/>
      <c r="Z510" s="193"/>
      <c r="AA510" s="232"/>
      <c r="AB510" s="193"/>
      <c r="AC510" s="193"/>
      <c r="AD510" s="232"/>
      <c r="AE510" s="193"/>
      <c r="AF510" s="193"/>
      <c r="AG510" s="193"/>
      <c r="AH510" s="193"/>
      <c r="AI510" s="193"/>
      <c r="AJ510" s="193"/>
      <c r="AK510" s="193"/>
      <c r="AL510" s="232"/>
      <c r="AM510" s="193"/>
      <c r="AN510" s="193"/>
    </row>
    <row r="511" spans="1:40" ht="15.75" x14ac:dyDescent="0.25">
      <c r="A511" s="296"/>
      <c r="B511" s="229" t="str">
        <f>IF($A511="","",VLOOKUP($A511,'[2]3-Elaboration.O'!$A:$T,MATCH(B$1,'[2]150-Modele SGO'!$1:$1,0),FALSE))</f>
        <v/>
      </c>
      <c r="C511" s="229" t="str">
        <f>IF($A511="","",VLOOKUP($A511,'[2]3-Elaboration.O'!$A:$T,MATCH(C$1,'[2]150-Modele SGO'!$1:$1,0),FALSE))</f>
        <v/>
      </c>
      <c r="D511" s="229" t="str">
        <f>IF($A511="","",VLOOKUP($A511,'[2]3-Elaboration.O'!$A:$T,MATCH(D$1,'[2]150-Modele SGO'!$1:$1,0),FALSE))</f>
        <v/>
      </c>
      <c r="E511" s="230" t="s">
        <v>24</v>
      </c>
      <c r="F511" s="230"/>
      <c r="G511" s="193"/>
      <c r="H511" s="232"/>
      <c r="I511" s="193"/>
      <c r="J511" s="193"/>
      <c r="K511" s="193"/>
      <c r="L511" s="193"/>
      <c r="M511" s="232"/>
      <c r="N511" s="193"/>
      <c r="O511" s="193"/>
      <c r="P511" s="193"/>
      <c r="Q511" s="193"/>
      <c r="R511" s="193"/>
      <c r="S511" s="193"/>
      <c r="T511" s="193"/>
      <c r="U511" s="193"/>
      <c r="V511" s="232"/>
      <c r="W511" s="193"/>
      <c r="X511" s="193"/>
      <c r="Y511" s="193"/>
      <c r="Z511" s="193"/>
      <c r="AA511" s="232"/>
      <c r="AB511" s="193"/>
      <c r="AC511" s="193"/>
      <c r="AD511" s="232"/>
      <c r="AE511" s="193"/>
      <c r="AF511" s="193"/>
      <c r="AG511" s="193"/>
      <c r="AH511" s="193"/>
      <c r="AI511" s="193"/>
      <c r="AJ511" s="193"/>
      <c r="AK511" s="193"/>
      <c r="AL511" s="232"/>
      <c r="AM511" s="193"/>
      <c r="AN511" s="193"/>
    </row>
    <row r="512" spans="1:40" ht="15.75" x14ac:dyDescent="0.25">
      <c r="A512" s="296"/>
      <c r="B512" s="229" t="str">
        <f>IF($A512="","",VLOOKUP($A512,'[2]3-Elaboration.O'!$A:$T,MATCH(B$1,'[2]150-Modele SGO'!$1:$1,0),FALSE))</f>
        <v/>
      </c>
      <c r="C512" s="229" t="str">
        <f>IF($A512="","",VLOOKUP($A512,'[2]3-Elaboration.O'!$A:$T,MATCH(C$1,'[2]150-Modele SGO'!$1:$1,0),FALSE))</f>
        <v/>
      </c>
      <c r="D512" s="229" t="str">
        <f>IF($A512="","",VLOOKUP($A512,'[2]3-Elaboration.O'!$A:$T,MATCH(D$1,'[2]150-Modele SGO'!$1:$1,0),FALSE))</f>
        <v/>
      </c>
      <c r="E512" s="230" t="s">
        <v>24</v>
      </c>
      <c r="F512" s="230"/>
      <c r="G512" s="193"/>
      <c r="H512" s="232"/>
      <c r="I512" s="193"/>
      <c r="J512" s="193"/>
      <c r="K512" s="193"/>
      <c r="L512" s="193"/>
      <c r="M512" s="232"/>
      <c r="N512" s="193"/>
      <c r="O512" s="193"/>
      <c r="P512" s="193"/>
      <c r="Q512" s="193"/>
      <c r="R512" s="193"/>
      <c r="S512" s="193"/>
      <c r="T512" s="193"/>
      <c r="U512" s="193"/>
      <c r="V512" s="232"/>
      <c r="W512" s="193"/>
      <c r="X512" s="193"/>
      <c r="Y512" s="193"/>
      <c r="Z512" s="193"/>
      <c r="AA512" s="232"/>
      <c r="AB512" s="193"/>
      <c r="AC512" s="193"/>
      <c r="AD512" s="232"/>
      <c r="AE512" s="193"/>
      <c r="AF512" s="193"/>
      <c r="AG512" s="193"/>
      <c r="AH512" s="193"/>
      <c r="AI512" s="193"/>
      <c r="AJ512" s="193"/>
      <c r="AK512" s="193"/>
      <c r="AL512" s="232"/>
      <c r="AM512" s="193"/>
      <c r="AN512" s="193"/>
    </row>
  </sheetData>
  <sheetProtection formatCells="0" formatColumns="0" formatRows="0" autoFilter="0"/>
  <autoFilter ref="A1:AM512" xr:uid="{FFD4588E-0D72-49AD-94A7-F889CD36509B}"/>
  <dataConsolidate function="count" link="1"/>
  <dataValidations count="1">
    <dataValidation allowBlank="1" showInputMessage="1" sqref="AI37:AJ37" xr:uid="{C1737EF2-6E13-4C21-81BD-FDE4A177438C}"/>
  </dataValidations>
  <pageMargins left="0.7" right="0.7" top="0.75" bottom="0.75" header="0.3" footer="0.3"/>
  <pageSetup paperSize="8" scale="16" fitToHeight="0" orientation="landscape" r:id="rId1"/>
  <headerFooter>
    <oddFooter>&amp;C02_PhaseElaborationOffre_DossierConception_V2</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67246-F638-4DE7-B4E9-0F2A5C8A347D}">
  <sheetPr codeName="Feuil2"/>
  <dimension ref="C3:I35"/>
  <sheetViews>
    <sheetView topLeftCell="D1" workbookViewId="0">
      <selection activeCell="E39" sqref="E39"/>
    </sheetView>
  </sheetViews>
  <sheetFormatPr baseColWidth="10" defaultColWidth="11.42578125" defaultRowHeight="15" x14ac:dyDescent="0.25"/>
  <cols>
    <col min="4" max="4" width="105.28515625" bestFit="1" customWidth="1"/>
    <col min="5" max="5" width="45.140625" customWidth="1"/>
    <col min="6" max="6" width="48.85546875" bestFit="1" customWidth="1"/>
    <col min="8" max="8" width="19.28515625" customWidth="1"/>
  </cols>
  <sheetData>
    <row r="3" spans="3:9" ht="15.75" x14ac:dyDescent="0.25">
      <c r="C3" t="s">
        <v>2065</v>
      </c>
      <c r="D3" t="str">
        <f>C3&amp;E3</f>
        <v>VBA_E</v>
      </c>
      <c r="E3" t="s">
        <v>51</v>
      </c>
      <c r="F3" s="311" t="s">
        <v>51</v>
      </c>
      <c r="H3" t="s">
        <v>1466</v>
      </c>
      <c r="I3" t="s">
        <v>1465</v>
      </c>
    </row>
    <row r="4" spans="3:9" ht="15.75" x14ac:dyDescent="0.25">
      <c r="C4" t="s">
        <v>2065</v>
      </c>
      <c r="D4" t="str">
        <f t="shared" ref="D4:D28" si="0">C4&amp;E4</f>
        <v>VBA_DAV</v>
      </c>
      <c r="E4" t="s">
        <v>1466</v>
      </c>
      <c r="F4" s="311" t="s">
        <v>1466</v>
      </c>
      <c r="H4" t="s">
        <v>2068</v>
      </c>
      <c r="I4" t="s">
        <v>1470</v>
      </c>
    </row>
    <row r="5" spans="3:9" ht="15.75" x14ac:dyDescent="0.25">
      <c r="C5" t="s">
        <v>2065</v>
      </c>
      <c r="D5" t="str">
        <f t="shared" si="0"/>
        <v>VBA_VI</v>
      </c>
      <c r="E5" t="s">
        <v>1501</v>
      </c>
      <c r="F5" s="311" t="s">
        <v>1467</v>
      </c>
      <c r="H5" t="s">
        <v>2070</v>
      </c>
      <c r="I5" t="s">
        <v>1474</v>
      </c>
    </row>
    <row r="6" spans="3:9" ht="15.75" x14ac:dyDescent="0.25">
      <c r="C6" t="s">
        <v>2065</v>
      </c>
      <c r="D6" t="str">
        <f t="shared" si="0"/>
        <v>VBA_VL</v>
      </c>
      <c r="E6" t="s">
        <v>1502</v>
      </c>
      <c r="F6" s="311" t="s">
        <v>1468</v>
      </c>
      <c r="H6" t="s">
        <v>20</v>
      </c>
      <c r="I6" t="s">
        <v>1479</v>
      </c>
    </row>
    <row r="7" spans="3:9" ht="15.75" x14ac:dyDescent="0.25">
      <c r="C7" t="s">
        <v>2065</v>
      </c>
      <c r="D7" t="str">
        <f t="shared" si="0"/>
        <v>VBA_ISP</v>
      </c>
      <c r="E7" t="s">
        <v>1503</v>
      </c>
      <c r="F7" s="311" t="s">
        <v>1469</v>
      </c>
      <c r="H7" t="s">
        <v>1487</v>
      </c>
      <c r="I7" t="s">
        <v>1486</v>
      </c>
    </row>
    <row r="8" spans="3:9" ht="15.75" x14ac:dyDescent="0.25">
      <c r="C8" t="s">
        <v>2065</v>
      </c>
      <c r="D8" t="str">
        <f t="shared" si="0"/>
        <v>VBA_DAG Mobilier scolaire et Equipement général</v>
      </c>
      <c r="E8" t="s">
        <v>2054</v>
      </c>
      <c r="F8" s="311" t="s">
        <v>1471</v>
      </c>
      <c r="H8" t="s">
        <v>2069</v>
      </c>
      <c r="I8" t="s">
        <v>1494</v>
      </c>
    </row>
    <row r="9" spans="3:9" ht="15.75" x14ac:dyDescent="0.25">
      <c r="C9" t="s">
        <v>2065</v>
      </c>
      <c r="D9" t="str">
        <f t="shared" si="0"/>
        <v>VBA_Mobilier scolaire</v>
      </c>
      <c r="E9" t="s">
        <v>2055</v>
      </c>
      <c r="F9" s="311" t="s">
        <v>1472</v>
      </c>
    </row>
    <row r="10" spans="3:9" ht="15.75" x14ac:dyDescent="0.25">
      <c r="C10" t="s">
        <v>2065</v>
      </c>
      <c r="D10" t="str">
        <f t="shared" si="0"/>
        <v>VBA_Equipement general</v>
      </c>
      <c r="E10" t="s">
        <v>2056</v>
      </c>
      <c r="F10" s="311" t="s">
        <v>1473</v>
      </c>
    </row>
    <row r="11" spans="3:9" ht="15.75" x14ac:dyDescent="0.25">
      <c r="C11" t="s">
        <v>2065</v>
      </c>
      <c r="D11" t="str">
        <f t="shared" si="0"/>
        <v>VBA_DAG SOFI</v>
      </c>
      <c r="E11" t="s">
        <v>2057</v>
      </c>
      <c r="F11" s="311" t="s">
        <v>1475</v>
      </c>
    </row>
    <row r="12" spans="3:9" ht="15.75" x14ac:dyDescent="0.25">
      <c r="C12" t="s">
        <v>2065</v>
      </c>
      <c r="D12" t="str">
        <f t="shared" si="0"/>
        <v>VBA_Services aux batiments</v>
      </c>
      <c r="E12" t="s">
        <v>2058</v>
      </c>
      <c r="F12" s="311" t="s">
        <v>1476</v>
      </c>
    </row>
    <row r="13" spans="3:9" ht="15.75" x14ac:dyDescent="0.25">
      <c r="C13" t="s">
        <v>2065</v>
      </c>
      <c r="D13" t="str">
        <f t="shared" si="0"/>
        <v>VBA_Services aux occupants</v>
      </c>
      <c r="E13" t="s">
        <v>2059</v>
      </c>
      <c r="F13" s="311" t="s">
        <v>1477</v>
      </c>
    </row>
    <row r="14" spans="3:9" ht="15.75" x14ac:dyDescent="0.25">
      <c r="C14" t="s">
        <v>2065</v>
      </c>
      <c r="D14" t="str">
        <f t="shared" si="0"/>
        <v>VBA_Offres Financieres</v>
      </c>
      <c r="E14" t="s">
        <v>2060</v>
      </c>
      <c r="F14" s="311" t="s">
        <v>1478</v>
      </c>
    </row>
    <row r="15" spans="3:9" ht="15.75" x14ac:dyDescent="0.25">
      <c r="C15" t="s">
        <v>2065</v>
      </c>
      <c r="D15" t="str">
        <f t="shared" si="0"/>
        <v>VBA_DAI</v>
      </c>
      <c r="E15" t="s">
        <v>20</v>
      </c>
      <c r="F15" s="311" t="s">
        <v>20</v>
      </c>
    </row>
    <row r="16" spans="3:9" ht="15.75" x14ac:dyDescent="0.25">
      <c r="C16" t="s">
        <v>2065</v>
      </c>
      <c r="D16" t="str">
        <f t="shared" si="0"/>
        <v>VBA_Copieurs</v>
      </c>
      <c r="E16" t="s">
        <v>1509</v>
      </c>
      <c r="F16" s="311" t="s">
        <v>1480</v>
      </c>
    </row>
    <row r="17" spans="3:9" ht="15.75" x14ac:dyDescent="0.25">
      <c r="C17" t="s">
        <v>2065</v>
      </c>
      <c r="D17" t="str">
        <f t="shared" si="0"/>
        <v>VBA_Telecom</v>
      </c>
      <c r="E17" t="s">
        <v>1510</v>
      </c>
      <c r="F17" s="311" t="s">
        <v>1481</v>
      </c>
    </row>
    <row r="18" spans="3:9" ht="15.75" x14ac:dyDescent="0.25">
      <c r="C18" t="s">
        <v>2065</v>
      </c>
      <c r="D18" t="str">
        <f t="shared" si="0"/>
        <v>VBA_BureauWEB</v>
      </c>
      <c r="E18" t="s">
        <v>1511</v>
      </c>
      <c r="F18" s="311" t="s">
        <v>1482</v>
      </c>
      <c r="I18" t="s">
        <v>2</v>
      </c>
    </row>
    <row r="19" spans="3:9" ht="15.75" x14ac:dyDescent="0.25">
      <c r="C19" t="s">
        <v>2065</v>
      </c>
      <c r="D19" t="str">
        <f t="shared" si="0"/>
        <v>VBA_Logiciels</v>
      </c>
      <c r="E19" t="s">
        <v>27</v>
      </c>
      <c r="F19" s="311" t="s">
        <v>1483</v>
      </c>
      <c r="I19" t="s">
        <v>2</v>
      </c>
    </row>
    <row r="20" spans="3:9" ht="15.75" x14ac:dyDescent="0.25">
      <c r="C20" t="s">
        <v>2065</v>
      </c>
      <c r="D20" t="str">
        <f t="shared" si="0"/>
        <v>VBA_PII</v>
      </c>
      <c r="E20" t="s">
        <v>1512</v>
      </c>
      <c r="F20" s="312" t="s">
        <v>1484</v>
      </c>
      <c r="I20" t="s">
        <v>2</v>
      </c>
    </row>
    <row r="21" spans="3:9" ht="15.75" x14ac:dyDescent="0.25">
      <c r="C21" t="s">
        <v>2065</v>
      </c>
      <c r="D21" t="str">
        <f t="shared" si="0"/>
        <v>VBA_Materiel et Prestations</v>
      </c>
      <c r="E21" t="s">
        <v>2061</v>
      </c>
      <c r="F21" s="312" t="s">
        <v>1485</v>
      </c>
      <c r="I21" t="s">
        <v>2</v>
      </c>
    </row>
    <row r="22" spans="3:9" ht="15.75" x14ac:dyDescent="0.25">
      <c r="C22" t="s">
        <v>2065</v>
      </c>
      <c r="D22" t="str">
        <f t="shared" si="0"/>
        <v>VBA_DS</v>
      </c>
      <c r="E22" t="s">
        <v>1487</v>
      </c>
      <c r="F22" s="311" t="s">
        <v>1487</v>
      </c>
      <c r="I22" t="s">
        <v>2</v>
      </c>
    </row>
    <row r="23" spans="3:9" ht="15.75" x14ac:dyDescent="0.25">
      <c r="C23" t="s">
        <v>2065</v>
      </c>
      <c r="D23" t="str">
        <f t="shared" si="0"/>
        <v>VBA_Biomedical</v>
      </c>
      <c r="E23" t="s">
        <v>1514</v>
      </c>
      <c r="F23" s="311" t="s">
        <v>1488</v>
      </c>
      <c r="I23" t="s">
        <v>2</v>
      </c>
    </row>
    <row r="24" spans="3:9" ht="15.75" x14ac:dyDescent="0.25">
      <c r="C24" t="s">
        <v>2065</v>
      </c>
      <c r="D24" t="str">
        <f t="shared" si="0"/>
        <v>VBA_Laboratoire</v>
      </c>
      <c r="E24" t="s">
        <v>1515</v>
      </c>
      <c r="F24" s="311" t="s">
        <v>1489</v>
      </c>
    </row>
    <row r="25" spans="3:9" ht="15.75" x14ac:dyDescent="0.25">
      <c r="C25" t="s">
        <v>2065</v>
      </c>
      <c r="D25" t="str">
        <f t="shared" si="0"/>
        <v>VBA_EQ Soins et Secours</v>
      </c>
      <c r="E25" t="s">
        <v>2062</v>
      </c>
      <c r="F25" s="311" t="s">
        <v>1490</v>
      </c>
    </row>
    <row r="26" spans="3:9" ht="15.75" x14ac:dyDescent="0.25">
      <c r="C26" t="s">
        <v>2065</v>
      </c>
      <c r="D26" t="str">
        <f t="shared" si="0"/>
        <v>VBA_EQ Lourds</v>
      </c>
      <c r="E26" t="s">
        <v>2063</v>
      </c>
      <c r="F26" s="311" t="s">
        <v>1491</v>
      </c>
    </row>
    <row r="27" spans="3:9" ht="15.75" x14ac:dyDescent="0.25">
      <c r="C27" t="s">
        <v>2065</v>
      </c>
      <c r="D27" t="str">
        <f t="shared" si="0"/>
        <v>VBA_DM DMS</v>
      </c>
      <c r="E27" t="s">
        <v>2064</v>
      </c>
      <c r="F27" s="311" t="s">
        <v>1492</v>
      </c>
    </row>
    <row r="28" spans="3:9" ht="15.75" x14ac:dyDescent="0.25">
      <c r="C28" t="s">
        <v>2065</v>
      </c>
      <c r="D28" t="str">
        <f t="shared" si="0"/>
        <v>VBA_GAUSS</v>
      </c>
      <c r="E28" t="s">
        <v>1519</v>
      </c>
      <c r="F28" s="311" t="s">
        <v>1493</v>
      </c>
    </row>
    <row r="29" spans="3:9" ht="15.75" x14ac:dyDescent="0.25">
      <c r="C29" t="s">
        <v>2065</v>
      </c>
      <c r="D29" t="str">
        <f>C29&amp;E29</f>
        <v>VBA_Direction Non standardisé</v>
      </c>
      <c r="E29" t="s">
        <v>2066</v>
      </c>
      <c r="F29" s="311" t="s">
        <v>1495</v>
      </c>
    </row>
    <row r="30" spans="3:9" ht="15.75" x14ac:dyDescent="0.25">
      <c r="C30" t="s">
        <v>2065</v>
      </c>
      <c r="D30" t="str">
        <f>C30&amp;E30</f>
        <v>VBA_Univers Non Standardisé</v>
      </c>
      <c r="E30" t="s">
        <v>2067</v>
      </c>
      <c r="F30" s="311" t="s">
        <v>1496</v>
      </c>
    </row>
    <row r="35" spans="5:5" x14ac:dyDescent="0.25">
      <c r="E35" t="s">
        <v>2053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E921-437D-46EF-BC6D-5FEF4706E3E0}">
  <sheetPr codeName="Feuil3">
    <tabColor rgb="FF00B0F0"/>
    <pageSetUpPr fitToPage="1"/>
  </sheetPr>
  <dimension ref="A1:E549"/>
  <sheetViews>
    <sheetView showGridLines="0" zoomScale="85" zoomScaleNormal="85" workbookViewId="0">
      <pane xSplit="2" ySplit="1" topLeftCell="C7" activePane="bottomRight" state="frozen"/>
      <selection pane="topRight" activeCell="D1" sqref="D1"/>
      <selection pane="bottomLeft" activeCell="A2" sqref="A2"/>
      <selection pane="bottomRight" activeCell="H13" sqref="H13"/>
    </sheetView>
  </sheetViews>
  <sheetFormatPr baseColWidth="10" defaultColWidth="11.42578125" defaultRowHeight="15" x14ac:dyDescent="0.25"/>
  <cols>
    <col min="1" max="1" width="12.42578125" customWidth="1"/>
    <col min="2" max="2" width="82.85546875" style="220" customWidth="1"/>
  </cols>
  <sheetData>
    <row r="1" spans="1:5" s="9" customFormat="1" ht="83.25" customHeight="1" x14ac:dyDescent="0.25">
      <c r="A1" s="225" t="s">
        <v>1463</v>
      </c>
      <c r="B1" s="226" t="s">
        <v>4</v>
      </c>
      <c r="C1" s="9" t="s">
        <v>1803</v>
      </c>
      <c r="D1" s="9" t="s">
        <v>1804</v>
      </c>
      <c r="E1" s="9" t="s">
        <v>1805</v>
      </c>
    </row>
    <row r="2" spans="1:5" s="9" customFormat="1" ht="15.75" x14ac:dyDescent="0.25">
      <c r="A2" s="24" t="s">
        <v>1806</v>
      </c>
      <c r="B2" s="236" t="s">
        <v>31</v>
      </c>
    </row>
    <row r="3" spans="1:5" s="12" customFormat="1" x14ac:dyDescent="0.25">
      <c r="A3" s="30" t="s">
        <v>1807</v>
      </c>
      <c r="B3" s="240" t="s">
        <v>33</v>
      </c>
    </row>
    <row r="4" spans="1:5" s="12" customFormat="1" x14ac:dyDescent="0.25">
      <c r="A4" s="297" t="s">
        <v>1808</v>
      </c>
      <c r="B4" s="269" t="s">
        <v>1809</v>
      </c>
    </row>
    <row r="5" spans="1:5" s="9" customFormat="1" ht="33.75" customHeight="1" x14ac:dyDescent="0.25">
      <c r="A5" s="228" t="s">
        <v>34</v>
      </c>
      <c r="B5" s="229" t="s">
        <v>36</v>
      </c>
      <c r="C5" s="9" t="s">
        <v>1806</v>
      </c>
      <c r="D5" s="9" t="s">
        <v>1807</v>
      </c>
      <c r="E5" s="9" t="s">
        <v>1808</v>
      </c>
    </row>
    <row r="6" spans="1:5" s="9" customFormat="1" ht="15.75" x14ac:dyDescent="0.25">
      <c r="A6" s="228" t="s">
        <v>40</v>
      </c>
      <c r="B6" s="229" t="s">
        <v>41</v>
      </c>
      <c r="C6" s="9" t="s">
        <v>1806</v>
      </c>
      <c r="D6" s="9" t="s">
        <v>1807</v>
      </c>
      <c r="E6" s="9" t="s">
        <v>1808</v>
      </c>
    </row>
    <row r="7" spans="1:5" s="9" customFormat="1" ht="98.1" customHeight="1" x14ac:dyDescent="0.25">
      <c r="A7" s="228" t="s">
        <v>45</v>
      </c>
      <c r="B7" s="229" t="s">
        <v>47</v>
      </c>
      <c r="C7" s="9" t="s">
        <v>1806</v>
      </c>
      <c r="D7" s="9" t="s">
        <v>1807</v>
      </c>
      <c r="E7" s="9" t="s">
        <v>1808</v>
      </c>
    </row>
    <row r="8" spans="1:5" s="9" customFormat="1" ht="30" x14ac:dyDescent="0.25">
      <c r="A8" s="228" t="s">
        <v>50</v>
      </c>
      <c r="B8" s="229" t="s">
        <v>53</v>
      </c>
      <c r="C8" s="9" t="s">
        <v>1806</v>
      </c>
      <c r="D8" s="9" t="s">
        <v>1807</v>
      </c>
      <c r="E8" s="9" t="s">
        <v>1808</v>
      </c>
    </row>
    <row r="9" spans="1:5" s="9" customFormat="1" ht="30" x14ac:dyDescent="0.25">
      <c r="A9" s="228" t="s">
        <v>56</v>
      </c>
      <c r="B9" s="229" t="s">
        <v>57</v>
      </c>
      <c r="C9" s="9" t="s">
        <v>1806</v>
      </c>
      <c r="D9" s="9" t="s">
        <v>1807</v>
      </c>
      <c r="E9" s="9" t="s">
        <v>1808</v>
      </c>
    </row>
    <row r="10" spans="1:5" s="9" customFormat="1" ht="15.75" x14ac:dyDescent="0.25">
      <c r="A10" s="30" t="s">
        <v>1810</v>
      </c>
      <c r="B10" s="244" t="s">
        <v>60</v>
      </c>
    </row>
    <row r="11" spans="1:5" s="9" customFormat="1" x14ac:dyDescent="0.25">
      <c r="A11" s="297" t="s">
        <v>1811</v>
      </c>
      <c r="B11" s="269" t="s">
        <v>1812</v>
      </c>
    </row>
    <row r="12" spans="1:5" s="9" customFormat="1" ht="134.1" customHeight="1" x14ac:dyDescent="0.25">
      <c r="A12" s="13" t="s">
        <v>61</v>
      </c>
      <c r="B12" s="229" t="s">
        <v>63</v>
      </c>
      <c r="C12" s="9" t="s">
        <v>1806</v>
      </c>
      <c r="D12" s="9" t="s">
        <v>1810</v>
      </c>
      <c r="E12" s="9" t="s">
        <v>1811</v>
      </c>
    </row>
    <row r="13" spans="1:5" s="9" customFormat="1" ht="15.75" x14ac:dyDescent="0.25">
      <c r="A13" s="13" t="s">
        <v>65</v>
      </c>
      <c r="B13" s="229" t="s">
        <v>67</v>
      </c>
      <c r="C13" s="9" t="s">
        <v>1806</v>
      </c>
      <c r="D13" s="9" t="s">
        <v>1810</v>
      </c>
      <c r="E13" s="9" t="s">
        <v>1811</v>
      </c>
    </row>
    <row r="14" spans="1:5" s="9" customFormat="1" ht="15.75" x14ac:dyDescent="0.25">
      <c r="A14" s="13" t="s">
        <v>69</v>
      </c>
      <c r="B14" s="229" t="s">
        <v>71</v>
      </c>
      <c r="C14" s="9" t="s">
        <v>1806</v>
      </c>
      <c r="D14" s="9" t="s">
        <v>1810</v>
      </c>
      <c r="E14" s="9" t="s">
        <v>1811</v>
      </c>
    </row>
    <row r="15" spans="1:5" s="9" customFormat="1" ht="15.75" x14ac:dyDescent="0.25">
      <c r="A15" s="13" t="s">
        <v>73</v>
      </c>
      <c r="B15" s="229" t="s">
        <v>74</v>
      </c>
      <c r="C15" s="9" t="s">
        <v>1806</v>
      </c>
      <c r="D15" s="9" t="s">
        <v>1810</v>
      </c>
      <c r="E15" s="9" t="s">
        <v>1811</v>
      </c>
    </row>
    <row r="16" spans="1:5" s="9" customFormat="1" ht="15.75" x14ac:dyDescent="0.25">
      <c r="A16" s="13" t="s">
        <v>76</v>
      </c>
      <c r="B16" s="229" t="s">
        <v>78</v>
      </c>
      <c r="C16" s="9" t="s">
        <v>1806</v>
      </c>
      <c r="D16" s="9" t="s">
        <v>1810</v>
      </c>
      <c r="E16" s="9" t="s">
        <v>1811</v>
      </c>
    </row>
    <row r="17" spans="1:5" s="9" customFormat="1" ht="30" x14ac:dyDescent="0.25">
      <c r="A17" s="13" t="s">
        <v>80</v>
      </c>
      <c r="B17" s="229" t="s">
        <v>81</v>
      </c>
      <c r="C17" s="9" t="s">
        <v>1806</v>
      </c>
      <c r="D17" s="9" t="s">
        <v>1810</v>
      </c>
      <c r="E17" s="9" t="s">
        <v>1811</v>
      </c>
    </row>
    <row r="18" spans="1:5" s="9" customFormat="1" ht="15.75" x14ac:dyDescent="0.25">
      <c r="A18" s="13" t="s">
        <v>83</v>
      </c>
      <c r="B18" s="229" t="s">
        <v>84</v>
      </c>
      <c r="C18" s="9" t="s">
        <v>1806</v>
      </c>
      <c r="D18" s="9" t="s">
        <v>1810</v>
      </c>
      <c r="E18" s="9" t="s">
        <v>1811</v>
      </c>
    </row>
    <row r="19" spans="1:5" s="9" customFormat="1" ht="15.75" x14ac:dyDescent="0.25">
      <c r="A19" s="13" t="s">
        <v>85</v>
      </c>
      <c r="B19" s="229" t="s">
        <v>87</v>
      </c>
      <c r="C19" s="9" t="s">
        <v>1806</v>
      </c>
      <c r="D19" s="9" t="s">
        <v>1810</v>
      </c>
      <c r="E19" s="9" t="s">
        <v>1811</v>
      </c>
    </row>
    <row r="20" spans="1:5" s="9" customFormat="1" ht="15.75" x14ac:dyDescent="0.25">
      <c r="A20" s="30" t="s">
        <v>1813</v>
      </c>
      <c r="B20" s="244" t="s">
        <v>91</v>
      </c>
    </row>
    <row r="21" spans="1:5" s="9" customFormat="1" x14ac:dyDescent="0.25">
      <c r="A21" s="297" t="s">
        <v>1814</v>
      </c>
      <c r="B21" s="269" t="s">
        <v>1815</v>
      </c>
    </row>
    <row r="22" spans="1:5" s="9" customFormat="1" ht="67.349999999999994" customHeight="1" x14ac:dyDescent="0.25">
      <c r="A22" s="13" t="s">
        <v>92</v>
      </c>
      <c r="B22" s="229" t="s">
        <v>94</v>
      </c>
      <c r="C22" s="9" t="s">
        <v>1806</v>
      </c>
      <c r="D22" s="9" t="s">
        <v>1813</v>
      </c>
      <c r="E22" s="9" t="s">
        <v>1814</v>
      </c>
    </row>
    <row r="23" spans="1:5" s="9" customFormat="1" ht="15.75" x14ac:dyDescent="0.25">
      <c r="A23" s="13" t="s">
        <v>96</v>
      </c>
      <c r="B23" s="229" t="s">
        <v>97</v>
      </c>
      <c r="C23" s="9" t="s">
        <v>1806</v>
      </c>
      <c r="D23" s="9" t="s">
        <v>1813</v>
      </c>
      <c r="E23" s="9" t="s">
        <v>1814</v>
      </c>
    </row>
    <row r="24" spans="1:5" s="9" customFormat="1" ht="15.75" x14ac:dyDescent="0.25">
      <c r="A24" s="13" t="s">
        <v>99</v>
      </c>
      <c r="B24" s="229" t="s">
        <v>100</v>
      </c>
      <c r="C24" s="9" t="s">
        <v>1806</v>
      </c>
      <c r="D24" s="9" t="s">
        <v>1813</v>
      </c>
      <c r="E24" s="9" t="s">
        <v>1814</v>
      </c>
    </row>
    <row r="25" spans="1:5" s="9" customFormat="1" ht="41.25" customHeight="1" x14ac:dyDescent="0.25">
      <c r="A25" s="13" t="s">
        <v>2051</v>
      </c>
      <c r="B25" s="229" t="s">
        <v>102</v>
      </c>
      <c r="C25" s="9" t="s">
        <v>1806</v>
      </c>
      <c r="D25" s="9" t="s">
        <v>1813</v>
      </c>
      <c r="E25" s="9" t="s">
        <v>1814</v>
      </c>
    </row>
    <row r="26" spans="1:5" s="9" customFormat="1" ht="15.75" x14ac:dyDescent="0.25">
      <c r="A26" s="30" t="s">
        <v>1816</v>
      </c>
      <c r="B26" s="244" t="s">
        <v>104</v>
      </c>
    </row>
    <row r="27" spans="1:5" s="9" customFormat="1" x14ac:dyDescent="0.25">
      <c r="A27" s="297" t="s">
        <v>1817</v>
      </c>
      <c r="B27" s="269" t="s">
        <v>1818</v>
      </c>
    </row>
    <row r="28" spans="1:5" s="9" customFormat="1" ht="15.75" x14ac:dyDescent="0.25">
      <c r="A28" s="13" t="s">
        <v>105</v>
      </c>
      <c r="B28" s="229" t="s">
        <v>107</v>
      </c>
      <c r="C28" s="9" t="s">
        <v>1806</v>
      </c>
      <c r="D28" s="9" t="s">
        <v>1816</v>
      </c>
      <c r="E28" s="9" t="s">
        <v>1817</v>
      </c>
    </row>
    <row r="29" spans="1:5" s="9" customFormat="1" ht="15.75" x14ac:dyDescent="0.25">
      <c r="A29" s="13" t="s">
        <v>109</v>
      </c>
      <c r="B29" s="229" t="s">
        <v>1819</v>
      </c>
      <c r="C29" s="9" t="s">
        <v>1806</v>
      </c>
      <c r="D29" s="9" t="s">
        <v>1816</v>
      </c>
      <c r="E29" s="9" t="s">
        <v>1817</v>
      </c>
    </row>
    <row r="30" spans="1:5" s="9" customFormat="1" ht="30" x14ac:dyDescent="0.25">
      <c r="A30" s="13" t="s">
        <v>112</v>
      </c>
      <c r="B30" s="229" t="s">
        <v>113</v>
      </c>
      <c r="C30" s="9" t="s">
        <v>1806</v>
      </c>
      <c r="D30" s="9" t="s">
        <v>1816</v>
      </c>
      <c r="E30" s="9" t="s">
        <v>1817</v>
      </c>
    </row>
    <row r="31" spans="1:5" s="9" customFormat="1" ht="15.75" x14ac:dyDescent="0.25">
      <c r="A31" s="13" t="s">
        <v>118</v>
      </c>
      <c r="B31" s="229" t="s">
        <v>119</v>
      </c>
      <c r="C31" s="9" t="s">
        <v>1806</v>
      </c>
      <c r="D31" s="9" t="s">
        <v>1816</v>
      </c>
      <c r="E31" s="9" t="s">
        <v>1817</v>
      </c>
    </row>
    <row r="32" spans="1:5" s="9" customFormat="1" ht="30" x14ac:dyDescent="0.25">
      <c r="A32" s="13" t="s">
        <v>121</v>
      </c>
      <c r="B32" s="229" t="s">
        <v>122</v>
      </c>
      <c r="C32" s="9" t="s">
        <v>1806</v>
      </c>
      <c r="D32" s="9" t="s">
        <v>1816</v>
      </c>
      <c r="E32" s="9" t="s">
        <v>1817</v>
      </c>
    </row>
    <row r="33" spans="1:5" s="9" customFormat="1" ht="15.75" x14ac:dyDescent="0.25">
      <c r="A33" s="13" t="s">
        <v>124</v>
      </c>
      <c r="B33" s="229" t="s">
        <v>125</v>
      </c>
      <c r="C33" s="9" t="s">
        <v>1806</v>
      </c>
      <c r="D33" s="9" t="s">
        <v>1816</v>
      </c>
      <c r="E33" s="9" t="s">
        <v>1817</v>
      </c>
    </row>
    <row r="34" spans="1:5" s="9" customFormat="1" ht="50.1" customHeight="1" x14ac:dyDescent="0.25">
      <c r="A34" s="13" t="s">
        <v>126</v>
      </c>
      <c r="B34" s="229" t="s">
        <v>128</v>
      </c>
      <c r="C34" s="9" t="s">
        <v>1806</v>
      </c>
      <c r="D34" s="9" t="s">
        <v>1816</v>
      </c>
      <c r="E34" s="9" t="s">
        <v>1817</v>
      </c>
    </row>
    <row r="35" spans="1:5" s="9" customFormat="1" ht="15.75" x14ac:dyDescent="0.25">
      <c r="A35" s="13" t="s">
        <v>130</v>
      </c>
      <c r="B35" s="229" t="s">
        <v>131</v>
      </c>
      <c r="C35" s="9" t="s">
        <v>1806</v>
      </c>
      <c r="D35" s="9" t="s">
        <v>1816</v>
      </c>
      <c r="E35" s="9" t="s">
        <v>1817</v>
      </c>
    </row>
    <row r="36" spans="1:5" s="9" customFormat="1" ht="15.75" x14ac:dyDescent="0.25">
      <c r="A36" s="13" t="s">
        <v>133</v>
      </c>
      <c r="B36" s="229" t="s">
        <v>134</v>
      </c>
      <c r="C36" s="9" t="s">
        <v>1806</v>
      </c>
      <c r="D36" s="9" t="s">
        <v>1816</v>
      </c>
      <c r="E36" s="9" t="s">
        <v>1817</v>
      </c>
    </row>
    <row r="37" spans="1:5" s="9" customFormat="1" ht="15.75" x14ac:dyDescent="0.25">
      <c r="A37" s="13" t="s">
        <v>136</v>
      </c>
      <c r="B37" s="229" t="s">
        <v>137</v>
      </c>
      <c r="C37" s="9" t="s">
        <v>1806</v>
      </c>
      <c r="D37" s="9" t="s">
        <v>1816</v>
      </c>
      <c r="E37" s="9" t="s">
        <v>1817</v>
      </c>
    </row>
    <row r="38" spans="1:5" s="9" customFormat="1" ht="15.75" x14ac:dyDescent="0.25">
      <c r="A38" s="108" t="s">
        <v>1820</v>
      </c>
      <c r="B38" s="244" t="s">
        <v>139</v>
      </c>
    </row>
    <row r="39" spans="1:5" s="9" customFormat="1" x14ac:dyDescent="0.25">
      <c r="A39" s="297" t="s">
        <v>1821</v>
      </c>
      <c r="B39" s="269" t="s">
        <v>1822</v>
      </c>
    </row>
    <row r="40" spans="1:5" s="9" customFormat="1" ht="50.1" customHeight="1" x14ac:dyDescent="0.25">
      <c r="A40" s="13" t="s">
        <v>140</v>
      </c>
      <c r="B40" s="229" t="s">
        <v>142</v>
      </c>
      <c r="C40" s="9" t="s">
        <v>1806</v>
      </c>
      <c r="D40" s="9" t="s">
        <v>1820</v>
      </c>
      <c r="E40" s="9" t="s">
        <v>1821</v>
      </c>
    </row>
    <row r="41" spans="1:5" s="9" customFormat="1" ht="15.75" x14ac:dyDescent="0.25">
      <c r="A41" s="13" t="s">
        <v>144</v>
      </c>
      <c r="B41" s="229" t="s">
        <v>145</v>
      </c>
      <c r="C41" s="9" t="s">
        <v>1806</v>
      </c>
      <c r="D41" s="9" t="s">
        <v>1820</v>
      </c>
      <c r="E41" s="9" t="s">
        <v>1821</v>
      </c>
    </row>
    <row r="42" spans="1:5" s="9" customFormat="1" ht="15.75" x14ac:dyDescent="0.25">
      <c r="A42" s="13" t="s">
        <v>147</v>
      </c>
      <c r="B42" s="229" t="s">
        <v>148</v>
      </c>
      <c r="C42" s="9" t="s">
        <v>1806</v>
      </c>
      <c r="D42" s="9" t="s">
        <v>1820</v>
      </c>
      <c r="E42" s="9" t="s">
        <v>1821</v>
      </c>
    </row>
    <row r="43" spans="1:5" s="9" customFormat="1" ht="30" x14ac:dyDescent="0.25">
      <c r="A43" s="13" t="s">
        <v>149</v>
      </c>
      <c r="B43" s="229" t="s">
        <v>151</v>
      </c>
      <c r="C43" s="9" t="s">
        <v>1806</v>
      </c>
      <c r="D43" s="9" t="s">
        <v>1820</v>
      </c>
      <c r="E43" s="9" t="s">
        <v>1821</v>
      </c>
    </row>
    <row r="44" spans="1:5" s="9" customFormat="1" ht="48.6" customHeight="1" x14ac:dyDescent="0.25">
      <c r="A44" s="13" t="s">
        <v>153</v>
      </c>
      <c r="B44" s="229" t="s">
        <v>154</v>
      </c>
      <c r="C44" s="9" t="s">
        <v>1806</v>
      </c>
      <c r="D44" s="9" t="s">
        <v>1820</v>
      </c>
      <c r="E44" s="9" t="s">
        <v>1821</v>
      </c>
    </row>
    <row r="45" spans="1:5" s="9" customFormat="1" ht="15.75" x14ac:dyDescent="0.25">
      <c r="A45" s="13" t="s">
        <v>155</v>
      </c>
      <c r="B45" s="229" t="s">
        <v>156</v>
      </c>
      <c r="C45" s="9" t="s">
        <v>1806</v>
      </c>
      <c r="D45" s="9" t="s">
        <v>1820</v>
      </c>
      <c r="E45" s="9" t="s">
        <v>1821</v>
      </c>
    </row>
    <row r="46" spans="1:5" s="9" customFormat="1" ht="15.75" x14ac:dyDescent="0.25">
      <c r="A46" s="13" t="s">
        <v>157</v>
      </c>
      <c r="B46" s="229" t="s">
        <v>148</v>
      </c>
      <c r="C46" s="9" t="s">
        <v>1806</v>
      </c>
      <c r="D46" s="9" t="s">
        <v>1820</v>
      </c>
      <c r="E46" s="9" t="s">
        <v>1821</v>
      </c>
    </row>
    <row r="47" spans="1:5" s="9" customFormat="1" ht="30" x14ac:dyDescent="0.25">
      <c r="A47" s="13" t="s">
        <v>158</v>
      </c>
      <c r="B47" s="229" t="s">
        <v>159</v>
      </c>
      <c r="C47" s="9" t="s">
        <v>1806</v>
      </c>
      <c r="D47" s="9" t="s">
        <v>1820</v>
      </c>
      <c r="E47" s="9" t="s">
        <v>1821</v>
      </c>
    </row>
    <row r="48" spans="1:5" s="9" customFormat="1" ht="15.75" x14ac:dyDescent="0.25">
      <c r="A48" s="24" t="s">
        <v>1823</v>
      </c>
      <c r="B48" s="249" t="s">
        <v>164</v>
      </c>
    </row>
    <row r="49" spans="1:5" s="9" customFormat="1" ht="15.75" x14ac:dyDescent="0.25">
      <c r="A49" s="108" t="s">
        <v>1824</v>
      </c>
      <c r="B49" s="244" t="s">
        <v>166</v>
      </c>
    </row>
    <row r="50" spans="1:5" s="9" customFormat="1" x14ac:dyDescent="0.25">
      <c r="A50" s="297" t="s">
        <v>1825</v>
      </c>
      <c r="B50" s="269" t="s">
        <v>1826</v>
      </c>
    </row>
    <row r="51" spans="1:5" s="9" customFormat="1" ht="15.75" x14ac:dyDescent="0.25">
      <c r="A51" s="13" t="s">
        <v>167</v>
      </c>
      <c r="B51" s="229" t="s">
        <v>169</v>
      </c>
      <c r="C51" s="9" t="s">
        <v>1823</v>
      </c>
      <c r="D51" s="9" t="s">
        <v>1824</v>
      </c>
      <c r="E51" s="9" t="s">
        <v>1825</v>
      </c>
    </row>
    <row r="52" spans="1:5" s="9" customFormat="1" ht="30" x14ac:dyDescent="0.25">
      <c r="A52" s="13" t="s">
        <v>171</v>
      </c>
      <c r="B52" s="229" t="s">
        <v>173</v>
      </c>
      <c r="C52" s="9" t="s">
        <v>1823</v>
      </c>
      <c r="D52" s="9" t="s">
        <v>1824</v>
      </c>
      <c r="E52" s="9" t="s">
        <v>1825</v>
      </c>
    </row>
    <row r="53" spans="1:5" s="9" customFormat="1" ht="15.75" x14ac:dyDescent="0.25">
      <c r="A53" s="13" t="s">
        <v>175</v>
      </c>
      <c r="B53" s="229" t="s">
        <v>177</v>
      </c>
      <c r="C53" s="9" t="s">
        <v>1823</v>
      </c>
      <c r="D53" s="9" t="s">
        <v>1824</v>
      </c>
      <c r="E53" s="9" t="s">
        <v>1825</v>
      </c>
    </row>
    <row r="54" spans="1:5" s="9" customFormat="1" ht="15.75" x14ac:dyDescent="0.25">
      <c r="A54" s="13" t="s">
        <v>180</v>
      </c>
      <c r="B54" s="229" t="s">
        <v>181</v>
      </c>
      <c r="C54" s="9" t="s">
        <v>1823</v>
      </c>
      <c r="D54" s="9" t="s">
        <v>1824</v>
      </c>
      <c r="E54" s="9" t="s">
        <v>1825</v>
      </c>
    </row>
    <row r="55" spans="1:5" s="9" customFormat="1" ht="45" x14ac:dyDescent="0.25">
      <c r="A55" s="13" t="s">
        <v>182</v>
      </c>
      <c r="B55" s="229" t="s">
        <v>183</v>
      </c>
      <c r="C55" s="9" t="s">
        <v>1823</v>
      </c>
      <c r="D55" s="9" t="s">
        <v>1824</v>
      </c>
      <c r="E55" s="9" t="s">
        <v>1825</v>
      </c>
    </row>
    <row r="56" spans="1:5" s="9" customFormat="1" ht="15.75" x14ac:dyDescent="0.25">
      <c r="A56" s="108" t="s">
        <v>1827</v>
      </c>
      <c r="B56" s="244" t="s">
        <v>185</v>
      </c>
    </row>
    <row r="57" spans="1:5" s="9" customFormat="1" x14ac:dyDescent="0.25">
      <c r="A57" s="297" t="s">
        <v>1828</v>
      </c>
      <c r="B57" s="269" t="s">
        <v>1829</v>
      </c>
    </row>
    <row r="58" spans="1:5" s="9" customFormat="1" ht="15.75" x14ac:dyDescent="0.25">
      <c r="A58" s="13" t="s">
        <v>186</v>
      </c>
      <c r="B58" s="229" t="s">
        <v>187</v>
      </c>
      <c r="C58" s="9" t="s">
        <v>1823</v>
      </c>
      <c r="D58" s="9" t="s">
        <v>1827</v>
      </c>
      <c r="E58" s="9" t="s">
        <v>1828</v>
      </c>
    </row>
    <row r="59" spans="1:5" s="9" customFormat="1" ht="30" x14ac:dyDescent="0.25">
      <c r="A59" s="13" t="s">
        <v>190</v>
      </c>
      <c r="B59" s="229" t="s">
        <v>191</v>
      </c>
      <c r="C59" s="9" t="s">
        <v>1823</v>
      </c>
      <c r="D59" s="9" t="s">
        <v>1827</v>
      </c>
      <c r="E59" s="9" t="s">
        <v>1828</v>
      </c>
    </row>
    <row r="60" spans="1:5" s="9" customFormat="1" ht="82.35" customHeight="1" x14ac:dyDescent="0.25">
      <c r="A60" s="13" t="s">
        <v>192</v>
      </c>
      <c r="B60" s="229" t="s">
        <v>193</v>
      </c>
      <c r="C60" s="9" t="s">
        <v>1823</v>
      </c>
      <c r="D60" s="9" t="s">
        <v>1827</v>
      </c>
      <c r="E60" s="9" t="s">
        <v>1828</v>
      </c>
    </row>
    <row r="61" spans="1:5" s="9" customFormat="1" ht="15.75" x14ac:dyDescent="0.25">
      <c r="A61" s="24" t="s">
        <v>1830</v>
      </c>
      <c r="B61" s="249" t="s">
        <v>195</v>
      </c>
    </row>
    <row r="62" spans="1:5" s="9" customFormat="1" ht="15.75" x14ac:dyDescent="0.25">
      <c r="A62" s="108" t="s">
        <v>1831</v>
      </c>
      <c r="B62" s="244" t="s">
        <v>197</v>
      </c>
    </row>
    <row r="63" spans="1:5" s="9" customFormat="1" x14ac:dyDescent="0.25">
      <c r="A63" s="297" t="s">
        <v>1832</v>
      </c>
      <c r="B63" s="269" t="s">
        <v>1833</v>
      </c>
    </row>
    <row r="64" spans="1:5" s="9" customFormat="1" ht="54.6" customHeight="1" x14ac:dyDescent="0.25">
      <c r="A64" s="13" t="s">
        <v>198</v>
      </c>
      <c r="B64" s="229" t="s">
        <v>200</v>
      </c>
      <c r="C64" s="9" t="s">
        <v>1830</v>
      </c>
      <c r="D64" s="9" t="s">
        <v>1831</v>
      </c>
      <c r="E64" s="9" t="s">
        <v>1832</v>
      </c>
    </row>
    <row r="65" spans="1:5" s="9" customFormat="1" ht="15.75" x14ac:dyDescent="0.25">
      <c r="A65" s="13" t="s">
        <v>202</v>
      </c>
      <c r="B65" s="229" t="s">
        <v>203</v>
      </c>
      <c r="C65" s="9" t="s">
        <v>1830</v>
      </c>
      <c r="D65" s="9" t="s">
        <v>1831</v>
      </c>
      <c r="E65" s="9" t="s">
        <v>1832</v>
      </c>
    </row>
    <row r="66" spans="1:5" s="9" customFormat="1" ht="15.75" x14ac:dyDescent="0.25">
      <c r="A66" s="13" t="s">
        <v>205</v>
      </c>
      <c r="B66" s="229" t="s">
        <v>207</v>
      </c>
      <c r="C66" s="9" t="s">
        <v>1830</v>
      </c>
      <c r="D66" s="9" t="s">
        <v>1831</v>
      </c>
      <c r="E66" s="9" t="s">
        <v>1832</v>
      </c>
    </row>
    <row r="67" spans="1:5" s="9" customFormat="1" ht="74.099999999999994" customHeight="1" x14ac:dyDescent="0.25">
      <c r="A67" s="13" t="s">
        <v>209</v>
      </c>
      <c r="B67" s="229" t="s">
        <v>211</v>
      </c>
      <c r="C67" s="9" t="s">
        <v>1830</v>
      </c>
      <c r="D67" s="9" t="s">
        <v>1831</v>
      </c>
      <c r="E67" s="9" t="s">
        <v>1832</v>
      </c>
    </row>
    <row r="68" spans="1:5" s="9" customFormat="1" ht="30" x14ac:dyDescent="0.25">
      <c r="A68" s="13" t="s">
        <v>213</v>
      </c>
      <c r="B68" s="229" t="s">
        <v>214</v>
      </c>
      <c r="C68" s="9" t="s">
        <v>1830</v>
      </c>
      <c r="D68" s="9" t="s">
        <v>1831</v>
      </c>
      <c r="E68" s="9" t="s">
        <v>1832</v>
      </c>
    </row>
    <row r="69" spans="1:5" s="9" customFormat="1" ht="15.75" x14ac:dyDescent="0.25">
      <c r="A69" s="13" t="s">
        <v>216</v>
      </c>
      <c r="B69" s="229" t="s">
        <v>217</v>
      </c>
      <c r="C69" s="9" t="s">
        <v>1830</v>
      </c>
      <c r="D69" s="9" t="s">
        <v>1831</v>
      </c>
      <c r="E69" s="9" t="s">
        <v>1832</v>
      </c>
    </row>
    <row r="70" spans="1:5" s="9" customFormat="1" ht="30" x14ac:dyDescent="0.25">
      <c r="A70" s="13" t="s">
        <v>218</v>
      </c>
      <c r="B70" s="229" t="s">
        <v>219</v>
      </c>
      <c r="C70" s="9" t="s">
        <v>1830</v>
      </c>
      <c r="D70" s="9" t="s">
        <v>1831</v>
      </c>
      <c r="E70" s="9" t="s">
        <v>1832</v>
      </c>
    </row>
    <row r="71" spans="1:5" s="9" customFormat="1" ht="15.75" x14ac:dyDescent="0.25">
      <c r="A71" s="13" t="s">
        <v>220</v>
      </c>
      <c r="B71" s="229" t="s">
        <v>221</v>
      </c>
      <c r="C71" s="9" t="s">
        <v>1830</v>
      </c>
      <c r="D71" s="9" t="s">
        <v>1831</v>
      </c>
      <c r="E71" s="9" t="s">
        <v>1832</v>
      </c>
    </row>
    <row r="72" spans="1:5" s="9" customFormat="1" ht="15.75" x14ac:dyDescent="0.25">
      <c r="A72" s="13" t="s">
        <v>222</v>
      </c>
      <c r="B72" s="229" t="s">
        <v>223</v>
      </c>
      <c r="C72" s="9" t="s">
        <v>1830</v>
      </c>
      <c r="D72" s="9" t="s">
        <v>1831</v>
      </c>
      <c r="E72" s="9" t="s">
        <v>1832</v>
      </c>
    </row>
    <row r="73" spans="1:5" s="9" customFormat="1" ht="15.75" x14ac:dyDescent="0.25">
      <c r="A73" s="13" t="s">
        <v>224</v>
      </c>
      <c r="B73" s="229" t="s">
        <v>225</v>
      </c>
      <c r="C73" s="9" t="s">
        <v>1830</v>
      </c>
      <c r="D73" s="9" t="s">
        <v>1831</v>
      </c>
      <c r="E73" s="9" t="s">
        <v>1832</v>
      </c>
    </row>
    <row r="74" spans="1:5" s="9" customFormat="1" ht="15.75" x14ac:dyDescent="0.25">
      <c r="A74" s="13" t="s">
        <v>227</v>
      </c>
      <c r="B74" s="229" t="s">
        <v>228</v>
      </c>
      <c r="C74" s="9" t="s">
        <v>1830</v>
      </c>
      <c r="D74" s="9" t="s">
        <v>1831</v>
      </c>
      <c r="E74" s="9" t="s">
        <v>1832</v>
      </c>
    </row>
    <row r="75" spans="1:5" s="9" customFormat="1" ht="15.75" x14ac:dyDescent="0.25">
      <c r="A75" s="108" t="s">
        <v>1834</v>
      </c>
      <c r="B75" s="244" t="s">
        <v>230</v>
      </c>
    </row>
    <row r="76" spans="1:5" s="9" customFormat="1" ht="15.75" x14ac:dyDescent="0.25">
      <c r="A76" s="123" t="s">
        <v>1835</v>
      </c>
      <c r="B76" s="256" t="s">
        <v>1836</v>
      </c>
    </row>
    <row r="77" spans="1:5" s="9" customFormat="1" ht="15.75" x14ac:dyDescent="0.25">
      <c r="A77" s="13" t="s">
        <v>231</v>
      </c>
      <c r="B77" s="229" t="s">
        <v>233</v>
      </c>
      <c r="C77" s="9" t="s">
        <v>1830</v>
      </c>
      <c r="D77" s="9" t="s">
        <v>1834</v>
      </c>
      <c r="E77" s="9" t="s">
        <v>1835</v>
      </c>
    </row>
    <row r="78" spans="1:5" s="9" customFormat="1" ht="15.75" x14ac:dyDescent="0.25">
      <c r="A78" s="123" t="s">
        <v>1837</v>
      </c>
      <c r="B78" s="256" t="s">
        <v>236</v>
      </c>
    </row>
    <row r="79" spans="1:5" s="9" customFormat="1" ht="30" x14ac:dyDescent="0.25">
      <c r="A79" s="13" t="s">
        <v>237</v>
      </c>
      <c r="B79" s="229" t="s">
        <v>238</v>
      </c>
      <c r="C79" s="9" t="s">
        <v>1830</v>
      </c>
      <c r="D79" s="9" t="s">
        <v>1834</v>
      </c>
      <c r="E79" s="9" t="s">
        <v>1837</v>
      </c>
    </row>
    <row r="80" spans="1:5" s="9" customFormat="1" ht="15.75" x14ac:dyDescent="0.25">
      <c r="A80" s="13" t="s">
        <v>239</v>
      </c>
      <c r="B80" s="229" t="s">
        <v>241</v>
      </c>
      <c r="C80" s="9" t="s">
        <v>1830</v>
      </c>
      <c r="D80" s="9" t="s">
        <v>1834</v>
      </c>
      <c r="E80" s="9" t="s">
        <v>1837</v>
      </c>
    </row>
    <row r="81" spans="1:5" s="9" customFormat="1" ht="15.75" x14ac:dyDescent="0.25">
      <c r="A81" s="13" t="s">
        <v>243</v>
      </c>
      <c r="B81" s="229" t="s">
        <v>245</v>
      </c>
      <c r="C81" s="9" t="s">
        <v>1830</v>
      </c>
      <c r="D81" s="9" t="s">
        <v>1834</v>
      </c>
      <c r="E81" s="9" t="s">
        <v>1837</v>
      </c>
    </row>
    <row r="82" spans="1:5" s="9" customFormat="1" ht="30" x14ac:dyDescent="0.25">
      <c r="A82" s="13" t="s">
        <v>247</v>
      </c>
      <c r="B82" s="229" t="s">
        <v>249</v>
      </c>
      <c r="C82" s="9" t="s">
        <v>1830</v>
      </c>
      <c r="D82" s="9" t="s">
        <v>1834</v>
      </c>
      <c r="E82" s="9" t="s">
        <v>1837</v>
      </c>
    </row>
    <row r="83" spans="1:5" s="9" customFormat="1" ht="32.1" customHeight="1" x14ac:dyDescent="0.25">
      <c r="A83" s="13" t="s">
        <v>251</v>
      </c>
      <c r="B83" s="229" t="s">
        <v>252</v>
      </c>
      <c r="C83" s="9" t="s">
        <v>1830</v>
      </c>
      <c r="D83" s="9" t="s">
        <v>1834</v>
      </c>
      <c r="E83" s="9" t="s">
        <v>1837</v>
      </c>
    </row>
    <row r="84" spans="1:5" s="9" customFormat="1" ht="15.75" x14ac:dyDescent="0.25">
      <c r="A84" s="13" t="s">
        <v>253</v>
      </c>
      <c r="B84" s="229" t="s">
        <v>255</v>
      </c>
      <c r="C84" s="9" t="s">
        <v>1830</v>
      </c>
      <c r="D84" s="9" t="s">
        <v>1834</v>
      </c>
      <c r="E84" s="9" t="s">
        <v>1837</v>
      </c>
    </row>
    <row r="85" spans="1:5" s="9" customFormat="1" ht="15.75" x14ac:dyDescent="0.25">
      <c r="A85" s="123" t="s">
        <v>1838</v>
      </c>
      <c r="B85" s="256" t="s">
        <v>258</v>
      </c>
    </row>
    <row r="86" spans="1:5" s="9" customFormat="1" ht="30" x14ac:dyDescent="0.25">
      <c r="A86" s="13" t="s">
        <v>259</v>
      </c>
      <c r="B86" s="229" t="s">
        <v>260</v>
      </c>
      <c r="C86" s="9" t="s">
        <v>1830</v>
      </c>
      <c r="D86" s="9" t="s">
        <v>1834</v>
      </c>
      <c r="E86" s="9" t="s">
        <v>1838</v>
      </c>
    </row>
    <row r="87" spans="1:5" s="9" customFormat="1" ht="34.35" customHeight="1" x14ac:dyDescent="0.25">
      <c r="A87" s="13" t="s">
        <v>262</v>
      </c>
      <c r="B87" s="229" t="s">
        <v>264</v>
      </c>
      <c r="C87" s="9" t="s">
        <v>1830</v>
      </c>
      <c r="D87" s="9" t="s">
        <v>1834</v>
      </c>
      <c r="E87" s="9" t="s">
        <v>1838</v>
      </c>
    </row>
    <row r="88" spans="1:5" s="9" customFormat="1" ht="15.75" x14ac:dyDescent="0.25">
      <c r="A88" s="13" t="s">
        <v>266</v>
      </c>
      <c r="B88" s="229" t="s">
        <v>252</v>
      </c>
      <c r="C88" s="9" t="s">
        <v>1830</v>
      </c>
      <c r="D88" s="9" t="s">
        <v>1834</v>
      </c>
      <c r="E88" s="9" t="s">
        <v>1838</v>
      </c>
    </row>
    <row r="89" spans="1:5" s="9" customFormat="1" ht="15.75" x14ac:dyDescent="0.25">
      <c r="A89" s="13" t="s">
        <v>267</v>
      </c>
      <c r="B89" s="229" t="s">
        <v>268</v>
      </c>
      <c r="C89" s="9" t="s">
        <v>1830</v>
      </c>
      <c r="D89" s="9" t="s">
        <v>1834</v>
      </c>
      <c r="E89" s="9" t="s">
        <v>1838</v>
      </c>
    </row>
    <row r="90" spans="1:5" s="9" customFormat="1" ht="53.85" customHeight="1" x14ac:dyDescent="0.25">
      <c r="A90" s="13" t="s">
        <v>270</v>
      </c>
      <c r="B90" s="229" t="s">
        <v>271</v>
      </c>
      <c r="C90" s="9" t="s">
        <v>1830</v>
      </c>
      <c r="D90" s="9" t="s">
        <v>1834</v>
      </c>
      <c r="E90" s="9" t="s">
        <v>1838</v>
      </c>
    </row>
    <row r="91" spans="1:5" s="9" customFormat="1" ht="15.75" x14ac:dyDescent="0.25">
      <c r="A91" s="13" t="s">
        <v>272</v>
      </c>
      <c r="B91" s="229" t="s">
        <v>274</v>
      </c>
      <c r="C91" s="9" t="s">
        <v>1830</v>
      </c>
      <c r="D91" s="9" t="s">
        <v>1834</v>
      </c>
      <c r="E91" s="9" t="s">
        <v>1838</v>
      </c>
    </row>
    <row r="92" spans="1:5" s="9" customFormat="1" ht="15.75" x14ac:dyDescent="0.25">
      <c r="A92" s="13" t="s">
        <v>276</v>
      </c>
      <c r="B92" s="229" t="s">
        <v>278</v>
      </c>
      <c r="C92" s="9" t="s">
        <v>1830</v>
      </c>
      <c r="D92" s="9" t="s">
        <v>1834</v>
      </c>
      <c r="E92" s="9" t="s">
        <v>1838</v>
      </c>
    </row>
    <row r="93" spans="1:5" s="9" customFormat="1" ht="15.75" x14ac:dyDescent="0.25">
      <c r="A93" s="13" t="s">
        <v>280</v>
      </c>
      <c r="B93" s="229" t="s">
        <v>281</v>
      </c>
      <c r="C93" s="9" t="s">
        <v>1830</v>
      </c>
      <c r="D93" s="9" t="s">
        <v>1834</v>
      </c>
      <c r="E93" s="9" t="s">
        <v>1838</v>
      </c>
    </row>
    <row r="94" spans="1:5" s="9" customFormat="1" ht="15.75" x14ac:dyDescent="0.25">
      <c r="A94" s="108" t="s">
        <v>1839</v>
      </c>
      <c r="B94" s="244" t="s">
        <v>283</v>
      </c>
    </row>
    <row r="95" spans="1:5" s="9" customFormat="1" ht="15.75" x14ac:dyDescent="0.25">
      <c r="A95" s="123" t="s">
        <v>1840</v>
      </c>
      <c r="B95" s="256" t="s">
        <v>1841</v>
      </c>
    </row>
    <row r="96" spans="1:5" s="9" customFormat="1" ht="15.75" x14ac:dyDescent="0.25">
      <c r="A96" s="13" t="s">
        <v>284</v>
      </c>
      <c r="B96" s="229" t="s">
        <v>286</v>
      </c>
      <c r="C96" s="9" t="s">
        <v>1830</v>
      </c>
      <c r="D96" s="9" t="s">
        <v>1839</v>
      </c>
      <c r="E96" s="9" t="s">
        <v>1840</v>
      </c>
    </row>
    <row r="97" spans="1:5" s="9" customFormat="1" ht="30" x14ac:dyDescent="0.25">
      <c r="A97" s="13" t="s">
        <v>288</v>
      </c>
      <c r="B97" s="229" t="s">
        <v>289</v>
      </c>
      <c r="C97" s="9" t="s">
        <v>1830</v>
      </c>
      <c r="D97" s="9" t="s">
        <v>1839</v>
      </c>
      <c r="E97" s="9" t="s">
        <v>1840</v>
      </c>
    </row>
    <row r="98" spans="1:5" s="9" customFormat="1" ht="15.75" x14ac:dyDescent="0.25">
      <c r="A98" s="13" t="s">
        <v>292</v>
      </c>
      <c r="B98" s="229" t="s">
        <v>294</v>
      </c>
      <c r="C98" s="9" t="s">
        <v>1830</v>
      </c>
      <c r="D98" s="9" t="s">
        <v>1839</v>
      </c>
      <c r="E98" s="9" t="s">
        <v>1840</v>
      </c>
    </row>
    <row r="99" spans="1:5" s="9" customFormat="1" ht="15.75" x14ac:dyDescent="0.25">
      <c r="A99" s="13" t="s">
        <v>296</v>
      </c>
      <c r="B99" s="229" t="s">
        <v>297</v>
      </c>
      <c r="C99" s="9" t="s">
        <v>1830</v>
      </c>
      <c r="D99" s="9" t="s">
        <v>1839</v>
      </c>
      <c r="E99" s="9" t="s">
        <v>1840</v>
      </c>
    </row>
    <row r="100" spans="1:5" s="9" customFormat="1" ht="15.75" x14ac:dyDescent="0.25">
      <c r="A100" s="13" t="s">
        <v>298</v>
      </c>
      <c r="B100" s="229" t="s">
        <v>300</v>
      </c>
      <c r="C100" s="9" t="s">
        <v>1830</v>
      </c>
      <c r="D100" s="9" t="s">
        <v>1839</v>
      </c>
      <c r="E100" s="9" t="s">
        <v>1840</v>
      </c>
    </row>
    <row r="101" spans="1:5" s="9" customFormat="1" ht="32.1" customHeight="1" x14ac:dyDescent="0.25">
      <c r="A101" s="13" t="s">
        <v>302</v>
      </c>
      <c r="B101" s="229" t="s">
        <v>304</v>
      </c>
      <c r="C101" s="9" t="s">
        <v>1830</v>
      </c>
      <c r="D101" s="9" t="s">
        <v>1839</v>
      </c>
      <c r="E101" s="9" t="s">
        <v>1840</v>
      </c>
    </row>
    <row r="102" spans="1:5" s="9" customFormat="1" ht="69" customHeight="1" x14ac:dyDescent="0.25">
      <c r="A102" s="13" t="s">
        <v>306</v>
      </c>
      <c r="B102" s="229" t="s">
        <v>308</v>
      </c>
      <c r="C102" s="9" t="s">
        <v>1830</v>
      </c>
      <c r="D102" s="9" t="s">
        <v>1839</v>
      </c>
      <c r="E102" s="9" t="s">
        <v>1840</v>
      </c>
    </row>
    <row r="103" spans="1:5" s="9" customFormat="1" ht="15.75" x14ac:dyDescent="0.25">
      <c r="A103" s="13" t="s">
        <v>310</v>
      </c>
      <c r="B103" s="229" t="s">
        <v>312</v>
      </c>
      <c r="C103" s="9" t="s">
        <v>1830</v>
      </c>
      <c r="D103" s="9" t="s">
        <v>1839</v>
      </c>
      <c r="E103" s="9" t="s">
        <v>1840</v>
      </c>
    </row>
    <row r="104" spans="1:5" s="9" customFormat="1" ht="69" customHeight="1" x14ac:dyDescent="0.25">
      <c r="A104" s="13" t="s">
        <v>314</v>
      </c>
      <c r="B104" s="229" t="s">
        <v>315</v>
      </c>
      <c r="C104" s="9" t="s">
        <v>1830</v>
      </c>
      <c r="D104" s="9" t="s">
        <v>1839</v>
      </c>
      <c r="E104" s="9" t="s">
        <v>1840</v>
      </c>
    </row>
    <row r="105" spans="1:5" s="9" customFormat="1" ht="69" customHeight="1" x14ac:dyDescent="0.25">
      <c r="A105" s="13" t="s">
        <v>317</v>
      </c>
      <c r="B105" s="229" t="s">
        <v>318</v>
      </c>
      <c r="C105" s="9" t="s">
        <v>1830</v>
      </c>
      <c r="D105" s="9" t="s">
        <v>1839</v>
      </c>
      <c r="E105" s="9" t="s">
        <v>1840</v>
      </c>
    </row>
    <row r="106" spans="1:5" s="9" customFormat="1" ht="30" x14ac:dyDescent="0.25">
      <c r="A106" s="13" t="s">
        <v>319</v>
      </c>
      <c r="B106" s="229" t="s">
        <v>321</v>
      </c>
      <c r="C106" s="9" t="s">
        <v>1830</v>
      </c>
      <c r="D106" s="9" t="s">
        <v>1839</v>
      </c>
      <c r="E106" s="9" t="s">
        <v>1840</v>
      </c>
    </row>
    <row r="107" spans="1:5" s="9" customFormat="1" ht="15.75" x14ac:dyDescent="0.25">
      <c r="A107" s="13" t="s">
        <v>323</v>
      </c>
      <c r="B107" s="229" t="s">
        <v>324</v>
      </c>
      <c r="C107" s="9" t="s">
        <v>1830</v>
      </c>
      <c r="D107" s="9" t="s">
        <v>1839</v>
      </c>
      <c r="E107" s="9" t="s">
        <v>1840</v>
      </c>
    </row>
    <row r="108" spans="1:5" s="9" customFormat="1" ht="69" customHeight="1" x14ac:dyDescent="0.25">
      <c r="A108" s="13" t="s">
        <v>325</v>
      </c>
      <c r="B108" s="229" t="s">
        <v>326</v>
      </c>
      <c r="C108" s="9" t="s">
        <v>1830</v>
      </c>
      <c r="D108" s="9" t="s">
        <v>1839</v>
      </c>
      <c r="E108" s="9" t="s">
        <v>1840</v>
      </c>
    </row>
    <row r="109" spans="1:5" s="9" customFormat="1" ht="69" customHeight="1" x14ac:dyDescent="0.25">
      <c r="A109" s="13" t="s">
        <v>327</v>
      </c>
      <c r="B109" s="229" t="s">
        <v>318</v>
      </c>
      <c r="C109" s="9" t="s">
        <v>1830</v>
      </c>
      <c r="D109" s="9" t="s">
        <v>1839</v>
      </c>
      <c r="E109" s="9" t="s">
        <v>1840</v>
      </c>
    </row>
    <row r="110" spans="1:5" s="9" customFormat="1" ht="84.6" customHeight="1" x14ac:dyDescent="0.25">
      <c r="A110" s="13" t="s">
        <v>328</v>
      </c>
      <c r="B110" s="229" t="s">
        <v>330</v>
      </c>
      <c r="C110" s="9" t="s">
        <v>1830</v>
      </c>
      <c r="D110" s="9" t="s">
        <v>1839</v>
      </c>
      <c r="E110" s="9" t="s">
        <v>1840</v>
      </c>
    </row>
    <row r="111" spans="1:5" s="9" customFormat="1" ht="15.75" x14ac:dyDescent="0.25">
      <c r="A111" s="108" t="s">
        <v>1842</v>
      </c>
      <c r="B111" s="244" t="s">
        <v>333</v>
      </c>
    </row>
    <row r="112" spans="1:5" s="9" customFormat="1" ht="15.75" x14ac:dyDescent="0.25">
      <c r="A112" s="123" t="s">
        <v>1843</v>
      </c>
      <c r="B112" s="256" t="s">
        <v>1844</v>
      </c>
    </row>
    <row r="113" spans="1:5" s="9" customFormat="1" ht="15.75" x14ac:dyDescent="0.25">
      <c r="A113" s="13" t="s">
        <v>334</v>
      </c>
      <c r="B113" s="229" t="s">
        <v>336</v>
      </c>
      <c r="C113" s="9" t="s">
        <v>1830</v>
      </c>
      <c r="D113" s="9" t="s">
        <v>1842</v>
      </c>
      <c r="E113" s="9" t="s">
        <v>1843</v>
      </c>
    </row>
    <row r="114" spans="1:5" s="9" customFormat="1" ht="15.75" x14ac:dyDescent="0.25">
      <c r="A114" s="142" t="s">
        <v>1845</v>
      </c>
      <c r="B114" s="256" t="s">
        <v>339</v>
      </c>
    </row>
    <row r="115" spans="1:5" s="9" customFormat="1" ht="144.6" customHeight="1" x14ac:dyDescent="0.25">
      <c r="A115" s="13" t="s">
        <v>340</v>
      </c>
      <c r="B115" s="229" t="s">
        <v>342</v>
      </c>
      <c r="C115" s="9" t="s">
        <v>1830</v>
      </c>
      <c r="D115" s="9" t="s">
        <v>1842</v>
      </c>
      <c r="E115" s="9" t="s">
        <v>1845</v>
      </c>
    </row>
    <row r="116" spans="1:5" s="9" customFormat="1" ht="30" x14ac:dyDescent="0.25">
      <c r="A116" s="13" t="s">
        <v>344</v>
      </c>
      <c r="B116" s="229" t="s">
        <v>345</v>
      </c>
      <c r="C116" s="9" t="s">
        <v>1830</v>
      </c>
      <c r="D116" s="9" t="s">
        <v>1842</v>
      </c>
      <c r="E116" s="9" t="s">
        <v>1845</v>
      </c>
    </row>
    <row r="117" spans="1:5" s="9" customFormat="1" ht="15.75" x14ac:dyDescent="0.25">
      <c r="A117" s="142" t="s">
        <v>1846</v>
      </c>
      <c r="B117" s="256" t="s">
        <v>347</v>
      </c>
    </row>
    <row r="118" spans="1:5" s="9" customFormat="1" ht="130.5" customHeight="1" x14ac:dyDescent="0.25">
      <c r="A118" s="263" t="s">
        <v>348</v>
      </c>
      <c r="B118" s="229" t="s">
        <v>350</v>
      </c>
      <c r="C118" s="9" t="s">
        <v>1830</v>
      </c>
      <c r="D118" s="9" t="s">
        <v>1842</v>
      </c>
      <c r="E118" s="9" t="s">
        <v>1846</v>
      </c>
    </row>
    <row r="119" spans="1:5" s="9" customFormat="1" ht="15.75" x14ac:dyDescent="0.25">
      <c r="A119" s="108" t="s">
        <v>1847</v>
      </c>
      <c r="B119" s="244" t="s">
        <v>353</v>
      </c>
    </row>
    <row r="120" spans="1:5" s="9" customFormat="1" ht="15.75" x14ac:dyDescent="0.25">
      <c r="A120" s="123" t="s">
        <v>1848</v>
      </c>
      <c r="B120" s="256" t="s">
        <v>1849</v>
      </c>
    </row>
    <row r="121" spans="1:5" s="9" customFormat="1" ht="30" x14ac:dyDescent="0.25">
      <c r="A121" s="13" t="s">
        <v>354</v>
      </c>
      <c r="B121" s="229" t="s">
        <v>356</v>
      </c>
      <c r="C121" s="9" t="s">
        <v>1830</v>
      </c>
      <c r="D121" s="9" t="s">
        <v>1847</v>
      </c>
      <c r="E121" s="9" t="s">
        <v>1848</v>
      </c>
    </row>
    <row r="122" spans="1:5" s="9" customFormat="1" ht="15.75" x14ac:dyDescent="0.25">
      <c r="A122" s="13" t="s">
        <v>358</v>
      </c>
      <c r="B122" s="229" t="s">
        <v>359</v>
      </c>
      <c r="C122" s="9" t="s">
        <v>1830</v>
      </c>
      <c r="D122" s="9" t="s">
        <v>1847</v>
      </c>
      <c r="E122" s="9" t="s">
        <v>1848</v>
      </c>
    </row>
    <row r="123" spans="1:5" s="9" customFormat="1" ht="30" x14ac:dyDescent="0.25">
      <c r="A123" s="13" t="s">
        <v>360</v>
      </c>
      <c r="B123" s="229" t="s">
        <v>362</v>
      </c>
      <c r="C123" s="9" t="s">
        <v>1830</v>
      </c>
      <c r="D123" s="9" t="s">
        <v>1847</v>
      </c>
      <c r="E123" s="9" t="s">
        <v>1848</v>
      </c>
    </row>
    <row r="124" spans="1:5" s="9" customFormat="1" ht="15.75" x14ac:dyDescent="0.25">
      <c r="A124" s="24" t="s">
        <v>1850</v>
      </c>
      <c r="B124" s="249" t="s">
        <v>365</v>
      </c>
    </row>
    <row r="125" spans="1:5" s="9" customFormat="1" ht="15.75" x14ac:dyDescent="0.25">
      <c r="A125" s="108" t="s">
        <v>1851</v>
      </c>
      <c r="B125" s="244" t="s">
        <v>367</v>
      </c>
    </row>
    <row r="126" spans="1:5" s="9" customFormat="1" ht="15.75" x14ac:dyDescent="0.25">
      <c r="A126" s="123" t="s">
        <v>1852</v>
      </c>
      <c r="B126" s="256" t="s">
        <v>1853</v>
      </c>
    </row>
    <row r="127" spans="1:5" s="9" customFormat="1" ht="15.75" x14ac:dyDescent="0.25">
      <c r="A127" s="13" t="s">
        <v>368</v>
      </c>
      <c r="B127" s="229" t="s">
        <v>370</v>
      </c>
      <c r="C127" s="9" t="s">
        <v>1850</v>
      </c>
      <c r="D127" s="9" t="s">
        <v>1851</v>
      </c>
      <c r="E127" s="9" t="s">
        <v>1852</v>
      </c>
    </row>
    <row r="128" spans="1:5" s="9" customFormat="1" ht="15.75" x14ac:dyDescent="0.25">
      <c r="A128" s="13" t="s">
        <v>372</v>
      </c>
      <c r="B128" s="229" t="s">
        <v>374</v>
      </c>
      <c r="C128" s="9" t="s">
        <v>1850</v>
      </c>
      <c r="D128" s="9" t="s">
        <v>1851</v>
      </c>
      <c r="E128" s="9" t="s">
        <v>1852</v>
      </c>
    </row>
    <row r="129" spans="1:5" s="9" customFormat="1" ht="15.75" x14ac:dyDescent="0.25">
      <c r="A129" s="13" t="s">
        <v>376</v>
      </c>
      <c r="B129" s="229" t="s">
        <v>378</v>
      </c>
      <c r="C129" s="9" t="s">
        <v>1850</v>
      </c>
      <c r="D129" s="9" t="s">
        <v>1851</v>
      </c>
      <c r="E129" s="9" t="s">
        <v>1852</v>
      </c>
    </row>
    <row r="130" spans="1:5" s="9" customFormat="1" ht="15.75" x14ac:dyDescent="0.25">
      <c r="A130" s="13" t="s">
        <v>380</v>
      </c>
      <c r="B130" s="229" t="s">
        <v>381</v>
      </c>
      <c r="C130" s="9" t="s">
        <v>1850</v>
      </c>
      <c r="D130" s="9" t="s">
        <v>1851</v>
      </c>
      <c r="E130" s="9" t="s">
        <v>1852</v>
      </c>
    </row>
    <row r="131" spans="1:5" s="9" customFormat="1" ht="15.75" x14ac:dyDescent="0.25">
      <c r="A131" s="13" t="s">
        <v>383</v>
      </c>
      <c r="B131" s="229" t="s">
        <v>384</v>
      </c>
      <c r="C131" s="9" t="s">
        <v>1850</v>
      </c>
      <c r="D131" s="9" t="s">
        <v>1851</v>
      </c>
      <c r="E131" s="9" t="s">
        <v>1852</v>
      </c>
    </row>
    <row r="132" spans="1:5" s="9" customFormat="1" ht="15.75" x14ac:dyDescent="0.25">
      <c r="A132" s="108" t="s">
        <v>1854</v>
      </c>
      <c r="B132" s="244" t="s">
        <v>386</v>
      </c>
    </row>
    <row r="133" spans="1:5" s="9" customFormat="1" ht="15.75" x14ac:dyDescent="0.25">
      <c r="A133" s="123" t="s">
        <v>1855</v>
      </c>
      <c r="B133" s="256" t="s">
        <v>1856</v>
      </c>
    </row>
    <row r="134" spans="1:5" s="9" customFormat="1" ht="15.75" x14ac:dyDescent="0.25">
      <c r="A134" s="13" t="s">
        <v>387</v>
      </c>
      <c r="B134" s="229" t="s">
        <v>389</v>
      </c>
      <c r="C134" s="9" t="s">
        <v>1850</v>
      </c>
      <c r="D134" s="9" t="s">
        <v>1854</v>
      </c>
      <c r="E134" s="9" t="s">
        <v>1855</v>
      </c>
    </row>
    <row r="135" spans="1:5" s="9" customFormat="1" ht="63.6" customHeight="1" x14ac:dyDescent="0.25">
      <c r="A135" s="13" t="s">
        <v>391</v>
      </c>
      <c r="B135" s="229" t="s">
        <v>392</v>
      </c>
      <c r="C135" s="9" t="s">
        <v>1850</v>
      </c>
      <c r="D135" s="9" t="s">
        <v>1854</v>
      </c>
      <c r="E135" s="9" t="s">
        <v>1855</v>
      </c>
    </row>
    <row r="136" spans="1:5" s="9" customFormat="1" ht="63.6" customHeight="1" x14ac:dyDescent="0.25">
      <c r="A136" s="13" t="s">
        <v>394</v>
      </c>
      <c r="B136" s="229" t="s">
        <v>395</v>
      </c>
      <c r="C136" s="9" t="s">
        <v>1850</v>
      </c>
      <c r="D136" s="9" t="s">
        <v>1854</v>
      </c>
      <c r="E136" s="9" t="s">
        <v>1855</v>
      </c>
    </row>
    <row r="137" spans="1:5" s="9" customFormat="1" ht="15.75" x14ac:dyDescent="0.25">
      <c r="A137" s="13" t="s">
        <v>396</v>
      </c>
      <c r="B137" s="229" t="s">
        <v>398</v>
      </c>
      <c r="C137" s="9" t="s">
        <v>1850</v>
      </c>
      <c r="D137" s="9" t="s">
        <v>1854</v>
      </c>
      <c r="E137" s="9" t="s">
        <v>1855</v>
      </c>
    </row>
    <row r="138" spans="1:5" s="9" customFormat="1" ht="15.75" x14ac:dyDescent="0.25">
      <c r="A138" s="108" t="s">
        <v>1857</v>
      </c>
      <c r="B138" s="244" t="s">
        <v>401</v>
      </c>
    </row>
    <row r="139" spans="1:5" s="9" customFormat="1" ht="15.75" x14ac:dyDescent="0.25">
      <c r="A139" s="142" t="s">
        <v>1858</v>
      </c>
      <c r="B139" s="256" t="s">
        <v>403</v>
      </c>
    </row>
    <row r="140" spans="1:5" s="9" customFormat="1" ht="15.75" x14ac:dyDescent="0.25">
      <c r="A140" s="13" t="s">
        <v>404</v>
      </c>
      <c r="B140" s="229" t="s">
        <v>406</v>
      </c>
      <c r="C140" s="9" t="s">
        <v>1850</v>
      </c>
      <c r="D140" s="9" t="s">
        <v>1857</v>
      </c>
      <c r="E140" s="9" t="s">
        <v>1858</v>
      </c>
    </row>
    <row r="141" spans="1:5" s="9" customFormat="1" ht="15.75" x14ac:dyDescent="0.25">
      <c r="A141" s="13" t="s">
        <v>408</v>
      </c>
      <c r="B141" s="229" t="s">
        <v>409</v>
      </c>
      <c r="C141" s="9" t="s">
        <v>1850</v>
      </c>
      <c r="D141" s="9" t="s">
        <v>1857</v>
      </c>
      <c r="E141" s="9" t="s">
        <v>1858</v>
      </c>
    </row>
    <row r="142" spans="1:5" s="9" customFormat="1" ht="30" x14ac:dyDescent="0.25">
      <c r="A142" s="13" t="s">
        <v>411</v>
      </c>
      <c r="B142" s="229" t="s">
        <v>412</v>
      </c>
      <c r="C142" s="9" t="s">
        <v>1850</v>
      </c>
      <c r="D142" s="9" t="s">
        <v>1857</v>
      </c>
      <c r="E142" s="9" t="s">
        <v>1858</v>
      </c>
    </row>
    <row r="143" spans="1:5" s="9" customFormat="1" ht="15.75" x14ac:dyDescent="0.25">
      <c r="A143" s="13" t="s">
        <v>414</v>
      </c>
      <c r="B143" s="229" t="s">
        <v>416</v>
      </c>
      <c r="C143" s="9" t="s">
        <v>1850</v>
      </c>
      <c r="D143" s="9" t="s">
        <v>1857</v>
      </c>
      <c r="E143" s="9" t="s">
        <v>1858</v>
      </c>
    </row>
    <row r="144" spans="1:5" s="9" customFormat="1" ht="15.75" x14ac:dyDescent="0.25">
      <c r="A144" s="13" t="s">
        <v>418</v>
      </c>
      <c r="B144" s="229" t="s">
        <v>419</v>
      </c>
      <c r="C144" s="9" t="s">
        <v>1850</v>
      </c>
      <c r="D144" s="9" t="s">
        <v>1857</v>
      </c>
      <c r="E144" s="9" t="s">
        <v>1858</v>
      </c>
    </row>
    <row r="145" spans="1:5" s="9" customFormat="1" ht="15.75" x14ac:dyDescent="0.25">
      <c r="A145" s="13" t="s">
        <v>421</v>
      </c>
      <c r="B145" s="229" t="s">
        <v>422</v>
      </c>
      <c r="C145" s="9" t="s">
        <v>1850</v>
      </c>
      <c r="D145" s="9" t="s">
        <v>1857</v>
      </c>
      <c r="E145" s="9" t="s">
        <v>1858</v>
      </c>
    </row>
    <row r="146" spans="1:5" s="9" customFormat="1" ht="15.75" x14ac:dyDescent="0.25">
      <c r="A146" s="142" t="s">
        <v>1859</v>
      </c>
      <c r="B146" s="256" t="s">
        <v>424</v>
      </c>
    </row>
    <row r="147" spans="1:5" s="9" customFormat="1" ht="15.75" x14ac:dyDescent="0.25">
      <c r="A147" s="13" t="s">
        <v>425</v>
      </c>
      <c r="B147" s="229" t="s">
        <v>427</v>
      </c>
      <c r="C147" s="9" t="s">
        <v>1850</v>
      </c>
      <c r="D147" s="9" t="s">
        <v>1857</v>
      </c>
      <c r="E147" s="9" t="s">
        <v>1859</v>
      </c>
    </row>
    <row r="148" spans="1:5" s="9" customFormat="1" ht="15.75" x14ac:dyDescent="0.25">
      <c r="A148" s="13" t="s">
        <v>429</v>
      </c>
      <c r="B148" s="229" t="s">
        <v>409</v>
      </c>
      <c r="C148" s="9" t="s">
        <v>1850</v>
      </c>
      <c r="D148" s="9" t="s">
        <v>1857</v>
      </c>
      <c r="E148" s="9" t="s">
        <v>1859</v>
      </c>
    </row>
    <row r="149" spans="1:5" s="9" customFormat="1" ht="30" x14ac:dyDescent="0.25">
      <c r="A149" s="13" t="s">
        <v>430</v>
      </c>
      <c r="B149" s="229" t="s">
        <v>412</v>
      </c>
      <c r="C149" s="9" t="s">
        <v>1850</v>
      </c>
      <c r="D149" s="9" t="s">
        <v>1857</v>
      </c>
      <c r="E149" s="9" t="s">
        <v>1859</v>
      </c>
    </row>
    <row r="150" spans="1:5" s="9" customFormat="1" ht="15.75" x14ac:dyDescent="0.25">
      <c r="A150" s="13" t="s">
        <v>431</v>
      </c>
      <c r="B150" s="229" t="s">
        <v>433</v>
      </c>
      <c r="C150" s="9" t="s">
        <v>1850</v>
      </c>
      <c r="D150" s="9" t="s">
        <v>1857</v>
      </c>
      <c r="E150" s="9" t="s">
        <v>1859</v>
      </c>
    </row>
    <row r="151" spans="1:5" s="9" customFormat="1" ht="15.75" x14ac:dyDescent="0.25">
      <c r="A151" s="108" t="s">
        <v>1860</v>
      </c>
      <c r="B151" s="244" t="s">
        <v>436</v>
      </c>
    </row>
    <row r="152" spans="1:5" s="9" customFormat="1" ht="15.75" x14ac:dyDescent="0.25">
      <c r="A152" s="123" t="s">
        <v>1861</v>
      </c>
      <c r="B152" s="256" t="s">
        <v>1862</v>
      </c>
    </row>
    <row r="153" spans="1:5" s="9" customFormat="1" ht="95.85" customHeight="1" x14ac:dyDescent="0.25">
      <c r="A153" s="13" t="s">
        <v>437</v>
      </c>
      <c r="B153" s="229" t="s">
        <v>439</v>
      </c>
      <c r="C153" s="9" t="s">
        <v>1850</v>
      </c>
      <c r="D153" s="9" t="s">
        <v>1860</v>
      </c>
      <c r="E153" s="9" t="s">
        <v>1861</v>
      </c>
    </row>
    <row r="154" spans="1:5" s="9" customFormat="1" ht="30" x14ac:dyDescent="0.25">
      <c r="A154" s="13" t="s">
        <v>441</v>
      </c>
      <c r="B154" s="229" t="s">
        <v>442</v>
      </c>
      <c r="C154" s="9" t="s">
        <v>1850</v>
      </c>
      <c r="D154" s="9" t="s">
        <v>1860</v>
      </c>
      <c r="E154" s="9" t="s">
        <v>1861</v>
      </c>
    </row>
    <row r="155" spans="1:5" s="9" customFormat="1" ht="15.75" x14ac:dyDescent="0.25">
      <c r="A155" s="13" t="s">
        <v>444</v>
      </c>
      <c r="B155" s="229" t="s">
        <v>445</v>
      </c>
      <c r="C155" s="9" t="s">
        <v>1850</v>
      </c>
      <c r="D155" s="9" t="s">
        <v>1860</v>
      </c>
      <c r="E155" s="9" t="s">
        <v>1861</v>
      </c>
    </row>
    <row r="156" spans="1:5" s="9" customFormat="1" ht="77.849999999999994" customHeight="1" x14ac:dyDescent="0.25">
      <c r="A156" s="13" t="s">
        <v>446</v>
      </c>
      <c r="B156" s="229" t="s">
        <v>447</v>
      </c>
      <c r="C156" s="9" t="s">
        <v>1850</v>
      </c>
      <c r="D156" s="9" t="s">
        <v>1860</v>
      </c>
      <c r="E156" s="9" t="s">
        <v>1861</v>
      </c>
    </row>
    <row r="157" spans="1:5" s="9" customFormat="1" ht="15.75" x14ac:dyDescent="0.25">
      <c r="A157" s="13" t="s">
        <v>448</v>
      </c>
      <c r="B157" s="229" t="s">
        <v>449</v>
      </c>
      <c r="C157" s="9" t="s">
        <v>1850</v>
      </c>
      <c r="D157" s="9" t="s">
        <v>1860</v>
      </c>
      <c r="E157" s="9" t="s">
        <v>1861</v>
      </c>
    </row>
    <row r="158" spans="1:5" s="9" customFormat="1" ht="85.5" customHeight="1" x14ac:dyDescent="0.25">
      <c r="A158" s="13" t="s">
        <v>451</v>
      </c>
      <c r="B158" s="229" t="s">
        <v>452</v>
      </c>
      <c r="C158" s="9" t="s">
        <v>1850</v>
      </c>
      <c r="D158" s="9" t="s">
        <v>1860</v>
      </c>
      <c r="E158" s="9" t="s">
        <v>1861</v>
      </c>
    </row>
    <row r="159" spans="1:5" s="9" customFormat="1" ht="99.6" customHeight="1" x14ac:dyDescent="0.25">
      <c r="A159" s="13" t="s">
        <v>453</v>
      </c>
      <c r="B159" s="229" t="s">
        <v>454</v>
      </c>
      <c r="C159" s="9" t="s">
        <v>1850</v>
      </c>
      <c r="D159" s="9" t="s">
        <v>1860</v>
      </c>
      <c r="E159" s="9" t="s">
        <v>1861</v>
      </c>
    </row>
    <row r="160" spans="1:5" s="9" customFormat="1" ht="15.75" x14ac:dyDescent="0.25">
      <c r="A160" s="108" t="s">
        <v>1863</v>
      </c>
      <c r="B160" s="244" t="s">
        <v>457</v>
      </c>
    </row>
    <row r="161" spans="1:5" s="9" customFormat="1" ht="15.75" x14ac:dyDescent="0.25">
      <c r="A161" s="123" t="s">
        <v>1864</v>
      </c>
      <c r="B161" s="256" t="s">
        <v>1865</v>
      </c>
    </row>
    <row r="162" spans="1:5" s="9" customFormat="1" ht="30" x14ac:dyDescent="0.25">
      <c r="A162" s="13" t="s">
        <v>458</v>
      </c>
      <c r="B162" s="229" t="s">
        <v>460</v>
      </c>
      <c r="C162" s="9" t="s">
        <v>1850</v>
      </c>
      <c r="D162" s="9" t="s">
        <v>1863</v>
      </c>
      <c r="E162" s="9" t="s">
        <v>1864</v>
      </c>
    </row>
    <row r="163" spans="1:5" s="9" customFormat="1" ht="15.75" x14ac:dyDescent="0.25">
      <c r="A163" s="13" t="s">
        <v>462</v>
      </c>
      <c r="B163" s="229" t="s">
        <v>463</v>
      </c>
      <c r="C163" s="9" t="s">
        <v>1850</v>
      </c>
      <c r="D163" s="9" t="s">
        <v>1863</v>
      </c>
      <c r="E163" s="9" t="s">
        <v>1864</v>
      </c>
    </row>
    <row r="164" spans="1:5" s="9" customFormat="1" ht="70.349999999999994" customHeight="1" x14ac:dyDescent="0.25">
      <c r="A164" s="13" t="s">
        <v>464</v>
      </c>
      <c r="B164" s="229" t="s">
        <v>466</v>
      </c>
      <c r="C164" s="9" t="s">
        <v>1850</v>
      </c>
      <c r="D164" s="9" t="s">
        <v>1863</v>
      </c>
      <c r="E164" s="9" t="s">
        <v>1864</v>
      </c>
    </row>
    <row r="165" spans="1:5" s="9" customFormat="1" ht="15.75" x14ac:dyDescent="0.25">
      <c r="A165" s="13" t="s">
        <v>468</v>
      </c>
      <c r="B165" s="229" t="s">
        <v>469</v>
      </c>
      <c r="C165" s="9" t="s">
        <v>1850</v>
      </c>
      <c r="D165" s="9" t="s">
        <v>1863</v>
      </c>
      <c r="E165" s="9" t="s">
        <v>1864</v>
      </c>
    </row>
    <row r="166" spans="1:5" s="9" customFormat="1" ht="15.75" x14ac:dyDescent="0.25">
      <c r="A166" s="24" t="s">
        <v>1866</v>
      </c>
      <c r="B166" s="249" t="s">
        <v>471</v>
      </c>
    </row>
    <row r="167" spans="1:5" s="9" customFormat="1" ht="15.75" x14ac:dyDescent="0.25">
      <c r="A167" s="108" t="s">
        <v>1867</v>
      </c>
      <c r="B167" s="244" t="s">
        <v>1868</v>
      </c>
    </row>
    <row r="168" spans="1:5" s="9" customFormat="1" ht="15.75" x14ac:dyDescent="0.25">
      <c r="A168" s="123" t="s">
        <v>1869</v>
      </c>
      <c r="B168" s="256" t="s">
        <v>1868</v>
      </c>
    </row>
    <row r="169" spans="1:5" s="9" customFormat="1" ht="15.75" x14ac:dyDescent="0.25">
      <c r="A169" s="13" t="s">
        <v>472</v>
      </c>
      <c r="B169" s="229" t="s">
        <v>474</v>
      </c>
      <c r="C169" s="9" t="s">
        <v>1866</v>
      </c>
      <c r="D169" s="9" t="s">
        <v>1867</v>
      </c>
      <c r="E169" s="9" t="s">
        <v>1869</v>
      </c>
    </row>
    <row r="170" spans="1:5" s="9" customFormat="1" ht="15.75" x14ac:dyDescent="0.25">
      <c r="A170" s="108" t="s">
        <v>1870</v>
      </c>
      <c r="B170" s="244" t="s">
        <v>477</v>
      </c>
    </row>
    <row r="171" spans="1:5" s="9" customFormat="1" ht="15.75" x14ac:dyDescent="0.25">
      <c r="A171" s="123" t="s">
        <v>1871</v>
      </c>
      <c r="B171" s="256" t="s">
        <v>1872</v>
      </c>
    </row>
    <row r="172" spans="1:5" s="9" customFormat="1" ht="30" x14ac:dyDescent="0.25">
      <c r="A172" s="13" t="s">
        <v>478</v>
      </c>
      <c r="B172" s="229" t="s">
        <v>480</v>
      </c>
      <c r="C172" s="9" t="s">
        <v>1866</v>
      </c>
      <c r="D172" s="9" t="s">
        <v>1870</v>
      </c>
      <c r="E172" s="9" t="s">
        <v>1871</v>
      </c>
    </row>
    <row r="173" spans="1:5" s="9" customFormat="1" ht="30" x14ac:dyDescent="0.25">
      <c r="A173" s="13" t="s">
        <v>482</v>
      </c>
      <c r="B173" s="229" t="s">
        <v>484</v>
      </c>
      <c r="C173" s="9" t="s">
        <v>1866</v>
      </c>
      <c r="D173" s="9" t="s">
        <v>1870</v>
      </c>
      <c r="E173" s="9" t="s">
        <v>1871</v>
      </c>
    </row>
    <row r="174" spans="1:5" s="9" customFormat="1" ht="15.75" x14ac:dyDescent="0.25">
      <c r="A174" s="13" t="s">
        <v>486</v>
      </c>
      <c r="B174" s="229" t="s">
        <v>487</v>
      </c>
      <c r="C174" s="9" t="s">
        <v>1866</v>
      </c>
      <c r="D174" s="9" t="s">
        <v>1870</v>
      </c>
      <c r="E174" s="9" t="s">
        <v>1871</v>
      </c>
    </row>
    <row r="175" spans="1:5" s="9" customFormat="1" ht="15.75" x14ac:dyDescent="0.25">
      <c r="A175" s="13" t="s">
        <v>488</v>
      </c>
      <c r="B175" s="229" t="s">
        <v>490</v>
      </c>
      <c r="C175" s="9" t="s">
        <v>1866</v>
      </c>
      <c r="D175" s="9" t="s">
        <v>1870</v>
      </c>
      <c r="E175" s="9" t="s">
        <v>1871</v>
      </c>
    </row>
    <row r="176" spans="1:5" s="9" customFormat="1" ht="15.75" x14ac:dyDescent="0.25">
      <c r="A176" s="13" t="s">
        <v>492</v>
      </c>
      <c r="B176" s="229" t="s">
        <v>493</v>
      </c>
      <c r="C176" s="9" t="s">
        <v>1866</v>
      </c>
      <c r="D176" s="9" t="s">
        <v>1870</v>
      </c>
      <c r="E176" s="9" t="s">
        <v>1871</v>
      </c>
    </row>
    <row r="177" spans="1:5" s="9" customFormat="1" ht="15.75" x14ac:dyDescent="0.25">
      <c r="A177" s="13" t="s">
        <v>495</v>
      </c>
      <c r="B177" s="229" t="s">
        <v>496</v>
      </c>
      <c r="C177" s="9" t="s">
        <v>1866</v>
      </c>
      <c r="D177" s="9" t="s">
        <v>1870</v>
      </c>
      <c r="E177" s="9" t="s">
        <v>1871</v>
      </c>
    </row>
    <row r="178" spans="1:5" s="9" customFormat="1" ht="15.75" x14ac:dyDescent="0.25">
      <c r="A178" s="13" t="s">
        <v>497</v>
      </c>
      <c r="B178" s="229" t="s">
        <v>498</v>
      </c>
      <c r="C178" s="9" t="s">
        <v>1866</v>
      </c>
      <c r="D178" s="9" t="s">
        <v>1870</v>
      </c>
      <c r="E178" s="9" t="s">
        <v>1871</v>
      </c>
    </row>
    <row r="179" spans="1:5" s="9" customFormat="1" ht="64.349999999999994" customHeight="1" x14ac:dyDescent="0.25">
      <c r="A179" s="13" t="s">
        <v>499</v>
      </c>
      <c r="B179" s="229" t="s">
        <v>501</v>
      </c>
      <c r="C179" s="9" t="s">
        <v>1866</v>
      </c>
      <c r="D179" s="9" t="s">
        <v>1870</v>
      </c>
      <c r="E179" s="9" t="s">
        <v>1871</v>
      </c>
    </row>
    <row r="180" spans="1:5" s="9" customFormat="1" ht="243" customHeight="1" x14ac:dyDescent="0.25">
      <c r="A180" s="13" t="s">
        <v>503</v>
      </c>
      <c r="B180" s="229" t="s">
        <v>504</v>
      </c>
      <c r="C180" s="9" t="s">
        <v>1866</v>
      </c>
      <c r="D180" s="9" t="s">
        <v>1870</v>
      </c>
      <c r="E180" s="9" t="s">
        <v>1871</v>
      </c>
    </row>
    <row r="181" spans="1:5" s="9" customFormat="1" ht="243" customHeight="1" x14ac:dyDescent="0.25">
      <c r="A181" s="13" t="s">
        <v>506</v>
      </c>
      <c r="B181" s="229" t="s">
        <v>507</v>
      </c>
      <c r="C181" s="9" t="s">
        <v>1866</v>
      </c>
      <c r="D181" s="9" t="s">
        <v>1870</v>
      </c>
      <c r="E181" s="9" t="s">
        <v>1871</v>
      </c>
    </row>
    <row r="182" spans="1:5" s="9" customFormat="1" ht="15.75" x14ac:dyDescent="0.25">
      <c r="A182" s="108" t="s">
        <v>1873</v>
      </c>
      <c r="B182" s="244" t="s">
        <v>509</v>
      </c>
    </row>
    <row r="183" spans="1:5" s="9" customFormat="1" ht="15.75" x14ac:dyDescent="0.25">
      <c r="A183" s="123" t="s">
        <v>1874</v>
      </c>
      <c r="B183" s="256" t="s">
        <v>1875</v>
      </c>
    </row>
    <row r="184" spans="1:5" s="9" customFormat="1" ht="30" x14ac:dyDescent="0.25">
      <c r="A184" s="13" t="s">
        <v>510</v>
      </c>
      <c r="B184" s="229" t="s">
        <v>512</v>
      </c>
      <c r="C184" s="9" t="s">
        <v>1866</v>
      </c>
      <c r="D184" s="9" t="s">
        <v>1873</v>
      </c>
      <c r="E184" s="9" t="s">
        <v>1874</v>
      </c>
    </row>
    <row r="185" spans="1:5" s="9" customFormat="1" ht="15.75" x14ac:dyDescent="0.25">
      <c r="A185" s="13" t="s">
        <v>514</v>
      </c>
      <c r="B185" s="229" t="s">
        <v>515</v>
      </c>
      <c r="C185" s="9" t="s">
        <v>1866</v>
      </c>
      <c r="D185" s="9" t="s">
        <v>1873</v>
      </c>
      <c r="E185" s="9" t="s">
        <v>1874</v>
      </c>
    </row>
    <row r="186" spans="1:5" s="9" customFormat="1" ht="15.75" x14ac:dyDescent="0.25">
      <c r="A186" s="13" t="s">
        <v>516</v>
      </c>
      <c r="B186" s="229" t="s">
        <v>518</v>
      </c>
      <c r="C186" s="9" t="s">
        <v>1866</v>
      </c>
      <c r="D186" s="9" t="s">
        <v>1873</v>
      </c>
      <c r="E186" s="9" t="s">
        <v>1874</v>
      </c>
    </row>
    <row r="187" spans="1:5" s="9" customFormat="1" ht="15.75" x14ac:dyDescent="0.25">
      <c r="A187" s="13" t="s">
        <v>520</v>
      </c>
      <c r="B187" s="229" t="s">
        <v>522</v>
      </c>
      <c r="C187" s="9" t="s">
        <v>1866</v>
      </c>
      <c r="D187" s="9" t="s">
        <v>1873</v>
      </c>
      <c r="E187" s="9" t="s">
        <v>1874</v>
      </c>
    </row>
    <row r="188" spans="1:5" s="9" customFormat="1" ht="15.75" x14ac:dyDescent="0.25">
      <c r="A188" s="13" t="s">
        <v>524</v>
      </c>
      <c r="B188" s="229" t="s">
        <v>525</v>
      </c>
      <c r="C188" s="9" t="s">
        <v>1866</v>
      </c>
      <c r="D188" s="9" t="s">
        <v>1873</v>
      </c>
      <c r="E188" s="9" t="s">
        <v>1874</v>
      </c>
    </row>
    <row r="189" spans="1:5" s="9" customFormat="1" ht="15.75" x14ac:dyDescent="0.25">
      <c r="A189" s="13" t="s">
        <v>527</v>
      </c>
      <c r="B189" s="229" t="s">
        <v>528</v>
      </c>
      <c r="C189" s="9" t="s">
        <v>1866</v>
      </c>
      <c r="D189" s="9" t="s">
        <v>1873</v>
      </c>
      <c r="E189" s="9" t="s">
        <v>1874</v>
      </c>
    </row>
    <row r="190" spans="1:5" s="9" customFormat="1" ht="68.849999999999994" customHeight="1" x14ac:dyDescent="0.25">
      <c r="A190" s="13" t="s">
        <v>530</v>
      </c>
      <c r="B190" s="229" t="s">
        <v>531</v>
      </c>
      <c r="C190" s="9" t="s">
        <v>1866</v>
      </c>
      <c r="D190" s="9" t="s">
        <v>1873</v>
      </c>
      <c r="E190" s="9" t="s">
        <v>1874</v>
      </c>
    </row>
    <row r="191" spans="1:5" s="9" customFormat="1" ht="30" x14ac:dyDescent="0.25">
      <c r="A191" s="13" t="s">
        <v>532</v>
      </c>
      <c r="B191" s="229" t="s">
        <v>533</v>
      </c>
      <c r="C191" s="9" t="s">
        <v>1866</v>
      </c>
      <c r="D191" s="9" t="s">
        <v>1873</v>
      </c>
      <c r="E191" s="9" t="s">
        <v>1874</v>
      </c>
    </row>
    <row r="192" spans="1:5" s="9" customFormat="1" ht="68.849999999999994" customHeight="1" x14ac:dyDescent="0.25">
      <c r="A192" s="13" t="s">
        <v>535</v>
      </c>
      <c r="B192" s="229" t="s">
        <v>536</v>
      </c>
      <c r="C192" s="9" t="s">
        <v>1866</v>
      </c>
      <c r="D192" s="9" t="s">
        <v>1873</v>
      </c>
      <c r="E192" s="9" t="s">
        <v>1874</v>
      </c>
    </row>
    <row r="193" spans="1:5" s="9" customFormat="1" ht="15.75" x14ac:dyDescent="0.25">
      <c r="A193" s="13" t="s">
        <v>537</v>
      </c>
      <c r="B193" s="229" t="s">
        <v>538</v>
      </c>
      <c r="C193" s="9" t="s">
        <v>1866</v>
      </c>
      <c r="D193" s="9" t="s">
        <v>1873</v>
      </c>
      <c r="E193" s="9" t="s">
        <v>1874</v>
      </c>
    </row>
    <row r="194" spans="1:5" s="9" customFormat="1" ht="30" x14ac:dyDescent="0.25">
      <c r="A194" s="13" t="s">
        <v>540</v>
      </c>
      <c r="B194" s="229" t="s">
        <v>541</v>
      </c>
      <c r="C194" s="9" t="s">
        <v>1866</v>
      </c>
      <c r="D194" s="9" t="s">
        <v>1873</v>
      </c>
      <c r="E194" s="9" t="s">
        <v>1874</v>
      </c>
    </row>
    <row r="195" spans="1:5" s="9" customFormat="1" ht="15.75" x14ac:dyDescent="0.25">
      <c r="A195" s="13" t="s">
        <v>542</v>
      </c>
      <c r="B195" s="229" t="s">
        <v>543</v>
      </c>
      <c r="C195" s="9" t="s">
        <v>1866</v>
      </c>
      <c r="D195" s="9" t="s">
        <v>1873</v>
      </c>
      <c r="E195" s="9" t="s">
        <v>1874</v>
      </c>
    </row>
    <row r="196" spans="1:5" s="9" customFormat="1" ht="30" x14ac:dyDescent="0.25">
      <c r="A196" s="13" t="s">
        <v>545</v>
      </c>
      <c r="B196" s="229" t="s">
        <v>546</v>
      </c>
      <c r="C196" s="9" t="s">
        <v>1866</v>
      </c>
      <c r="D196" s="9" t="s">
        <v>1873</v>
      </c>
      <c r="E196" s="9" t="s">
        <v>1874</v>
      </c>
    </row>
    <row r="197" spans="1:5" s="9" customFormat="1" ht="30" x14ac:dyDescent="0.25">
      <c r="A197" s="13" t="s">
        <v>547</v>
      </c>
      <c r="B197" s="229" t="s">
        <v>549</v>
      </c>
      <c r="C197" s="9" t="s">
        <v>1866</v>
      </c>
      <c r="D197" s="9" t="s">
        <v>1873</v>
      </c>
      <c r="E197" s="9" t="s">
        <v>1874</v>
      </c>
    </row>
    <row r="198" spans="1:5" s="9" customFormat="1" ht="15.75" x14ac:dyDescent="0.25">
      <c r="A198" s="13" t="s">
        <v>551</v>
      </c>
      <c r="B198" s="229" t="s">
        <v>552</v>
      </c>
      <c r="C198" s="9" t="s">
        <v>1866</v>
      </c>
      <c r="D198" s="9" t="s">
        <v>1873</v>
      </c>
      <c r="E198" s="9" t="s">
        <v>1874</v>
      </c>
    </row>
    <row r="199" spans="1:5" s="9" customFormat="1" ht="15.75" x14ac:dyDescent="0.25">
      <c r="A199" s="13" t="s">
        <v>554</v>
      </c>
      <c r="B199" s="229" t="s">
        <v>555</v>
      </c>
      <c r="C199" s="9" t="s">
        <v>1866</v>
      </c>
      <c r="D199" s="9" t="s">
        <v>1873</v>
      </c>
      <c r="E199" s="9" t="s">
        <v>1874</v>
      </c>
    </row>
    <row r="200" spans="1:5" s="9" customFormat="1" ht="15.75" x14ac:dyDescent="0.25">
      <c r="A200" s="108" t="s">
        <v>1876</v>
      </c>
      <c r="B200" s="244" t="s">
        <v>557</v>
      </c>
    </row>
    <row r="201" spans="1:5" s="9" customFormat="1" ht="15.75" x14ac:dyDescent="0.25">
      <c r="A201" s="123" t="s">
        <v>1877</v>
      </c>
      <c r="B201" s="256" t="s">
        <v>557</v>
      </c>
    </row>
    <row r="202" spans="1:5" s="9" customFormat="1" ht="15.75" x14ac:dyDescent="0.25">
      <c r="A202" s="13" t="s">
        <v>558</v>
      </c>
      <c r="B202" s="229" t="s">
        <v>559</v>
      </c>
      <c r="C202" s="9" t="s">
        <v>1866</v>
      </c>
      <c r="D202" s="9" t="s">
        <v>1876</v>
      </c>
      <c r="E202" s="9" t="s">
        <v>1877</v>
      </c>
    </row>
    <row r="203" spans="1:5" s="9" customFormat="1" ht="15.75" x14ac:dyDescent="0.25">
      <c r="A203" s="13" t="s">
        <v>561</v>
      </c>
      <c r="B203" s="229" t="s">
        <v>562</v>
      </c>
      <c r="C203" s="9" t="s">
        <v>1866</v>
      </c>
      <c r="D203" s="9" t="s">
        <v>1876</v>
      </c>
      <c r="E203" s="9" t="s">
        <v>1877</v>
      </c>
    </row>
    <row r="204" spans="1:5" s="9" customFormat="1" ht="15.75" x14ac:dyDescent="0.25">
      <c r="A204" s="13" t="s">
        <v>564</v>
      </c>
      <c r="B204" s="229" t="s">
        <v>565</v>
      </c>
      <c r="C204" s="9" t="s">
        <v>1866</v>
      </c>
      <c r="D204" s="9" t="s">
        <v>1876</v>
      </c>
      <c r="E204" s="9" t="s">
        <v>1877</v>
      </c>
    </row>
    <row r="205" spans="1:5" s="9" customFormat="1" ht="16.350000000000001" customHeight="1" x14ac:dyDescent="0.25">
      <c r="A205" s="13" t="s">
        <v>567</v>
      </c>
      <c r="B205" s="229" t="s">
        <v>568</v>
      </c>
      <c r="C205" s="9" t="s">
        <v>1866</v>
      </c>
      <c r="D205" s="9" t="s">
        <v>1876</v>
      </c>
      <c r="E205" s="9" t="s">
        <v>1877</v>
      </c>
    </row>
    <row r="206" spans="1:5" s="9" customFormat="1" ht="15.75" x14ac:dyDescent="0.25">
      <c r="A206" s="108" t="s">
        <v>1878</v>
      </c>
      <c r="B206" s="244" t="s">
        <v>570</v>
      </c>
    </row>
    <row r="207" spans="1:5" s="9" customFormat="1" ht="15.75" x14ac:dyDescent="0.25">
      <c r="A207" s="123" t="s">
        <v>1879</v>
      </c>
      <c r="B207" s="256" t="s">
        <v>1880</v>
      </c>
    </row>
    <row r="208" spans="1:5" s="9" customFormat="1" ht="79.349999999999994" customHeight="1" x14ac:dyDescent="0.25">
      <c r="A208" s="13" t="s">
        <v>571</v>
      </c>
      <c r="B208" s="229" t="s">
        <v>573</v>
      </c>
      <c r="C208" s="9" t="s">
        <v>1866</v>
      </c>
      <c r="D208" s="9" t="s">
        <v>1878</v>
      </c>
      <c r="E208" s="9" t="s">
        <v>1879</v>
      </c>
    </row>
    <row r="209" spans="1:5" s="271" customFormat="1" ht="15.75" x14ac:dyDescent="0.25">
      <c r="A209" s="268" t="s">
        <v>1881</v>
      </c>
      <c r="B209" s="269" t="s">
        <v>576</v>
      </c>
    </row>
    <row r="210" spans="1:5" s="9" customFormat="1" ht="15.75" x14ac:dyDescent="0.25">
      <c r="A210" s="13" t="s">
        <v>577</v>
      </c>
      <c r="B210" s="229" t="s">
        <v>579</v>
      </c>
      <c r="C210" s="9" t="s">
        <v>1866</v>
      </c>
      <c r="D210" s="9" t="s">
        <v>1878</v>
      </c>
      <c r="E210" s="9" t="s">
        <v>1881</v>
      </c>
    </row>
    <row r="211" spans="1:5" s="9" customFormat="1" ht="15.75" x14ac:dyDescent="0.25">
      <c r="A211" s="13" t="s">
        <v>581</v>
      </c>
      <c r="B211" s="229" t="s">
        <v>583</v>
      </c>
      <c r="C211" s="9" t="s">
        <v>1866</v>
      </c>
      <c r="D211" s="9" t="s">
        <v>1878</v>
      </c>
      <c r="E211" s="9" t="s">
        <v>1881</v>
      </c>
    </row>
    <row r="212" spans="1:5" s="9" customFormat="1" ht="15.75" x14ac:dyDescent="0.25">
      <c r="A212" s="13" t="s">
        <v>585</v>
      </c>
      <c r="B212" s="229" t="s">
        <v>586</v>
      </c>
      <c r="C212" s="9" t="s">
        <v>1866</v>
      </c>
      <c r="D212" s="9" t="s">
        <v>1878</v>
      </c>
      <c r="E212" s="9" t="s">
        <v>1881</v>
      </c>
    </row>
    <row r="213" spans="1:5" s="9" customFormat="1" ht="30" x14ac:dyDescent="0.25">
      <c r="A213" s="13" t="s">
        <v>587</v>
      </c>
      <c r="B213" s="229" t="s">
        <v>589</v>
      </c>
      <c r="C213" s="9" t="s">
        <v>1866</v>
      </c>
      <c r="D213" s="9" t="s">
        <v>1878</v>
      </c>
      <c r="E213" s="9" t="s">
        <v>1881</v>
      </c>
    </row>
    <row r="214" spans="1:5" s="9" customFormat="1" ht="15.75" x14ac:dyDescent="0.25">
      <c r="A214" s="13" t="s">
        <v>591</v>
      </c>
      <c r="B214" s="229" t="s">
        <v>592</v>
      </c>
      <c r="C214" s="9" t="s">
        <v>1866</v>
      </c>
      <c r="D214" s="9" t="s">
        <v>1878</v>
      </c>
      <c r="E214" s="9" t="s">
        <v>1881</v>
      </c>
    </row>
    <row r="215" spans="1:5" s="9" customFormat="1" ht="30" x14ac:dyDescent="0.25">
      <c r="A215" s="13" t="s">
        <v>594</v>
      </c>
      <c r="B215" s="229" t="s">
        <v>595</v>
      </c>
      <c r="C215" s="9" t="s">
        <v>1866</v>
      </c>
      <c r="D215" s="9" t="s">
        <v>1878</v>
      </c>
      <c r="E215" s="9" t="s">
        <v>1881</v>
      </c>
    </row>
    <row r="216" spans="1:5" s="9" customFormat="1" ht="30" x14ac:dyDescent="0.25">
      <c r="A216" s="13" t="s">
        <v>596</v>
      </c>
      <c r="B216" s="229" t="s">
        <v>597</v>
      </c>
      <c r="C216" s="9" t="s">
        <v>1866</v>
      </c>
      <c r="D216" s="9" t="s">
        <v>1878</v>
      </c>
      <c r="E216" s="9" t="s">
        <v>1881</v>
      </c>
    </row>
    <row r="217" spans="1:5" s="9" customFormat="1" ht="30" x14ac:dyDescent="0.25">
      <c r="A217" s="13" t="s">
        <v>598</v>
      </c>
      <c r="B217" s="229" t="s">
        <v>599</v>
      </c>
      <c r="C217" s="9" t="s">
        <v>1866</v>
      </c>
      <c r="D217" s="9" t="s">
        <v>1878</v>
      </c>
      <c r="E217" s="9" t="s">
        <v>1881</v>
      </c>
    </row>
    <row r="218" spans="1:5" s="9" customFormat="1" ht="15.75" x14ac:dyDescent="0.25">
      <c r="A218" s="13" t="s">
        <v>601</v>
      </c>
      <c r="B218" s="229" t="s">
        <v>602</v>
      </c>
      <c r="C218" s="9" t="s">
        <v>1866</v>
      </c>
      <c r="D218" s="9" t="s">
        <v>1878</v>
      </c>
      <c r="E218" s="9" t="s">
        <v>1881</v>
      </c>
    </row>
    <row r="219" spans="1:5" s="271" customFormat="1" ht="15.75" x14ac:dyDescent="0.25">
      <c r="A219" s="123" t="s">
        <v>1882</v>
      </c>
      <c r="B219" s="269" t="s">
        <v>605</v>
      </c>
    </row>
    <row r="220" spans="1:5" s="9" customFormat="1" ht="45" x14ac:dyDescent="0.25">
      <c r="A220" s="13" t="s">
        <v>606</v>
      </c>
      <c r="B220" s="229" t="s">
        <v>607</v>
      </c>
      <c r="C220" s="9" t="s">
        <v>1866</v>
      </c>
      <c r="D220" s="9" t="s">
        <v>1878</v>
      </c>
      <c r="E220" s="9" t="s">
        <v>1882</v>
      </c>
    </row>
    <row r="221" spans="1:5" s="9" customFormat="1" ht="30" x14ac:dyDescent="0.25">
      <c r="A221" s="13" t="s">
        <v>609</v>
      </c>
      <c r="B221" s="229" t="s">
        <v>610</v>
      </c>
      <c r="C221" s="9" t="s">
        <v>1866</v>
      </c>
      <c r="D221" s="9" t="s">
        <v>1878</v>
      </c>
      <c r="E221" s="9" t="s">
        <v>1882</v>
      </c>
    </row>
    <row r="222" spans="1:5" s="9" customFormat="1" ht="30" x14ac:dyDescent="0.25">
      <c r="A222" s="13" t="s">
        <v>611</v>
      </c>
      <c r="B222" s="229" t="s">
        <v>613</v>
      </c>
      <c r="C222" s="9" t="s">
        <v>1866</v>
      </c>
      <c r="D222" s="9" t="s">
        <v>1878</v>
      </c>
      <c r="E222" s="9" t="s">
        <v>1882</v>
      </c>
    </row>
    <row r="223" spans="1:5" s="9" customFormat="1" ht="30" x14ac:dyDescent="0.25">
      <c r="A223" s="13" t="s">
        <v>615</v>
      </c>
      <c r="B223" s="229" t="s">
        <v>616</v>
      </c>
      <c r="C223" s="9" t="s">
        <v>1866</v>
      </c>
      <c r="D223" s="9" t="s">
        <v>1878</v>
      </c>
      <c r="E223" s="9" t="s">
        <v>1882</v>
      </c>
    </row>
    <row r="224" spans="1:5" s="9" customFormat="1" ht="15.75" x14ac:dyDescent="0.25">
      <c r="A224" s="24" t="s">
        <v>1883</v>
      </c>
      <c r="B224" s="249" t="s">
        <v>619</v>
      </c>
    </row>
    <row r="225" spans="1:5" s="9" customFormat="1" ht="15.75" x14ac:dyDescent="0.25">
      <c r="A225" s="108" t="s">
        <v>1884</v>
      </c>
      <c r="B225" s="244" t="s">
        <v>621</v>
      </c>
    </row>
    <row r="226" spans="1:5" s="9" customFormat="1" ht="15.75" x14ac:dyDescent="0.25">
      <c r="A226" s="123" t="s">
        <v>1885</v>
      </c>
      <c r="B226" s="256" t="s">
        <v>1886</v>
      </c>
    </row>
    <row r="227" spans="1:5" s="9" customFormat="1" ht="30" x14ac:dyDescent="0.25">
      <c r="A227" s="13" t="s">
        <v>622</v>
      </c>
      <c r="B227" s="229" t="s">
        <v>624</v>
      </c>
      <c r="C227" s="9" t="s">
        <v>1883</v>
      </c>
      <c r="D227" s="9" t="s">
        <v>1884</v>
      </c>
      <c r="E227" s="9" t="s">
        <v>1885</v>
      </c>
    </row>
    <row r="228" spans="1:5" s="9" customFormat="1" ht="60" x14ac:dyDescent="0.25">
      <c r="A228" s="13" t="s">
        <v>626</v>
      </c>
      <c r="B228" s="229" t="s">
        <v>627</v>
      </c>
      <c r="C228" s="9" t="s">
        <v>1883</v>
      </c>
      <c r="D228" s="9" t="s">
        <v>1884</v>
      </c>
      <c r="E228" s="9" t="s">
        <v>1885</v>
      </c>
    </row>
    <row r="229" spans="1:5" s="9" customFormat="1" ht="70.349999999999994" customHeight="1" x14ac:dyDescent="0.25">
      <c r="A229" s="13" t="s">
        <v>628</v>
      </c>
      <c r="B229" s="229" t="s">
        <v>630</v>
      </c>
      <c r="C229" s="9" t="s">
        <v>1883</v>
      </c>
      <c r="D229" s="9" t="s">
        <v>1884</v>
      </c>
      <c r="E229" s="9" t="s">
        <v>1885</v>
      </c>
    </row>
    <row r="230" spans="1:5" s="9" customFormat="1" ht="30" x14ac:dyDescent="0.25">
      <c r="A230" s="13" t="s">
        <v>632</v>
      </c>
      <c r="B230" s="229" t="s">
        <v>633</v>
      </c>
      <c r="C230" s="9" t="s">
        <v>1883</v>
      </c>
      <c r="D230" s="9" t="s">
        <v>1884</v>
      </c>
      <c r="E230" s="9" t="s">
        <v>1885</v>
      </c>
    </row>
    <row r="231" spans="1:5" s="9" customFormat="1" ht="15.75" x14ac:dyDescent="0.25">
      <c r="A231" s="13" t="s">
        <v>634</v>
      </c>
      <c r="B231" s="229" t="s">
        <v>636</v>
      </c>
      <c r="C231" s="9" t="s">
        <v>1883</v>
      </c>
      <c r="D231" s="9" t="s">
        <v>1884</v>
      </c>
      <c r="E231" s="9" t="s">
        <v>1885</v>
      </c>
    </row>
    <row r="232" spans="1:5" s="9" customFormat="1" ht="70.349999999999994" customHeight="1" x14ac:dyDescent="0.25">
      <c r="A232" s="13" t="s">
        <v>638</v>
      </c>
      <c r="B232" s="229" t="s">
        <v>639</v>
      </c>
      <c r="C232" s="9" t="s">
        <v>1883</v>
      </c>
      <c r="D232" s="9" t="s">
        <v>1884</v>
      </c>
      <c r="E232" s="9" t="s">
        <v>1885</v>
      </c>
    </row>
    <row r="233" spans="1:5" s="9" customFormat="1" ht="70.349999999999994" customHeight="1" x14ac:dyDescent="0.25">
      <c r="A233" s="13" t="s">
        <v>641</v>
      </c>
      <c r="B233" s="229" t="s">
        <v>642</v>
      </c>
      <c r="C233" s="9" t="s">
        <v>1883</v>
      </c>
      <c r="D233" s="9" t="s">
        <v>1884</v>
      </c>
      <c r="E233" s="9" t="s">
        <v>1885</v>
      </c>
    </row>
    <row r="234" spans="1:5" s="9" customFormat="1" ht="15.75" x14ac:dyDescent="0.25">
      <c r="A234" s="108" t="s">
        <v>1887</v>
      </c>
      <c r="B234" s="244" t="s">
        <v>644</v>
      </c>
    </row>
    <row r="235" spans="1:5" s="9" customFormat="1" ht="15.75" x14ac:dyDescent="0.25">
      <c r="A235" s="123" t="s">
        <v>1888</v>
      </c>
      <c r="B235" s="256" t="s">
        <v>1889</v>
      </c>
    </row>
    <row r="236" spans="1:5" s="9" customFormat="1" ht="34.35" customHeight="1" x14ac:dyDescent="0.25">
      <c r="A236" s="13" t="s">
        <v>645</v>
      </c>
      <c r="B236" s="229" t="s">
        <v>647</v>
      </c>
      <c r="C236" s="9" t="s">
        <v>1883</v>
      </c>
      <c r="D236" s="9" t="s">
        <v>1887</v>
      </c>
      <c r="E236" s="9" t="s">
        <v>1888</v>
      </c>
    </row>
    <row r="237" spans="1:5" s="9" customFormat="1" ht="30" x14ac:dyDescent="0.25">
      <c r="A237" s="13" t="s">
        <v>649</v>
      </c>
      <c r="B237" s="229" t="s">
        <v>650</v>
      </c>
      <c r="C237" s="9" t="s">
        <v>1883</v>
      </c>
      <c r="D237" s="9" t="s">
        <v>1887</v>
      </c>
      <c r="E237" s="9" t="s">
        <v>1888</v>
      </c>
    </row>
    <row r="238" spans="1:5" s="9" customFormat="1" ht="15.75" x14ac:dyDescent="0.25">
      <c r="A238" s="276" t="s">
        <v>651</v>
      </c>
      <c r="B238" s="229" t="s">
        <v>652</v>
      </c>
      <c r="C238" s="9" t="s">
        <v>1883</v>
      </c>
      <c r="D238" s="9" t="s">
        <v>1887</v>
      </c>
      <c r="E238" s="9" t="s">
        <v>1888</v>
      </c>
    </row>
    <row r="239" spans="1:5" s="9" customFormat="1" ht="53.25" customHeight="1" x14ac:dyDescent="0.25">
      <c r="A239" s="276" t="s">
        <v>654</v>
      </c>
      <c r="B239" s="229" t="s">
        <v>656</v>
      </c>
      <c r="C239" s="9" t="s">
        <v>1883</v>
      </c>
      <c r="D239" s="9" t="s">
        <v>1887</v>
      </c>
      <c r="E239" s="9" t="s">
        <v>1888</v>
      </c>
    </row>
    <row r="240" spans="1:5" s="9" customFormat="1" ht="53.25" customHeight="1" x14ac:dyDescent="0.25">
      <c r="A240" s="276" t="s">
        <v>658</v>
      </c>
      <c r="B240" s="229" t="s">
        <v>660</v>
      </c>
      <c r="C240" s="9" t="s">
        <v>1883</v>
      </c>
      <c r="D240" s="9" t="s">
        <v>1887</v>
      </c>
      <c r="E240" s="9" t="s">
        <v>1888</v>
      </c>
    </row>
    <row r="241" spans="1:5" s="9" customFormat="1" ht="69.75" customHeight="1" x14ac:dyDescent="0.25">
      <c r="A241" s="276" t="s">
        <v>661</v>
      </c>
      <c r="B241" s="229" t="s">
        <v>662</v>
      </c>
      <c r="C241" s="9" t="s">
        <v>1883</v>
      </c>
      <c r="D241" s="9" t="s">
        <v>1887</v>
      </c>
      <c r="E241" s="9" t="s">
        <v>1888</v>
      </c>
    </row>
    <row r="242" spans="1:5" s="9" customFormat="1" ht="15.75" x14ac:dyDescent="0.25">
      <c r="A242" s="108" t="s">
        <v>1890</v>
      </c>
      <c r="B242" s="244" t="s">
        <v>665</v>
      </c>
    </row>
    <row r="243" spans="1:5" s="9" customFormat="1" ht="15.75" x14ac:dyDescent="0.25">
      <c r="A243" s="123" t="s">
        <v>1891</v>
      </c>
      <c r="B243" s="256" t="s">
        <v>1892</v>
      </c>
    </row>
    <row r="244" spans="1:5" s="9" customFormat="1" ht="15.75" x14ac:dyDescent="0.25">
      <c r="A244" s="13" t="s">
        <v>666</v>
      </c>
      <c r="B244" s="229" t="s">
        <v>668</v>
      </c>
      <c r="C244" s="9" t="s">
        <v>1883</v>
      </c>
      <c r="D244" s="9" t="s">
        <v>1890</v>
      </c>
      <c r="E244" s="9" t="s">
        <v>1891</v>
      </c>
    </row>
    <row r="245" spans="1:5" s="9" customFormat="1" ht="30" x14ac:dyDescent="0.25">
      <c r="A245" s="13" t="s">
        <v>670</v>
      </c>
      <c r="B245" s="229" t="s">
        <v>671</v>
      </c>
      <c r="C245" s="9" t="s">
        <v>1883</v>
      </c>
      <c r="D245" s="9" t="s">
        <v>1890</v>
      </c>
      <c r="E245" s="9" t="s">
        <v>1891</v>
      </c>
    </row>
    <row r="246" spans="1:5" s="9" customFormat="1" ht="15.75" x14ac:dyDescent="0.25">
      <c r="A246" s="13" t="s">
        <v>672</v>
      </c>
      <c r="B246" s="229" t="s">
        <v>674</v>
      </c>
      <c r="C246" s="9" t="s">
        <v>1883</v>
      </c>
      <c r="D246" s="9" t="s">
        <v>1890</v>
      </c>
      <c r="E246" s="9" t="s">
        <v>1891</v>
      </c>
    </row>
    <row r="247" spans="1:5" s="9" customFormat="1" ht="15.75" x14ac:dyDescent="0.25">
      <c r="A247" s="13" t="s">
        <v>676</v>
      </c>
      <c r="B247" s="229" t="s">
        <v>678</v>
      </c>
      <c r="C247" s="9" t="s">
        <v>1883</v>
      </c>
      <c r="D247" s="9" t="s">
        <v>1890</v>
      </c>
      <c r="E247" s="9" t="s">
        <v>1891</v>
      </c>
    </row>
    <row r="248" spans="1:5" s="9" customFormat="1" ht="15.75" x14ac:dyDescent="0.25">
      <c r="A248" s="13" t="s">
        <v>680</v>
      </c>
      <c r="B248" s="229" t="s">
        <v>681</v>
      </c>
      <c r="C248" s="9" t="s">
        <v>1883</v>
      </c>
      <c r="D248" s="9" t="s">
        <v>1890</v>
      </c>
      <c r="E248" s="9" t="s">
        <v>1891</v>
      </c>
    </row>
    <row r="249" spans="1:5" s="9" customFormat="1" ht="15.75" x14ac:dyDescent="0.25">
      <c r="A249" s="13" t="s">
        <v>682</v>
      </c>
      <c r="B249" s="229" t="s">
        <v>683</v>
      </c>
      <c r="C249" s="9" t="s">
        <v>1883</v>
      </c>
      <c r="D249" s="9" t="s">
        <v>1890</v>
      </c>
      <c r="E249" s="9" t="s">
        <v>1891</v>
      </c>
    </row>
    <row r="250" spans="1:5" s="9" customFormat="1" ht="15.75" x14ac:dyDescent="0.25">
      <c r="A250" s="13" t="s">
        <v>685</v>
      </c>
      <c r="B250" s="229" t="s">
        <v>686</v>
      </c>
      <c r="C250" s="9" t="s">
        <v>1883</v>
      </c>
      <c r="D250" s="9" t="s">
        <v>1890</v>
      </c>
      <c r="E250" s="9" t="s">
        <v>1891</v>
      </c>
    </row>
    <row r="251" spans="1:5" s="9" customFormat="1" ht="15.75" x14ac:dyDescent="0.25">
      <c r="A251" s="13" t="s">
        <v>687</v>
      </c>
      <c r="B251" s="229" t="s">
        <v>688</v>
      </c>
      <c r="C251" s="9" t="s">
        <v>1883</v>
      </c>
      <c r="D251" s="9" t="s">
        <v>1890</v>
      </c>
      <c r="E251" s="9" t="s">
        <v>1891</v>
      </c>
    </row>
    <row r="252" spans="1:5" s="9" customFormat="1" ht="15.75" x14ac:dyDescent="0.25">
      <c r="A252" s="13" t="s">
        <v>689</v>
      </c>
      <c r="B252" s="229" t="s">
        <v>690</v>
      </c>
      <c r="C252" s="9" t="s">
        <v>1883</v>
      </c>
      <c r="D252" s="9" t="s">
        <v>1890</v>
      </c>
      <c r="E252" s="9" t="s">
        <v>1891</v>
      </c>
    </row>
    <row r="253" spans="1:5" s="9" customFormat="1" ht="36" customHeight="1" x14ac:dyDescent="0.25">
      <c r="A253" s="13" t="s">
        <v>691</v>
      </c>
      <c r="B253" s="229" t="s">
        <v>692</v>
      </c>
      <c r="C253" s="9" t="s">
        <v>1883</v>
      </c>
      <c r="D253" s="9" t="s">
        <v>1890</v>
      </c>
      <c r="E253" s="9" t="s">
        <v>1891</v>
      </c>
    </row>
    <row r="254" spans="1:5" s="9" customFormat="1" ht="15.75" x14ac:dyDescent="0.25">
      <c r="A254" s="13" t="s">
        <v>694</v>
      </c>
      <c r="B254" s="229" t="s">
        <v>696</v>
      </c>
      <c r="C254" s="9" t="s">
        <v>1883</v>
      </c>
      <c r="D254" s="9" t="s">
        <v>1890</v>
      </c>
      <c r="E254" s="9" t="s">
        <v>1891</v>
      </c>
    </row>
    <row r="255" spans="1:5" s="9" customFormat="1" ht="15.75" x14ac:dyDescent="0.25">
      <c r="A255" s="13" t="s">
        <v>698</v>
      </c>
      <c r="B255" s="229" t="s">
        <v>699</v>
      </c>
      <c r="C255" s="9" t="s">
        <v>1883</v>
      </c>
      <c r="D255" s="9" t="s">
        <v>1890</v>
      </c>
      <c r="E255" s="9" t="s">
        <v>1891</v>
      </c>
    </row>
    <row r="256" spans="1:5" s="9" customFormat="1" ht="30" x14ac:dyDescent="0.25">
      <c r="A256" s="13" t="s">
        <v>700</v>
      </c>
      <c r="B256" s="229" t="s">
        <v>702</v>
      </c>
      <c r="C256" s="9" t="s">
        <v>1883</v>
      </c>
      <c r="D256" s="9" t="s">
        <v>1890</v>
      </c>
      <c r="E256" s="9" t="s">
        <v>1891</v>
      </c>
    </row>
    <row r="257" spans="1:5" s="9" customFormat="1" ht="15.75" x14ac:dyDescent="0.25">
      <c r="A257" s="108" t="s">
        <v>1893</v>
      </c>
      <c r="B257" s="244" t="s">
        <v>705</v>
      </c>
    </row>
    <row r="258" spans="1:5" s="9" customFormat="1" ht="15.75" x14ac:dyDescent="0.25">
      <c r="A258" s="123" t="s">
        <v>1894</v>
      </c>
      <c r="B258" s="256" t="s">
        <v>1895</v>
      </c>
    </row>
    <row r="259" spans="1:5" s="9" customFormat="1" ht="30" x14ac:dyDescent="0.25">
      <c r="A259" s="13" t="s">
        <v>706</v>
      </c>
      <c r="B259" s="229" t="s">
        <v>708</v>
      </c>
      <c r="C259" s="9" t="s">
        <v>1883</v>
      </c>
      <c r="D259" s="9" t="s">
        <v>1893</v>
      </c>
      <c r="E259" s="9" t="s">
        <v>1894</v>
      </c>
    </row>
    <row r="260" spans="1:5" s="9" customFormat="1" ht="15.75" x14ac:dyDescent="0.25">
      <c r="A260" s="13" t="s">
        <v>710</v>
      </c>
      <c r="B260" s="229" t="s">
        <v>711</v>
      </c>
      <c r="C260" s="9" t="s">
        <v>1883</v>
      </c>
      <c r="D260" s="9" t="s">
        <v>1893</v>
      </c>
      <c r="E260" s="9" t="s">
        <v>1894</v>
      </c>
    </row>
    <row r="261" spans="1:5" s="9" customFormat="1" ht="15.75" x14ac:dyDescent="0.25">
      <c r="A261" s="13" t="s">
        <v>712</v>
      </c>
      <c r="B261" s="229" t="s">
        <v>713</v>
      </c>
      <c r="C261" s="9" t="s">
        <v>1883</v>
      </c>
      <c r="D261" s="9" t="s">
        <v>1893</v>
      </c>
      <c r="E261" s="9" t="s">
        <v>1894</v>
      </c>
    </row>
    <row r="262" spans="1:5" s="9" customFormat="1" ht="15.75" x14ac:dyDescent="0.25">
      <c r="A262" s="13" t="s">
        <v>714</v>
      </c>
      <c r="B262" s="229" t="s">
        <v>715</v>
      </c>
      <c r="C262" s="9" t="s">
        <v>1883</v>
      </c>
      <c r="D262" s="9" t="s">
        <v>1893</v>
      </c>
      <c r="E262" s="9" t="s">
        <v>1894</v>
      </c>
    </row>
    <row r="263" spans="1:5" s="9" customFormat="1" ht="30" x14ac:dyDescent="0.25">
      <c r="A263" s="13" t="s">
        <v>716</v>
      </c>
      <c r="B263" s="229" t="s">
        <v>718</v>
      </c>
      <c r="C263" s="9" t="s">
        <v>1883</v>
      </c>
      <c r="D263" s="9" t="s">
        <v>1893</v>
      </c>
      <c r="E263" s="9" t="s">
        <v>1894</v>
      </c>
    </row>
    <row r="264" spans="1:5" s="9" customFormat="1" ht="15.75" x14ac:dyDescent="0.25">
      <c r="A264" s="108" t="s">
        <v>1896</v>
      </c>
      <c r="B264" s="244" t="s">
        <v>721</v>
      </c>
    </row>
    <row r="265" spans="1:5" s="9" customFormat="1" ht="15.75" x14ac:dyDescent="0.25">
      <c r="A265" s="123" t="s">
        <v>1897</v>
      </c>
      <c r="B265" s="256" t="s">
        <v>1898</v>
      </c>
    </row>
    <row r="266" spans="1:5" s="9" customFormat="1" ht="247.35" customHeight="1" x14ac:dyDescent="0.25">
      <c r="A266" s="13" t="s">
        <v>722</v>
      </c>
      <c r="B266" s="229" t="s">
        <v>724</v>
      </c>
      <c r="C266" s="9" t="s">
        <v>1883</v>
      </c>
      <c r="D266" s="9" t="s">
        <v>1896</v>
      </c>
      <c r="E266" s="9" t="s">
        <v>1897</v>
      </c>
    </row>
    <row r="267" spans="1:5" s="9" customFormat="1" ht="247.35" customHeight="1" x14ac:dyDescent="0.25">
      <c r="A267" s="13" t="s">
        <v>726</v>
      </c>
      <c r="B267" s="229" t="s">
        <v>727</v>
      </c>
      <c r="C267" s="9" t="s">
        <v>1883</v>
      </c>
      <c r="D267" s="9" t="s">
        <v>1896</v>
      </c>
      <c r="E267" s="9" t="s">
        <v>1897</v>
      </c>
    </row>
    <row r="268" spans="1:5" s="9" customFormat="1" ht="30" x14ac:dyDescent="0.25">
      <c r="A268" s="13" t="s">
        <v>728</v>
      </c>
      <c r="B268" s="229" t="s">
        <v>730</v>
      </c>
      <c r="C268" s="9" t="s">
        <v>1883</v>
      </c>
      <c r="D268" s="9" t="s">
        <v>1896</v>
      </c>
      <c r="E268" s="9" t="s">
        <v>1897</v>
      </c>
    </row>
    <row r="269" spans="1:5" s="9" customFormat="1" ht="15.75" x14ac:dyDescent="0.25">
      <c r="A269" s="13" t="s">
        <v>732</v>
      </c>
      <c r="B269" s="229" t="s">
        <v>734</v>
      </c>
      <c r="C269" s="9" t="s">
        <v>1883</v>
      </c>
      <c r="D269" s="9" t="s">
        <v>1896</v>
      </c>
      <c r="E269" s="9" t="s">
        <v>1897</v>
      </c>
    </row>
    <row r="270" spans="1:5" s="9" customFormat="1" ht="15.75" x14ac:dyDescent="0.25">
      <c r="A270" s="13" t="s">
        <v>735</v>
      </c>
      <c r="B270" s="229" t="s">
        <v>736</v>
      </c>
      <c r="C270" s="9" t="s">
        <v>1883</v>
      </c>
      <c r="D270" s="9" t="s">
        <v>1896</v>
      </c>
      <c r="E270" s="9" t="s">
        <v>1897</v>
      </c>
    </row>
    <row r="271" spans="1:5" s="9" customFormat="1" ht="51" customHeight="1" x14ac:dyDescent="0.25">
      <c r="A271" s="13" t="s">
        <v>737</v>
      </c>
      <c r="B271" s="229" t="s">
        <v>739</v>
      </c>
      <c r="C271" s="9" t="s">
        <v>1883</v>
      </c>
      <c r="D271" s="9" t="s">
        <v>1896</v>
      </c>
      <c r="E271" s="9" t="s">
        <v>1897</v>
      </c>
    </row>
    <row r="272" spans="1:5" s="9" customFormat="1" ht="60" x14ac:dyDescent="0.25">
      <c r="A272" s="13" t="s">
        <v>741</v>
      </c>
      <c r="B272" s="229" t="s">
        <v>742</v>
      </c>
      <c r="C272" s="9" t="s">
        <v>1883</v>
      </c>
      <c r="D272" s="9" t="s">
        <v>1896</v>
      </c>
      <c r="E272" s="9" t="s">
        <v>1897</v>
      </c>
    </row>
    <row r="273" spans="1:5" s="9" customFormat="1" ht="15.75" x14ac:dyDescent="0.25">
      <c r="A273" s="13" t="s">
        <v>744</v>
      </c>
      <c r="B273" s="229" t="s">
        <v>745</v>
      </c>
      <c r="C273" s="9" t="s">
        <v>1883</v>
      </c>
      <c r="D273" s="9" t="s">
        <v>1896</v>
      </c>
      <c r="E273" s="9" t="s">
        <v>1897</v>
      </c>
    </row>
    <row r="274" spans="1:5" s="9" customFormat="1" ht="30" x14ac:dyDescent="0.25">
      <c r="A274" s="13" t="s">
        <v>746</v>
      </c>
      <c r="B274" s="229" t="s">
        <v>748</v>
      </c>
      <c r="C274" s="9" t="s">
        <v>1883</v>
      </c>
      <c r="D274" s="9" t="s">
        <v>1896</v>
      </c>
      <c r="E274" s="9" t="s">
        <v>1897</v>
      </c>
    </row>
    <row r="275" spans="1:5" s="9" customFormat="1" ht="30" x14ac:dyDescent="0.25">
      <c r="A275" s="13" t="s">
        <v>750</v>
      </c>
      <c r="B275" s="229" t="s">
        <v>752</v>
      </c>
      <c r="C275" s="9" t="s">
        <v>1883</v>
      </c>
      <c r="D275" s="9" t="s">
        <v>1896</v>
      </c>
      <c r="E275" s="9" t="s">
        <v>1897</v>
      </c>
    </row>
    <row r="276" spans="1:5" s="9" customFormat="1" ht="15.75" x14ac:dyDescent="0.25">
      <c r="A276" s="13" t="s">
        <v>754</v>
      </c>
      <c r="B276" s="229" t="s">
        <v>755</v>
      </c>
      <c r="C276" s="9" t="s">
        <v>1883</v>
      </c>
      <c r="D276" s="9" t="s">
        <v>1896</v>
      </c>
      <c r="E276" s="9" t="s">
        <v>1897</v>
      </c>
    </row>
    <row r="277" spans="1:5" s="9" customFormat="1" ht="15.75" x14ac:dyDescent="0.25">
      <c r="A277" s="13" t="s">
        <v>756</v>
      </c>
      <c r="B277" s="229" t="s">
        <v>757</v>
      </c>
      <c r="C277" s="9" t="s">
        <v>1883</v>
      </c>
      <c r="D277" s="9" t="s">
        <v>1896</v>
      </c>
      <c r="E277" s="9" t="s">
        <v>1897</v>
      </c>
    </row>
    <row r="278" spans="1:5" s="9" customFormat="1" ht="79.5" customHeight="1" x14ac:dyDescent="0.25">
      <c r="A278" s="13" t="s">
        <v>759</v>
      </c>
      <c r="B278" s="229" t="s">
        <v>760</v>
      </c>
      <c r="C278" s="9" t="s">
        <v>1883</v>
      </c>
      <c r="D278" s="9" t="s">
        <v>1896</v>
      </c>
      <c r="E278" s="9" t="s">
        <v>1897</v>
      </c>
    </row>
    <row r="279" spans="1:5" s="9" customFormat="1" ht="33.75" customHeight="1" x14ac:dyDescent="0.25">
      <c r="A279" s="24" t="s">
        <v>1899</v>
      </c>
      <c r="B279" s="249" t="s">
        <v>763</v>
      </c>
    </row>
    <row r="280" spans="1:5" s="9" customFormat="1" ht="15.75" x14ac:dyDescent="0.25">
      <c r="A280" s="108" t="s">
        <v>1900</v>
      </c>
      <c r="B280" s="244" t="s">
        <v>765</v>
      </c>
    </row>
    <row r="281" spans="1:5" s="9" customFormat="1" ht="15.75" x14ac:dyDescent="0.25">
      <c r="A281" s="123" t="s">
        <v>1901</v>
      </c>
      <c r="B281" s="256" t="s">
        <v>1902</v>
      </c>
    </row>
    <row r="282" spans="1:5" s="9" customFormat="1" ht="15.75" x14ac:dyDescent="0.25">
      <c r="A282" s="13" t="s">
        <v>766</v>
      </c>
      <c r="B282" s="229" t="s">
        <v>768</v>
      </c>
      <c r="C282" s="9" t="s">
        <v>1899</v>
      </c>
      <c r="D282" s="9" t="s">
        <v>1900</v>
      </c>
      <c r="E282" s="9" t="s">
        <v>1901</v>
      </c>
    </row>
    <row r="283" spans="1:5" s="9" customFormat="1" ht="57" customHeight="1" x14ac:dyDescent="0.25">
      <c r="A283" s="13" t="s">
        <v>1662</v>
      </c>
      <c r="B283" s="229" t="s">
        <v>772</v>
      </c>
      <c r="C283" s="9" t="s">
        <v>1899</v>
      </c>
      <c r="D283" s="9" t="s">
        <v>1900</v>
      </c>
      <c r="E283" s="9" t="s">
        <v>1901</v>
      </c>
    </row>
    <row r="284" spans="1:5" s="9" customFormat="1" ht="98.1" customHeight="1" x14ac:dyDescent="0.25">
      <c r="A284" s="13" t="s">
        <v>774</v>
      </c>
      <c r="B284" s="229" t="s">
        <v>776</v>
      </c>
      <c r="C284" s="9" t="s">
        <v>1899</v>
      </c>
      <c r="D284" s="9" t="s">
        <v>1900</v>
      </c>
      <c r="E284" s="9" t="s">
        <v>1901</v>
      </c>
    </row>
    <row r="285" spans="1:5" s="9" customFormat="1" ht="144" customHeight="1" x14ac:dyDescent="0.25">
      <c r="A285" s="13" t="s">
        <v>778</v>
      </c>
      <c r="B285" s="229" t="s">
        <v>780</v>
      </c>
      <c r="C285" s="9" t="s">
        <v>1899</v>
      </c>
      <c r="D285" s="9" t="s">
        <v>1900</v>
      </c>
      <c r="E285" s="9" t="s">
        <v>1901</v>
      </c>
    </row>
    <row r="286" spans="1:5" s="9" customFormat="1" ht="144" customHeight="1" x14ac:dyDescent="0.25">
      <c r="A286" s="13" t="s">
        <v>782</v>
      </c>
      <c r="B286" s="229" t="s">
        <v>783</v>
      </c>
      <c r="C286" s="9" t="s">
        <v>1899</v>
      </c>
      <c r="D286" s="9" t="s">
        <v>1900</v>
      </c>
      <c r="E286" s="9" t="s">
        <v>1901</v>
      </c>
    </row>
    <row r="287" spans="1:5" s="9" customFormat="1" ht="15.75" x14ac:dyDescent="0.25">
      <c r="A287" s="13" t="s">
        <v>785</v>
      </c>
      <c r="B287" s="229" t="s">
        <v>786</v>
      </c>
      <c r="C287" s="9" t="s">
        <v>1899</v>
      </c>
      <c r="D287" s="9" t="s">
        <v>1900</v>
      </c>
      <c r="E287" s="9" t="s">
        <v>1901</v>
      </c>
    </row>
    <row r="288" spans="1:5" s="9" customFormat="1" ht="15.75" x14ac:dyDescent="0.25">
      <c r="A288" s="108" t="s">
        <v>1903</v>
      </c>
      <c r="B288" s="244" t="s">
        <v>788</v>
      </c>
    </row>
    <row r="289" spans="1:5" s="9" customFormat="1" ht="15.75" x14ac:dyDescent="0.25">
      <c r="A289" s="123" t="s">
        <v>1904</v>
      </c>
      <c r="B289" s="256" t="s">
        <v>1905</v>
      </c>
    </row>
    <row r="290" spans="1:5" s="9" customFormat="1" ht="72.599999999999994" customHeight="1" x14ac:dyDescent="0.25">
      <c r="A290" s="13" t="s">
        <v>789</v>
      </c>
      <c r="B290" s="229" t="s">
        <v>791</v>
      </c>
      <c r="C290" s="9" t="s">
        <v>1899</v>
      </c>
      <c r="D290" s="9" t="s">
        <v>1903</v>
      </c>
      <c r="E290" s="9" t="s">
        <v>1904</v>
      </c>
    </row>
    <row r="291" spans="1:5" s="9" customFormat="1" ht="15.75" x14ac:dyDescent="0.25">
      <c r="A291" s="13" t="s">
        <v>793</v>
      </c>
      <c r="B291" s="229" t="s">
        <v>794</v>
      </c>
      <c r="C291" s="9" t="s">
        <v>1899</v>
      </c>
      <c r="D291" s="9" t="s">
        <v>1903</v>
      </c>
      <c r="E291" s="9" t="s">
        <v>1904</v>
      </c>
    </row>
    <row r="292" spans="1:5" s="9" customFormat="1" ht="15.75" x14ac:dyDescent="0.25">
      <c r="A292" s="13" t="s">
        <v>795</v>
      </c>
      <c r="B292" s="229" t="s">
        <v>797</v>
      </c>
      <c r="C292" s="9" t="s">
        <v>1899</v>
      </c>
      <c r="D292" s="9" t="s">
        <v>1903</v>
      </c>
      <c r="E292" s="9" t="s">
        <v>1904</v>
      </c>
    </row>
    <row r="293" spans="1:5" s="9" customFormat="1" ht="90" x14ac:dyDescent="0.25">
      <c r="A293" s="13" t="s">
        <v>799</v>
      </c>
      <c r="B293" s="229" t="s">
        <v>801</v>
      </c>
      <c r="C293" s="9" t="s">
        <v>1899</v>
      </c>
      <c r="D293" s="9" t="s">
        <v>1903</v>
      </c>
      <c r="E293" s="9" t="s">
        <v>1904</v>
      </c>
    </row>
    <row r="294" spans="1:5" s="9" customFormat="1" ht="15.75" x14ac:dyDescent="0.25">
      <c r="A294" s="13" t="s">
        <v>803</v>
      </c>
      <c r="B294" s="229" t="s">
        <v>804</v>
      </c>
      <c r="C294" s="9" t="s">
        <v>1899</v>
      </c>
      <c r="D294" s="9" t="s">
        <v>1903</v>
      </c>
      <c r="E294" s="9" t="s">
        <v>1904</v>
      </c>
    </row>
    <row r="295" spans="1:5" s="9" customFormat="1" ht="30" x14ac:dyDescent="0.25">
      <c r="A295" s="13" t="s">
        <v>805</v>
      </c>
      <c r="B295" s="229" t="s">
        <v>807</v>
      </c>
      <c r="C295" s="9" t="s">
        <v>1899</v>
      </c>
      <c r="D295" s="9" t="s">
        <v>1903</v>
      </c>
      <c r="E295" s="9" t="s">
        <v>1904</v>
      </c>
    </row>
    <row r="296" spans="1:5" s="9" customFormat="1" ht="15.75" x14ac:dyDescent="0.25">
      <c r="A296" s="13" t="s">
        <v>809</v>
      </c>
      <c r="B296" s="229" t="s">
        <v>810</v>
      </c>
      <c r="C296" s="9" t="s">
        <v>1899</v>
      </c>
      <c r="D296" s="9" t="s">
        <v>1903</v>
      </c>
      <c r="E296" s="9" t="s">
        <v>1904</v>
      </c>
    </row>
    <row r="297" spans="1:5" s="9" customFormat="1" ht="15.75" x14ac:dyDescent="0.25">
      <c r="A297" s="13" t="s">
        <v>812</v>
      </c>
      <c r="B297" s="229" t="s">
        <v>813</v>
      </c>
      <c r="C297" s="9" t="s">
        <v>1899</v>
      </c>
      <c r="D297" s="9" t="s">
        <v>1903</v>
      </c>
      <c r="E297" s="9" t="s">
        <v>1904</v>
      </c>
    </row>
    <row r="298" spans="1:5" s="9" customFormat="1" ht="15.75" x14ac:dyDescent="0.25">
      <c r="A298" s="13" t="s">
        <v>815</v>
      </c>
      <c r="B298" s="229" t="s">
        <v>817</v>
      </c>
      <c r="C298" s="9" t="s">
        <v>1899</v>
      </c>
      <c r="D298" s="9" t="s">
        <v>1903</v>
      </c>
      <c r="E298" s="9" t="s">
        <v>1904</v>
      </c>
    </row>
    <row r="299" spans="1:5" s="9" customFormat="1" ht="30" x14ac:dyDescent="0.25">
      <c r="A299" s="13" t="s">
        <v>819</v>
      </c>
      <c r="B299" s="229" t="s">
        <v>820</v>
      </c>
      <c r="C299" s="9" t="s">
        <v>1899</v>
      </c>
      <c r="D299" s="9" t="s">
        <v>1903</v>
      </c>
      <c r="E299" s="9" t="s">
        <v>1904</v>
      </c>
    </row>
    <row r="300" spans="1:5" s="9" customFormat="1" ht="15.75" x14ac:dyDescent="0.25">
      <c r="A300" s="108" t="s">
        <v>1906</v>
      </c>
      <c r="B300" s="244" t="s">
        <v>822</v>
      </c>
    </row>
    <row r="301" spans="1:5" s="9" customFormat="1" ht="15.75" x14ac:dyDescent="0.25">
      <c r="A301" s="123" t="s">
        <v>1907</v>
      </c>
      <c r="B301" s="256" t="s">
        <v>822</v>
      </c>
    </row>
    <row r="302" spans="1:5" s="9" customFormat="1" ht="15.75" x14ac:dyDescent="0.25">
      <c r="A302" s="13" t="s">
        <v>823</v>
      </c>
      <c r="B302" s="229" t="s">
        <v>825</v>
      </c>
      <c r="C302" s="9" t="s">
        <v>1899</v>
      </c>
      <c r="D302" s="9" t="s">
        <v>1906</v>
      </c>
      <c r="E302" s="9" t="s">
        <v>1907</v>
      </c>
    </row>
    <row r="303" spans="1:5" s="9" customFormat="1" ht="15.75" x14ac:dyDescent="0.25">
      <c r="A303" s="24" t="s">
        <v>1908</v>
      </c>
      <c r="B303" s="249" t="s">
        <v>828</v>
      </c>
    </row>
    <row r="304" spans="1:5" s="9" customFormat="1" ht="15.75" x14ac:dyDescent="0.25">
      <c r="A304" s="108" t="s">
        <v>1909</v>
      </c>
      <c r="B304" s="244" t="s">
        <v>1910</v>
      </c>
    </row>
    <row r="305" spans="1:5" s="9" customFormat="1" ht="15.75" x14ac:dyDescent="0.25">
      <c r="A305" s="123" t="s">
        <v>1911</v>
      </c>
      <c r="B305" s="256" t="s">
        <v>1910</v>
      </c>
    </row>
    <row r="306" spans="1:5" s="9" customFormat="1" ht="76.349999999999994" customHeight="1" x14ac:dyDescent="0.25">
      <c r="A306" s="276" t="s">
        <v>829</v>
      </c>
      <c r="B306" s="229" t="s">
        <v>1912</v>
      </c>
      <c r="C306" s="9" t="s">
        <v>1908</v>
      </c>
      <c r="D306" s="9" t="s">
        <v>1909</v>
      </c>
      <c r="E306" s="9" t="s">
        <v>1911</v>
      </c>
    </row>
    <row r="307" spans="1:5" s="9" customFormat="1" ht="30" x14ac:dyDescent="0.25">
      <c r="A307" s="276" t="s">
        <v>833</v>
      </c>
      <c r="B307" s="229" t="s">
        <v>834</v>
      </c>
      <c r="C307" s="9" t="s">
        <v>1908</v>
      </c>
      <c r="D307" s="9" t="s">
        <v>1909</v>
      </c>
      <c r="E307" s="9" t="s">
        <v>1911</v>
      </c>
    </row>
    <row r="308" spans="1:5" s="9" customFormat="1" ht="60" x14ac:dyDescent="0.25">
      <c r="A308" s="276" t="s">
        <v>835</v>
      </c>
      <c r="B308" s="229" t="s">
        <v>836</v>
      </c>
      <c r="C308" s="9" t="s">
        <v>1908</v>
      </c>
      <c r="D308" s="9" t="s">
        <v>1909</v>
      </c>
      <c r="E308" s="9" t="s">
        <v>1911</v>
      </c>
    </row>
    <row r="309" spans="1:5" s="9" customFormat="1" ht="30" x14ac:dyDescent="0.25">
      <c r="A309" s="276" t="s">
        <v>838</v>
      </c>
      <c r="B309" s="229" t="s">
        <v>840</v>
      </c>
      <c r="C309" s="9" t="s">
        <v>1908</v>
      </c>
      <c r="D309" s="9" t="s">
        <v>1909</v>
      </c>
      <c r="E309" s="9" t="s">
        <v>1911</v>
      </c>
    </row>
    <row r="310" spans="1:5" s="9" customFormat="1" ht="15.75" x14ac:dyDescent="0.25">
      <c r="A310" s="24" t="s">
        <v>1916</v>
      </c>
      <c r="B310" s="249" t="s">
        <v>843</v>
      </c>
    </row>
    <row r="311" spans="1:5" s="9" customFormat="1" ht="15.75" x14ac:dyDescent="0.25">
      <c r="A311" s="108" t="s">
        <v>1913</v>
      </c>
      <c r="B311" s="244" t="s">
        <v>843</v>
      </c>
    </row>
    <row r="312" spans="1:5" s="9" customFormat="1" ht="15.75" x14ac:dyDescent="0.25">
      <c r="A312" s="123" t="s">
        <v>1914</v>
      </c>
      <c r="B312" s="256" t="s">
        <v>1915</v>
      </c>
    </row>
    <row r="313" spans="1:5" s="9" customFormat="1" ht="15.75" x14ac:dyDescent="0.25">
      <c r="A313" s="13" t="s">
        <v>844</v>
      </c>
      <c r="B313" s="229" t="s">
        <v>846</v>
      </c>
      <c r="C313" s="9" t="s">
        <v>1916</v>
      </c>
      <c r="D313" s="9" t="s">
        <v>1913</v>
      </c>
      <c r="E313" s="9" t="s">
        <v>1914</v>
      </c>
    </row>
    <row r="314" spans="1:5" s="9" customFormat="1" ht="70.349999999999994" customHeight="1" x14ac:dyDescent="0.25">
      <c r="A314" s="13" t="s">
        <v>848</v>
      </c>
      <c r="B314" s="229" t="s">
        <v>850</v>
      </c>
      <c r="C314" s="9" t="s">
        <v>1916</v>
      </c>
      <c r="D314" s="9" t="s">
        <v>1913</v>
      </c>
      <c r="E314" s="9" t="s">
        <v>1914</v>
      </c>
    </row>
    <row r="315" spans="1:5" s="9" customFormat="1" ht="15.75" x14ac:dyDescent="0.25">
      <c r="A315" s="24" t="s">
        <v>1929</v>
      </c>
      <c r="B315" s="249" t="s">
        <v>852</v>
      </c>
    </row>
    <row r="316" spans="1:5" s="9" customFormat="1" ht="15.75" x14ac:dyDescent="0.25">
      <c r="A316" s="108" t="s">
        <v>1917</v>
      </c>
      <c r="B316" s="244" t="s">
        <v>854</v>
      </c>
    </row>
    <row r="317" spans="1:5" s="9" customFormat="1" ht="15.75" x14ac:dyDescent="0.25">
      <c r="A317" s="123" t="s">
        <v>1918</v>
      </c>
      <c r="B317" s="256" t="s">
        <v>1919</v>
      </c>
    </row>
    <row r="318" spans="1:5" s="9" customFormat="1" ht="51.6" customHeight="1" x14ac:dyDescent="0.25">
      <c r="A318" s="13" t="s">
        <v>855</v>
      </c>
      <c r="B318" s="229" t="s">
        <v>857</v>
      </c>
      <c r="C318" s="9" t="s">
        <v>1929</v>
      </c>
      <c r="D318" s="9" t="s">
        <v>1917</v>
      </c>
      <c r="E318" s="9" t="s">
        <v>1918</v>
      </c>
    </row>
    <row r="319" spans="1:5" s="9" customFormat="1" ht="15.75" x14ac:dyDescent="0.25">
      <c r="A319" s="13" t="s">
        <v>859</v>
      </c>
      <c r="B319" s="229" t="s">
        <v>860</v>
      </c>
      <c r="C319" s="9" t="s">
        <v>1929</v>
      </c>
      <c r="D319" s="9" t="s">
        <v>1917</v>
      </c>
      <c r="E319" s="9" t="s">
        <v>1918</v>
      </c>
    </row>
    <row r="320" spans="1:5" s="9" customFormat="1" ht="15.75" x14ac:dyDescent="0.25">
      <c r="A320" s="13" t="s">
        <v>862</v>
      </c>
      <c r="B320" s="229" t="s">
        <v>315</v>
      </c>
      <c r="C320" s="9" t="s">
        <v>1929</v>
      </c>
      <c r="D320" s="9" t="s">
        <v>1917</v>
      </c>
      <c r="E320" s="9" t="s">
        <v>1918</v>
      </c>
    </row>
    <row r="321" spans="1:5" s="9" customFormat="1" ht="15.75" x14ac:dyDescent="0.25">
      <c r="A321" s="13" t="s">
        <v>863</v>
      </c>
      <c r="B321" s="229" t="s">
        <v>318</v>
      </c>
      <c r="C321" s="9" t="s">
        <v>1929</v>
      </c>
      <c r="D321" s="9" t="s">
        <v>1917</v>
      </c>
      <c r="E321" s="9" t="s">
        <v>1918</v>
      </c>
    </row>
    <row r="322" spans="1:5" s="9" customFormat="1" ht="68.849999999999994" customHeight="1" x14ac:dyDescent="0.25">
      <c r="A322" s="13" t="s">
        <v>864</v>
      </c>
      <c r="B322" s="229" t="s">
        <v>866</v>
      </c>
      <c r="C322" s="9" t="s">
        <v>1929</v>
      </c>
      <c r="D322" s="9" t="s">
        <v>1917</v>
      </c>
      <c r="E322" s="9" t="s">
        <v>1918</v>
      </c>
    </row>
    <row r="323" spans="1:5" s="9" customFormat="1" ht="15.75" x14ac:dyDescent="0.25">
      <c r="A323" s="13" t="s">
        <v>868</v>
      </c>
      <c r="B323" s="229" t="s">
        <v>869</v>
      </c>
      <c r="C323" s="9" t="s">
        <v>1929</v>
      </c>
      <c r="D323" s="9" t="s">
        <v>1917</v>
      </c>
      <c r="E323" s="9" t="s">
        <v>1918</v>
      </c>
    </row>
    <row r="324" spans="1:5" s="9" customFormat="1" ht="15.75" x14ac:dyDescent="0.25">
      <c r="A324" s="13" t="s">
        <v>870</v>
      </c>
      <c r="B324" s="229" t="s">
        <v>871</v>
      </c>
      <c r="C324" s="9" t="s">
        <v>1929</v>
      </c>
      <c r="D324" s="9" t="s">
        <v>1917</v>
      </c>
      <c r="E324" s="9" t="s">
        <v>1918</v>
      </c>
    </row>
    <row r="325" spans="1:5" s="9" customFormat="1" ht="15.75" x14ac:dyDescent="0.25">
      <c r="A325" s="13" t="s">
        <v>872</v>
      </c>
      <c r="B325" s="229" t="s">
        <v>873</v>
      </c>
      <c r="C325" s="9" t="s">
        <v>1929</v>
      </c>
      <c r="D325" s="9" t="s">
        <v>1917</v>
      </c>
      <c r="E325" s="9" t="s">
        <v>1918</v>
      </c>
    </row>
    <row r="326" spans="1:5" s="9" customFormat="1" ht="15.75" x14ac:dyDescent="0.25">
      <c r="A326" s="13" t="s">
        <v>874</v>
      </c>
      <c r="B326" s="229" t="s">
        <v>875</v>
      </c>
      <c r="C326" s="9" t="s">
        <v>1929</v>
      </c>
      <c r="D326" s="9" t="s">
        <v>1917</v>
      </c>
      <c r="E326" s="9" t="s">
        <v>1918</v>
      </c>
    </row>
    <row r="327" spans="1:5" s="9" customFormat="1" ht="15.75" x14ac:dyDescent="0.25">
      <c r="A327" s="13" t="s">
        <v>876</v>
      </c>
      <c r="B327" s="229" t="s">
        <v>877</v>
      </c>
      <c r="C327" s="9" t="s">
        <v>1929</v>
      </c>
      <c r="D327" s="9" t="s">
        <v>1917</v>
      </c>
      <c r="E327" s="9" t="s">
        <v>1918</v>
      </c>
    </row>
    <row r="328" spans="1:5" s="9" customFormat="1" ht="15.75" x14ac:dyDescent="0.25">
      <c r="A328" s="13" t="s">
        <v>879</v>
      </c>
      <c r="B328" s="229" t="s">
        <v>880</v>
      </c>
      <c r="C328" s="9" t="s">
        <v>1929</v>
      </c>
      <c r="D328" s="9" t="s">
        <v>1917</v>
      </c>
      <c r="E328" s="9" t="s">
        <v>1918</v>
      </c>
    </row>
    <row r="329" spans="1:5" s="9" customFormat="1" ht="109.35" customHeight="1" x14ac:dyDescent="0.25">
      <c r="A329" s="13" t="s">
        <v>881</v>
      </c>
      <c r="B329" s="229" t="s">
        <v>883</v>
      </c>
      <c r="C329" s="9" t="s">
        <v>1929</v>
      </c>
      <c r="D329" s="9" t="s">
        <v>1917</v>
      </c>
      <c r="E329" s="9" t="s">
        <v>1918</v>
      </c>
    </row>
    <row r="330" spans="1:5" s="9" customFormat="1" ht="45" x14ac:dyDescent="0.25">
      <c r="A330" s="13" t="s">
        <v>885</v>
      </c>
      <c r="B330" s="229" t="s">
        <v>886</v>
      </c>
      <c r="C330" s="9" t="s">
        <v>1929</v>
      </c>
      <c r="D330" s="9" t="s">
        <v>1917</v>
      </c>
      <c r="E330" s="9" t="s">
        <v>1918</v>
      </c>
    </row>
    <row r="331" spans="1:5" s="9" customFormat="1" ht="42" customHeight="1" x14ac:dyDescent="0.25">
      <c r="A331" s="13" t="s">
        <v>887</v>
      </c>
      <c r="B331" s="229" t="s">
        <v>888</v>
      </c>
      <c r="C331" s="9" t="s">
        <v>1929</v>
      </c>
      <c r="D331" s="9" t="s">
        <v>1917</v>
      </c>
      <c r="E331" s="9" t="s">
        <v>1918</v>
      </c>
    </row>
    <row r="332" spans="1:5" s="9" customFormat="1" ht="48" customHeight="1" x14ac:dyDescent="0.25">
      <c r="A332" s="13" t="s">
        <v>890</v>
      </c>
      <c r="B332" s="229" t="s">
        <v>892</v>
      </c>
      <c r="C332" s="9" t="s">
        <v>1929</v>
      </c>
      <c r="D332" s="9" t="s">
        <v>1917</v>
      </c>
      <c r="E332" s="9" t="s">
        <v>1918</v>
      </c>
    </row>
    <row r="333" spans="1:5" s="9" customFormat="1" ht="15.75" x14ac:dyDescent="0.25">
      <c r="A333" s="13" t="s">
        <v>894</v>
      </c>
      <c r="B333" s="229" t="s">
        <v>896</v>
      </c>
      <c r="C333" s="9" t="s">
        <v>1929</v>
      </c>
      <c r="D333" s="9" t="s">
        <v>1917</v>
      </c>
      <c r="E333" s="9" t="s">
        <v>1918</v>
      </c>
    </row>
    <row r="334" spans="1:5" s="9" customFormat="1" ht="15.75" x14ac:dyDescent="0.25">
      <c r="A334" s="13" t="s">
        <v>898</v>
      </c>
      <c r="B334" s="229" t="s">
        <v>899</v>
      </c>
      <c r="C334" s="9" t="s">
        <v>1929</v>
      </c>
      <c r="D334" s="9" t="s">
        <v>1917</v>
      </c>
      <c r="E334" s="9" t="s">
        <v>1918</v>
      </c>
    </row>
    <row r="335" spans="1:5" s="9" customFormat="1" ht="15.75" x14ac:dyDescent="0.25">
      <c r="A335" s="13" t="s">
        <v>901</v>
      </c>
      <c r="B335" s="229" t="s">
        <v>902</v>
      </c>
      <c r="C335" s="9" t="s">
        <v>1929</v>
      </c>
      <c r="D335" s="9" t="s">
        <v>1917</v>
      </c>
      <c r="E335" s="9" t="s">
        <v>1918</v>
      </c>
    </row>
    <row r="336" spans="1:5" s="9" customFormat="1" ht="15.75" x14ac:dyDescent="0.25">
      <c r="A336" s="13" t="s">
        <v>904</v>
      </c>
      <c r="B336" s="229" t="s">
        <v>905</v>
      </c>
      <c r="C336" s="9" t="s">
        <v>1929</v>
      </c>
      <c r="D336" s="9" t="s">
        <v>1917</v>
      </c>
      <c r="E336" s="9" t="s">
        <v>1918</v>
      </c>
    </row>
    <row r="337" spans="1:5" s="9" customFormat="1" ht="15.75" x14ac:dyDescent="0.25">
      <c r="A337" s="142" t="s">
        <v>1920</v>
      </c>
      <c r="B337" s="256" t="s">
        <v>908</v>
      </c>
    </row>
    <row r="338" spans="1:5" s="9" customFormat="1" ht="15.75" x14ac:dyDescent="0.25">
      <c r="A338" s="13" t="s">
        <v>909</v>
      </c>
      <c r="B338" s="229" t="s">
        <v>911</v>
      </c>
      <c r="C338" s="9" t="s">
        <v>1929</v>
      </c>
      <c r="D338" s="9" t="s">
        <v>1917</v>
      </c>
      <c r="E338" s="9" t="s">
        <v>1920</v>
      </c>
    </row>
    <row r="339" spans="1:5" s="9" customFormat="1" ht="26.1" customHeight="1" x14ac:dyDescent="0.25">
      <c r="A339" s="13" t="s">
        <v>913</v>
      </c>
      <c r="B339" s="229" t="s">
        <v>914</v>
      </c>
      <c r="C339" s="9" t="s">
        <v>1929</v>
      </c>
      <c r="D339" s="9" t="s">
        <v>1917</v>
      </c>
      <c r="E339" s="9" t="s">
        <v>1920</v>
      </c>
    </row>
    <row r="340" spans="1:5" s="9" customFormat="1" ht="15.75" x14ac:dyDescent="0.25">
      <c r="A340" s="142" t="s">
        <v>1921</v>
      </c>
      <c r="B340" s="256" t="s">
        <v>917</v>
      </c>
    </row>
    <row r="341" spans="1:5" s="9" customFormat="1" ht="30" x14ac:dyDescent="0.25">
      <c r="A341" s="13" t="s">
        <v>918</v>
      </c>
      <c r="B341" s="229" t="s">
        <v>920</v>
      </c>
      <c r="C341" s="9" t="s">
        <v>1929</v>
      </c>
      <c r="D341" s="9" t="s">
        <v>1917</v>
      </c>
      <c r="E341" s="9" t="s">
        <v>1921</v>
      </c>
    </row>
    <row r="342" spans="1:5" s="9" customFormat="1" ht="15.75" x14ac:dyDescent="0.25">
      <c r="A342" s="13" t="s">
        <v>922</v>
      </c>
      <c r="B342" s="229" t="s">
        <v>924</v>
      </c>
      <c r="C342" s="9" t="s">
        <v>1929</v>
      </c>
      <c r="D342" s="9" t="s">
        <v>1917</v>
      </c>
      <c r="E342" s="9" t="s">
        <v>1921</v>
      </c>
    </row>
    <row r="343" spans="1:5" s="9" customFormat="1" ht="68.099999999999994" customHeight="1" x14ac:dyDescent="0.25">
      <c r="A343" s="13" t="s">
        <v>926</v>
      </c>
      <c r="B343" s="229" t="s">
        <v>928</v>
      </c>
      <c r="C343" s="9" t="s">
        <v>1929</v>
      </c>
      <c r="D343" s="9" t="s">
        <v>1917</v>
      </c>
      <c r="E343" s="9" t="s">
        <v>1921</v>
      </c>
    </row>
    <row r="344" spans="1:5" s="9" customFormat="1" ht="15.75" x14ac:dyDescent="0.25">
      <c r="A344" s="142" t="s">
        <v>1922</v>
      </c>
      <c r="B344" s="256" t="s">
        <v>931</v>
      </c>
    </row>
    <row r="345" spans="1:5" s="9" customFormat="1" ht="15.75" x14ac:dyDescent="0.25">
      <c r="A345" s="13" t="s">
        <v>932</v>
      </c>
      <c r="B345" s="229" t="s">
        <v>934</v>
      </c>
      <c r="C345" s="9" t="s">
        <v>1929</v>
      </c>
      <c r="D345" s="9" t="s">
        <v>1917</v>
      </c>
      <c r="E345" s="9" t="s">
        <v>1922</v>
      </c>
    </row>
    <row r="346" spans="1:5" s="9" customFormat="1" ht="15.75" x14ac:dyDescent="0.25">
      <c r="A346" s="13" t="s">
        <v>936</v>
      </c>
      <c r="B346" s="229" t="s">
        <v>938</v>
      </c>
      <c r="C346" s="9" t="s">
        <v>1929</v>
      </c>
      <c r="D346" s="9" t="s">
        <v>1917</v>
      </c>
      <c r="E346" s="9" t="s">
        <v>1922</v>
      </c>
    </row>
    <row r="347" spans="1:5" s="9" customFormat="1" ht="15.75" x14ac:dyDescent="0.25">
      <c r="A347" s="108" t="s">
        <v>1923</v>
      </c>
      <c r="B347" s="244" t="s">
        <v>941</v>
      </c>
    </row>
    <row r="348" spans="1:5" s="9" customFormat="1" ht="15.75" x14ac:dyDescent="0.25">
      <c r="A348" s="142" t="s">
        <v>1924</v>
      </c>
      <c r="B348" s="256" t="s">
        <v>1925</v>
      </c>
    </row>
    <row r="349" spans="1:5" s="9" customFormat="1" ht="48" customHeight="1" x14ac:dyDescent="0.25">
      <c r="A349" s="13" t="s">
        <v>942</v>
      </c>
      <c r="B349" s="229" t="s">
        <v>944</v>
      </c>
      <c r="C349" s="9" t="s">
        <v>1929</v>
      </c>
      <c r="D349" s="9" t="s">
        <v>1923</v>
      </c>
      <c r="E349" s="9" t="s">
        <v>1924</v>
      </c>
    </row>
    <row r="350" spans="1:5" s="9" customFormat="1" ht="33" customHeight="1" x14ac:dyDescent="0.25">
      <c r="A350" s="13" t="s">
        <v>946</v>
      </c>
      <c r="B350" s="229" t="s">
        <v>947</v>
      </c>
      <c r="C350" s="9" t="s">
        <v>1929</v>
      </c>
      <c r="D350" s="9" t="s">
        <v>1923</v>
      </c>
      <c r="E350" s="9" t="s">
        <v>1924</v>
      </c>
    </row>
    <row r="351" spans="1:5" s="9" customFormat="1" ht="49.35" customHeight="1" x14ac:dyDescent="0.25">
      <c r="A351" s="13" t="s">
        <v>949</v>
      </c>
      <c r="B351" s="229" t="s">
        <v>950</v>
      </c>
      <c r="C351" s="9" t="s">
        <v>1929</v>
      </c>
      <c r="D351" s="9" t="s">
        <v>1923</v>
      </c>
      <c r="E351" s="9" t="s">
        <v>1924</v>
      </c>
    </row>
    <row r="352" spans="1:5" s="9" customFormat="1" ht="33" customHeight="1" x14ac:dyDescent="0.25">
      <c r="A352" s="13" t="s">
        <v>952</v>
      </c>
      <c r="B352" s="229" t="s">
        <v>953</v>
      </c>
      <c r="C352" s="9" t="s">
        <v>1929</v>
      </c>
      <c r="D352" s="9" t="s">
        <v>1923</v>
      </c>
      <c r="E352" s="9" t="s">
        <v>1924</v>
      </c>
    </row>
    <row r="353" spans="1:5" s="9" customFormat="1" ht="15.75" x14ac:dyDescent="0.25">
      <c r="A353" s="13" t="s">
        <v>954</v>
      </c>
      <c r="B353" s="229" t="s">
        <v>955</v>
      </c>
      <c r="C353" s="9" t="s">
        <v>1929</v>
      </c>
      <c r="D353" s="9" t="s">
        <v>1923</v>
      </c>
      <c r="E353" s="9" t="s">
        <v>1924</v>
      </c>
    </row>
    <row r="354" spans="1:5" s="9" customFormat="1" ht="30" x14ac:dyDescent="0.25">
      <c r="A354" s="13" t="s">
        <v>956</v>
      </c>
      <c r="B354" s="229" t="s">
        <v>957</v>
      </c>
      <c r="C354" s="9" t="s">
        <v>1929</v>
      </c>
      <c r="D354" s="9" t="s">
        <v>1923</v>
      </c>
      <c r="E354" s="9" t="s">
        <v>1924</v>
      </c>
    </row>
    <row r="355" spans="1:5" s="9" customFormat="1" ht="30" x14ac:dyDescent="0.25">
      <c r="A355" s="13" t="s">
        <v>959</v>
      </c>
      <c r="B355" s="229" t="s">
        <v>960</v>
      </c>
      <c r="C355" s="9" t="s">
        <v>1929</v>
      </c>
      <c r="D355" s="9" t="s">
        <v>1923</v>
      </c>
      <c r="E355" s="9" t="s">
        <v>1924</v>
      </c>
    </row>
    <row r="356" spans="1:5" s="9" customFormat="1" ht="15.75" x14ac:dyDescent="0.25">
      <c r="A356" s="13" t="s">
        <v>962</v>
      </c>
      <c r="B356" s="229" t="s">
        <v>963</v>
      </c>
      <c r="C356" s="9" t="s">
        <v>1929</v>
      </c>
      <c r="D356" s="9" t="s">
        <v>1923</v>
      </c>
      <c r="E356" s="9" t="s">
        <v>1924</v>
      </c>
    </row>
    <row r="357" spans="1:5" s="9" customFormat="1" ht="15.75" x14ac:dyDescent="0.25">
      <c r="A357" s="13" t="s">
        <v>964</v>
      </c>
      <c r="B357" s="229" t="s">
        <v>965</v>
      </c>
      <c r="C357" s="9" t="s">
        <v>1929</v>
      </c>
      <c r="D357" s="9" t="s">
        <v>1923</v>
      </c>
      <c r="E357" s="9" t="s">
        <v>1924</v>
      </c>
    </row>
    <row r="358" spans="1:5" s="9" customFormat="1" ht="15.75" x14ac:dyDescent="0.25">
      <c r="A358" s="13" t="s">
        <v>967</v>
      </c>
      <c r="B358" s="229" t="s">
        <v>968</v>
      </c>
      <c r="C358" s="9" t="s">
        <v>1929</v>
      </c>
      <c r="D358" s="9" t="s">
        <v>1923</v>
      </c>
      <c r="E358" s="9" t="s">
        <v>1924</v>
      </c>
    </row>
    <row r="359" spans="1:5" s="9" customFormat="1" ht="15.75" x14ac:dyDescent="0.25">
      <c r="A359" s="13" t="s">
        <v>969</v>
      </c>
      <c r="B359" s="229" t="s">
        <v>970</v>
      </c>
      <c r="C359" s="9" t="s">
        <v>1929</v>
      </c>
      <c r="D359" s="9" t="s">
        <v>1923</v>
      </c>
      <c r="E359" s="9" t="s">
        <v>1924</v>
      </c>
    </row>
    <row r="360" spans="1:5" s="9" customFormat="1" ht="15.75" x14ac:dyDescent="0.25">
      <c r="A360" s="13" t="s">
        <v>971</v>
      </c>
      <c r="B360" s="229" t="s">
        <v>972</v>
      </c>
      <c r="C360" s="9" t="s">
        <v>1929</v>
      </c>
      <c r="D360" s="9" t="s">
        <v>1923</v>
      </c>
      <c r="E360" s="9" t="s">
        <v>1924</v>
      </c>
    </row>
    <row r="361" spans="1:5" s="9" customFormat="1" ht="15.75" x14ac:dyDescent="0.25">
      <c r="A361" s="13" t="s">
        <v>974</v>
      </c>
      <c r="B361" s="229" t="s">
        <v>975</v>
      </c>
      <c r="C361" s="9" t="s">
        <v>1929</v>
      </c>
      <c r="D361" s="9" t="s">
        <v>1923</v>
      </c>
      <c r="E361" s="9" t="s">
        <v>1924</v>
      </c>
    </row>
    <row r="362" spans="1:5" s="9" customFormat="1" ht="30" x14ac:dyDescent="0.25">
      <c r="A362" s="13" t="s">
        <v>977</v>
      </c>
      <c r="B362" s="229" t="s">
        <v>978</v>
      </c>
      <c r="C362" s="9" t="s">
        <v>1929</v>
      </c>
      <c r="D362" s="9" t="s">
        <v>1923</v>
      </c>
      <c r="E362" s="9" t="s">
        <v>1924</v>
      </c>
    </row>
    <row r="363" spans="1:5" s="9" customFormat="1" ht="15.75" x14ac:dyDescent="0.25">
      <c r="A363" s="13" t="s">
        <v>980</v>
      </c>
      <c r="B363" s="229" t="s">
        <v>981</v>
      </c>
      <c r="C363" s="9" t="s">
        <v>1929</v>
      </c>
      <c r="D363" s="9" t="s">
        <v>1923</v>
      </c>
      <c r="E363" s="9" t="s">
        <v>1924</v>
      </c>
    </row>
    <row r="364" spans="1:5" s="9" customFormat="1" ht="15.75" x14ac:dyDescent="0.25">
      <c r="A364" s="13" t="s">
        <v>983</v>
      </c>
      <c r="B364" s="229" t="s">
        <v>984</v>
      </c>
      <c r="C364" s="9" t="s">
        <v>1929</v>
      </c>
      <c r="D364" s="9" t="s">
        <v>1923</v>
      </c>
      <c r="E364" s="9" t="s">
        <v>1924</v>
      </c>
    </row>
    <row r="365" spans="1:5" s="9" customFormat="1" ht="15.75" x14ac:dyDescent="0.25">
      <c r="A365" s="13" t="s">
        <v>985</v>
      </c>
      <c r="B365" s="229" t="s">
        <v>986</v>
      </c>
      <c r="C365" s="9" t="s">
        <v>1929</v>
      </c>
      <c r="D365" s="9" t="s">
        <v>1923</v>
      </c>
      <c r="E365" s="9" t="s">
        <v>1924</v>
      </c>
    </row>
    <row r="366" spans="1:5" s="9" customFormat="1" ht="15.75" x14ac:dyDescent="0.25">
      <c r="A366" s="13" t="s">
        <v>988</v>
      </c>
      <c r="B366" s="229" t="s">
        <v>989</v>
      </c>
      <c r="C366" s="9" t="s">
        <v>1929</v>
      </c>
      <c r="D366" s="9" t="s">
        <v>1923</v>
      </c>
      <c r="E366" s="9" t="s">
        <v>1924</v>
      </c>
    </row>
    <row r="367" spans="1:5" s="9" customFormat="1" ht="30" x14ac:dyDescent="0.25">
      <c r="A367" s="13" t="s">
        <v>991</v>
      </c>
      <c r="B367" s="229" t="s">
        <v>992</v>
      </c>
      <c r="C367" s="9" t="s">
        <v>1929</v>
      </c>
      <c r="D367" s="9" t="s">
        <v>1923</v>
      </c>
      <c r="E367" s="9" t="s">
        <v>1924</v>
      </c>
    </row>
    <row r="368" spans="1:5" s="9" customFormat="1" ht="15.75" x14ac:dyDescent="0.25">
      <c r="A368" s="13" t="s">
        <v>994</v>
      </c>
      <c r="B368" s="229" t="s">
        <v>995</v>
      </c>
      <c r="C368" s="9" t="s">
        <v>1929</v>
      </c>
      <c r="D368" s="9" t="s">
        <v>1923</v>
      </c>
      <c r="E368" s="9" t="s">
        <v>1924</v>
      </c>
    </row>
    <row r="369" spans="1:5" s="9" customFormat="1" ht="15.75" x14ac:dyDescent="0.25">
      <c r="A369" s="13" t="s">
        <v>997</v>
      </c>
      <c r="B369" s="229" t="s">
        <v>318</v>
      </c>
      <c r="C369" s="9" t="s">
        <v>1929</v>
      </c>
      <c r="D369" s="9" t="s">
        <v>1923</v>
      </c>
      <c r="E369" s="9" t="s">
        <v>1924</v>
      </c>
    </row>
    <row r="370" spans="1:5" s="9" customFormat="1" ht="15.75" x14ac:dyDescent="0.25">
      <c r="A370" s="142" t="s">
        <v>1926</v>
      </c>
      <c r="B370" s="256" t="s">
        <v>999</v>
      </c>
    </row>
    <row r="371" spans="1:5" s="9" customFormat="1" ht="15.75" x14ac:dyDescent="0.25">
      <c r="A371" s="13" t="s">
        <v>1000</v>
      </c>
      <c r="B371" s="229" t="s">
        <v>1002</v>
      </c>
      <c r="C371" s="9" t="s">
        <v>1929</v>
      </c>
      <c r="D371" s="9" t="s">
        <v>1923</v>
      </c>
      <c r="E371" s="9" t="s">
        <v>1926</v>
      </c>
    </row>
    <row r="372" spans="1:5" s="9" customFormat="1" ht="47.1" customHeight="1" x14ac:dyDescent="0.25">
      <c r="A372" s="13" t="s">
        <v>1004</v>
      </c>
      <c r="B372" s="229" t="s">
        <v>1006</v>
      </c>
      <c r="C372" s="9" t="s">
        <v>1929</v>
      </c>
      <c r="D372" s="9" t="s">
        <v>1923</v>
      </c>
      <c r="E372" s="9" t="s">
        <v>1926</v>
      </c>
    </row>
    <row r="373" spans="1:5" s="9" customFormat="1" ht="48.6" customHeight="1" x14ac:dyDescent="0.25">
      <c r="A373" s="13" t="s">
        <v>1008</v>
      </c>
      <c r="B373" s="229" t="s">
        <v>1009</v>
      </c>
      <c r="C373" s="9" t="s">
        <v>1929</v>
      </c>
      <c r="D373" s="9" t="s">
        <v>1923</v>
      </c>
      <c r="E373" s="9" t="s">
        <v>1926</v>
      </c>
    </row>
    <row r="374" spans="1:5" s="9" customFormat="1" ht="15.75" x14ac:dyDescent="0.25">
      <c r="A374" s="142" t="s">
        <v>1927</v>
      </c>
      <c r="B374" s="256" t="s">
        <v>1011</v>
      </c>
    </row>
    <row r="375" spans="1:5" s="9" customFormat="1" ht="74.099999999999994" customHeight="1" x14ac:dyDescent="0.25">
      <c r="A375" s="13" t="s">
        <v>1012</v>
      </c>
      <c r="B375" s="229" t="s">
        <v>1013</v>
      </c>
      <c r="C375" s="9" t="s">
        <v>1929</v>
      </c>
      <c r="D375" s="9" t="s">
        <v>1923</v>
      </c>
      <c r="E375" s="9" t="s">
        <v>1927</v>
      </c>
    </row>
    <row r="376" spans="1:5" s="9" customFormat="1" ht="74.099999999999994" customHeight="1" x14ac:dyDescent="0.25">
      <c r="A376" s="13" t="s">
        <v>1015</v>
      </c>
      <c r="B376" s="229" t="s">
        <v>1017</v>
      </c>
      <c r="C376" s="9" t="s">
        <v>1929</v>
      </c>
      <c r="D376" s="9" t="s">
        <v>1923</v>
      </c>
      <c r="E376" s="9" t="s">
        <v>1927</v>
      </c>
    </row>
    <row r="377" spans="1:5" s="9" customFormat="1" ht="42" customHeight="1" x14ac:dyDescent="0.25">
      <c r="A377" s="13" t="s">
        <v>1019</v>
      </c>
      <c r="B377" s="229" t="s">
        <v>1020</v>
      </c>
      <c r="C377" s="9" t="s">
        <v>1929</v>
      </c>
      <c r="D377" s="9" t="s">
        <v>1923</v>
      </c>
      <c r="E377" s="9" t="s">
        <v>1927</v>
      </c>
    </row>
    <row r="378" spans="1:5" s="9" customFormat="1" ht="29.85" customHeight="1" x14ac:dyDescent="0.25">
      <c r="A378" s="13" t="s">
        <v>1022</v>
      </c>
      <c r="B378" s="229" t="s">
        <v>1024</v>
      </c>
      <c r="C378" s="9" t="s">
        <v>1929</v>
      </c>
      <c r="D378" s="9" t="s">
        <v>1923</v>
      </c>
      <c r="E378" s="9" t="s">
        <v>1927</v>
      </c>
    </row>
    <row r="379" spans="1:5" s="9" customFormat="1" ht="15.75" x14ac:dyDescent="0.25">
      <c r="A379" s="142" t="s">
        <v>1928</v>
      </c>
      <c r="B379" s="256" t="s">
        <v>1027</v>
      </c>
    </row>
    <row r="380" spans="1:5" s="9" customFormat="1" ht="15.75" x14ac:dyDescent="0.25">
      <c r="A380" s="13" t="s">
        <v>1028</v>
      </c>
      <c r="B380" s="229" t="s">
        <v>1030</v>
      </c>
      <c r="C380" s="9" t="s">
        <v>1929</v>
      </c>
      <c r="D380" s="9" t="s">
        <v>1923</v>
      </c>
      <c r="E380" s="9" t="s">
        <v>1928</v>
      </c>
    </row>
    <row r="381" spans="1:5" s="9" customFormat="1" ht="15.75" x14ac:dyDescent="0.25">
      <c r="A381" s="13" t="s">
        <v>1032</v>
      </c>
      <c r="B381" s="229" t="s">
        <v>1034</v>
      </c>
      <c r="C381" s="9" t="s">
        <v>1929</v>
      </c>
      <c r="D381" s="9" t="s">
        <v>1923</v>
      </c>
      <c r="E381" s="9" t="s">
        <v>1928</v>
      </c>
    </row>
    <row r="382" spans="1:5" s="9" customFormat="1" ht="42" customHeight="1" x14ac:dyDescent="0.25">
      <c r="A382" s="13" t="s">
        <v>1036</v>
      </c>
      <c r="B382" s="229" t="s">
        <v>1037</v>
      </c>
      <c r="C382" s="9" t="s">
        <v>1929</v>
      </c>
      <c r="D382" s="9" t="s">
        <v>1923</v>
      </c>
      <c r="E382" s="9" t="s">
        <v>1928</v>
      </c>
    </row>
    <row r="383" spans="1:5" s="9" customFormat="1" ht="15.75" x14ac:dyDescent="0.25">
      <c r="A383" s="13" t="s">
        <v>1038</v>
      </c>
      <c r="B383" s="229" t="s">
        <v>1040</v>
      </c>
      <c r="C383" s="9" t="s">
        <v>1929</v>
      </c>
      <c r="D383" s="9" t="s">
        <v>1923</v>
      </c>
      <c r="E383" s="9" t="s">
        <v>1928</v>
      </c>
    </row>
    <row r="384" spans="1:5" s="9" customFormat="1" ht="15.75" x14ac:dyDescent="0.25">
      <c r="A384" s="13" t="s">
        <v>1042</v>
      </c>
      <c r="B384" s="229" t="s">
        <v>1044</v>
      </c>
      <c r="C384" s="9" t="s">
        <v>1929</v>
      </c>
      <c r="D384" s="9" t="s">
        <v>1923</v>
      </c>
      <c r="E384" s="9" t="s">
        <v>1928</v>
      </c>
    </row>
    <row r="385" spans="1:5" s="9" customFormat="1" ht="15.75" x14ac:dyDescent="0.25">
      <c r="A385" s="13" t="s">
        <v>1046</v>
      </c>
      <c r="B385" s="229" t="s">
        <v>422</v>
      </c>
      <c r="C385" s="9" t="s">
        <v>1929</v>
      </c>
      <c r="D385" s="9" t="s">
        <v>1923</v>
      </c>
      <c r="E385" s="9" t="s">
        <v>1928</v>
      </c>
    </row>
    <row r="386" spans="1:5" s="9" customFormat="1" ht="15.75" x14ac:dyDescent="0.25">
      <c r="A386" s="24" t="s">
        <v>1951</v>
      </c>
      <c r="B386" s="249" t="s">
        <v>1048</v>
      </c>
    </row>
    <row r="387" spans="1:5" s="9" customFormat="1" ht="15.75" x14ac:dyDescent="0.25">
      <c r="A387" s="108" t="s">
        <v>1930</v>
      </c>
      <c r="B387" s="244" t="s">
        <v>1050</v>
      </c>
    </row>
    <row r="388" spans="1:5" s="9" customFormat="1" ht="15.75" x14ac:dyDescent="0.25">
      <c r="A388" s="142" t="s">
        <v>1931</v>
      </c>
      <c r="B388" s="256" t="s">
        <v>1932</v>
      </c>
    </row>
    <row r="389" spans="1:5" s="9" customFormat="1" ht="15.75" x14ac:dyDescent="0.25">
      <c r="A389" s="13" t="s">
        <v>1051</v>
      </c>
      <c r="B389" s="229" t="s">
        <v>474</v>
      </c>
      <c r="C389" s="9" t="s">
        <v>1951</v>
      </c>
      <c r="D389" s="9" t="s">
        <v>1930</v>
      </c>
      <c r="E389" s="9" t="s">
        <v>1931</v>
      </c>
    </row>
    <row r="390" spans="1:5" s="9" customFormat="1" ht="83.85" customHeight="1" x14ac:dyDescent="0.25">
      <c r="A390" s="13" t="s">
        <v>1053</v>
      </c>
      <c r="B390" s="229" t="s">
        <v>1054</v>
      </c>
      <c r="C390" s="9" t="s">
        <v>1951</v>
      </c>
      <c r="D390" s="9" t="s">
        <v>1930</v>
      </c>
      <c r="E390" s="9" t="s">
        <v>1931</v>
      </c>
    </row>
    <row r="391" spans="1:5" s="9" customFormat="1" ht="32.1" customHeight="1" x14ac:dyDescent="0.25">
      <c r="A391" s="13" t="s">
        <v>1056</v>
      </c>
      <c r="B391" s="229" t="s">
        <v>1057</v>
      </c>
      <c r="C391" s="9" t="s">
        <v>1951</v>
      </c>
      <c r="D391" s="9" t="s">
        <v>1930</v>
      </c>
      <c r="E391" s="9" t="s">
        <v>1931</v>
      </c>
    </row>
    <row r="392" spans="1:5" s="9" customFormat="1" ht="32.1" customHeight="1" x14ac:dyDescent="0.25">
      <c r="A392" s="13" t="s">
        <v>1058</v>
      </c>
      <c r="B392" s="229" t="s">
        <v>1059</v>
      </c>
      <c r="C392" s="9" t="s">
        <v>1951</v>
      </c>
      <c r="D392" s="9" t="s">
        <v>1930</v>
      </c>
      <c r="E392" s="9" t="s">
        <v>1931</v>
      </c>
    </row>
    <row r="393" spans="1:5" s="9" customFormat="1" ht="15.75" x14ac:dyDescent="0.25">
      <c r="A393" s="13" t="s">
        <v>1060</v>
      </c>
      <c r="B393" s="229" t="s">
        <v>1061</v>
      </c>
      <c r="C393" s="9" t="s">
        <v>1951</v>
      </c>
      <c r="D393" s="9" t="s">
        <v>1930</v>
      </c>
      <c r="E393" s="9" t="s">
        <v>1931</v>
      </c>
    </row>
    <row r="394" spans="1:5" s="9" customFormat="1" ht="44.1" customHeight="1" x14ac:dyDescent="0.25">
      <c r="A394" s="13" t="s">
        <v>1063</v>
      </c>
      <c r="B394" s="229" t="s">
        <v>1064</v>
      </c>
      <c r="C394" s="9" t="s">
        <v>1951</v>
      </c>
      <c r="D394" s="9" t="s">
        <v>1930</v>
      </c>
      <c r="E394" s="9" t="s">
        <v>1931</v>
      </c>
    </row>
    <row r="395" spans="1:5" s="9" customFormat="1" ht="107.1" customHeight="1" x14ac:dyDescent="0.25">
      <c r="A395" s="13" t="s">
        <v>1066</v>
      </c>
      <c r="B395" s="229" t="s">
        <v>1067</v>
      </c>
      <c r="C395" s="9" t="s">
        <v>1951</v>
      </c>
      <c r="D395" s="9" t="s">
        <v>1930</v>
      </c>
      <c r="E395" s="9" t="s">
        <v>1931</v>
      </c>
    </row>
    <row r="396" spans="1:5" s="9" customFormat="1" ht="32.1" customHeight="1" x14ac:dyDescent="0.25">
      <c r="A396" s="13" t="s">
        <v>1069</v>
      </c>
      <c r="B396" s="229" t="s">
        <v>1070</v>
      </c>
      <c r="C396" s="9" t="s">
        <v>1951</v>
      </c>
      <c r="D396" s="9" t="s">
        <v>1930</v>
      </c>
      <c r="E396" s="9" t="s">
        <v>1931</v>
      </c>
    </row>
    <row r="397" spans="1:5" s="9" customFormat="1" ht="32.1" customHeight="1" x14ac:dyDescent="0.25">
      <c r="A397" s="13" t="s">
        <v>1071</v>
      </c>
      <c r="B397" s="229" t="s">
        <v>1072</v>
      </c>
      <c r="C397" s="9" t="s">
        <v>1951</v>
      </c>
      <c r="D397" s="9" t="s">
        <v>1930</v>
      </c>
      <c r="E397" s="9" t="s">
        <v>1931</v>
      </c>
    </row>
    <row r="398" spans="1:5" s="9" customFormat="1" ht="32.1" customHeight="1" x14ac:dyDescent="0.25">
      <c r="A398" s="13" t="s">
        <v>1073</v>
      </c>
      <c r="B398" s="229" t="s">
        <v>1074</v>
      </c>
      <c r="C398" s="9" t="s">
        <v>1951</v>
      </c>
      <c r="D398" s="9" t="s">
        <v>1930</v>
      </c>
      <c r="E398" s="9" t="s">
        <v>1931</v>
      </c>
    </row>
    <row r="399" spans="1:5" s="9" customFormat="1" ht="49.35" customHeight="1" x14ac:dyDescent="0.25">
      <c r="A399" s="13" t="s">
        <v>1076</v>
      </c>
      <c r="B399" s="229" t="s">
        <v>1077</v>
      </c>
      <c r="C399" s="9" t="s">
        <v>1951</v>
      </c>
      <c r="D399" s="9" t="s">
        <v>1930</v>
      </c>
      <c r="E399" s="9" t="s">
        <v>1931</v>
      </c>
    </row>
    <row r="400" spans="1:5" s="9" customFormat="1" ht="32.1" customHeight="1" x14ac:dyDescent="0.25">
      <c r="A400" s="13" t="s">
        <v>1079</v>
      </c>
      <c r="B400" s="229" t="s">
        <v>1080</v>
      </c>
      <c r="C400" s="9" t="s">
        <v>1951</v>
      </c>
      <c r="D400" s="9" t="s">
        <v>1930</v>
      </c>
      <c r="E400" s="9" t="s">
        <v>1931</v>
      </c>
    </row>
    <row r="401" spans="1:5" s="9" customFormat="1" ht="32.1" customHeight="1" x14ac:dyDescent="0.25">
      <c r="A401" s="13" t="s">
        <v>1082</v>
      </c>
      <c r="B401" s="229" t="s">
        <v>1083</v>
      </c>
      <c r="C401" s="9" t="s">
        <v>1951</v>
      </c>
      <c r="D401" s="9" t="s">
        <v>1930</v>
      </c>
      <c r="E401" s="9" t="s">
        <v>1931</v>
      </c>
    </row>
    <row r="402" spans="1:5" s="9" customFormat="1" ht="53.85" customHeight="1" x14ac:dyDescent="0.25">
      <c r="A402" s="13" t="s">
        <v>1085</v>
      </c>
      <c r="B402" s="229" t="s">
        <v>1086</v>
      </c>
      <c r="C402" s="9" t="s">
        <v>1951</v>
      </c>
      <c r="D402" s="9" t="s">
        <v>1930</v>
      </c>
      <c r="E402" s="9" t="s">
        <v>1931</v>
      </c>
    </row>
    <row r="403" spans="1:5" s="9" customFormat="1" ht="15.75" x14ac:dyDescent="0.25">
      <c r="A403" s="108" t="s">
        <v>1933</v>
      </c>
      <c r="B403" s="244" t="s">
        <v>1089</v>
      </c>
    </row>
    <row r="404" spans="1:5" s="9" customFormat="1" ht="15.75" x14ac:dyDescent="0.25">
      <c r="A404" s="142" t="s">
        <v>1934</v>
      </c>
      <c r="B404" s="256" t="s">
        <v>1935</v>
      </c>
    </row>
    <row r="405" spans="1:5" s="9" customFormat="1" ht="15.75" x14ac:dyDescent="0.25">
      <c r="A405" s="13" t="s">
        <v>1090</v>
      </c>
      <c r="B405" s="229" t="s">
        <v>1091</v>
      </c>
      <c r="C405" s="9" t="s">
        <v>1951</v>
      </c>
      <c r="D405" s="9" t="s">
        <v>1933</v>
      </c>
      <c r="E405" s="9" t="s">
        <v>1934</v>
      </c>
    </row>
    <row r="406" spans="1:5" s="9" customFormat="1" ht="15.75" x14ac:dyDescent="0.25">
      <c r="A406" s="13" t="s">
        <v>1093</v>
      </c>
      <c r="B406" s="229" t="s">
        <v>869</v>
      </c>
      <c r="C406" s="9" t="s">
        <v>1951</v>
      </c>
      <c r="D406" s="9" t="s">
        <v>1933</v>
      </c>
      <c r="E406" s="9" t="s">
        <v>1934</v>
      </c>
    </row>
    <row r="407" spans="1:5" s="9" customFormat="1" ht="15.75" x14ac:dyDescent="0.25">
      <c r="A407" s="13" t="s">
        <v>1095</v>
      </c>
      <c r="B407" s="229" t="s">
        <v>871</v>
      </c>
      <c r="C407" s="9" t="s">
        <v>1951</v>
      </c>
      <c r="D407" s="9" t="s">
        <v>1933</v>
      </c>
      <c r="E407" s="9" t="s">
        <v>1934</v>
      </c>
    </row>
    <row r="408" spans="1:5" s="9" customFormat="1" ht="15.75" x14ac:dyDescent="0.25">
      <c r="A408" s="13" t="s">
        <v>1096</v>
      </c>
      <c r="B408" s="229" t="s">
        <v>873</v>
      </c>
      <c r="C408" s="9" t="s">
        <v>1951</v>
      </c>
      <c r="D408" s="9" t="s">
        <v>1933</v>
      </c>
      <c r="E408" s="9" t="s">
        <v>1934</v>
      </c>
    </row>
    <row r="409" spans="1:5" s="9" customFormat="1" ht="15.75" x14ac:dyDescent="0.25">
      <c r="A409" s="13" t="s">
        <v>1097</v>
      </c>
      <c r="B409" s="229" t="s">
        <v>875</v>
      </c>
      <c r="C409" s="9" t="s">
        <v>1951</v>
      </c>
      <c r="D409" s="9" t="s">
        <v>1933</v>
      </c>
      <c r="E409" s="9" t="s">
        <v>1934</v>
      </c>
    </row>
    <row r="410" spans="1:5" s="9" customFormat="1" ht="15.75" x14ac:dyDescent="0.25">
      <c r="A410" s="108" t="s">
        <v>1936</v>
      </c>
      <c r="B410" s="244" t="s">
        <v>1099</v>
      </c>
    </row>
    <row r="411" spans="1:5" s="9" customFormat="1" ht="15.75" x14ac:dyDescent="0.25">
      <c r="A411" s="142" t="s">
        <v>1937</v>
      </c>
      <c r="B411" s="256" t="s">
        <v>1938</v>
      </c>
    </row>
    <row r="412" spans="1:5" s="9" customFormat="1" ht="15.75" x14ac:dyDescent="0.25">
      <c r="A412" s="13" t="s">
        <v>1100</v>
      </c>
      <c r="B412" s="229" t="s">
        <v>1101</v>
      </c>
      <c r="C412" s="9" t="s">
        <v>1951</v>
      </c>
      <c r="D412" s="9" t="s">
        <v>1936</v>
      </c>
      <c r="E412" s="9" t="s">
        <v>1937</v>
      </c>
    </row>
    <row r="413" spans="1:5" s="9" customFormat="1" ht="15.75" x14ac:dyDescent="0.25">
      <c r="A413" s="13" t="s">
        <v>1103</v>
      </c>
      <c r="B413" s="229" t="s">
        <v>1104</v>
      </c>
      <c r="C413" s="9" t="s">
        <v>1951</v>
      </c>
      <c r="D413" s="9" t="s">
        <v>1936</v>
      </c>
      <c r="E413" s="9" t="s">
        <v>1937</v>
      </c>
    </row>
    <row r="414" spans="1:5" s="9" customFormat="1" ht="15.75" x14ac:dyDescent="0.25">
      <c r="A414" s="192" t="s">
        <v>1939</v>
      </c>
      <c r="B414" s="244" t="s">
        <v>1107</v>
      </c>
    </row>
    <row r="415" spans="1:5" s="9" customFormat="1" ht="15.75" x14ac:dyDescent="0.25">
      <c r="A415" s="142" t="s">
        <v>1940</v>
      </c>
      <c r="B415" s="256" t="s">
        <v>1941</v>
      </c>
    </row>
    <row r="416" spans="1:5" s="9" customFormat="1" ht="30" x14ac:dyDescent="0.25">
      <c r="A416" s="13" t="s">
        <v>1108</v>
      </c>
      <c r="B416" s="229" t="s">
        <v>1110</v>
      </c>
      <c r="C416" s="9" t="s">
        <v>1951</v>
      </c>
      <c r="D416" s="9" t="s">
        <v>1939</v>
      </c>
      <c r="E416" s="9" t="s">
        <v>1940</v>
      </c>
    </row>
    <row r="417" spans="1:5" s="9" customFormat="1" ht="69" customHeight="1" x14ac:dyDescent="0.25">
      <c r="A417" s="13" t="s">
        <v>1112</v>
      </c>
      <c r="B417" s="229" t="s">
        <v>1113</v>
      </c>
      <c r="C417" s="9" t="s">
        <v>1951</v>
      </c>
      <c r="D417" s="9" t="s">
        <v>1939</v>
      </c>
      <c r="E417" s="9" t="s">
        <v>1940</v>
      </c>
    </row>
    <row r="418" spans="1:5" s="9" customFormat="1" ht="15.75" x14ac:dyDescent="0.25">
      <c r="A418" s="13" t="s">
        <v>1114</v>
      </c>
      <c r="B418" s="229" t="s">
        <v>1115</v>
      </c>
      <c r="C418" s="9" t="s">
        <v>1951</v>
      </c>
      <c r="D418" s="9" t="s">
        <v>1939</v>
      </c>
      <c r="E418" s="9" t="s">
        <v>1940</v>
      </c>
    </row>
    <row r="419" spans="1:5" s="9" customFormat="1" ht="15.75" x14ac:dyDescent="0.25">
      <c r="A419" s="13" t="s">
        <v>1116</v>
      </c>
      <c r="B419" s="229" t="s">
        <v>1118</v>
      </c>
      <c r="C419" s="9" t="s">
        <v>1951</v>
      </c>
      <c r="D419" s="9" t="s">
        <v>1939</v>
      </c>
      <c r="E419" s="9" t="s">
        <v>1940</v>
      </c>
    </row>
    <row r="420" spans="1:5" s="9" customFormat="1" ht="15.75" x14ac:dyDescent="0.25">
      <c r="A420" s="13" t="s">
        <v>1120</v>
      </c>
      <c r="B420" s="229" t="s">
        <v>1121</v>
      </c>
      <c r="C420" s="9" t="s">
        <v>1951</v>
      </c>
      <c r="D420" s="9" t="s">
        <v>1939</v>
      </c>
      <c r="E420" s="9" t="s">
        <v>1940</v>
      </c>
    </row>
    <row r="421" spans="1:5" s="9" customFormat="1" ht="15.75" x14ac:dyDescent="0.25">
      <c r="A421" s="13" t="s">
        <v>1123</v>
      </c>
      <c r="B421" s="229" t="s">
        <v>1124</v>
      </c>
      <c r="C421" s="9" t="s">
        <v>1951</v>
      </c>
      <c r="D421" s="9" t="s">
        <v>1939</v>
      </c>
      <c r="E421" s="9" t="s">
        <v>1940</v>
      </c>
    </row>
    <row r="422" spans="1:5" s="9" customFormat="1" ht="15.75" x14ac:dyDescent="0.25">
      <c r="A422" s="108" t="s">
        <v>1942</v>
      </c>
      <c r="B422" s="244" t="s">
        <v>1126</v>
      </c>
    </row>
    <row r="423" spans="1:5" s="9" customFormat="1" ht="15.75" x14ac:dyDescent="0.25">
      <c r="A423" s="142" t="s">
        <v>1943</v>
      </c>
      <c r="B423" s="256" t="s">
        <v>1944</v>
      </c>
    </row>
    <row r="424" spans="1:5" s="9" customFormat="1" ht="55.35" customHeight="1" x14ac:dyDescent="0.25">
      <c r="A424" s="13" t="s">
        <v>1127</v>
      </c>
      <c r="B424" s="229" t="s">
        <v>1129</v>
      </c>
      <c r="C424" s="9" t="s">
        <v>1951</v>
      </c>
      <c r="D424" s="9" t="s">
        <v>1942</v>
      </c>
      <c r="E424" s="9" t="s">
        <v>1943</v>
      </c>
    </row>
    <row r="425" spans="1:5" s="9" customFormat="1" ht="55.35" customHeight="1" x14ac:dyDescent="0.25">
      <c r="A425" s="13" t="s">
        <v>1131</v>
      </c>
      <c r="B425" s="229" t="s">
        <v>1132</v>
      </c>
      <c r="C425" s="9" t="s">
        <v>1951</v>
      </c>
      <c r="D425" s="9" t="s">
        <v>1942</v>
      </c>
      <c r="E425" s="9" t="s">
        <v>1943</v>
      </c>
    </row>
    <row r="426" spans="1:5" s="9" customFormat="1" ht="55.35" customHeight="1" x14ac:dyDescent="0.25">
      <c r="A426" s="13" t="s">
        <v>1134</v>
      </c>
      <c r="B426" s="229" t="s">
        <v>1135</v>
      </c>
      <c r="C426" s="9" t="s">
        <v>1951</v>
      </c>
      <c r="D426" s="9" t="s">
        <v>1942</v>
      </c>
      <c r="E426" s="9" t="s">
        <v>1943</v>
      </c>
    </row>
    <row r="427" spans="1:5" s="9" customFormat="1" ht="38.1" customHeight="1" x14ac:dyDescent="0.25">
      <c r="A427" s="13" t="s">
        <v>1137</v>
      </c>
      <c r="B427" s="229" t="s">
        <v>1139</v>
      </c>
      <c r="C427" s="9" t="s">
        <v>1951</v>
      </c>
      <c r="D427" s="9" t="s">
        <v>1942</v>
      </c>
      <c r="E427" s="9" t="s">
        <v>1943</v>
      </c>
    </row>
    <row r="428" spans="1:5" s="9" customFormat="1" ht="15.75" x14ac:dyDescent="0.25">
      <c r="A428" s="13" t="s">
        <v>1141</v>
      </c>
      <c r="B428" s="229" t="s">
        <v>1142</v>
      </c>
      <c r="C428" s="9" t="s">
        <v>1951</v>
      </c>
      <c r="D428" s="9" t="s">
        <v>1942</v>
      </c>
      <c r="E428" s="9" t="s">
        <v>1943</v>
      </c>
    </row>
    <row r="429" spans="1:5" s="9" customFormat="1" ht="15.75" x14ac:dyDescent="0.25">
      <c r="A429" s="13" t="s">
        <v>1143</v>
      </c>
      <c r="B429" s="229" t="s">
        <v>1145</v>
      </c>
      <c r="C429" s="9" t="s">
        <v>1951</v>
      </c>
      <c r="D429" s="9" t="s">
        <v>1942</v>
      </c>
      <c r="E429" s="9" t="s">
        <v>1943</v>
      </c>
    </row>
    <row r="430" spans="1:5" s="9" customFormat="1" ht="15.75" x14ac:dyDescent="0.25">
      <c r="A430" s="13" t="s">
        <v>1147</v>
      </c>
      <c r="B430" s="229" t="s">
        <v>1148</v>
      </c>
      <c r="C430" s="9" t="s">
        <v>1951</v>
      </c>
      <c r="D430" s="9" t="s">
        <v>1942</v>
      </c>
      <c r="E430" s="9" t="s">
        <v>1943</v>
      </c>
    </row>
    <row r="431" spans="1:5" s="9" customFormat="1" ht="15.75" x14ac:dyDescent="0.25">
      <c r="A431" s="108" t="s">
        <v>1945</v>
      </c>
      <c r="B431" s="244" t="s">
        <v>1150</v>
      </c>
    </row>
    <row r="432" spans="1:5" s="9" customFormat="1" ht="15.75" x14ac:dyDescent="0.25">
      <c r="A432" s="142" t="s">
        <v>1946</v>
      </c>
      <c r="B432" s="256" t="s">
        <v>1947</v>
      </c>
    </row>
    <row r="433" spans="1:5" s="9" customFormat="1" ht="15.75" x14ac:dyDescent="0.25">
      <c r="A433" s="13" t="s">
        <v>1151</v>
      </c>
      <c r="B433" s="229" t="s">
        <v>1153</v>
      </c>
      <c r="C433" s="9" t="s">
        <v>1951</v>
      </c>
      <c r="D433" s="9" t="s">
        <v>1945</v>
      </c>
      <c r="E433" s="9" t="s">
        <v>1946</v>
      </c>
    </row>
    <row r="434" spans="1:5" s="9" customFormat="1" ht="30" x14ac:dyDescent="0.25">
      <c r="A434" s="13" t="s">
        <v>1155</v>
      </c>
      <c r="B434" s="229" t="s">
        <v>1156</v>
      </c>
      <c r="C434" s="9" t="s">
        <v>1951</v>
      </c>
      <c r="D434" s="9" t="s">
        <v>1945</v>
      </c>
      <c r="E434" s="9" t="s">
        <v>1946</v>
      </c>
    </row>
    <row r="435" spans="1:5" s="9" customFormat="1" ht="15.75" x14ac:dyDescent="0.25">
      <c r="A435" s="13" t="s">
        <v>1157</v>
      </c>
      <c r="B435" s="229" t="s">
        <v>1158</v>
      </c>
      <c r="C435" s="9" t="s">
        <v>1951</v>
      </c>
      <c r="D435" s="9" t="s">
        <v>1945</v>
      </c>
      <c r="E435" s="9" t="s">
        <v>1946</v>
      </c>
    </row>
    <row r="436" spans="1:5" s="9" customFormat="1" ht="15.75" x14ac:dyDescent="0.25">
      <c r="A436" s="13" t="s">
        <v>1160</v>
      </c>
      <c r="B436" s="229" t="s">
        <v>1161</v>
      </c>
      <c r="C436" s="9" t="s">
        <v>1951</v>
      </c>
      <c r="D436" s="9" t="s">
        <v>1945</v>
      </c>
      <c r="E436" s="9" t="s">
        <v>1946</v>
      </c>
    </row>
    <row r="437" spans="1:5" s="9" customFormat="1" ht="30" x14ac:dyDescent="0.25">
      <c r="A437" s="13" t="s">
        <v>1163</v>
      </c>
      <c r="B437" s="229" t="s">
        <v>1164</v>
      </c>
      <c r="C437" s="9" t="s">
        <v>1951</v>
      </c>
      <c r="D437" s="9" t="s">
        <v>1945</v>
      </c>
      <c r="E437" s="9" t="s">
        <v>1946</v>
      </c>
    </row>
    <row r="438" spans="1:5" s="9" customFormat="1" ht="15.75" x14ac:dyDescent="0.25">
      <c r="A438" s="13" t="s">
        <v>1166</v>
      </c>
      <c r="B438" s="229" t="s">
        <v>1167</v>
      </c>
      <c r="C438" s="9" t="s">
        <v>1951</v>
      </c>
      <c r="D438" s="9" t="s">
        <v>1945</v>
      </c>
      <c r="E438" s="9" t="s">
        <v>1946</v>
      </c>
    </row>
    <row r="439" spans="1:5" s="9" customFormat="1" ht="15.75" x14ac:dyDescent="0.25">
      <c r="A439" s="13" t="s">
        <v>1168</v>
      </c>
      <c r="B439" s="229" t="s">
        <v>1169</v>
      </c>
      <c r="C439" s="9" t="s">
        <v>1951</v>
      </c>
      <c r="D439" s="9" t="s">
        <v>1945</v>
      </c>
      <c r="E439" s="9" t="s">
        <v>1946</v>
      </c>
    </row>
    <row r="440" spans="1:5" s="9" customFormat="1" ht="15.75" x14ac:dyDescent="0.25">
      <c r="A440" s="13" t="s">
        <v>1171</v>
      </c>
      <c r="B440" s="229" t="s">
        <v>1167</v>
      </c>
      <c r="C440" s="9" t="s">
        <v>1951</v>
      </c>
      <c r="D440" s="9" t="s">
        <v>1945</v>
      </c>
      <c r="E440" s="9" t="s">
        <v>1946</v>
      </c>
    </row>
    <row r="441" spans="1:5" s="9" customFormat="1" ht="30" x14ac:dyDescent="0.25">
      <c r="A441" s="13" t="s">
        <v>1172</v>
      </c>
      <c r="B441" s="229" t="s">
        <v>1174</v>
      </c>
      <c r="C441" s="9" t="s">
        <v>1951</v>
      </c>
      <c r="D441" s="9" t="s">
        <v>1945</v>
      </c>
      <c r="E441" s="9" t="s">
        <v>1946</v>
      </c>
    </row>
    <row r="442" spans="1:5" s="9" customFormat="1" ht="56.85" customHeight="1" x14ac:dyDescent="0.25">
      <c r="A442" s="13" t="s">
        <v>1176</v>
      </c>
      <c r="B442" s="229" t="s">
        <v>1167</v>
      </c>
      <c r="C442" s="9" t="s">
        <v>1951</v>
      </c>
      <c r="D442" s="9" t="s">
        <v>1945</v>
      </c>
      <c r="E442" s="9" t="s">
        <v>1946</v>
      </c>
    </row>
    <row r="443" spans="1:5" s="9" customFormat="1" ht="112.35" customHeight="1" x14ac:dyDescent="0.25">
      <c r="A443" s="13" t="s">
        <v>1730</v>
      </c>
      <c r="B443" s="229" t="s">
        <v>1179</v>
      </c>
      <c r="C443" s="9" t="s">
        <v>1951</v>
      </c>
      <c r="D443" s="9" t="s">
        <v>1945</v>
      </c>
      <c r="E443" s="9" t="s">
        <v>1946</v>
      </c>
    </row>
    <row r="444" spans="1:5" s="9" customFormat="1" ht="30" x14ac:dyDescent="0.25">
      <c r="A444" s="13" t="s">
        <v>1731</v>
      </c>
      <c r="B444" s="229" t="s">
        <v>1183</v>
      </c>
      <c r="C444" s="9" t="s">
        <v>1951</v>
      </c>
      <c r="D444" s="9" t="s">
        <v>1945</v>
      </c>
      <c r="E444" s="9" t="s">
        <v>1946</v>
      </c>
    </row>
    <row r="445" spans="1:5" s="9" customFormat="1" ht="30" x14ac:dyDescent="0.25">
      <c r="A445" s="13" t="s">
        <v>1732</v>
      </c>
      <c r="B445" s="229" t="s">
        <v>1186</v>
      </c>
      <c r="C445" s="9" t="s">
        <v>1951</v>
      </c>
      <c r="D445" s="9" t="s">
        <v>1945</v>
      </c>
      <c r="E445" s="9" t="s">
        <v>1946</v>
      </c>
    </row>
    <row r="446" spans="1:5" s="9" customFormat="1" ht="15.75" x14ac:dyDescent="0.25">
      <c r="A446" s="13" t="s">
        <v>1733</v>
      </c>
      <c r="B446" s="229" t="s">
        <v>1188</v>
      </c>
      <c r="C446" s="9" t="s">
        <v>1951</v>
      </c>
      <c r="D446" s="9" t="s">
        <v>1945</v>
      </c>
      <c r="E446" s="9" t="s">
        <v>1946</v>
      </c>
    </row>
    <row r="447" spans="1:5" s="9" customFormat="1" ht="36" customHeight="1" x14ac:dyDescent="0.25">
      <c r="A447" s="13" t="s">
        <v>1734</v>
      </c>
      <c r="B447" s="229" t="s">
        <v>1190</v>
      </c>
      <c r="C447" s="9" t="s">
        <v>1951</v>
      </c>
      <c r="D447" s="9" t="s">
        <v>1945</v>
      </c>
      <c r="E447" s="9" t="s">
        <v>1946</v>
      </c>
    </row>
    <row r="448" spans="1:5" s="9" customFormat="1" ht="36" customHeight="1" x14ac:dyDescent="0.25">
      <c r="A448" s="13" t="s">
        <v>1736</v>
      </c>
      <c r="B448" s="229" t="s">
        <v>1193</v>
      </c>
      <c r="C448" s="9" t="s">
        <v>1951</v>
      </c>
      <c r="D448" s="9" t="s">
        <v>1945</v>
      </c>
      <c r="E448" s="9" t="s">
        <v>1946</v>
      </c>
    </row>
    <row r="449" spans="1:5" s="9" customFormat="1" ht="15.75" x14ac:dyDescent="0.25">
      <c r="A449" s="13" t="s">
        <v>1737</v>
      </c>
      <c r="B449" s="229" t="s">
        <v>1195</v>
      </c>
      <c r="C449" s="9" t="s">
        <v>1951</v>
      </c>
      <c r="D449" s="9" t="s">
        <v>1945</v>
      </c>
      <c r="E449" s="9" t="s">
        <v>1946</v>
      </c>
    </row>
    <row r="450" spans="1:5" s="9" customFormat="1" ht="36" customHeight="1" x14ac:dyDescent="0.25">
      <c r="A450" s="13" t="s">
        <v>1738</v>
      </c>
      <c r="B450" s="229" t="s">
        <v>1197</v>
      </c>
      <c r="C450" s="9" t="s">
        <v>1951</v>
      </c>
      <c r="D450" s="9" t="s">
        <v>1945</v>
      </c>
      <c r="E450" s="9" t="s">
        <v>1946</v>
      </c>
    </row>
    <row r="451" spans="1:5" s="9" customFormat="1" ht="30" x14ac:dyDescent="0.25">
      <c r="A451" s="13" t="s">
        <v>1741</v>
      </c>
      <c r="B451" s="229" t="s">
        <v>1201</v>
      </c>
      <c r="C451" s="9" t="s">
        <v>1951</v>
      </c>
      <c r="D451" s="9" t="s">
        <v>1945</v>
      </c>
      <c r="E451" s="9" t="s">
        <v>1946</v>
      </c>
    </row>
    <row r="452" spans="1:5" s="9" customFormat="1" ht="15.75" x14ac:dyDescent="0.25">
      <c r="A452" s="108" t="s">
        <v>1948</v>
      </c>
      <c r="B452" s="244" t="s">
        <v>1204</v>
      </c>
    </row>
    <row r="453" spans="1:5" s="9" customFormat="1" ht="15.75" x14ac:dyDescent="0.25">
      <c r="A453" s="142" t="s">
        <v>1949</v>
      </c>
      <c r="B453" s="256" t="s">
        <v>1950</v>
      </c>
    </row>
    <row r="454" spans="1:5" s="9" customFormat="1" ht="15.75" x14ac:dyDescent="0.25">
      <c r="A454" s="13" t="s">
        <v>1205</v>
      </c>
      <c r="B454" s="229" t="s">
        <v>1207</v>
      </c>
      <c r="C454" s="9" t="s">
        <v>1951</v>
      </c>
      <c r="D454" s="9" t="s">
        <v>1948</v>
      </c>
      <c r="E454" s="9" t="s">
        <v>1949</v>
      </c>
    </row>
    <row r="455" spans="1:5" s="9" customFormat="1" ht="30" x14ac:dyDescent="0.25">
      <c r="A455" s="13" t="s">
        <v>1209</v>
      </c>
      <c r="B455" s="229" t="s">
        <v>1210</v>
      </c>
      <c r="C455" s="9" t="s">
        <v>1951</v>
      </c>
      <c r="D455" s="9" t="s">
        <v>1948</v>
      </c>
      <c r="E455" s="9" t="s">
        <v>1949</v>
      </c>
    </row>
    <row r="456" spans="1:5" s="9" customFormat="1" ht="59.1" customHeight="1" x14ac:dyDescent="0.25">
      <c r="A456" s="13" t="s">
        <v>1211</v>
      </c>
      <c r="B456" s="229" t="s">
        <v>1212</v>
      </c>
      <c r="C456" s="9" t="s">
        <v>1951</v>
      </c>
      <c r="D456" s="9" t="s">
        <v>1948</v>
      </c>
      <c r="E456" s="9" t="s">
        <v>1949</v>
      </c>
    </row>
    <row r="457" spans="1:5" s="9" customFormat="1" ht="66.599999999999994" customHeight="1" x14ac:dyDescent="0.25">
      <c r="A457" s="13" t="s">
        <v>1214</v>
      </c>
      <c r="B457" s="229" t="s">
        <v>1215</v>
      </c>
      <c r="C457" s="9" t="s">
        <v>1951</v>
      </c>
      <c r="D457" s="9" t="s">
        <v>1948</v>
      </c>
      <c r="E457" s="9" t="s">
        <v>1949</v>
      </c>
    </row>
    <row r="458" spans="1:5" s="9" customFormat="1" ht="30" x14ac:dyDescent="0.25">
      <c r="A458" s="13" t="s">
        <v>1217</v>
      </c>
      <c r="B458" s="229" t="s">
        <v>1219</v>
      </c>
      <c r="C458" s="9" t="s">
        <v>1951</v>
      </c>
      <c r="D458" s="9" t="s">
        <v>1948</v>
      </c>
      <c r="E458" s="9" t="s">
        <v>1949</v>
      </c>
    </row>
    <row r="459" spans="1:5" s="9" customFormat="1" ht="15.75" x14ac:dyDescent="0.25">
      <c r="A459" s="13" t="s">
        <v>1221</v>
      </c>
      <c r="B459" s="229" t="s">
        <v>1223</v>
      </c>
      <c r="C459" s="9" t="s">
        <v>1951</v>
      </c>
      <c r="D459" s="9" t="s">
        <v>1948</v>
      </c>
      <c r="E459" s="9" t="s">
        <v>1949</v>
      </c>
    </row>
    <row r="460" spans="1:5" s="9" customFormat="1" ht="15.75" x14ac:dyDescent="0.25">
      <c r="A460" s="13" t="s">
        <v>1225</v>
      </c>
      <c r="B460" s="229" t="s">
        <v>1227</v>
      </c>
      <c r="C460" s="9" t="s">
        <v>1951</v>
      </c>
      <c r="D460" s="9" t="s">
        <v>1948</v>
      </c>
      <c r="E460" s="9" t="s">
        <v>1949</v>
      </c>
    </row>
    <row r="461" spans="1:5" s="9" customFormat="1" ht="15.75" x14ac:dyDescent="0.25">
      <c r="A461" s="24" t="s">
        <v>1964</v>
      </c>
      <c r="B461" s="249" t="s">
        <v>1230</v>
      </c>
    </row>
    <row r="462" spans="1:5" s="9" customFormat="1" ht="15.75" x14ac:dyDescent="0.25">
      <c r="A462" s="108" t="s">
        <v>1952</v>
      </c>
      <c r="B462" s="244" t="s">
        <v>1232</v>
      </c>
    </row>
    <row r="463" spans="1:5" s="9" customFormat="1" ht="15.75" x14ac:dyDescent="0.25">
      <c r="A463" s="123" t="s">
        <v>1953</v>
      </c>
      <c r="B463" s="256" t="s">
        <v>1234</v>
      </c>
    </row>
    <row r="464" spans="1:5" s="9" customFormat="1" ht="15.75" x14ac:dyDescent="0.25">
      <c r="A464" s="13" t="s">
        <v>1235</v>
      </c>
      <c r="B464" s="229" t="s">
        <v>1237</v>
      </c>
      <c r="C464" s="9" t="s">
        <v>1964</v>
      </c>
      <c r="D464" s="9" t="s">
        <v>1952</v>
      </c>
      <c r="E464" s="9" t="s">
        <v>1953</v>
      </c>
    </row>
    <row r="465" spans="1:5" s="9" customFormat="1" ht="15.75" x14ac:dyDescent="0.25">
      <c r="A465" s="13" t="s">
        <v>1239</v>
      </c>
      <c r="B465" s="229" t="s">
        <v>1240</v>
      </c>
      <c r="C465" s="9" t="s">
        <v>1964</v>
      </c>
      <c r="D465" s="9" t="s">
        <v>1952</v>
      </c>
      <c r="E465" s="9" t="s">
        <v>1953</v>
      </c>
    </row>
    <row r="466" spans="1:5" s="9" customFormat="1" ht="15.75" x14ac:dyDescent="0.25">
      <c r="A466" s="123" t="s">
        <v>1954</v>
      </c>
      <c r="B466" s="256" t="s">
        <v>1242</v>
      </c>
    </row>
    <row r="467" spans="1:5" s="9" customFormat="1" ht="15.75" x14ac:dyDescent="0.25">
      <c r="A467" s="13" t="s">
        <v>1243</v>
      </c>
      <c r="B467" s="229" t="s">
        <v>1245</v>
      </c>
      <c r="C467" s="9" t="s">
        <v>1964</v>
      </c>
      <c r="D467" s="9" t="s">
        <v>1952</v>
      </c>
      <c r="E467" s="9" t="s">
        <v>1954</v>
      </c>
    </row>
    <row r="468" spans="1:5" s="9" customFormat="1" ht="94.35" customHeight="1" x14ac:dyDescent="0.25">
      <c r="A468" s="13" t="s">
        <v>1247</v>
      </c>
      <c r="B468" s="229" t="s">
        <v>1249</v>
      </c>
      <c r="C468" s="9" t="s">
        <v>1964</v>
      </c>
      <c r="D468" s="9" t="s">
        <v>1952</v>
      </c>
      <c r="E468" s="9" t="s">
        <v>1954</v>
      </c>
    </row>
    <row r="469" spans="1:5" s="9" customFormat="1" ht="15.75" x14ac:dyDescent="0.25">
      <c r="A469" s="123" t="s">
        <v>1955</v>
      </c>
      <c r="B469" s="256" t="s">
        <v>1252</v>
      </c>
    </row>
    <row r="470" spans="1:5" s="9" customFormat="1" ht="15.75" x14ac:dyDescent="0.25">
      <c r="A470" s="13" t="s">
        <v>1253</v>
      </c>
      <c r="B470" s="229" t="s">
        <v>1255</v>
      </c>
      <c r="C470" s="9" t="s">
        <v>1964</v>
      </c>
      <c r="D470" s="9" t="s">
        <v>1952</v>
      </c>
      <c r="E470" s="9" t="s">
        <v>1955</v>
      </c>
    </row>
    <row r="471" spans="1:5" s="9" customFormat="1" ht="15.75" x14ac:dyDescent="0.25">
      <c r="A471" s="13" t="s">
        <v>1257</v>
      </c>
      <c r="B471" s="229" t="s">
        <v>1259</v>
      </c>
      <c r="C471" s="9" t="s">
        <v>1964</v>
      </c>
      <c r="D471" s="9" t="s">
        <v>1952</v>
      </c>
      <c r="E471" s="9" t="s">
        <v>1955</v>
      </c>
    </row>
    <row r="472" spans="1:5" s="9" customFormat="1" ht="15.75" x14ac:dyDescent="0.25">
      <c r="A472" s="13" t="s">
        <v>1261</v>
      </c>
      <c r="B472" s="229" t="s">
        <v>1262</v>
      </c>
      <c r="C472" s="9" t="s">
        <v>1964</v>
      </c>
      <c r="D472" s="9" t="s">
        <v>1952</v>
      </c>
      <c r="E472" s="9" t="s">
        <v>1955</v>
      </c>
    </row>
    <row r="473" spans="1:5" s="9" customFormat="1" ht="15.75" x14ac:dyDescent="0.25">
      <c r="A473" s="123" t="s">
        <v>1956</v>
      </c>
      <c r="B473" s="256" t="s">
        <v>1264</v>
      </c>
    </row>
    <row r="474" spans="1:5" s="9" customFormat="1" ht="15.75" x14ac:dyDescent="0.25">
      <c r="A474" s="13" t="s">
        <v>1265</v>
      </c>
      <c r="B474" s="229" t="s">
        <v>1267</v>
      </c>
      <c r="C474" s="9" t="s">
        <v>1964</v>
      </c>
      <c r="D474" s="9" t="s">
        <v>1952</v>
      </c>
      <c r="E474" s="9" t="s">
        <v>1956</v>
      </c>
    </row>
    <row r="475" spans="1:5" s="9" customFormat="1" ht="15.75" x14ac:dyDescent="0.25">
      <c r="A475" s="13" t="s">
        <v>1269</v>
      </c>
      <c r="B475" s="229" t="s">
        <v>1270</v>
      </c>
      <c r="C475" s="9" t="s">
        <v>1964</v>
      </c>
      <c r="D475" s="9" t="s">
        <v>1952</v>
      </c>
      <c r="E475" s="9" t="s">
        <v>1956</v>
      </c>
    </row>
    <row r="476" spans="1:5" s="9" customFormat="1" ht="15.75" x14ac:dyDescent="0.25">
      <c r="A476" s="123" t="s">
        <v>1957</v>
      </c>
      <c r="B476" s="256" t="s">
        <v>1273</v>
      </c>
    </row>
    <row r="477" spans="1:5" s="9" customFormat="1" ht="15.75" x14ac:dyDescent="0.25">
      <c r="A477" s="13" t="s">
        <v>1274</v>
      </c>
      <c r="B477" s="229" t="s">
        <v>1275</v>
      </c>
      <c r="C477" s="9" t="s">
        <v>1964</v>
      </c>
      <c r="D477" s="9" t="s">
        <v>1952</v>
      </c>
      <c r="E477" s="9" t="s">
        <v>1957</v>
      </c>
    </row>
    <row r="478" spans="1:5" s="9" customFormat="1" ht="15.75" x14ac:dyDescent="0.25">
      <c r="A478" s="13" t="s">
        <v>1277</v>
      </c>
      <c r="B478" s="229" t="s">
        <v>1278</v>
      </c>
      <c r="C478" s="9" t="s">
        <v>1964</v>
      </c>
      <c r="D478" s="9" t="s">
        <v>1952</v>
      </c>
      <c r="E478" s="9" t="s">
        <v>1957</v>
      </c>
    </row>
    <row r="479" spans="1:5" s="9" customFormat="1" ht="15.75" x14ac:dyDescent="0.25">
      <c r="A479" s="108" t="s">
        <v>1958</v>
      </c>
      <c r="B479" s="244" t="s">
        <v>1281</v>
      </c>
    </row>
    <row r="480" spans="1:5" s="9" customFormat="1" ht="15.75" x14ac:dyDescent="0.25">
      <c r="A480" s="142" t="s">
        <v>1959</v>
      </c>
      <c r="B480" s="256" t="s">
        <v>1960</v>
      </c>
    </row>
    <row r="481" spans="1:5" s="9" customFormat="1" ht="15.75" x14ac:dyDescent="0.25">
      <c r="A481" s="13" t="s">
        <v>1282</v>
      </c>
      <c r="B481" s="229" t="s">
        <v>1283</v>
      </c>
      <c r="C481" s="9" t="s">
        <v>1964</v>
      </c>
      <c r="D481" s="9" t="s">
        <v>1958</v>
      </c>
      <c r="E481" s="9" t="s">
        <v>1959</v>
      </c>
    </row>
    <row r="482" spans="1:5" s="9" customFormat="1" ht="15.75" x14ac:dyDescent="0.25">
      <c r="A482" s="108" t="s">
        <v>1961</v>
      </c>
      <c r="B482" s="244" t="s">
        <v>1288</v>
      </c>
    </row>
    <row r="483" spans="1:5" s="9" customFormat="1" ht="15.75" x14ac:dyDescent="0.25">
      <c r="A483" s="142" t="s">
        <v>1962</v>
      </c>
      <c r="B483" s="256" t="s">
        <v>1963</v>
      </c>
    </row>
    <row r="484" spans="1:5" s="9" customFormat="1" ht="75" customHeight="1" x14ac:dyDescent="0.25">
      <c r="A484" s="13" t="s">
        <v>1289</v>
      </c>
      <c r="B484" s="229" t="s">
        <v>1291</v>
      </c>
      <c r="C484" s="9" t="s">
        <v>1964</v>
      </c>
      <c r="D484" s="9" t="s">
        <v>1961</v>
      </c>
      <c r="E484" s="9" t="s">
        <v>1962</v>
      </c>
    </row>
    <row r="485" spans="1:5" s="9" customFormat="1" ht="15.75" x14ac:dyDescent="0.25">
      <c r="A485" s="13" t="s">
        <v>1293</v>
      </c>
      <c r="B485" s="229" t="s">
        <v>1294</v>
      </c>
      <c r="C485" s="9" t="s">
        <v>1964</v>
      </c>
      <c r="D485" s="9" t="s">
        <v>1961</v>
      </c>
      <c r="E485" s="9" t="s">
        <v>1962</v>
      </c>
    </row>
    <row r="486" spans="1:5" s="9" customFormat="1" ht="15.75" x14ac:dyDescent="0.25">
      <c r="A486" s="24" t="s">
        <v>2052</v>
      </c>
      <c r="B486" s="249" t="s">
        <v>1296</v>
      </c>
    </row>
    <row r="487" spans="1:5" s="9" customFormat="1" ht="15.75" x14ac:dyDescent="0.25">
      <c r="A487" s="108" t="s">
        <v>1965</v>
      </c>
      <c r="B487" s="244" t="s">
        <v>1298</v>
      </c>
    </row>
    <row r="488" spans="1:5" s="9" customFormat="1" ht="15.75" x14ac:dyDescent="0.25">
      <c r="A488" s="142" t="s">
        <v>1966</v>
      </c>
      <c r="B488" s="256" t="s">
        <v>1967</v>
      </c>
    </row>
    <row r="489" spans="1:5" s="9" customFormat="1" ht="15.75" x14ac:dyDescent="0.25">
      <c r="A489" s="13" t="s">
        <v>101</v>
      </c>
      <c r="B489" s="229" t="s">
        <v>1299</v>
      </c>
      <c r="C489" s="9" t="s">
        <v>2052</v>
      </c>
      <c r="D489" s="9" t="s">
        <v>1965</v>
      </c>
      <c r="E489" s="9" t="s">
        <v>1966</v>
      </c>
    </row>
    <row r="490" spans="1:5" s="9" customFormat="1" ht="15.75" x14ac:dyDescent="0.25">
      <c r="A490" s="13" t="s">
        <v>1301</v>
      </c>
      <c r="B490" s="229" t="s">
        <v>1302</v>
      </c>
      <c r="C490" s="9" t="s">
        <v>2052</v>
      </c>
      <c r="D490" s="9" t="s">
        <v>1965</v>
      </c>
      <c r="E490" s="9" t="s">
        <v>1966</v>
      </c>
    </row>
    <row r="491" spans="1:5" s="9" customFormat="1" ht="30" x14ac:dyDescent="0.25">
      <c r="A491" s="13" t="s">
        <v>1306</v>
      </c>
      <c r="B491" s="229" t="s">
        <v>1307</v>
      </c>
      <c r="C491" s="9" t="s">
        <v>2052</v>
      </c>
      <c r="D491" s="9" t="s">
        <v>1965</v>
      </c>
      <c r="E491" s="9" t="s">
        <v>1966</v>
      </c>
    </row>
    <row r="492" spans="1:5" s="9" customFormat="1" ht="15.75" x14ac:dyDescent="0.25">
      <c r="A492" s="13" t="s">
        <v>1309</v>
      </c>
      <c r="B492" s="229" t="s">
        <v>1310</v>
      </c>
      <c r="C492" s="9" t="s">
        <v>2052</v>
      </c>
      <c r="D492" s="9" t="s">
        <v>1965</v>
      </c>
      <c r="E492" s="9" t="s">
        <v>1966</v>
      </c>
    </row>
    <row r="493" spans="1:5" s="9" customFormat="1" ht="15.75" x14ac:dyDescent="0.25">
      <c r="A493" s="108" t="s">
        <v>1968</v>
      </c>
      <c r="B493" s="244" t="s">
        <v>1312</v>
      </c>
    </row>
    <row r="494" spans="1:5" s="9" customFormat="1" ht="15.75" x14ac:dyDescent="0.25">
      <c r="A494" s="142" t="s">
        <v>1969</v>
      </c>
      <c r="B494" s="256" t="s">
        <v>1970</v>
      </c>
    </row>
    <row r="495" spans="1:5" s="9" customFormat="1" ht="15.75" x14ac:dyDescent="0.25">
      <c r="A495" s="13" t="s">
        <v>1313</v>
      </c>
      <c r="B495" s="229" t="s">
        <v>1315</v>
      </c>
      <c r="C495" s="9" t="s">
        <v>2052</v>
      </c>
      <c r="D495" s="9" t="s">
        <v>1968</v>
      </c>
      <c r="E495" s="9" t="s">
        <v>1969</v>
      </c>
    </row>
    <row r="496" spans="1:5" s="9" customFormat="1" ht="38.1" customHeight="1" x14ac:dyDescent="0.25">
      <c r="A496" s="13" t="s">
        <v>1317</v>
      </c>
      <c r="B496" s="229" t="s">
        <v>1319</v>
      </c>
      <c r="C496" s="9" t="s">
        <v>2052</v>
      </c>
      <c r="D496" s="9" t="s">
        <v>1968</v>
      </c>
      <c r="E496" s="9" t="s">
        <v>1969</v>
      </c>
    </row>
    <row r="497" spans="1:5" s="9" customFormat="1" ht="15.75" x14ac:dyDescent="0.25">
      <c r="A497" s="13" t="s">
        <v>1321</v>
      </c>
      <c r="B497" s="229" t="s">
        <v>1322</v>
      </c>
      <c r="C497" s="9" t="s">
        <v>2052</v>
      </c>
      <c r="D497" s="9" t="s">
        <v>1968</v>
      </c>
      <c r="E497" s="9" t="s">
        <v>1969</v>
      </c>
    </row>
    <row r="498" spans="1:5" s="9" customFormat="1" ht="15.75" x14ac:dyDescent="0.25">
      <c r="A498" s="13" t="s">
        <v>1323</v>
      </c>
      <c r="B498" s="229" t="s">
        <v>1325</v>
      </c>
      <c r="C498" s="9" t="s">
        <v>2052</v>
      </c>
      <c r="D498" s="9" t="s">
        <v>1968</v>
      </c>
      <c r="E498" s="9" t="s">
        <v>1969</v>
      </c>
    </row>
    <row r="499" spans="1:5" s="9" customFormat="1" ht="15.75" x14ac:dyDescent="0.25">
      <c r="A499" s="13" t="s">
        <v>1327</v>
      </c>
      <c r="B499" s="229" t="s">
        <v>1322</v>
      </c>
      <c r="C499" s="9" t="s">
        <v>2052</v>
      </c>
      <c r="D499" s="9" t="s">
        <v>1968</v>
      </c>
      <c r="E499" s="9" t="s">
        <v>1969</v>
      </c>
    </row>
    <row r="500" spans="1:5" s="9" customFormat="1" ht="15.75" x14ac:dyDescent="0.25">
      <c r="A500" s="108" t="s">
        <v>1971</v>
      </c>
      <c r="B500" s="244" t="s">
        <v>1329</v>
      </c>
    </row>
    <row r="501" spans="1:5" s="9" customFormat="1" ht="15.75" x14ac:dyDescent="0.25">
      <c r="A501" s="142" t="s">
        <v>1972</v>
      </c>
      <c r="B501" s="256" t="s">
        <v>1973</v>
      </c>
    </row>
    <row r="502" spans="1:5" s="9" customFormat="1" ht="84.6" customHeight="1" x14ac:dyDescent="0.25">
      <c r="A502" s="13" t="s">
        <v>1330</v>
      </c>
      <c r="B502" s="229" t="s">
        <v>1332</v>
      </c>
      <c r="C502" s="9" t="s">
        <v>2052</v>
      </c>
      <c r="D502" s="9" t="s">
        <v>1971</v>
      </c>
      <c r="E502" s="9" t="s">
        <v>1972</v>
      </c>
    </row>
    <row r="503" spans="1:5" s="9" customFormat="1" ht="15.75" x14ac:dyDescent="0.25">
      <c r="A503" s="13" t="s">
        <v>1334</v>
      </c>
      <c r="B503" s="229" t="s">
        <v>1336</v>
      </c>
      <c r="C503" s="9" t="s">
        <v>2052</v>
      </c>
      <c r="D503" s="9" t="s">
        <v>1971</v>
      </c>
      <c r="E503" s="9" t="s">
        <v>1972</v>
      </c>
    </row>
    <row r="504" spans="1:5" s="9" customFormat="1" ht="15.75" x14ac:dyDescent="0.25">
      <c r="A504" s="13" t="s">
        <v>1338</v>
      </c>
      <c r="B504" s="229" t="s">
        <v>1339</v>
      </c>
      <c r="C504" s="9" t="s">
        <v>2052</v>
      </c>
      <c r="D504" s="9" t="s">
        <v>1971</v>
      </c>
      <c r="E504" s="9" t="s">
        <v>1972</v>
      </c>
    </row>
    <row r="505" spans="1:5" s="9" customFormat="1" ht="15.75" x14ac:dyDescent="0.25">
      <c r="A505" s="13" t="s">
        <v>1341</v>
      </c>
      <c r="B505" s="229" t="s">
        <v>1343</v>
      </c>
      <c r="C505" s="9" t="s">
        <v>2052</v>
      </c>
      <c r="D505" s="9" t="s">
        <v>1971</v>
      </c>
      <c r="E505" s="9" t="s">
        <v>1972</v>
      </c>
    </row>
    <row r="506" spans="1:5" s="9" customFormat="1" ht="15.75" x14ac:dyDescent="0.25">
      <c r="A506" s="13" t="s">
        <v>1345</v>
      </c>
      <c r="B506" s="229" t="s">
        <v>1346</v>
      </c>
      <c r="C506" s="9" t="s">
        <v>2052</v>
      </c>
      <c r="D506" s="9" t="s">
        <v>1971</v>
      </c>
      <c r="E506" s="9" t="s">
        <v>1972</v>
      </c>
    </row>
    <row r="507" spans="1:5" s="9" customFormat="1" ht="30" x14ac:dyDescent="0.25">
      <c r="A507" s="13" t="s">
        <v>1348</v>
      </c>
      <c r="B507" s="229" t="s">
        <v>1349</v>
      </c>
      <c r="C507" s="9" t="s">
        <v>2052</v>
      </c>
      <c r="D507" s="9" t="s">
        <v>1971</v>
      </c>
      <c r="E507" s="9" t="s">
        <v>1972</v>
      </c>
    </row>
    <row r="508" spans="1:5" s="9" customFormat="1" ht="30" x14ac:dyDescent="0.25">
      <c r="A508" s="13" t="s">
        <v>1351</v>
      </c>
      <c r="B508" s="229" t="s">
        <v>1352</v>
      </c>
      <c r="C508" s="9" t="s">
        <v>2052</v>
      </c>
      <c r="D508" s="9" t="s">
        <v>1971</v>
      </c>
      <c r="E508" s="9" t="s">
        <v>1972</v>
      </c>
    </row>
    <row r="509" spans="1:5" s="9" customFormat="1" ht="15.75" x14ac:dyDescent="0.25">
      <c r="A509" s="13" t="s">
        <v>1354</v>
      </c>
      <c r="B509" s="229" t="s">
        <v>1355</v>
      </c>
      <c r="C509" s="9" t="s">
        <v>2052</v>
      </c>
      <c r="D509" s="9" t="s">
        <v>1971</v>
      </c>
      <c r="E509" s="9" t="s">
        <v>1972</v>
      </c>
    </row>
    <row r="510" spans="1:5" s="9" customFormat="1" ht="15.75" x14ac:dyDescent="0.25">
      <c r="A510" s="13" t="s">
        <v>1357</v>
      </c>
      <c r="B510" s="229" t="s">
        <v>1359</v>
      </c>
      <c r="C510" s="9" t="s">
        <v>2052</v>
      </c>
      <c r="D510" s="9" t="s">
        <v>1971</v>
      </c>
      <c r="E510" s="9" t="s">
        <v>1972</v>
      </c>
    </row>
    <row r="511" spans="1:5" s="9" customFormat="1" ht="15.75" x14ac:dyDescent="0.25">
      <c r="A511" s="13" t="s">
        <v>1361</v>
      </c>
      <c r="B511" s="229" t="s">
        <v>1362</v>
      </c>
      <c r="C511" s="9" t="s">
        <v>2052</v>
      </c>
      <c r="D511" s="9" t="s">
        <v>1971</v>
      </c>
      <c r="E511" s="9" t="s">
        <v>1972</v>
      </c>
    </row>
    <row r="512" spans="1:5" s="9" customFormat="1" ht="15.75" x14ac:dyDescent="0.25">
      <c r="A512" s="13" t="s">
        <v>1363</v>
      </c>
      <c r="B512" s="229" t="s">
        <v>1365</v>
      </c>
      <c r="C512" s="9" t="s">
        <v>2052</v>
      </c>
      <c r="D512" s="9" t="s">
        <v>1971</v>
      </c>
      <c r="E512" s="9" t="s">
        <v>1972</v>
      </c>
    </row>
    <row r="513" spans="1:5" s="9" customFormat="1" ht="15.75" x14ac:dyDescent="0.25">
      <c r="A513" s="13" t="s">
        <v>1367</v>
      </c>
      <c r="B513" s="229" t="s">
        <v>1369</v>
      </c>
      <c r="C513" s="9" t="s">
        <v>2052</v>
      </c>
      <c r="D513" s="9" t="s">
        <v>1971</v>
      </c>
      <c r="E513" s="9" t="s">
        <v>1972</v>
      </c>
    </row>
    <row r="514" spans="1:5" s="9" customFormat="1" ht="15.75" x14ac:dyDescent="0.25">
      <c r="A514" s="13" t="s">
        <v>1371</v>
      </c>
      <c r="B514" s="229" t="s">
        <v>1373</v>
      </c>
      <c r="C514" s="9" t="s">
        <v>2052</v>
      </c>
      <c r="D514" s="9" t="s">
        <v>1971</v>
      </c>
      <c r="E514" s="9" t="s">
        <v>1972</v>
      </c>
    </row>
    <row r="515" spans="1:5" s="9" customFormat="1" ht="15.75" x14ac:dyDescent="0.25">
      <c r="A515" s="108" t="s">
        <v>1974</v>
      </c>
      <c r="B515" s="244" t="s">
        <v>1376</v>
      </c>
    </row>
    <row r="516" spans="1:5" s="9" customFormat="1" ht="15.75" x14ac:dyDescent="0.25">
      <c r="A516" s="142" t="s">
        <v>1975</v>
      </c>
      <c r="B516" s="256" t="s">
        <v>1976</v>
      </c>
    </row>
    <row r="517" spans="1:5" s="9" customFormat="1" ht="15.75" x14ac:dyDescent="0.25">
      <c r="A517" s="13" t="s">
        <v>1377</v>
      </c>
      <c r="B517" s="229" t="s">
        <v>1379</v>
      </c>
      <c r="C517" s="9" t="s">
        <v>2052</v>
      </c>
      <c r="D517" s="9" t="s">
        <v>1974</v>
      </c>
      <c r="E517" s="9" t="s">
        <v>1975</v>
      </c>
    </row>
    <row r="518" spans="1:5" s="9" customFormat="1" ht="15.75" x14ac:dyDescent="0.25">
      <c r="A518" s="13" t="s">
        <v>1381</v>
      </c>
      <c r="B518" s="229" t="s">
        <v>1383</v>
      </c>
      <c r="C518" s="9" t="s">
        <v>2052</v>
      </c>
      <c r="D518" s="9" t="s">
        <v>1974</v>
      </c>
      <c r="E518" s="9" t="s">
        <v>1975</v>
      </c>
    </row>
    <row r="519" spans="1:5" s="9" customFormat="1" ht="45" x14ac:dyDescent="0.25">
      <c r="A519" s="13" t="s">
        <v>1385</v>
      </c>
      <c r="B519" s="229" t="s">
        <v>1386</v>
      </c>
      <c r="C519" s="9" t="s">
        <v>2052</v>
      </c>
      <c r="D519" s="9" t="s">
        <v>1974</v>
      </c>
      <c r="E519" s="9" t="s">
        <v>1975</v>
      </c>
    </row>
    <row r="520" spans="1:5" s="9" customFormat="1" ht="15.75" x14ac:dyDescent="0.25">
      <c r="A520" s="108" t="s">
        <v>1977</v>
      </c>
      <c r="B520" s="244" t="s">
        <v>1388</v>
      </c>
    </row>
    <row r="521" spans="1:5" s="9" customFormat="1" ht="15.75" x14ac:dyDescent="0.25">
      <c r="A521" s="142" t="s">
        <v>1978</v>
      </c>
      <c r="B521" s="256" t="s">
        <v>1979</v>
      </c>
    </row>
    <row r="522" spans="1:5" s="9" customFormat="1" ht="15.75" x14ac:dyDescent="0.25">
      <c r="A522" s="13" t="s">
        <v>1389</v>
      </c>
      <c r="B522" s="229" t="s">
        <v>1391</v>
      </c>
      <c r="C522" s="9" t="s">
        <v>2052</v>
      </c>
      <c r="D522" s="9" t="s">
        <v>1977</v>
      </c>
      <c r="E522" s="9" t="s">
        <v>1978</v>
      </c>
    </row>
    <row r="523" spans="1:5" s="9" customFormat="1" ht="15.75" x14ac:dyDescent="0.25">
      <c r="A523" s="13" t="s">
        <v>1393</v>
      </c>
      <c r="B523" s="229" t="s">
        <v>1394</v>
      </c>
      <c r="C523" s="9" t="s">
        <v>2052</v>
      </c>
      <c r="D523" s="9" t="s">
        <v>1977</v>
      </c>
      <c r="E523" s="9" t="s">
        <v>1978</v>
      </c>
    </row>
    <row r="524" spans="1:5" s="9" customFormat="1" ht="15.75" x14ac:dyDescent="0.25">
      <c r="A524" s="108" t="s">
        <v>1980</v>
      </c>
      <c r="B524" s="244" t="s">
        <v>1396</v>
      </c>
    </row>
    <row r="525" spans="1:5" s="9" customFormat="1" ht="15.75" x14ac:dyDescent="0.25">
      <c r="A525" s="142" t="s">
        <v>1981</v>
      </c>
      <c r="B525" s="256" t="s">
        <v>1982</v>
      </c>
    </row>
    <row r="526" spans="1:5" s="9" customFormat="1" ht="15.75" x14ac:dyDescent="0.25">
      <c r="A526" s="13" t="s">
        <v>1397</v>
      </c>
      <c r="B526" s="229" t="s">
        <v>1399</v>
      </c>
      <c r="C526" s="9" t="s">
        <v>2052</v>
      </c>
      <c r="D526" s="9" t="s">
        <v>1980</v>
      </c>
      <c r="E526" s="9" t="s">
        <v>1981</v>
      </c>
    </row>
    <row r="527" spans="1:5" s="9" customFormat="1" ht="15.75" x14ac:dyDescent="0.25">
      <c r="A527" s="13" t="s">
        <v>1401</v>
      </c>
      <c r="B527" s="229" t="s">
        <v>1402</v>
      </c>
      <c r="C527" s="9" t="s">
        <v>2052</v>
      </c>
      <c r="D527" s="9" t="s">
        <v>1980</v>
      </c>
      <c r="E527" s="9" t="s">
        <v>1981</v>
      </c>
    </row>
    <row r="528" spans="1:5" s="9" customFormat="1" ht="15.75" x14ac:dyDescent="0.25">
      <c r="A528" s="13" t="s">
        <v>1403</v>
      </c>
      <c r="B528" s="229" t="s">
        <v>1405</v>
      </c>
      <c r="C528" s="9" t="s">
        <v>2052</v>
      </c>
      <c r="D528" s="9" t="s">
        <v>1980</v>
      </c>
      <c r="E528" s="9" t="s">
        <v>1981</v>
      </c>
    </row>
    <row r="529" spans="1:5" s="9" customFormat="1" ht="15.75" x14ac:dyDescent="0.25">
      <c r="A529" s="13" t="s">
        <v>1407</v>
      </c>
      <c r="B529" s="229" t="s">
        <v>1409</v>
      </c>
      <c r="C529" s="9" t="s">
        <v>2052</v>
      </c>
      <c r="D529" s="9" t="s">
        <v>1980</v>
      </c>
      <c r="E529" s="9" t="s">
        <v>1981</v>
      </c>
    </row>
    <row r="530" spans="1:5" s="9" customFormat="1" ht="45" x14ac:dyDescent="0.25">
      <c r="A530" s="13" t="s">
        <v>1411</v>
      </c>
      <c r="B530" s="229" t="s">
        <v>1413</v>
      </c>
      <c r="C530" s="9" t="s">
        <v>2052</v>
      </c>
      <c r="D530" s="9" t="s">
        <v>1980</v>
      </c>
      <c r="E530" s="9" t="s">
        <v>1981</v>
      </c>
    </row>
    <row r="531" spans="1:5" s="9" customFormat="1" ht="15.75" x14ac:dyDescent="0.25">
      <c r="A531" s="13" t="s">
        <v>1415</v>
      </c>
      <c r="B531" s="229" t="s">
        <v>1416</v>
      </c>
      <c r="C531" s="9" t="s">
        <v>2052</v>
      </c>
      <c r="D531" s="9" t="s">
        <v>1980</v>
      </c>
      <c r="E531" s="9" t="s">
        <v>1981</v>
      </c>
    </row>
    <row r="532" spans="1:5" s="9" customFormat="1" ht="15.75" x14ac:dyDescent="0.25">
      <c r="A532" s="108" t="s">
        <v>1983</v>
      </c>
      <c r="B532" s="244" t="s">
        <v>1418</v>
      </c>
    </row>
    <row r="533" spans="1:5" s="9" customFormat="1" ht="15.75" x14ac:dyDescent="0.25">
      <c r="A533" s="142" t="s">
        <v>1984</v>
      </c>
      <c r="B533" s="256" t="s">
        <v>1985</v>
      </c>
    </row>
    <row r="534" spans="1:5" s="9" customFormat="1" ht="30" x14ac:dyDescent="0.25">
      <c r="A534" s="13" t="s">
        <v>1419</v>
      </c>
      <c r="B534" s="229" t="s">
        <v>1421</v>
      </c>
      <c r="C534" s="9" t="s">
        <v>2052</v>
      </c>
      <c r="D534" s="9" t="s">
        <v>1983</v>
      </c>
      <c r="E534" s="9" t="s">
        <v>1984</v>
      </c>
    </row>
    <row r="535" spans="1:5" s="9" customFormat="1" ht="30" x14ac:dyDescent="0.25">
      <c r="A535" s="13" t="s">
        <v>1423</v>
      </c>
      <c r="B535" s="229" t="s">
        <v>1424</v>
      </c>
      <c r="C535" s="9" t="s">
        <v>2052</v>
      </c>
      <c r="D535" s="9" t="s">
        <v>1983</v>
      </c>
      <c r="E535" s="9" t="s">
        <v>1984</v>
      </c>
    </row>
    <row r="536" spans="1:5" s="9" customFormat="1" ht="30" x14ac:dyDescent="0.25">
      <c r="A536" s="13" t="s">
        <v>1425</v>
      </c>
      <c r="B536" s="229" t="s">
        <v>1427</v>
      </c>
      <c r="C536" s="9" t="s">
        <v>2052</v>
      </c>
      <c r="D536" s="9" t="s">
        <v>1983</v>
      </c>
      <c r="E536" s="9" t="s">
        <v>1984</v>
      </c>
    </row>
    <row r="537" spans="1:5" s="9" customFormat="1" ht="30" x14ac:dyDescent="0.25">
      <c r="A537" s="13" t="s">
        <v>1429</v>
      </c>
      <c r="B537" s="229" t="s">
        <v>1430</v>
      </c>
      <c r="C537" s="9" t="s">
        <v>2052</v>
      </c>
      <c r="D537" s="9" t="s">
        <v>1983</v>
      </c>
      <c r="E537" s="9" t="s">
        <v>1984</v>
      </c>
    </row>
    <row r="538" spans="1:5" s="9" customFormat="1" ht="30" x14ac:dyDescent="0.25">
      <c r="A538" s="13" t="s">
        <v>1431</v>
      </c>
      <c r="B538" s="229" t="s">
        <v>1432</v>
      </c>
      <c r="C538" s="9" t="s">
        <v>2052</v>
      </c>
      <c r="D538" s="9" t="s">
        <v>1983</v>
      </c>
      <c r="E538" s="9" t="s">
        <v>1984</v>
      </c>
    </row>
    <row r="539" spans="1:5" s="9" customFormat="1" ht="15.75" x14ac:dyDescent="0.25">
      <c r="A539" s="13" t="s">
        <v>1433</v>
      </c>
      <c r="B539" s="229" t="s">
        <v>1435</v>
      </c>
      <c r="C539" s="9" t="s">
        <v>2052</v>
      </c>
      <c r="D539" s="9" t="s">
        <v>1983</v>
      </c>
      <c r="E539" s="9" t="s">
        <v>1984</v>
      </c>
    </row>
    <row r="540" spans="1:5" s="9" customFormat="1" ht="60" x14ac:dyDescent="0.25">
      <c r="A540" s="13" t="s">
        <v>1437</v>
      </c>
      <c r="B540" s="229" t="s">
        <v>1438</v>
      </c>
      <c r="C540" s="9" t="s">
        <v>2052</v>
      </c>
      <c r="D540" s="9" t="s">
        <v>1983</v>
      </c>
      <c r="E540" s="9" t="s">
        <v>1984</v>
      </c>
    </row>
    <row r="541" spans="1:5" s="9" customFormat="1" ht="15.75" x14ac:dyDescent="0.25">
      <c r="A541" s="13" t="s">
        <v>1439</v>
      </c>
      <c r="B541" s="229" t="s">
        <v>1440</v>
      </c>
      <c r="C541" s="9" t="s">
        <v>2052</v>
      </c>
      <c r="D541" s="9" t="s">
        <v>1983</v>
      </c>
      <c r="E541" s="9" t="s">
        <v>1984</v>
      </c>
    </row>
    <row r="542" spans="1:5" s="9" customFormat="1" ht="15.75" x14ac:dyDescent="0.25">
      <c r="A542" s="13" t="s">
        <v>1442</v>
      </c>
      <c r="B542" s="229" t="s">
        <v>1443</v>
      </c>
      <c r="C542" s="9" t="s">
        <v>2052</v>
      </c>
      <c r="D542" s="9" t="s">
        <v>1983</v>
      </c>
      <c r="E542" s="9" t="s">
        <v>1984</v>
      </c>
    </row>
    <row r="543" spans="1:5" s="9" customFormat="1" ht="15.75" x14ac:dyDescent="0.25">
      <c r="A543" s="13" t="s">
        <v>1446</v>
      </c>
      <c r="B543" s="229" t="s">
        <v>1447</v>
      </c>
      <c r="C543" s="9" t="s">
        <v>2052</v>
      </c>
      <c r="D543" s="9" t="s">
        <v>1983</v>
      </c>
      <c r="E543" s="9" t="s">
        <v>1984</v>
      </c>
    </row>
    <row r="544" spans="1:5" s="9" customFormat="1" ht="15.75" x14ac:dyDescent="0.25">
      <c r="A544" s="13" t="s">
        <v>1449</v>
      </c>
      <c r="B544" s="229" t="s">
        <v>1450</v>
      </c>
      <c r="C544" s="9" t="s">
        <v>2052</v>
      </c>
      <c r="D544" s="9" t="s">
        <v>1983</v>
      </c>
      <c r="E544" s="9" t="s">
        <v>1984</v>
      </c>
    </row>
    <row r="545" spans="1:5" s="9" customFormat="1" ht="15.75" x14ac:dyDescent="0.25">
      <c r="A545" s="108" t="s">
        <v>1986</v>
      </c>
      <c r="B545" s="244" t="s">
        <v>1453</v>
      </c>
    </row>
    <row r="546" spans="1:5" s="9" customFormat="1" ht="15.75" x14ac:dyDescent="0.25">
      <c r="A546" s="142" t="s">
        <v>1987</v>
      </c>
      <c r="B546" s="256" t="s">
        <v>1988</v>
      </c>
    </row>
    <row r="547" spans="1:5" s="9" customFormat="1" ht="15.75" x14ac:dyDescent="0.25">
      <c r="A547" s="13" t="s">
        <v>1454</v>
      </c>
      <c r="B547" s="229" t="s">
        <v>1455</v>
      </c>
      <c r="C547" s="9" t="s">
        <v>2052</v>
      </c>
      <c r="D547" s="9" t="s">
        <v>1986</v>
      </c>
      <c r="E547" s="9" t="s">
        <v>1987</v>
      </c>
    </row>
    <row r="548" spans="1:5" s="9" customFormat="1" ht="80.849999999999994" customHeight="1" x14ac:dyDescent="0.25">
      <c r="A548" s="13" t="s">
        <v>1457</v>
      </c>
      <c r="B548" s="229" t="s">
        <v>1458</v>
      </c>
      <c r="C548" s="9" t="s">
        <v>2052</v>
      </c>
      <c r="D548" s="9" t="s">
        <v>1986</v>
      </c>
      <c r="E548" s="9" t="s">
        <v>1987</v>
      </c>
    </row>
    <row r="549" spans="1:5" s="9" customFormat="1" ht="209.1" customHeight="1" x14ac:dyDescent="0.25">
      <c r="A549" s="13" t="s">
        <v>1460</v>
      </c>
      <c r="B549" s="229" t="s">
        <v>1461</v>
      </c>
      <c r="C549" s="9" t="s">
        <v>2052</v>
      </c>
      <c r="D549" s="9" t="s">
        <v>1986</v>
      </c>
      <c r="E549" s="9" t="s">
        <v>1987</v>
      </c>
    </row>
  </sheetData>
  <sheetProtection formatCells="0" formatColumns="0" formatRows="0" autoFilter="0"/>
  <autoFilter ref="A1:E549" xr:uid="{486BE921-437D-46EF-BC6D-5FEF4706E3E0}"/>
  <dataConsolidate function="count" link="1"/>
  <pageMargins left="0.7" right="0.7" top="0.75" bottom="0.75" header="0.3" footer="0.3"/>
  <pageSetup paperSize="8" fitToHeight="0" orientation="landscape" r:id="rId1"/>
  <headerFooter>
    <oddFooter>&amp;C02_PhaseElaborationOffre_DossierConception_V2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6E3A-BE47-4D59-8159-A702AED7DFC1}">
  <sheetPr codeName="Feuil4"/>
  <dimension ref="A4:F137"/>
  <sheetViews>
    <sheetView zoomScale="70" zoomScaleNormal="70" workbookViewId="0">
      <selection activeCell="B52" sqref="B52"/>
    </sheetView>
  </sheetViews>
  <sheetFormatPr baseColWidth="10" defaultColWidth="11.42578125" defaultRowHeight="15" x14ac:dyDescent="0.25"/>
  <cols>
    <col min="1" max="1" width="18.42578125" customWidth="1"/>
    <col min="2" max="2" width="205.7109375" bestFit="1" customWidth="1"/>
    <col min="3" max="3" width="205.7109375" customWidth="1"/>
    <col min="4" max="4" width="69.7109375" bestFit="1" customWidth="1"/>
    <col min="5" max="5" width="16.140625" customWidth="1"/>
  </cols>
  <sheetData>
    <row r="4" spans="1:6" x14ac:dyDescent="0.25">
      <c r="A4" t="s">
        <v>1989</v>
      </c>
      <c r="B4" t="s">
        <v>1989</v>
      </c>
      <c r="C4" t="s">
        <v>1989</v>
      </c>
      <c r="D4" t="s">
        <v>1989</v>
      </c>
      <c r="E4" t="s">
        <v>1989</v>
      </c>
      <c r="F4" t="s">
        <v>1989</v>
      </c>
    </row>
    <row r="5" spans="1:6" ht="15.75" x14ac:dyDescent="0.25">
      <c r="A5" s="24" t="s">
        <v>1806</v>
      </c>
      <c r="B5" s="236" t="s">
        <v>31</v>
      </c>
      <c r="C5" s="236"/>
      <c r="D5" s="236" t="s">
        <v>31</v>
      </c>
      <c r="E5" t="str">
        <f>_xlfn.XLOOKUP(D5,$B$5:$B$137,$A$5:$A$137,"",0)</f>
        <v>CHAP_1</v>
      </c>
      <c r="F5" t="str">
        <f>_xlfn.XLOOKUP(C5,$B$5:$B$137,$A$5:$A$137,"",0)</f>
        <v/>
      </c>
    </row>
    <row r="6" spans="1:6" ht="15.75" x14ac:dyDescent="0.25">
      <c r="A6" s="30" t="s">
        <v>1807</v>
      </c>
      <c r="B6" s="240" t="s">
        <v>33</v>
      </c>
      <c r="C6" s="240" t="s">
        <v>33</v>
      </c>
      <c r="D6" s="236" t="s">
        <v>31</v>
      </c>
      <c r="E6" t="str">
        <f t="shared" ref="E6:E69" si="0">_xlfn.XLOOKUP(D6,$B$5:$B$137,$A$5:$A$137,"",0)</f>
        <v>CHAP_1</v>
      </c>
      <c r="F6" t="str">
        <f t="shared" ref="F6:F69" si="1">_xlfn.XLOOKUP(C6,$B$5:$B$137,$A$5:$A$137,"",0)</f>
        <v>THEME_1</v>
      </c>
    </row>
    <row r="7" spans="1:6" ht="15.75" x14ac:dyDescent="0.25">
      <c r="A7" s="297" t="s">
        <v>1808</v>
      </c>
      <c r="B7" s="269" t="s">
        <v>1809</v>
      </c>
      <c r="C7" s="240" t="s">
        <v>33</v>
      </c>
      <c r="D7" s="236" t="s">
        <v>31</v>
      </c>
      <c r="E7" t="str">
        <f t="shared" si="0"/>
        <v>CHAP_1</v>
      </c>
      <c r="F7" t="str">
        <f t="shared" si="1"/>
        <v>THEME_1</v>
      </c>
    </row>
    <row r="8" spans="1:6" ht="15.75" x14ac:dyDescent="0.25">
      <c r="A8" s="30" t="s">
        <v>1810</v>
      </c>
      <c r="B8" s="244" t="s">
        <v>60</v>
      </c>
      <c r="C8" s="244" t="s">
        <v>60</v>
      </c>
      <c r="D8" s="236" t="s">
        <v>31</v>
      </c>
      <c r="E8" t="str">
        <f t="shared" si="0"/>
        <v>CHAP_1</v>
      </c>
      <c r="F8" t="str">
        <f t="shared" si="1"/>
        <v>THEME_2</v>
      </c>
    </row>
    <row r="9" spans="1:6" ht="15.75" x14ac:dyDescent="0.25">
      <c r="A9" s="297" t="s">
        <v>1811</v>
      </c>
      <c r="B9" s="269" t="s">
        <v>1812</v>
      </c>
      <c r="C9" s="244" t="s">
        <v>60</v>
      </c>
      <c r="D9" s="236" t="s">
        <v>31</v>
      </c>
      <c r="E9" t="str">
        <f t="shared" si="0"/>
        <v>CHAP_1</v>
      </c>
      <c r="F9" t="str">
        <f t="shared" si="1"/>
        <v>THEME_2</v>
      </c>
    </row>
    <row r="10" spans="1:6" ht="15.75" x14ac:dyDescent="0.25">
      <c r="A10" s="30" t="s">
        <v>1813</v>
      </c>
      <c r="B10" s="244" t="s">
        <v>91</v>
      </c>
      <c r="C10" s="244" t="s">
        <v>91</v>
      </c>
      <c r="D10" s="236" t="s">
        <v>31</v>
      </c>
      <c r="E10" t="str">
        <f t="shared" si="0"/>
        <v>CHAP_1</v>
      </c>
      <c r="F10" t="str">
        <f t="shared" si="1"/>
        <v>THEME_3</v>
      </c>
    </row>
    <row r="11" spans="1:6" ht="15.75" x14ac:dyDescent="0.25">
      <c r="A11" s="297" t="s">
        <v>1814</v>
      </c>
      <c r="B11" s="269" t="s">
        <v>1815</v>
      </c>
      <c r="C11" s="244" t="s">
        <v>91</v>
      </c>
      <c r="D11" s="236" t="s">
        <v>31</v>
      </c>
      <c r="E11" t="str">
        <f t="shared" si="0"/>
        <v>CHAP_1</v>
      </c>
      <c r="F11" t="str">
        <f t="shared" si="1"/>
        <v>THEME_3</v>
      </c>
    </row>
    <row r="12" spans="1:6" ht="15.75" x14ac:dyDescent="0.25">
      <c r="A12" s="30" t="s">
        <v>1816</v>
      </c>
      <c r="B12" s="244" t="s">
        <v>104</v>
      </c>
      <c r="C12" s="244" t="s">
        <v>104</v>
      </c>
      <c r="D12" s="236" t="s">
        <v>31</v>
      </c>
      <c r="E12" t="str">
        <f t="shared" si="0"/>
        <v>CHAP_1</v>
      </c>
      <c r="F12" t="str">
        <f t="shared" si="1"/>
        <v>THEME_4</v>
      </c>
    </row>
    <row r="13" spans="1:6" ht="15.75" x14ac:dyDescent="0.25">
      <c r="A13" s="297" t="s">
        <v>1817</v>
      </c>
      <c r="B13" s="269" t="s">
        <v>1818</v>
      </c>
      <c r="C13" s="244" t="s">
        <v>104</v>
      </c>
      <c r="D13" s="236" t="s">
        <v>31</v>
      </c>
      <c r="E13" t="str">
        <f t="shared" si="0"/>
        <v>CHAP_1</v>
      </c>
      <c r="F13" t="str">
        <f t="shared" si="1"/>
        <v>THEME_4</v>
      </c>
    </row>
    <row r="14" spans="1:6" ht="15.75" x14ac:dyDescent="0.25">
      <c r="A14" s="108" t="s">
        <v>1820</v>
      </c>
      <c r="B14" s="244" t="s">
        <v>139</v>
      </c>
      <c r="C14" s="244" t="s">
        <v>139</v>
      </c>
      <c r="D14" s="236" t="s">
        <v>31</v>
      </c>
      <c r="E14" t="str">
        <f t="shared" si="0"/>
        <v>CHAP_1</v>
      </c>
      <c r="F14" t="str">
        <f t="shared" si="1"/>
        <v>THEME_5</v>
      </c>
    </row>
    <row r="15" spans="1:6" ht="15.75" x14ac:dyDescent="0.25">
      <c r="A15" s="297" t="s">
        <v>1821</v>
      </c>
      <c r="B15" s="269" t="s">
        <v>1822</v>
      </c>
      <c r="C15" s="244" t="s">
        <v>139</v>
      </c>
      <c r="D15" s="236" t="s">
        <v>31</v>
      </c>
      <c r="E15" t="str">
        <f t="shared" si="0"/>
        <v>CHAP_1</v>
      </c>
      <c r="F15" t="str">
        <f t="shared" si="1"/>
        <v>THEME_5</v>
      </c>
    </row>
    <row r="16" spans="1:6" ht="15.75" x14ac:dyDescent="0.25">
      <c r="A16" s="24" t="s">
        <v>1823</v>
      </c>
      <c r="B16" s="249" t="s">
        <v>164</v>
      </c>
      <c r="C16" s="249"/>
      <c r="D16" s="249" t="s">
        <v>164</v>
      </c>
      <c r="E16" t="str">
        <f t="shared" si="0"/>
        <v>CHAP_2</v>
      </c>
      <c r="F16" t="str">
        <f t="shared" si="1"/>
        <v/>
      </c>
    </row>
    <row r="17" spans="1:6" ht="15.75" x14ac:dyDescent="0.25">
      <c r="A17" s="108" t="s">
        <v>1824</v>
      </c>
      <c r="B17" s="244" t="s">
        <v>166</v>
      </c>
      <c r="C17" s="244" t="s">
        <v>166</v>
      </c>
      <c r="D17" s="249" t="s">
        <v>164</v>
      </c>
      <c r="E17" t="str">
        <f t="shared" si="0"/>
        <v>CHAP_2</v>
      </c>
      <c r="F17" t="str">
        <f t="shared" si="1"/>
        <v>THEME_6</v>
      </c>
    </row>
    <row r="18" spans="1:6" ht="15.75" x14ac:dyDescent="0.25">
      <c r="A18" s="297" t="s">
        <v>1825</v>
      </c>
      <c r="B18" s="269" t="s">
        <v>1826</v>
      </c>
      <c r="C18" s="244" t="s">
        <v>166</v>
      </c>
      <c r="D18" s="249" t="s">
        <v>164</v>
      </c>
      <c r="E18" t="str">
        <f t="shared" si="0"/>
        <v>CHAP_2</v>
      </c>
      <c r="F18" t="str">
        <f t="shared" si="1"/>
        <v>THEME_6</v>
      </c>
    </row>
    <row r="19" spans="1:6" ht="15.75" x14ac:dyDescent="0.25">
      <c r="A19" s="108" t="s">
        <v>1827</v>
      </c>
      <c r="B19" s="244" t="s">
        <v>185</v>
      </c>
      <c r="C19" s="244" t="s">
        <v>185</v>
      </c>
      <c r="D19" s="249" t="s">
        <v>164</v>
      </c>
      <c r="E19" t="str">
        <f t="shared" si="0"/>
        <v>CHAP_2</v>
      </c>
      <c r="F19" t="str">
        <f t="shared" si="1"/>
        <v>THEME_7</v>
      </c>
    </row>
    <row r="20" spans="1:6" ht="15.75" x14ac:dyDescent="0.25">
      <c r="A20" s="297" t="s">
        <v>1828</v>
      </c>
      <c r="B20" s="269" t="s">
        <v>1829</v>
      </c>
      <c r="C20" s="244" t="s">
        <v>185</v>
      </c>
      <c r="D20" s="249" t="s">
        <v>164</v>
      </c>
      <c r="E20" t="str">
        <f t="shared" si="0"/>
        <v>CHAP_2</v>
      </c>
      <c r="F20" t="str">
        <f t="shared" si="1"/>
        <v>THEME_7</v>
      </c>
    </row>
    <row r="21" spans="1:6" ht="15.75" x14ac:dyDescent="0.25">
      <c r="A21" s="24" t="s">
        <v>1830</v>
      </c>
      <c r="B21" s="249" t="s">
        <v>195</v>
      </c>
      <c r="C21" s="249"/>
      <c r="D21" s="249" t="s">
        <v>195</v>
      </c>
      <c r="E21" t="str">
        <f t="shared" si="0"/>
        <v>CHAP_3</v>
      </c>
      <c r="F21" t="str">
        <f t="shared" si="1"/>
        <v/>
      </c>
    </row>
    <row r="22" spans="1:6" ht="15.75" x14ac:dyDescent="0.25">
      <c r="A22" s="108" t="s">
        <v>1831</v>
      </c>
      <c r="B22" s="244" t="s">
        <v>197</v>
      </c>
      <c r="C22" s="244" t="s">
        <v>197</v>
      </c>
      <c r="D22" s="249" t="s">
        <v>195</v>
      </c>
      <c r="E22" t="str">
        <f t="shared" si="0"/>
        <v>CHAP_3</v>
      </c>
      <c r="F22" t="str">
        <f t="shared" si="1"/>
        <v>THEME_8</v>
      </c>
    </row>
    <row r="23" spans="1:6" ht="15.75" x14ac:dyDescent="0.25">
      <c r="A23" s="297" t="s">
        <v>1832</v>
      </c>
      <c r="B23" s="269" t="s">
        <v>1833</v>
      </c>
      <c r="C23" s="244" t="s">
        <v>197</v>
      </c>
      <c r="D23" s="249" t="s">
        <v>195</v>
      </c>
      <c r="E23" t="str">
        <f t="shared" si="0"/>
        <v>CHAP_3</v>
      </c>
      <c r="F23" t="str">
        <f t="shared" si="1"/>
        <v>THEME_8</v>
      </c>
    </row>
    <row r="24" spans="1:6" ht="15.75" x14ac:dyDescent="0.25">
      <c r="A24" s="108" t="s">
        <v>1834</v>
      </c>
      <c r="B24" s="244" t="s">
        <v>230</v>
      </c>
      <c r="C24" s="244" t="s">
        <v>230</v>
      </c>
      <c r="D24" s="249" t="s">
        <v>195</v>
      </c>
      <c r="E24" t="str">
        <f t="shared" si="0"/>
        <v>CHAP_3</v>
      </c>
      <c r="F24" t="str">
        <f t="shared" si="1"/>
        <v>THEME_9</v>
      </c>
    </row>
    <row r="25" spans="1:6" ht="15.75" x14ac:dyDescent="0.25">
      <c r="A25" s="123" t="s">
        <v>1835</v>
      </c>
      <c r="B25" s="256" t="s">
        <v>1836</v>
      </c>
      <c r="C25" s="244" t="s">
        <v>230</v>
      </c>
      <c r="D25" s="249" t="s">
        <v>195</v>
      </c>
      <c r="E25" t="str">
        <f t="shared" si="0"/>
        <v>CHAP_3</v>
      </c>
      <c r="F25" t="str">
        <f t="shared" si="1"/>
        <v>THEME_9</v>
      </c>
    </row>
    <row r="26" spans="1:6" ht="15.75" x14ac:dyDescent="0.25">
      <c r="A26" s="123" t="s">
        <v>1837</v>
      </c>
      <c r="B26" s="256" t="s">
        <v>236</v>
      </c>
      <c r="C26" s="244" t="s">
        <v>230</v>
      </c>
      <c r="D26" s="249" t="s">
        <v>195</v>
      </c>
      <c r="E26" t="str">
        <f t="shared" si="0"/>
        <v>CHAP_3</v>
      </c>
      <c r="F26" t="str">
        <f t="shared" si="1"/>
        <v>THEME_9</v>
      </c>
    </row>
    <row r="27" spans="1:6" ht="15.75" x14ac:dyDescent="0.25">
      <c r="A27" s="123" t="s">
        <v>1838</v>
      </c>
      <c r="B27" s="256" t="s">
        <v>258</v>
      </c>
      <c r="C27" s="244" t="s">
        <v>230</v>
      </c>
      <c r="D27" s="249" t="s">
        <v>195</v>
      </c>
      <c r="E27" t="str">
        <f t="shared" si="0"/>
        <v>CHAP_3</v>
      </c>
      <c r="F27" t="str">
        <f t="shared" si="1"/>
        <v>THEME_9</v>
      </c>
    </row>
    <row r="28" spans="1:6" ht="15.75" x14ac:dyDescent="0.25">
      <c r="A28" s="108" t="s">
        <v>1839</v>
      </c>
      <c r="B28" s="244" t="s">
        <v>283</v>
      </c>
      <c r="C28" s="244" t="s">
        <v>283</v>
      </c>
      <c r="D28" s="249" t="s">
        <v>195</v>
      </c>
      <c r="E28" t="str">
        <f t="shared" si="0"/>
        <v>CHAP_3</v>
      </c>
      <c r="F28" t="str">
        <f t="shared" si="1"/>
        <v>THEME_10</v>
      </c>
    </row>
    <row r="29" spans="1:6" ht="15.75" x14ac:dyDescent="0.25">
      <c r="A29" s="123" t="s">
        <v>1840</v>
      </c>
      <c r="B29" s="256" t="s">
        <v>1841</v>
      </c>
      <c r="C29" s="244" t="s">
        <v>283</v>
      </c>
      <c r="D29" s="249" t="s">
        <v>195</v>
      </c>
      <c r="E29" t="str">
        <f t="shared" si="0"/>
        <v>CHAP_3</v>
      </c>
      <c r="F29" t="str">
        <f t="shared" si="1"/>
        <v>THEME_10</v>
      </c>
    </row>
    <row r="30" spans="1:6" ht="15.75" x14ac:dyDescent="0.25">
      <c r="A30" s="108" t="s">
        <v>1842</v>
      </c>
      <c r="B30" s="244" t="s">
        <v>333</v>
      </c>
      <c r="C30" s="244" t="s">
        <v>333</v>
      </c>
      <c r="D30" s="249" t="s">
        <v>195</v>
      </c>
      <c r="E30" t="str">
        <f t="shared" si="0"/>
        <v>CHAP_3</v>
      </c>
      <c r="F30" t="str">
        <f t="shared" si="1"/>
        <v>THEME_11</v>
      </c>
    </row>
    <row r="31" spans="1:6" ht="15.75" x14ac:dyDescent="0.25">
      <c r="A31" s="123" t="s">
        <v>1843</v>
      </c>
      <c r="B31" s="256" t="s">
        <v>1844</v>
      </c>
      <c r="C31" s="244" t="s">
        <v>333</v>
      </c>
      <c r="D31" s="249" t="s">
        <v>195</v>
      </c>
      <c r="E31" t="str">
        <f t="shared" si="0"/>
        <v>CHAP_3</v>
      </c>
      <c r="F31" t="str">
        <f t="shared" si="1"/>
        <v>THEME_11</v>
      </c>
    </row>
    <row r="32" spans="1:6" ht="15.75" x14ac:dyDescent="0.25">
      <c r="A32" s="142" t="s">
        <v>1845</v>
      </c>
      <c r="B32" s="256" t="s">
        <v>339</v>
      </c>
      <c r="C32" s="244" t="s">
        <v>333</v>
      </c>
      <c r="D32" s="249" t="s">
        <v>195</v>
      </c>
      <c r="E32" t="str">
        <f t="shared" si="0"/>
        <v>CHAP_3</v>
      </c>
      <c r="F32" t="str">
        <f t="shared" si="1"/>
        <v>THEME_11</v>
      </c>
    </row>
    <row r="33" spans="1:6" ht="15.75" x14ac:dyDescent="0.25">
      <c r="A33" s="142" t="s">
        <v>1846</v>
      </c>
      <c r="B33" s="256" t="s">
        <v>347</v>
      </c>
      <c r="C33" s="244" t="s">
        <v>333</v>
      </c>
      <c r="D33" s="249" t="s">
        <v>195</v>
      </c>
      <c r="E33" t="str">
        <f t="shared" si="0"/>
        <v>CHAP_3</v>
      </c>
      <c r="F33" t="str">
        <f t="shared" si="1"/>
        <v>THEME_11</v>
      </c>
    </row>
    <row r="34" spans="1:6" ht="15.75" x14ac:dyDescent="0.25">
      <c r="A34" s="108" t="s">
        <v>1847</v>
      </c>
      <c r="B34" s="244" t="s">
        <v>353</v>
      </c>
      <c r="C34" s="244" t="s">
        <v>353</v>
      </c>
      <c r="D34" s="249" t="s">
        <v>195</v>
      </c>
      <c r="E34" t="str">
        <f t="shared" si="0"/>
        <v>CHAP_3</v>
      </c>
      <c r="F34" t="str">
        <f t="shared" si="1"/>
        <v>THEME_12</v>
      </c>
    </row>
    <row r="35" spans="1:6" ht="15.75" x14ac:dyDescent="0.25">
      <c r="A35" s="123" t="s">
        <v>1848</v>
      </c>
      <c r="B35" s="256" t="s">
        <v>1849</v>
      </c>
      <c r="C35" s="244" t="s">
        <v>353</v>
      </c>
      <c r="D35" s="249" t="s">
        <v>195</v>
      </c>
      <c r="E35" t="str">
        <f t="shared" si="0"/>
        <v>CHAP_3</v>
      </c>
      <c r="F35" t="str">
        <f t="shared" si="1"/>
        <v>THEME_12</v>
      </c>
    </row>
    <row r="36" spans="1:6" ht="15.75" x14ac:dyDescent="0.25">
      <c r="A36" s="24" t="s">
        <v>1850</v>
      </c>
      <c r="B36" s="249" t="s">
        <v>365</v>
      </c>
      <c r="C36" s="249"/>
      <c r="D36" s="249" t="s">
        <v>365</v>
      </c>
      <c r="E36" t="str">
        <f t="shared" si="0"/>
        <v>CHAP_4</v>
      </c>
      <c r="F36" t="str">
        <f t="shared" si="1"/>
        <v/>
      </c>
    </row>
    <row r="37" spans="1:6" ht="15.75" x14ac:dyDescent="0.25">
      <c r="A37" s="108" t="s">
        <v>1851</v>
      </c>
      <c r="B37" s="244" t="s">
        <v>367</v>
      </c>
      <c r="C37" s="244" t="s">
        <v>367</v>
      </c>
      <c r="D37" s="249" t="s">
        <v>365</v>
      </c>
      <c r="E37" t="str">
        <f t="shared" si="0"/>
        <v>CHAP_4</v>
      </c>
      <c r="F37" t="str">
        <f t="shared" si="1"/>
        <v>THEME_13</v>
      </c>
    </row>
    <row r="38" spans="1:6" ht="15.75" x14ac:dyDescent="0.25">
      <c r="A38" s="123" t="s">
        <v>1852</v>
      </c>
      <c r="B38" s="256" t="s">
        <v>1853</v>
      </c>
      <c r="C38" s="244" t="s">
        <v>367</v>
      </c>
      <c r="D38" s="249" t="s">
        <v>365</v>
      </c>
      <c r="E38" t="str">
        <f t="shared" si="0"/>
        <v>CHAP_4</v>
      </c>
      <c r="F38" t="str">
        <f t="shared" si="1"/>
        <v>THEME_13</v>
      </c>
    </row>
    <row r="39" spans="1:6" ht="15.75" x14ac:dyDescent="0.25">
      <c r="A39" s="108" t="s">
        <v>1854</v>
      </c>
      <c r="B39" s="244" t="s">
        <v>386</v>
      </c>
      <c r="C39" s="244" t="s">
        <v>386</v>
      </c>
      <c r="D39" s="249" t="s">
        <v>365</v>
      </c>
      <c r="E39" t="str">
        <f t="shared" si="0"/>
        <v>CHAP_4</v>
      </c>
      <c r="F39" t="str">
        <f t="shared" si="1"/>
        <v>THEME_14</v>
      </c>
    </row>
    <row r="40" spans="1:6" ht="15.75" x14ac:dyDescent="0.25">
      <c r="A40" s="123" t="s">
        <v>1855</v>
      </c>
      <c r="B40" s="256" t="s">
        <v>1856</v>
      </c>
      <c r="C40" s="244" t="s">
        <v>386</v>
      </c>
      <c r="D40" s="249" t="s">
        <v>365</v>
      </c>
      <c r="E40" t="str">
        <f t="shared" si="0"/>
        <v>CHAP_4</v>
      </c>
      <c r="F40" t="str">
        <f t="shared" si="1"/>
        <v>THEME_14</v>
      </c>
    </row>
    <row r="41" spans="1:6" ht="15.75" x14ac:dyDescent="0.25">
      <c r="A41" s="108" t="s">
        <v>1857</v>
      </c>
      <c r="B41" s="244" t="s">
        <v>401</v>
      </c>
      <c r="C41" s="244" t="s">
        <v>401</v>
      </c>
      <c r="D41" s="249" t="s">
        <v>365</v>
      </c>
      <c r="E41" t="str">
        <f t="shared" si="0"/>
        <v>CHAP_4</v>
      </c>
      <c r="F41" t="str">
        <f t="shared" si="1"/>
        <v>THEME_15</v>
      </c>
    </row>
    <row r="42" spans="1:6" ht="15.75" x14ac:dyDescent="0.25">
      <c r="A42" s="142" t="s">
        <v>1858</v>
      </c>
      <c r="B42" s="256" t="s">
        <v>403</v>
      </c>
      <c r="C42" s="244" t="s">
        <v>401</v>
      </c>
      <c r="D42" s="249" t="s">
        <v>365</v>
      </c>
      <c r="E42" t="str">
        <f t="shared" si="0"/>
        <v>CHAP_4</v>
      </c>
      <c r="F42" t="str">
        <f t="shared" si="1"/>
        <v>THEME_15</v>
      </c>
    </row>
    <row r="43" spans="1:6" ht="15.75" x14ac:dyDescent="0.25">
      <c r="A43" s="142" t="s">
        <v>1859</v>
      </c>
      <c r="B43" s="256" t="s">
        <v>424</v>
      </c>
      <c r="C43" s="244" t="s">
        <v>401</v>
      </c>
      <c r="D43" s="249" t="s">
        <v>365</v>
      </c>
      <c r="E43" t="str">
        <f t="shared" si="0"/>
        <v>CHAP_4</v>
      </c>
      <c r="F43" t="str">
        <f t="shared" si="1"/>
        <v>THEME_15</v>
      </c>
    </row>
    <row r="44" spans="1:6" ht="15.75" x14ac:dyDescent="0.25">
      <c r="A44" s="108" t="s">
        <v>1860</v>
      </c>
      <c r="B44" s="244" t="s">
        <v>436</v>
      </c>
      <c r="C44" s="244" t="s">
        <v>436</v>
      </c>
      <c r="D44" s="249" t="s">
        <v>365</v>
      </c>
      <c r="E44" t="str">
        <f t="shared" si="0"/>
        <v>CHAP_4</v>
      </c>
      <c r="F44" t="str">
        <f t="shared" si="1"/>
        <v>THEME_16</v>
      </c>
    </row>
    <row r="45" spans="1:6" ht="15.75" x14ac:dyDescent="0.25">
      <c r="A45" s="123" t="s">
        <v>1861</v>
      </c>
      <c r="B45" s="256" t="s">
        <v>1862</v>
      </c>
      <c r="C45" s="244" t="s">
        <v>436</v>
      </c>
      <c r="D45" s="249" t="s">
        <v>365</v>
      </c>
      <c r="E45" t="str">
        <f t="shared" si="0"/>
        <v>CHAP_4</v>
      </c>
      <c r="F45" t="str">
        <f t="shared" si="1"/>
        <v>THEME_16</v>
      </c>
    </row>
    <row r="46" spans="1:6" ht="15.75" x14ac:dyDescent="0.25">
      <c r="A46" s="108" t="s">
        <v>1863</v>
      </c>
      <c r="B46" s="244" t="s">
        <v>457</v>
      </c>
      <c r="C46" s="244" t="s">
        <v>457</v>
      </c>
      <c r="D46" s="249" t="s">
        <v>365</v>
      </c>
      <c r="E46" t="str">
        <f t="shared" si="0"/>
        <v>CHAP_4</v>
      </c>
      <c r="F46" t="str">
        <f t="shared" si="1"/>
        <v>THEME_17</v>
      </c>
    </row>
    <row r="47" spans="1:6" ht="15.75" x14ac:dyDescent="0.25">
      <c r="A47" s="123" t="s">
        <v>1864</v>
      </c>
      <c r="B47" s="256" t="s">
        <v>1865</v>
      </c>
      <c r="C47" s="244" t="s">
        <v>457</v>
      </c>
      <c r="D47" s="249" t="s">
        <v>365</v>
      </c>
      <c r="E47" t="str">
        <f t="shared" si="0"/>
        <v>CHAP_4</v>
      </c>
      <c r="F47" t="str">
        <f t="shared" si="1"/>
        <v>THEME_17</v>
      </c>
    </row>
    <row r="48" spans="1:6" ht="15.75" x14ac:dyDescent="0.25">
      <c r="A48" s="24" t="s">
        <v>1866</v>
      </c>
      <c r="B48" s="249" t="s">
        <v>471</v>
      </c>
      <c r="C48" s="249"/>
      <c r="D48" s="249" t="s">
        <v>471</v>
      </c>
      <c r="E48" t="str">
        <f t="shared" si="0"/>
        <v>CHAP_5</v>
      </c>
      <c r="F48" t="str">
        <f t="shared" si="1"/>
        <v/>
      </c>
    </row>
    <row r="49" spans="1:6" ht="15.75" x14ac:dyDescent="0.25">
      <c r="A49" s="108" t="s">
        <v>1867</v>
      </c>
      <c r="B49" s="240" t="s">
        <v>1868</v>
      </c>
      <c r="C49" s="240" t="s">
        <v>1868</v>
      </c>
      <c r="D49" s="240"/>
      <c r="E49" t="str">
        <f t="shared" si="0"/>
        <v/>
      </c>
      <c r="F49" t="str">
        <f t="shared" si="1"/>
        <v>THEME_18</v>
      </c>
    </row>
    <row r="50" spans="1:6" ht="15.75" x14ac:dyDescent="0.25">
      <c r="A50" s="123" t="s">
        <v>1869</v>
      </c>
      <c r="B50" s="256" t="s">
        <v>1868</v>
      </c>
      <c r="C50" s="240" t="s">
        <v>1868</v>
      </c>
      <c r="D50" s="249" t="s">
        <v>471</v>
      </c>
      <c r="E50" t="str">
        <f t="shared" si="0"/>
        <v>CHAP_5</v>
      </c>
      <c r="F50" t="str">
        <f t="shared" si="1"/>
        <v>THEME_18</v>
      </c>
    </row>
    <row r="51" spans="1:6" ht="15.75" x14ac:dyDescent="0.25">
      <c r="A51" s="108" t="s">
        <v>1870</v>
      </c>
      <c r="B51" s="244" t="s">
        <v>477</v>
      </c>
      <c r="C51" s="244" t="s">
        <v>477</v>
      </c>
      <c r="D51" s="249" t="s">
        <v>471</v>
      </c>
      <c r="E51" t="str">
        <f t="shared" si="0"/>
        <v>CHAP_5</v>
      </c>
      <c r="F51" t="str">
        <f t="shared" si="1"/>
        <v>THEME_19</v>
      </c>
    </row>
    <row r="52" spans="1:6" ht="15.75" x14ac:dyDescent="0.25">
      <c r="A52" s="123" t="s">
        <v>1871</v>
      </c>
      <c r="B52" s="256" t="s">
        <v>1872</v>
      </c>
      <c r="C52" s="244" t="s">
        <v>477</v>
      </c>
      <c r="D52" s="249" t="s">
        <v>471</v>
      </c>
      <c r="E52" t="str">
        <f t="shared" si="0"/>
        <v>CHAP_5</v>
      </c>
      <c r="F52" t="str">
        <f t="shared" si="1"/>
        <v>THEME_19</v>
      </c>
    </row>
    <row r="53" spans="1:6" ht="15.75" x14ac:dyDescent="0.25">
      <c r="A53" s="108" t="s">
        <v>1873</v>
      </c>
      <c r="B53" s="244" t="s">
        <v>509</v>
      </c>
      <c r="C53" s="244" t="s">
        <v>509</v>
      </c>
      <c r="D53" s="249" t="s">
        <v>471</v>
      </c>
      <c r="E53" t="str">
        <f t="shared" si="0"/>
        <v>CHAP_5</v>
      </c>
      <c r="F53" t="str">
        <f t="shared" si="1"/>
        <v>THEME_20</v>
      </c>
    </row>
    <row r="54" spans="1:6" ht="15.75" x14ac:dyDescent="0.25">
      <c r="A54" s="123" t="s">
        <v>1874</v>
      </c>
      <c r="B54" s="256" t="s">
        <v>1875</v>
      </c>
      <c r="C54" s="244" t="s">
        <v>509</v>
      </c>
      <c r="D54" s="249" t="s">
        <v>471</v>
      </c>
      <c r="E54" t="str">
        <f t="shared" si="0"/>
        <v>CHAP_5</v>
      </c>
      <c r="F54" t="str">
        <f t="shared" si="1"/>
        <v>THEME_20</v>
      </c>
    </row>
    <row r="55" spans="1:6" ht="15.75" x14ac:dyDescent="0.25">
      <c r="A55" s="108" t="s">
        <v>1876</v>
      </c>
      <c r="B55" s="244" t="s">
        <v>557</v>
      </c>
      <c r="C55" s="244" t="s">
        <v>557</v>
      </c>
      <c r="D55" s="249" t="s">
        <v>471</v>
      </c>
      <c r="E55" t="str">
        <f t="shared" si="0"/>
        <v>CHAP_5</v>
      </c>
      <c r="F55" t="str">
        <f t="shared" si="1"/>
        <v>THEME_21</v>
      </c>
    </row>
    <row r="56" spans="1:6" ht="15.75" x14ac:dyDescent="0.25">
      <c r="A56" s="123" t="s">
        <v>1877</v>
      </c>
      <c r="B56" s="256" t="s">
        <v>557</v>
      </c>
      <c r="C56" s="244" t="s">
        <v>557</v>
      </c>
      <c r="D56" s="249" t="s">
        <v>471</v>
      </c>
      <c r="E56" t="str">
        <f t="shared" si="0"/>
        <v>CHAP_5</v>
      </c>
      <c r="F56" t="str">
        <f t="shared" si="1"/>
        <v>THEME_21</v>
      </c>
    </row>
    <row r="57" spans="1:6" ht="15.75" x14ac:dyDescent="0.25">
      <c r="A57" s="108" t="s">
        <v>1878</v>
      </c>
      <c r="B57" s="244" t="s">
        <v>570</v>
      </c>
      <c r="C57" s="244" t="s">
        <v>570</v>
      </c>
      <c r="D57" s="249" t="s">
        <v>471</v>
      </c>
      <c r="E57" t="str">
        <f t="shared" si="0"/>
        <v>CHAP_5</v>
      </c>
      <c r="F57" t="str">
        <f t="shared" si="1"/>
        <v>THEME_22</v>
      </c>
    </row>
    <row r="58" spans="1:6" ht="15.75" x14ac:dyDescent="0.25">
      <c r="A58" s="123" t="s">
        <v>1879</v>
      </c>
      <c r="B58" s="256" t="s">
        <v>1880</v>
      </c>
      <c r="C58" s="244" t="s">
        <v>570</v>
      </c>
      <c r="D58" s="249" t="s">
        <v>471</v>
      </c>
      <c r="E58" t="str">
        <f t="shared" si="0"/>
        <v>CHAP_5</v>
      </c>
      <c r="F58" t="str">
        <f t="shared" si="1"/>
        <v>THEME_22</v>
      </c>
    </row>
    <row r="59" spans="1:6" ht="15.75" x14ac:dyDescent="0.25">
      <c r="A59" s="268" t="s">
        <v>1881</v>
      </c>
      <c r="B59" s="269" t="s">
        <v>576</v>
      </c>
      <c r="C59" s="244" t="s">
        <v>570</v>
      </c>
      <c r="D59" s="249" t="s">
        <v>471</v>
      </c>
      <c r="E59" t="str">
        <f t="shared" si="0"/>
        <v>CHAP_5</v>
      </c>
      <c r="F59" t="str">
        <f t="shared" si="1"/>
        <v>THEME_22</v>
      </c>
    </row>
    <row r="60" spans="1:6" ht="15.75" x14ac:dyDescent="0.25">
      <c r="A60" s="123" t="s">
        <v>1882</v>
      </c>
      <c r="B60" s="269" t="s">
        <v>605</v>
      </c>
      <c r="C60" s="244" t="s">
        <v>570</v>
      </c>
      <c r="D60" s="249" t="s">
        <v>471</v>
      </c>
      <c r="E60" t="str">
        <f t="shared" si="0"/>
        <v>CHAP_5</v>
      </c>
      <c r="F60" t="str">
        <f t="shared" si="1"/>
        <v>THEME_22</v>
      </c>
    </row>
    <row r="61" spans="1:6" ht="15.75" x14ac:dyDescent="0.25">
      <c r="A61" s="24" t="s">
        <v>1883</v>
      </c>
      <c r="B61" s="249" t="s">
        <v>619</v>
      </c>
      <c r="C61" s="249"/>
      <c r="D61" s="249" t="s">
        <v>619</v>
      </c>
      <c r="E61" t="str">
        <f t="shared" si="0"/>
        <v>CHAP_6</v>
      </c>
      <c r="F61" t="str">
        <f t="shared" si="1"/>
        <v/>
      </c>
    </row>
    <row r="62" spans="1:6" ht="15.75" x14ac:dyDescent="0.25">
      <c r="A62" s="108" t="s">
        <v>1884</v>
      </c>
      <c r="B62" s="244" t="s">
        <v>621</v>
      </c>
      <c r="C62" s="244" t="s">
        <v>621</v>
      </c>
      <c r="D62" s="249" t="s">
        <v>619</v>
      </c>
      <c r="E62" t="str">
        <f t="shared" si="0"/>
        <v>CHAP_6</v>
      </c>
      <c r="F62" t="str">
        <f t="shared" si="1"/>
        <v>THEME_23</v>
      </c>
    </row>
    <row r="63" spans="1:6" ht="15.75" x14ac:dyDescent="0.25">
      <c r="A63" s="123" t="s">
        <v>1885</v>
      </c>
      <c r="B63" s="256" t="s">
        <v>1886</v>
      </c>
      <c r="C63" s="244" t="s">
        <v>621</v>
      </c>
      <c r="D63" s="249" t="s">
        <v>619</v>
      </c>
      <c r="E63" t="str">
        <f t="shared" si="0"/>
        <v>CHAP_6</v>
      </c>
      <c r="F63" t="str">
        <f t="shared" si="1"/>
        <v>THEME_23</v>
      </c>
    </row>
    <row r="64" spans="1:6" ht="15.75" x14ac:dyDescent="0.25">
      <c r="A64" s="108" t="s">
        <v>1887</v>
      </c>
      <c r="B64" s="244" t="s">
        <v>644</v>
      </c>
      <c r="C64" s="244" t="s">
        <v>644</v>
      </c>
      <c r="D64" s="249" t="s">
        <v>619</v>
      </c>
      <c r="E64" t="str">
        <f t="shared" si="0"/>
        <v>CHAP_6</v>
      </c>
      <c r="F64" t="str">
        <f t="shared" si="1"/>
        <v>THEME_24</v>
      </c>
    </row>
    <row r="65" spans="1:6" ht="15.75" x14ac:dyDescent="0.25">
      <c r="A65" s="123" t="s">
        <v>1888</v>
      </c>
      <c r="B65" s="256" t="s">
        <v>1889</v>
      </c>
      <c r="C65" s="244" t="s">
        <v>644</v>
      </c>
      <c r="D65" s="249" t="s">
        <v>619</v>
      </c>
      <c r="E65" t="str">
        <f t="shared" si="0"/>
        <v>CHAP_6</v>
      </c>
      <c r="F65" t="str">
        <f t="shared" si="1"/>
        <v>THEME_24</v>
      </c>
    </row>
    <row r="66" spans="1:6" ht="15.75" x14ac:dyDescent="0.25">
      <c r="A66" s="108" t="s">
        <v>1890</v>
      </c>
      <c r="B66" s="244" t="s">
        <v>665</v>
      </c>
      <c r="C66" s="244" t="s">
        <v>665</v>
      </c>
      <c r="D66" s="249" t="s">
        <v>619</v>
      </c>
      <c r="E66" t="str">
        <f t="shared" si="0"/>
        <v>CHAP_6</v>
      </c>
      <c r="F66" t="str">
        <f t="shared" si="1"/>
        <v>THEME_25</v>
      </c>
    </row>
    <row r="67" spans="1:6" ht="15.75" x14ac:dyDescent="0.25">
      <c r="A67" s="123" t="s">
        <v>1891</v>
      </c>
      <c r="B67" s="256" t="s">
        <v>1892</v>
      </c>
      <c r="C67" s="244" t="s">
        <v>665</v>
      </c>
      <c r="D67" s="249" t="s">
        <v>619</v>
      </c>
      <c r="E67" t="str">
        <f t="shared" si="0"/>
        <v>CHAP_6</v>
      </c>
      <c r="F67" t="str">
        <f t="shared" si="1"/>
        <v>THEME_25</v>
      </c>
    </row>
    <row r="68" spans="1:6" ht="15.75" x14ac:dyDescent="0.25">
      <c r="A68" s="108" t="s">
        <v>1893</v>
      </c>
      <c r="B68" s="244" t="s">
        <v>705</v>
      </c>
      <c r="C68" s="244" t="s">
        <v>705</v>
      </c>
      <c r="D68" s="249" t="s">
        <v>619</v>
      </c>
      <c r="E68" t="str">
        <f t="shared" si="0"/>
        <v>CHAP_6</v>
      </c>
      <c r="F68" t="str">
        <f t="shared" si="1"/>
        <v>THEME_26</v>
      </c>
    </row>
    <row r="69" spans="1:6" ht="15.75" x14ac:dyDescent="0.25">
      <c r="A69" s="123" t="s">
        <v>1894</v>
      </c>
      <c r="B69" s="256" t="s">
        <v>1895</v>
      </c>
      <c r="C69" s="244" t="s">
        <v>705</v>
      </c>
      <c r="D69" s="249" t="s">
        <v>619</v>
      </c>
      <c r="E69" t="str">
        <f t="shared" si="0"/>
        <v>CHAP_6</v>
      </c>
      <c r="F69" t="str">
        <f t="shared" si="1"/>
        <v>THEME_26</v>
      </c>
    </row>
    <row r="70" spans="1:6" ht="15.75" x14ac:dyDescent="0.25">
      <c r="A70" s="108" t="s">
        <v>1896</v>
      </c>
      <c r="B70" s="244" t="s">
        <v>721</v>
      </c>
      <c r="C70" s="244" t="s">
        <v>721</v>
      </c>
      <c r="D70" s="249" t="s">
        <v>619</v>
      </c>
      <c r="E70" t="str">
        <f t="shared" ref="E70:E133" si="2">_xlfn.XLOOKUP(D70,$B$5:$B$137,$A$5:$A$137,"",0)</f>
        <v>CHAP_6</v>
      </c>
      <c r="F70" t="str">
        <f t="shared" ref="F70:F133" si="3">_xlfn.XLOOKUP(C70,$B$5:$B$137,$A$5:$A$137,"",0)</f>
        <v>THEME_27</v>
      </c>
    </row>
    <row r="71" spans="1:6" ht="15.75" x14ac:dyDescent="0.25">
      <c r="A71" s="123" t="s">
        <v>1897</v>
      </c>
      <c r="B71" s="256" t="s">
        <v>1898</v>
      </c>
      <c r="C71" s="244" t="s">
        <v>721</v>
      </c>
      <c r="D71" s="249" t="s">
        <v>619</v>
      </c>
      <c r="E71" t="str">
        <f t="shared" si="2"/>
        <v>CHAP_6</v>
      </c>
      <c r="F71" t="str">
        <f t="shared" si="3"/>
        <v>THEME_27</v>
      </c>
    </row>
    <row r="72" spans="1:6" ht="15.75" x14ac:dyDescent="0.25">
      <c r="A72" s="24" t="s">
        <v>1899</v>
      </c>
      <c r="B72" s="249" t="s">
        <v>763</v>
      </c>
      <c r="C72" s="249"/>
      <c r="D72" s="249" t="s">
        <v>763</v>
      </c>
      <c r="E72" t="str">
        <f t="shared" si="2"/>
        <v>CHAP_7</v>
      </c>
      <c r="F72" t="str">
        <f t="shared" si="3"/>
        <v/>
      </c>
    </row>
    <row r="73" spans="1:6" ht="15.75" x14ac:dyDescent="0.25">
      <c r="A73" s="108" t="s">
        <v>1900</v>
      </c>
      <c r="B73" s="244" t="s">
        <v>765</v>
      </c>
      <c r="C73" s="244" t="s">
        <v>765</v>
      </c>
      <c r="D73" s="249" t="s">
        <v>763</v>
      </c>
      <c r="E73" t="str">
        <f t="shared" si="2"/>
        <v>CHAP_7</v>
      </c>
      <c r="F73" t="str">
        <f t="shared" si="3"/>
        <v>THEME_28</v>
      </c>
    </row>
    <row r="74" spans="1:6" ht="15.75" x14ac:dyDescent="0.25">
      <c r="A74" s="123" t="s">
        <v>1901</v>
      </c>
      <c r="B74" s="256" t="s">
        <v>1902</v>
      </c>
      <c r="C74" s="244" t="s">
        <v>765</v>
      </c>
      <c r="D74" s="249" t="s">
        <v>763</v>
      </c>
      <c r="E74" t="str">
        <f t="shared" si="2"/>
        <v>CHAP_7</v>
      </c>
      <c r="F74" t="str">
        <f t="shared" si="3"/>
        <v>THEME_28</v>
      </c>
    </row>
    <row r="75" spans="1:6" ht="15.75" x14ac:dyDescent="0.25">
      <c r="A75" s="108" t="s">
        <v>1903</v>
      </c>
      <c r="B75" s="244" t="s">
        <v>788</v>
      </c>
      <c r="C75" s="244" t="s">
        <v>788</v>
      </c>
      <c r="D75" s="249" t="s">
        <v>763</v>
      </c>
      <c r="E75" t="str">
        <f t="shared" si="2"/>
        <v>CHAP_7</v>
      </c>
      <c r="F75" t="str">
        <f t="shared" si="3"/>
        <v>THEME_29</v>
      </c>
    </row>
    <row r="76" spans="1:6" ht="15.75" x14ac:dyDescent="0.25">
      <c r="A76" s="123" t="s">
        <v>1904</v>
      </c>
      <c r="B76" s="256" t="s">
        <v>1905</v>
      </c>
      <c r="C76" s="244" t="s">
        <v>788</v>
      </c>
      <c r="D76" s="249" t="s">
        <v>763</v>
      </c>
      <c r="E76" t="str">
        <f t="shared" si="2"/>
        <v>CHAP_7</v>
      </c>
      <c r="F76" t="str">
        <f t="shared" si="3"/>
        <v>THEME_29</v>
      </c>
    </row>
    <row r="77" spans="1:6" ht="15.75" x14ac:dyDescent="0.25">
      <c r="A77" s="108" t="s">
        <v>1906</v>
      </c>
      <c r="B77" s="244" t="s">
        <v>822</v>
      </c>
      <c r="C77" s="244" t="s">
        <v>822</v>
      </c>
      <c r="D77" s="249" t="s">
        <v>763</v>
      </c>
      <c r="E77" t="str">
        <f t="shared" si="2"/>
        <v>CHAP_7</v>
      </c>
      <c r="F77" t="str">
        <f t="shared" si="3"/>
        <v>THEME_30</v>
      </c>
    </row>
    <row r="78" spans="1:6" ht="15.75" x14ac:dyDescent="0.25">
      <c r="A78" s="123" t="s">
        <v>1907</v>
      </c>
      <c r="B78" s="256" t="s">
        <v>822</v>
      </c>
      <c r="C78" s="244" t="s">
        <v>822</v>
      </c>
      <c r="D78" s="249" t="s">
        <v>763</v>
      </c>
      <c r="E78" t="str">
        <f t="shared" si="2"/>
        <v>CHAP_7</v>
      </c>
      <c r="F78" t="str">
        <f t="shared" si="3"/>
        <v>THEME_30</v>
      </c>
    </row>
    <row r="79" spans="1:6" ht="15.75" x14ac:dyDescent="0.25">
      <c r="A79" s="24" t="s">
        <v>1908</v>
      </c>
      <c r="B79" s="249" t="s">
        <v>828</v>
      </c>
      <c r="C79" s="249"/>
      <c r="D79" s="249" t="s">
        <v>828</v>
      </c>
      <c r="E79" t="str">
        <f t="shared" si="2"/>
        <v>CHAP_8</v>
      </c>
      <c r="F79" t="str">
        <f t="shared" si="3"/>
        <v/>
      </c>
    </row>
    <row r="80" spans="1:6" ht="15.75" x14ac:dyDescent="0.25">
      <c r="A80" s="108" t="s">
        <v>1909</v>
      </c>
      <c r="B80" s="244" t="s">
        <v>1910</v>
      </c>
      <c r="C80" s="244" t="s">
        <v>1910</v>
      </c>
      <c r="D80" s="249" t="s">
        <v>828</v>
      </c>
      <c r="E80" t="str">
        <f t="shared" si="2"/>
        <v>CHAP_8</v>
      </c>
      <c r="F80" t="str">
        <f t="shared" si="3"/>
        <v>THEME_31</v>
      </c>
    </row>
    <row r="81" spans="1:6" ht="15.75" x14ac:dyDescent="0.25">
      <c r="A81" s="123" t="s">
        <v>1911</v>
      </c>
      <c r="B81" s="256" t="s">
        <v>1910</v>
      </c>
      <c r="C81" s="244" t="s">
        <v>1910</v>
      </c>
      <c r="D81" s="249" t="s">
        <v>828</v>
      </c>
      <c r="E81" t="str">
        <f t="shared" si="2"/>
        <v>CHAP_8</v>
      </c>
      <c r="F81" t="str">
        <f t="shared" si="3"/>
        <v>THEME_31</v>
      </c>
    </row>
    <row r="82" spans="1:6" ht="15.75" x14ac:dyDescent="0.25">
      <c r="A82" s="108" t="s">
        <v>1913</v>
      </c>
      <c r="B82" s="244" t="s">
        <v>843</v>
      </c>
      <c r="C82" s="244" t="s">
        <v>843</v>
      </c>
      <c r="D82" s="249" t="s">
        <v>828</v>
      </c>
      <c r="E82" t="str">
        <f t="shared" si="2"/>
        <v>CHAP_8</v>
      </c>
      <c r="F82" t="str">
        <f t="shared" si="3"/>
        <v>THEME_32</v>
      </c>
    </row>
    <row r="83" spans="1:6" ht="15.75" x14ac:dyDescent="0.25">
      <c r="A83" s="123" t="s">
        <v>1914</v>
      </c>
      <c r="B83" s="256" t="s">
        <v>1915</v>
      </c>
      <c r="C83" s="244" t="s">
        <v>843</v>
      </c>
      <c r="D83" s="249" t="s">
        <v>828</v>
      </c>
      <c r="E83" t="str">
        <f t="shared" si="2"/>
        <v>CHAP_8</v>
      </c>
      <c r="F83" t="str">
        <f t="shared" si="3"/>
        <v>THEME_32</v>
      </c>
    </row>
    <row r="84" spans="1:6" ht="15.75" x14ac:dyDescent="0.25">
      <c r="A84" s="24" t="s">
        <v>1916</v>
      </c>
      <c r="B84" s="249" t="s">
        <v>852</v>
      </c>
      <c r="C84" s="249"/>
      <c r="D84" s="249" t="s">
        <v>852</v>
      </c>
      <c r="E84" t="str">
        <f t="shared" si="2"/>
        <v>CHAP_9</v>
      </c>
      <c r="F84" t="str">
        <f t="shared" si="3"/>
        <v/>
      </c>
    </row>
    <row r="85" spans="1:6" ht="15.75" x14ac:dyDescent="0.25">
      <c r="A85" s="108" t="s">
        <v>1917</v>
      </c>
      <c r="B85" s="244" t="s">
        <v>854</v>
      </c>
      <c r="C85" s="244" t="s">
        <v>854</v>
      </c>
      <c r="D85" s="249" t="s">
        <v>852</v>
      </c>
      <c r="E85" t="str">
        <f t="shared" si="2"/>
        <v>CHAP_9</v>
      </c>
      <c r="F85" t="str">
        <f t="shared" si="3"/>
        <v>THEME_33</v>
      </c>
    </row>
    <row r="86" spans="1:6" ht="15.75" x14ac:dyDescent="0.25">
      <c r="A86" s="123" t="s">
        <v>1918</v>
      </c>
      <c r="B86" s="256" t="s">
        <v>1919</v>
      </c>
      <c r="C86" s="244" t="s">
        <v>854</v>
      </c>
      <c r="D86" s="249" t="s">
        <v>852</v>
      </c>
      <c r="E86" t="str">
        <f t="shared" si="2"/>
        <v>CHAP_9</v>
      </c>
      <c r="F86" t="str">
        <f t="shared" si="3"/>
        <v>THEME_33</v>
      </c>
    </row>
    <row r="87" spans="1:6" ht="15.75" x14ac:dyDescent="0.25">
      <c r="A87" s="142" t="s">
        <v>1920</v>
      </c>
      <c r="B87" s="256" t="s">
        <v>908</v>
      </c>
      <c r="C87" s="244" t="s">
        <v>854</v>
      </c>
      <c r="D87" s="249" t="s">
        <v>852</v>
      </c>
      <c r="E87" t="str">
        <f t="shared" si="2"/>
        <v>CHAP_9</v>
      </c>
      <c r="F87" t="str">
        <f t="shared" si="3"/>
        <v>THEME_33</v>
      </c>
    </row>
    <row r="88" spans="1:6" ht="15.75" x14ac:dyDescent="0.25">
      <c r="A88" s="142" t="s">
        <v>1921</v>
      </c>
      <c r="B88" s="256" t="s">
        <v>917</v>
      </c>
      <c r="C88" s="244" t="s">
        <v>854</v>
      </c>
      <c r="D88" s="249" t="s">
        <v>852</v>
      </c>
      <c r="E88" t="str">
        <f t="shared" si="2"/>
        <v>CHAP_9</v>
      </c>
      <c r="F88" t="str">
        <f t="shared" si="3"/>
        <v>THEME_33</v>
      </c>
    </row>
    <row r="89" spans="1:6" ht="15.75" x14ac:dyDescent="0.25">
      <c r="A89" s="142" t="s">
        <v>1922</v>
      </c>
      <c r="B89" s="256" t="s">
        <v>931</v>
      </c>
      <c r="C89" s="244" t="s">
        <v>854</v>
      </c>
      <c r="D89" s="249" t="s">
        <v>852</v>
      </c>
      <c r="E89" t="str">
        <f t="shared" si="2"/>
        <v>CHAP_9</v>
      </c>
      <c r="F89" t="str">
        <f t="shared" si="3"/>
        <v>THEME_33</v>
      </c>
    </row>
    <row r="90" spans="1:6" ht="15.75" x14ac:dyDescent="0.25">
      <c r="A90" s="108" t="s">
        <v>1923</v>
      </c>
      <c r="B90" s="244" t="s">
        <v>941</v>
      </c>
      <c r="C90" s="244" t="s">
        <v>941</v>
      </c>
      <c r="D90" s="249" t="s">
        <v>852</v>
      </c>
      <c r="E90" t="str">
        <f t="shared" si="2"/>
        <v>CHAP_9</v>
      </c>
      <c r="F90" t="str">
        <f t="shared" si="3"/>
        <v>THEME_34</v>
      </c>
    </row>
    <row r="91" spans="1:6" ht="15.75" x14ac:dyDescent="0.25">
      <c r="A91" s="142" t="s">
        <v>1924</v>
      </c>
      <c r="B91" s="256" t="s">
        <v>1925</v>
      </c>
      <c r="C91" s="244" t="s">
        <v>941</v>
      </c>
      <c r="D91" s="249" t="s">
        <v>852</v>
      </c>
      <c r="E91" t="str">
        <f t="shared" si="2"/>
        <v>CHAP_9</v>
      </c>
      <c r="F91" t="str">
        <f t="shared" si="3"/>
        <v>THEME_34</v>
      </c>
    </row>
    <row r="92" spans="1:6" ht="15.75" x14ac:dyDescent="0.25">
      <c r="A92" s="142" t="s">
        <v>1926</v>
      </c>
      <c r="B92" s="256" t="s">
        <v>999</v>
      </c>
      <c r="C92" s="244" t="s">
        <v>941</v>
      </c>
      <c r="D92" s="249" t="s">
        <v>852</v>
      </c>
      <c r="E92" t="str">
        <f t="shared" si="2"/>
        <v>CHAP_9</v>
      </c>
      <c r="F92" t="str">
        <f t="shared" si="3"/>
        <v>THEME_34</v>
      </c>
    </row>
    <row r="93" spans="1:6" ht="15.75" x14ac:dyDescent="0.25">
      <c r="A93" s="142" t="s">
        <v>1927</v>
      </c>
      <c r="B93" s="256" t="s">
        <v>1011</v>
      </c>
      <c r="C93" s="244" t="s">
        <v>941</v>
      </c>
      <c r="D93" s="249" t="s">
        <v>852</v>
      </c>
      <c r="E93" t="str">
        <f t="shared" si="2"/>
        <v>CHAP_9</v>
      </c>
      <c r="F93" t="str">
        <f t="shared" si="3"/>
        <v>THEME_34</v>
      </c>
    </row>
    <row r="94" spans="1:6" ht="15.75" x14ac:dyDescent="0.25">
      <c r="A94" s="142" t="s">
        <v>1928</v>
      </c>
      <c r="B94" s="256" t="s">
        <v>1027</v>
      </c>
      <c r="C94" s="244" t="s">
        <v>941</v>
      </c>
      <c r="D94" s="249" t="s">
        <v>852</v>
      </c>
      <c r="E94" t="str">
        <f t="shared" si="2"/>
        <v>CHAP_9</v>
      </c>
      <c r="F94" t="str">
        <f t="shared" si="3"/>
        <v>THEME_34</v>
      </c>
    </row>
    <row r="95" spans="1:6" ht="15.75" x14ac:dyDescent="0.25">
      <c r="A95" s="24" t="s">
        <v>1929</v>
      </c>
      <c r="B95" s="249" t="s">
        <v>1048</v>
      </c>
      <c r="C95" s="249"/>
      <c r="D95" s="249" t="s">
        <v>1048</v>
      </c>
      <c r="E95" t="str">
        <f t="shared" si="2"/>
        <v>CHAP_10</v>
      </c>
      <c r="F95" t="str">
        <f t="shared" si="3"/>
        <v/>
      </c>
    </row>
    <row r="96" spans="1:6" ht="15.75" x14ac:dyDescent="0.25">
      <c r="A96" s="108" t="s">
        <v>1930</v>
      </c>
      <c r="B96" s="244" t="s">
        <v>1050</v>
      </c>
      <c r="C96" s="244" t="s">
        <v>1050</v>
      </c>
      <c r="D96" s="249" t="s">
        <v>1048</v>
      </c>
      <c r="E96" t="str">
        <f t="shared" si="2"/>
        <v>CHAP_10</v>
      </c>
      <c r="F96" t="str">
        <f t="shared" si="3"/>
        <v>THEME_35</v>
      </c>
    </row>
    <row r="97" spans="1:6" ht="15.75" x14ac:dyDescent="0.25">
      <c r="A97" s="142" t="s">
        <v>1931</v>
      </c>
      <c r="B97" s="256" t="s">
        <v>1932</v>
      </c>
      <c r="C97" s="244" t="s">
        <v>1050</v>
      </c>
      <c r="D97" s="249" t="s">
        <v>1048</v>
      </c>
      <c r="E97" t="str">
        <f t="shared" si="2"/>
        <v>CHAP_10</v>
      </c>
      <c r="F97" t="str">
        <f t="shared" si="3"/>
        <v>THEME_35</v>
      </c>
    </row>
    <row r="98" spans="1:6" ht="15.75" x14ac:dyDescent="0.25">
      <c r="A98" s="108" t="s">
        <v>1933</v>
      </c>
      <c r="B98" s="244" t="s">
        <v>1089</v>
      </c>
      <c r="C98" s="244" t="s">
        <v>1089</v>
      </c>
      <c r="D98" s="249" t="s">
        <v>1048</v>
      </c>
      <c r="E98" t="str">
        <f t="shared" si="2"/>
        <v>CHAP_10</v>
      </c>
      <c r="F98" t="str">
        <f t="shared" si="3"/>
        <v>THEME_36</v>
      </c>
    </row>
    <row r="99" spans="1:6" ht="15.75" x14ac:dyDescent="0.25">
      <c r="A99" s="142" t="s">
        <v>1934</v>
      </c>
      <c r="B99" s="256" t="s">
        <v>1935</v>
      </c>
      <c r="C99" s="244" t="s">
        <v>1089</v>
      </c>
      <c r="D99" s="249" t="s">
        <v>1048</v>
      </c>
      <c r="E99" t="str">
        <f t="shared" si="2"/>
        <v>CHAP_10</v>
      </c>
      <c r="F99" t="str">
        <f t="shared" si="3"/>
        <v>THEME_36</v>
      </c>
    </row>
    <row r="100" spans="1:6" ht="15.75" x14ac:dyDescent="0.25">
      <c r="A100" s="108" t="s">
        <v>1936</v>
      </c>
      <c r="B100" s="244" t="s">
        <v>1099</v>
      </c>
      <c r="C100" s="244" t="s">
        <v>1099</v>
      </c>
      <c r="D100" s="249" t="s">
        <v>1048</v>
      </c>
      <c r="E100" t="str">
        <f t="shared" si="2"/>
        <v>CHAP_10</v>
      </c>
      <c r="F100" t="str">
        <f t="shared" si="3"/>
        <v>THEME_37</v>
      </c>
    </row>
    <row r="101" spans="1:6" ht="15.75" x14ac:dyDescent="0.25">
      <c r="A101" s="142" t="s">
        <v>1937</v>
      </c>
      <c r="B101" s="256" t="s">
        <v>1938</v>
      </c>
      <c r="C101" s="244" t="s">
        <v>1099</v>
      </c>
      <c r="D101" s="249" t="s">
        <v>1048</v>
      </c>
      <c r="E101" t="str">
        <f t="shared" si="2"/>
        <v>CHAP_10</v>
      </c>
      <c r="F101" t="str">
        <f t="shared" si="3"/>
        <v>THEME_37</v>
      </c>
    </row>
    <row r="102" spans="1:6" ht="15.75" x14ac:dyDescent="0.25">
      <c r="A102" s="192" t="s">
        <v>1939</v>
      </c>
      <c r="B102" s="244" t="s">
        <v>1107</v>
      </c>
      <c r="C102" s="244" t="s">
        <v>1107</v>
      </c>
      <c r="D102" s="249" t="s">
        <v>1048</v>
      </c>
      <c r="E102" t="str">
        <f t="shared" si="2"/>
        <v>CHAP_10</v>
      </c>
      <c r="F102" t="str">
        <f t="shared" si="3"/>
        <v>THEME_38</v>
      </c>
    </row>
    <row r="103" spans="1:6" ht="15.75" x14ac:dyDescent="0.25">
      <c r="A103" s="142" t="s">
        <v>1940</v>
      </c>
      <c r="B103" s="256" t="s">
        <v>1941</v>
      </c>
      <c r="C103" s="244" t="s">
        <v>1107</v>
      </c>
      <c r="D103" s="249" t="s">
        <v>1048</v>
      </c>
      <c r="E103" t="str">
        <f t="shared" si="2"/>
        <v>CHAP_10</v>
      </c>
      <c r="F103" t="str">
        <f t="shared" si="3"/>
        <v>THEME_38</v>
      </c>
    </row>
    <row r="104" spans="1:6" ht="15.75" x14ac:dyDescent="0.25">
      <c r="A104" s="108" t="s">
        <v>1942</v>
      </c>
      <c r="B104" s="244" t="s">
        <v>1126</v>
      </c>
      <c r="C104" s="244" t="s">
        <v>1126</v>
      </c>
      <c r="D104" s="249" t="s">
        <v>1048</v>
      </c>
      <c r="E104" t="str">
        <f t="shared" si="2"/>
        <v>CHAP_10</v>
      </c>
      <c r="F104" t="str">
        <f t="shared" si="3"/>
        <v>THEME_39</v>
      </c>
    </row>
    <row r="105" spans="1:6" ht="15.75" x14ac:dyDescent="0.25">
      <c r="A105" s="142" t="s">
        <v>1943</v>
      </c>
      <c r="B105" s="256" t="s">
        <v>1944</v>
      </c>
      <c r="C105" s="244" t="s">
        <v>1126</v>
      </c>
      <c r="D105" s="249" t="s">
        <v>1048</v>
      </c>
      <c r="E105" t="str">
        <f t="shared" si="2"/>
        <v>CHAP_10</v>
      </c>
      <c r="F105" t="str">
        <f t="shared" si="3"/>
        <v>THEME_39</v>
      </c>
    </row>
    <row r="106" spans="1:6" ht="15.75" x14ac:dyDescent="0.25">
      <c r="A106" s="108" t="s">
        <v>1945</v>
      </c>
      <c r="B106" s="244" t="s">
        <v>1150</v>
      </c>
      <c r="C106" s="244" t="s">
        <v>1150</v>
      </c>
      <c r="D106" s="249" t="s">
        <v>1048</v>
      </c>
      <c r="E106" t="str">
        <f t="shared" si="2"/>
        <v>CHAP_10</v>
      </c>
      <c r="F106" t="str">
        <f t="shared" si="3"/>
        <v>THEME_40</v>
      </c>
    </row>
    <row r="107" spans="1:6" ht="15.75" x14ac:dyDescent="0.25">
      <c r="A107" s="142" t="s">
        <v>1946</v>
      </c>
      <c r="B107" s="256" t="s">
        <v>1947</v>
      </c>
      <c r="C107" s="244" t="s">
        <v>1150</v>
      </c>
      <c r="D107" s="249" t="s">
        <v>1048</v>
      </c>
      <c r="E107" t="str">
        <f t="shared" si="2"/>
        <v>CHAP_10</v>
      </c>
      <c r="F107" t="str">
        <f t="shared" si="3"/>
        <v>THEME_40</v>
      </c>
    </row>
    <row r="108" spans="1:6" ht="15.75" x14ac:dyDescent="0.25">
      <c r="A108" s="108" t="s">
        <v>1948</v>
      </c>
      <c r="B108" s="244" t="s">
        <v>1204</v>
      </c>
      <c r="C108" s="244" t="s">
        <v>1204</v>
      </c>
      <c r="D108" s="249" t="s">
        <v>1048</v>
      </c>
      <c r="E108" t="str">
        <f t="shared" si="2"/>
        <v>CHAP_10</v>
      </c>
      <c r="F108" t="str">
        <f t="shared" si="3"/>
        <v>THEME_41</v>
      </c>
    </row>
    <row r="109" spans="1:6" ht="15.75" x14ac:dyDescent="0.25">
      <c r="A109" s="142" t="s">
        <v>1949</v>
      </c>
      <c r="B109" s="256" t="s">
        <v>1950</v>
      </c>
      <c r="C109" s="244" t="s">
        <v>1204</v>
      </c>
      <c r="D109" s="249" t="s">
        <v>1048</v>
      </c>
      <c r="E109" t="str">
        <f t="shared" si="2"/>
        <v>CHAP_10</v>
      </c>
      <c r="F109" t="str">
        <f t="shared" si="3"/>
        <v>THEME_41</v>
      </c>
    </row>
    <row r="110" spans="1:6" ht="15.75" x14ac:dyDescent="0.25">
      <c r="A110" s="24" t="s">
        <v>1951</v>
      </c>
      <c r="B110" s="249" t="s">
        <v>1230</v>
      </c>
      <c r="C110" s="249"/>
      <c r="D110" s="249" t="s">
        <v>1230</v>
      </c>
      <c r="E110" t="str">
        <f t="shared" si="2"/>
        <v>CHAP_11</v>
      </c>
      <c r="F110" t="str">
        <f t="shared" si="3"/>
        <v/>
      </c>
    </row>
    <row r="111" spans="1:6" ht="15.75" x14ac:dyDescent="0.25">
      <c r="A111" s="108" t="s">
        <v>1952</v>
      </c>
      <c r="B111" s="244" t="s">
        <v>1232</v>
      </c>
      <c r="C111" s="244" t="s">
        <v>1232</v>
      </c>
      <c r="D111" s="249" t="s">
        <v>1230</v>
      </c>
      <c r="E111" t="str">
        <f t="shared" si="2"/>
        <v>CHAP_11</v>
      </c>
      <c r="F111" t="str">
        <f t="shared" si="3"/>
        <v>THEME_42</v>
      </c>
    </row>
    <row r="112" spans="1:6" ht="15.75" x14ac:dyDescent="0.25">
      <c r="A112" s="123" t="s">
        <v>1953</v>
      </c>
      <c r="B112" s="256" t="s">
        <v>1234</v>
      </c>
      <c r="C112" s="244" t="s">
        <v>1232</v>
      </c>
      <c r="D112" s="249" t="s">
        <v>1230</v>
      </c>
      <c r="E112" t="str">
        <f t="shared" si="2"/>
        <v>CHAP_11</v>
      </c>
      <c r="F112" t="str">
        <f t="shared" si="3"/>
        <v>THEME_42</v>
      </c>
    </row>
    <row r="113" spans="1:6" ht="15.75" x14ac:dyDescent="0.25">
      <c r="A113" s="123" t="s">
        <v>1954</v>
      </c>
      <c r="B113" s="256" t="s">
        <v>1242</v>
      </c>
      <c r="C113" s="244" t="s">
        <v>1232</v>
      </c>
      <c r="D113" s="249" t="s">
        <v>1230</v>
      </c>
      <c r="E113" t="str">
        <f t="shared" si="2"/>
        <v>CHAP_11</v>
      </c>
      <c r="F113" t="str">
        <f t="shared" si="3"/>
        <v>THEME_42</v>
      </c>
    </row>
    <row r="114" spans="1:6" ht="15.75" x14ac:dyDescent="0.25">
      <c r="A114" s="123" t="s">
        <v>1955</v>
      </c>
      <c r="B114" s="256" t="s">
        <v>1252</v>
      </c>
      <c r="C114" s="244" t="s">
        <v>1232</v>
      </c>
      <c r="D114" s="249" t="s">
        <v>1230</v>
      </c>
      <c r="E114" t="str">
        <f t="shared" si="2"/>
        <v>CHAP_11</v>
      </c>
      <c r="F114" t="str">
        <f t="shared" si="3"/>
        <v>THEME_42</v>
      </c>
    </row>
    <row r="115" spans="1:6" ht="15.75" x14ac:dyDescent="0.25">
      <c r="A115" s="123" t="s">
        <v>1956</v>
      </c>
      <c r="B115" s="256" t="s">
        <v>1264</v>
      </c>
      <c r="C115" s="244" t="s">
        <v>1232</v>
      </c>
      <c r="D115" s="249" t="s">
        <v>1230</v>
      </c>
      <c r="E115" t="str">
        <f t="shared" si="2"/>
        <v>CHAP_11</v>
      </c>
      <c r="F115" t="str">
        <f t="shared" si="3"/>
        <v>THEME_42</v>
      </c>
    </row>
    <row r="116" spans="1:6" ht="15.75" x14ac:dyDescent="0.25">
      <c r="A116" s="123" t="s">
        <v>1957</v>
      </c>
      <c r="B116" s="256" t="s">
        <v>1273</v>
      </c>
      <c r="C116" s="244" t="s">
        <v>1232</v>
      </c>
      <c r="D116" s="249" t="s">
        <v>1230</v>
      </c>
      <c r="E116" t="str">
        <f t="shared" si="2"/>
        <v>CHAP_11</v>
      </c>
      <c r="F116" t="str">
        <f t="shared" si="3"/>
        <v>THEME_42</v>
      </c>
    </row>
    <row r="117" spans="1:6" ht="15.75" x14ac:dyDescent="0.25">
      <c r="A117" s="108" t="s">
        <v>1958</v>
      </c>
      <c r="B117" s="244" t="s">
        <v>1281</v>
      </c>
      <c r="C117" s="244" t="s">
        <v>1281</v>
      </c>
      <c r="D117" s="249" t="s">
        <v>1230</v>
      </c>
      <c r="E117" t="str">
        <f t="shared" si="2"/>
        <v>CHAP_11</v>
      </c>
      <c r="F117" t="str">
        <f t="shared" si="3"/>
        <v>THEME_43</v>
      </c>
    </row>
    <row r="118" spans="1:6" ht="15.75" x14ac:dyDescent="0.25">
      <c r="A118" s="142" t="s">
        <v>1959</v>
      </c>
      <c r="B118" s="256" t="s">
        <v>1960</v>
      </c>
      <c r="C118" s="244" t="s">
        <v>1281</v>
      </c>
      <c r="D118" s="249" t="s">
        <v>1230</v>
      </c>
      <c r="E118" t="str">
        <f t="shared" si="2"/>
        <v>CHAP_11</v>
      </c>
      <c r="F118" t="str">
        <f t="shared" si="3"/>
        <v>THEME_43</v>
      </c>
    </row>
    <row r="119" spans="1:6" ht="15.75" x14ac:dyDescent="0.25">
      <c r="A119" s="108" t="s">
        <v>1961</v>
      </c>
      <c r="B119" s="244" t="s">
        <v>1288</v>
      </c>
      <c r="C119" s="244" t="s">
        <v>1288</v>
      </c>
      <c r="D119" s="249" t="s">
        <v>1230</v>
      </c>
      <c r="E119" t="str">
        <f t="shared" si="2"/>
        <v>CHAP_11</v>
      </c>
      <c r="F119" t="str">
        <f t="shared" si="3"/>
        <v>THEME_44</v>
      </c>
    </row>
    <row r="120" spans="1:6" ht="15.75" x14ac:dyDescent="0.25">
      <c r="A120" s="142" t="s">
        <v>1962</v>
      </c>
      <c r="B120" s="256" t="s">
        <v>1963</v>
      </c>
      <c r="C120" s="244" t="s">
        <v>1288</v>
      </c>
      <c r="D120" s="249" t="s">
        <v>1230</v>
      </c>
      <c r="E120" t="str">
        <f t="shared" si="2"/>
        <v>CHAP_11</v>
      </c>
      <c r="F120" t="str">
        <f t="shared" si="3"/>
        <v>THEME_44</v>
      </c>
    </row>
    <row r="121" spans="1:6" ht="15.75" x14ac:dyDescent="0.25">
      <c r="A121" s="24" t="s">
        <v>1964</v>
      </c>
      <c r="B121" s="249" t="s">
        <v>1296</v>
      </c>
      <c r="C121" s="249"/>
      <c r="D121" s="249" t="s">
        <v>1296</v>
      </c>
      <c r="E121" t="str">
        <f t="shared" si="2"/>
        <v>CHAP_12</v>
      </c>
      <c r="F121" t="str">
        <f t="shared" si="3"/>
        <v/>
      </c>
    </row>
    <row r="122" spans="1:6" ht="15.75" x14ac:dyDescent="0.25">
      <c r="A122" s="108" t="s">
        <v>1965</v>
      </c>
      <c r="B122" s="244" t="s">
        <v>1298</v>
      </c>
      <c r="C122" s="244" t="s">
        <v>1298</v>
      </c>
      <c r="D122" s="249" t="s">
        <v>1296</v>
      </c>
      <c r="E122" t="str">
        <f t="shared" si="2"/>
        <v>CHAP_12</v>
      </c>
      <c r="F122" t="str">
        <f t="shared" si="3"/>
        <v>THEME_45</v>
      </c>
    </row>
    <row r="123" spans="1:6" ht="15.75" x14ac:dyDescent="0.25">
      <c r="A123" s="142" t="s">
        <v>1966</v>
      </c>
      <c r="B123" s="256" t="s">
        <v>1967</v>
      </c>
      <c r="C123" s="244" t="s">
        <v>1298</v>
      </c>
      <c r="D123" s="249" t="s">
        <v>1296</v>
      </c>
      <c r="E123" t="str">
        <f t="shared" si="2"/>
        <v>CHAP_12</v>
      </c>
      <c r="F123" t="str">
        <f t="shared" si="3"/>
        <v>THEME_45</v>
      </c>
    </row>
    <row r="124" spans="1:6" ht="15.75" x14ac:dyDescent="0.25">
      <c r="A124" s="108" t="s">
        <v>1968</v>
      </c>
      <c r="B124" s="244" t="s">
        <v>1312</v>
      </c>
      <c r="C124" s="244" t="s">
        <v>1312</v>
      </c>
      <c r="D124" s="249" t="s">
        <v>1296</v>
      </c>
      <c r="E124" t="str">
        <f t="shared" si="2"/>
        <v>CHAP_12</v>
      </c>
      <c r="F124" t="str">
        <f t="shared" si="3"/>
        <v>THEME_46</v>
      </c>
    </row>
    <row r="125" spans="1:6" ht="15.75" x14ac:dyDescent="0.25">
      <c r="A125" s="142" t="s">
        <v>1969</v>
      </c>
      <c r="B125" s="256" t="s">
        <v>1970</v>
      </c>
      <c r="C125" s="244" t="s">
        <v>1312</v>
      </c>
      <c r="D125" s="249" t="s">
        <v>1296</v>
      </c>
      <c r="E125" t="str">
        <f t="shared" si="2"/>
        <v>CHAP_12</v>
      </c>
      <c r="F125" t="str">
        <f t="shared" si="3"/>
        <v>THEME_46</v>
      </c>
    </row>
    <row r="126" spans="1:6" ht="15.75" x14ac:dyDescent="0.25">
      <c r="A126" s="108" t="s">
        <v>1971</v>
      </c>
      <c r="B126" s="244" t="s">
        <v>1329</v>
      </c>
      <c r="C126" s="244" t="s">
        <v>1329</v>
      </c>
      <c r="D126" s="249" t="s">
        <v>1296</v>
      </c>
      <c r="E126" t="str">
        <f t="shared" si="2"/>
        <v>CHAP_12</v>
      </c>
      <c r="F126" t="str">
        <f t="shared" si="3"/>
        <v>THEME_47</v>
      </c>
    </row>
    <row r="127" spans="1:6" ht="15.75" x14ac:dyDescent="0.25">
      <c r="A127" s="142" t="s">
        <v>1972</v>
      </c>
      <c r="B127" s="256" t="s">
        <v>1973</v>
      </c>
      <c r="C127" s="244" t="s">
        <v>1329</v>
      </c>
      <c r="D127" s="249" t="s">
        <v>1296</v>
      </c>
      <c r="E127" t="str">
        <f t="shared" si="2"/>
        <v>CHAP_12</v>
      </c>
      <c r="F127" t="str">
        <f t="shared" si="3"/>
        <v>THEME_47</v>
      </c>
    </row>
    <row r="128" spans="1:6" ht="15.75" x14ac:dyDescent="0.25">
      <c r="A128" s="108" t="s">
        <v>1974</v>
      </c>
      <c r="B128" s="244" t="s">
        <v>1376</v>
      </c>
      <c r="C128" s="244" t="s">
        <v>1376</v>
      </c>
      <c r="D128" s="249" t="s">
        <v>1296</v>
      </c>
      <c r="E128" t="str">
        <f t="shared" si="2"/>
        <v>CHAP_12</v>
      </c>
      <c r="F128" t="str">
        <f t="shared" si="3"/>
        <v>THEME_48</v>
      </c>
    </row>
    <row r="129" spans="1:6" ht="15.75" x14ac:dyDescent="0.25">
      <c r="A129" s="142" t="s">
        <v>1975</v>
      </c>
      <c r="B129" s="256" t="s">
        <v>1976</v>
      </c>
      <c r="C129" s="244" t="s">
        <v>1376</v>
      </c>
      <c r="D129" s="249" t="s">
        <v>1296</v>
      </c>
      <c r="E129" t="str">
        <f t="shared" si="2"/>
        <v>CHAP_12</v>
      </c>
      <c r="F129" t="str">
        <f t="shared" si="3"/>
        <v>THEME_48</v>
      </c>
    </row>
    <row r="130" spans="1:6" ht="15.75" x14ac:dyDescent="0.25">
      <c r="A130" s="108" t="s">
        <v>1977</v>
      </c>
      <c r="B130" s="244" t="s">
        <v>1388</v>
      </c>
      <c r="C130" s="244" t="s">
        <v>1388</v>
      </c>
      <c r="D130" s="249" t="s">
        <v>1296</v>
      </c>
      <c r="E130" t="str">
        <f t="shared" si="2"/>
        <v>CHAP_12</v>
      </c>
      <c r="F130" t="str">
        <f t="shared" si="3"/>
        <v>THEME_49</v>
      </c>
    </row>
    <row r="131" spans="1:6" ht="15.75" x14ac:dyDescent="0.25">
      <c r="A131" s="142" t="s">
        <v>1978</v>
      </c>
      <c r="B131" s="256" t="s">
        <v>1979</v>
      </c>
      <c r="C131" s="244" t="s">
        <v>1388</v>
      </c>
      <c r="D131" s="249" t="s">
        <v>1296</v>
      </c>
      <c r="E131" t="str">
        <f t="shared" si="2"/>
        <v>CHAP_12</v>
      </c>
      <c r="F131" t="str">
        <f t="shared" si="3"/>
        <v>THEME_49</v>
      </c>
    </row>
    <row r="132" spans="1:6" ht="15.75" x14ac:dyDescent="0.25">
      <c r="A132" s="108" t="s">
        <v>1980</v>
      </c>
      <c r="B132" s="244" t="s">
        <v>1396</v>
      </c>
      <c r="C132" s="244" t="s">
        <v>1396</v>
      </c>
      <c r="D132" s="249" t="s">
        <v>1296</v>
      </c>
      <c r="E132" t="str">
        <f t="shared" si="2"/>
        <v>CHAP_12</v>
      </c>
      <c r="F132" t="str">
        <f t="shared" si="3"/>
        <v>THEME_50</v>
      </c>
    </row>
    <row r="133" spans="1:6" ht="15.75" x14ac:dyDescent="0.25">
      <c r="A133" s="142" t="s">
        <v>1981</v>
      </c>
      <c r="B133" s="256" t="s">
        <v>1982</v>
      </c>
      <c r="C133" s="244" t="s">
        <v>1396</v>
      </c>
      <c r="D133" s="249" t="s">
        <v>1296</v>
      </c>
      <c r="E133" t="str">
        <f t="shared" si="2"/>
        <v>CHAP_12</v>
      </c>
      <c r="F133" t="str">
        <f t="shared" si="3"/>
        <v>THEME_50</v>
      </c>
    </row>
    <row r="134" spans="1:6" ht="15.75" x14ac:dyDescent="0.25">
      <c r="A134" s="108" t="s">
        <v>1983</v>
      </c>
      <c r="B134" s="244" t="s">
        <v>1418</v>
      </c>
      <c r="C134" s="244" t="s">
        <v>1418</v>
      </c>
      <c r="D134" s="249" t="s">
        <v>1296</v>
      </c>
      <c r="E134" t="str">
        <f t="shared" ref="E134:E137" si="4">_xlfn.XLOOKUP(D134,$B$5:$B$137,$A$5:$A$137,"",0)</f>
        <v>CHAP_12</v>
      </c>
      <c r="F134" t="str">
        <f t="shared" ref="F134:F137" si="5">_xlfn.XLOOKUP(C134,$B$5:$B$137,$A$5:$A$137,"",0)</f>
        <v>THEME_51</v>
      </c>
    </row>
    <row r="135" spans="1:6" ht="15.75" x14ac:dyDescent="0.25">
      <c r="A135" s="142" t="s">
        <v>1984</v>
      </c>
      <c r="B135" s="256" t="s">
        <v>1985</v>
      </c>
      <c r="C135" s="244" t="s">
        <v>1418</v>
      </c>
      <c r="D135" s="249" t="s">
        <v>1296</v>
      </c>
      <c r="E135" t="str">
        <f t="shared" si="4"/>
        <v>CHAP_12</v>
      </c>
      <c r="F135" t="str">
        <f t="shared" si="5"/>
        <v>THEME_51</v>
      </c>
    </row>
    <row r="136" spans="1:6" ht="15.75" x14ac:dyDescent="0.25">
      <c r="A136" s="108" t="s">
        <v>1986</v>
      </c>
      <c r="B136" s="244" t="s">
        <v>1453</v>
      </c>
      <c r="C136" s="244" t="s">
        <v>1453</v>
      </c>
      <c r="D136" s="249" t="s">
        <v>1296</v>
      </c>
      <c r="E136" t="str">
        <f t="shared" si="4"/>
        <v>CHAP_12</v>
      </c>
      <c r="F136" t="str">
        <f t="shared" si="5"/>
        <v>THEME_52</v>
      </c>
    </row>
    <row r="137" spans="1:6" ht="15.75" x14ac:dyDescent="0.25">
      <c r="A137" s="142" t="s">
        <v>1987</v>
      </c>
      <c r="B137" s="256" t="s">
        <v>1988</v>
      </c>
      <c r="C137" s="244" t="s">
        <v>1453</v>
      </c>
      <c r="D137" s="249" t="s">
        <v>1296</v>
      </c>
      <c r="E137" t="str">
        <f t="shared" si="4"/>
        <v>CHAP_12</v>
      </c>
      <c r="F137" t="str">
        <f t="shared" si="5"/>
        <v>THEME_52</v>
      </c>
    </row>
  </sheetData>
  <autoFilter ref="A4:F137" xr:uid="{4B4C6E3A-BE47-4D59-8159-A702AED7DFC1}"/>
  <phoneticPr fontId="4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0496-AD3D-4A6A-A13C-247019013CE7}">
  <sheetPr codeName="Feuil5"/>
  <dimension ref="A3:G307"/>
  <sheetViews>
    <sheetView topLeftCell="A3" workbookViewId="0">
      <selection activeCell="F307" sqref="F4:G307"/>
    </sheetView>
  </sheetViews>
  <sheetFormatPr baseColWidth="10" defaultRowHeight="15" x14ac:dyDescent="0.25"/>
  <cols>
    <col min="1" max="2" width="25.7109375" bestFit="1" customWidth="1"/>
    <col min="6" max="6" width="24.85546875" customWidth="1"/>
    <col min="7" max="7" width="20" bestFit="1" customWidth="1"/>
  </cols>
  <sheetData>
    <row r="3" spans="1:7" x14ac:dyDescent="0.25">
      <c r="A3" s="303" t="s">
        <v>1990</v>
      </c>
      <c r="B3" s="303" t="s">
        <v>1991</v>
      </c>
      <c r="F3" s="303" t="s">
        <v>1991</v>
      </c>
      <c r="G3" s="303" t="s">
        <v>1990</v>
      </c>
    </row>
    <row r="4" spans="1:7" x14ac:dyDescent="0.25">
      <c r="A4" t="s">
        <v>632</v>
      </c>
      <c r="B4" t="s">
        <v>628</v>
      </c>
      <c r="F4" t="s">
        <v>45</v>
      </c>
      <c r="G4" t="s">
        <v>532</v>
      </c>
    </row>
    <row r="5" spans="1:7" x14ac:dyDescent="0.25">
      <c r="A5" t="s">
        <v>638</v>
      </c>
      <c r="B5" t="s">
        <v>634</v>
      </c>
      <c r="F5" t="s">
        <v>45</v>
      </c>
      <c r="G5" t="s">
        <v>527</v>
      </c>
    </row>
    <row r="6" spans="1:7" x14ac:dyDescent="0.25">
      <c r="A6" t="s">
        <v>641</v>
      </c>
      <c r="B6" t="s">
        <v>638</v>
      </c>
      <c r="F6" t="s">
        <v>634</v>
      </c>
      <c r="G6" t="s">
        <v>638</v>
      </c>
    </row>
    <row r="7" spans="1:7" x14ac:dyDescent="0.25">
      <c r="A7" t="s">
        <v>340</v>
      </c>
      <c r="B7" t="s">
        <v>334</v>
      </c>
      <c r="F7" t="s">
        <v>638</v>
      </c>
      <c r="G7" t="s">
        <v>641</v>
      </c>
    </row>
    <row r="8" spans="1:7" x14ac:dyDescent="0.25">
      <c r="A8" t="s">
        <v>344</v>
      </c>
      <c r="B8" t="s">
        <v>340</v>
      </c>
      <c r="F8" t="s">
        <v>334</v>
      </c>
      <c r="G8" t="s">
        <v>340</v>
      </c>
    </row>
    <row r="9" spans="1:7" x14ac:dyDescent="0.25">
      <c r="A9" t="s">
        <v>348</v>
      </c>
      <c r="B9" t="s">
        <v>334</v>
      </c>
      <c r="F9" t="s">
        <v>334</v>
      </c>
      <c r="G9" t="s">
        <v>348</v>
      </c>
    </row>
    <row r="10" spans="1:7" x14ac:dyDescent="0.25">
      <c r="A10" t="s">
        <v>376</v>
      </c>
      <c r="B10" t="s">
        <v>372</v>
      </c>
      <c r="F10" t="s">
        <v>340</v>
      </c>
      <c r="G10" t="s">
        <v>344</v>
      </c>
    </row>
    <row r="11" spans="1:7" x14ac:dyDescent="0.25">
      <c r="A11" t="s">
        <v>380</v>
      </c>
      <c r="B11" t="s">
        <v>372</v>
      </c>
      <c r="F11" t="s">
        <v>372</v>
      </c>
      <c r="G11" t="s">
        <v>376</v>
      </c>
    </row>
    <row r="12" spans="1:7" x14ac:dyDescent="0.25">
      <c r="A12" t="s">
        <v>383</v>
      </c>
      <c r="B12" t="s">
        <v>376</v>
      </c>
      <c r="F12" t="s">
        <v>372</v>
      </c>
      <c r="G12" t="s">
        <v>380</v>
      </c>
    </row>
    <row r="13" spans="1:7" x14ac:dyDescent="0.25">
      <c r="A13" t="s">
        <v>136</v>
      </c>
      <c r="B13" t="s">
        <v>133</v>
      </c>
      <c r="F13" t="s">
        <v>376</v>
      </c>
      <c r="G13" t="s">
        <v>383</v>
      </c>
    </row>
    <row r="14" spans="1:7" x14ac:dyDescent="0.25">
      <c r="A14" t="s">
        <v>391</v>
      </c>
      <c r="B14" t="s">
        <v>387</v>
      </c>
      <c r="F14" t="s">
        <v>387</v>
      </c>
      <c r="G14" t="s">
        <v>391</v>
      </c>
    </row>
    <row r="15" spans="1:7" x14ac:dyDescent="0.25">
      <c r="A15" t="s">
        <v>394</v>
      </c>
      <c r="B15" t="s">
        <v>391</v>
      </c>
      <c r="F15" t="s">
        <v>391</v>
      </c>
      <c r="G15" t="s">
        <v>394</v>
      </c>
    </row>
    <row r="16" spans="1:7" x14ac:dyDescent="0.25">
      <c r="A16" t="s">
        <v>1401</v>
      </c>
      <c r="B16" t="s">
        <v>1397</v>
      </c>
      <c r="F16" t="s">
        <v>1397</v>
      </c>
      <c r="G16" t="s">
        <v>1401</v>
      </c>
    </row>
    <row r="17" spans="1:7" x14ac:dyDescent="0.25">
      <c r="A17" t="s">
        <v>408</v>
      </c>
      <c r="B17" t="s">
        <v>404</v>
      </c>
      <c r="F17" t="s">
        <v>1397</v>
      </c>
      <c r="G17" t="s">
        <v>1403</v>
      </c>
    </row>
    <row r="18" spans="1:7" x14ac:dyDescent="0.25">
      <c r="A18" t="s">
        <v>418</v>
      </c>
      <c r="B18" t="s">
        <v>414</v>
      </c>
      <c r="F18" t="s">
        <v>404</v>
      </c>
      <c r="G18" t="s">
        <v>408</v>
      </c>
    </row>
    <row r="19" spans="1:7" x14ac:dyDescent="0.25">
      <c r="A19" t="s">
        <v>421</v>
      </c>
      <c r="B19" t="s">
        <v>418</v>
      </c>
      <c r="F19" t="s">
        <v>404</v>
      </c>
      <c r="G19" t="s">
        <v>411</v>
      </c>
    </row>
    <row r="20" spans="1:7" x14ac:dyDescent="0.25">
      <c r="A20" t="s">
        <v>441</v>
      </c>
      <c r="B20" t="s">
        <v>437</v>
      </c>
      <c r="F20" t="s">
        <v>414</v>
      </c>
      <c r="G20" t="s">
        <v>418</v>
      </c>
    </row>
    <row r="21" spans="1:7" x14ac:dyDescent="0.25">
      <c r="A21" t="s">
        <v>444</v>
      </c>
      <c r="B21" t="s">
        <v>441</v>
      </c>
      <c r="F21" t="s">
        <v>418</v>
      </c>
      <c r="G21" t="s">
        <v>421</v>
      </c>
    </row>
    <row r="22" spans="1:7" x14ac:dyDescent="0.25">
      <c r="A22" t="s">
        <v>453</v>
      </c>
      <c r="B22" t="s">
        <v>448</v>
      </c>
      <c r="F22" t="s">
        <v>437</v>
      </c>
      <c r="G22" t="s">
        <v>441</v>
      </c>
    </row>
    <row r="23" spans="1:7" x14ac:dyDescent="0.25">
      <c r="A23" t="s">
        <v>451</v>
      </c>
      <c r="B23" t="s">
        <v>448</v>
      </c>
      <c r="F23" t="s">
        <v>437</v>
      </c>
      <c r="G23" t="s">
        <v>446</v>
      </c>
    </row>
    <row r="24" spans="1:7" x14ac:dyDescent="0.25">
      <c r="A24" t="s">
        <v>577</v>
      </c>
      <c r="B24" t="s">
        <v>571</v>
      </c>
      <c r="F24" t="s">
        <v>441</v>
      </c>
      <c r="G24" t="s">
        <v>444</v>
      </c>
    </row>
    <row r="25" spans="1:7" x14ac:dyDescent="0.25">
      <c r="A25" t="s">
        <v>462</v>
      </c>
      <c r="B25" t="s">
        <v>458</v>
      </c>
      <c r="F25" t="s">
        <v>448</v>
      </c>
      <c r="G25" t="s">
        <v>453</v>
      </c>
    </row>
    <row r="26" spans="1:7" x14ac:dyDescent="0.25">
      <c r="A26" t="s">
        <v>446</v>
      </c>
      <c r="B26" t="s">
        <v>437</v>
      </c>
      <c r="F26" t="s">
        <v>448</v>
      </c>
      <c r="G26" t="s">
        <v>451</v>
      </c>
    </row>
    <row r="27" spans="1:7" x14ac:dyDescent="0.25">
      <c r="A27" t="s">
        <v>468</v>
      </c>
      <c r="B27" t="s">
        <v>464</v>
      </c>
      <c r="F27" t="s">
        <v>577</v>
      </c>
      <c r="G27" t="s">
        <v>581</v>
      </c>
    </row>
    <row r="28" spans="1:7" x14ac:dyDescent="0.25">
      <c r="A28" t="s">
        <v>429</v>
      </c>
      <c r="B28" t="s">
        <v>425</v>
      </c>
      <c r="F28" t="s">
        <v>577</v>
      </c>
      <c r="G28" t="s">
        <v>594</v>
      </c>
    </row>
    <row r="29" spans="1:7" x14ac:dyDescent="0.25">
      <c r="A29" t="s">
        <v>649</v>
      </c>
      <c r="B29" t="s">
        <v>645</v>
      </c>
      <c r="F29" t="s">
        <v>577</v>
      </c>
      <c r="G29" t="s">
        <v>596</v>
      </c>
    </row>
    <row r="30" spans="1:7" x14ac:dyDescent="0.25">
      <c r="A30" t="s">
        <v>651</v>
      </c>
      <c r="B30" t="s">
        <v>645</v>
      </c>
      <c r="F30" t="s">
        <v>577</v>
      </c>
      <c r="G30" t="s">
        <v>598</v>
      </c>
    </row>
    <row r="31" spans="1:7" x14ac:dyDescent="0.25">
      <c r="A31" t="s">
        <v>654</v>
      </c>
      <c r="B31" t="s">
        <v>651</v>
      </c>
      <c r="F31" t="s">
        <v>577</v>
      </c>
      <c r="G31" t="s">
        <v>601</v>
      </c>
    </row>
    <row r="32" spans="1:7" x14ac:dyDescent="0.25">
      <c r="A32" t="s">
        <v>670</v>
      </c>
      <c r="B32" t="s">
        <v>666</v>
      </c>
      <c r="F32" t="s">
        <v>577</v>
      </c>
      <c r="G32" t="s">
        <v>606</v>
      </c>
    </row>
    <row r="33" spans="1:7" x14ac:dyDescent="0.25">
      <c r="A33" t="s">
        <v>680</v>
      </c>
      <c r="B33" t="s">
        <v>676</v>
      </c>
      <c r="F33" t="s">
        <v>577</v>
      </c>
      <c r="G33" t="s">
        <v>611</v>
      </c>
    </row>
    <row r="34" spans="1:7" x14ac:dyDescent="0.25">
      <c r="A34" t="s">
        <v>682</v>
      </c>
      <c r="B34" t="s">
        <v>680</v>
      </c>
      <c r="F34" t="s">
        <v>458</v>
      </c>
      <c r="G34" t="s">
        <v>462</v>
      </c>
    </row>
    <row r="35" spans="1:7" x14ac:dyDescent="0.25">
      <c r="A35" t="s">
        <v>687</v>
      </c>
      <c r="B35" t="s">
        <v>680</v>
      </c>
      <c r="F35" t="s">
        <v>464</v>
      </c>
      <c r="G35" t="s">
        <v>468</v>
      </c>
    </row>
    <row r="36" spans="1:7" x14ac:dyDescent="0.25">
      <c r="A36" t="s">
        <v>698</v>
      </c>
      <c r="B36" t="s">
        <v>694</v>
      </c>
      <c r="F36" t="s">
        <v>425</v>
      </c>
      <c r="G36" t="s">
        <v>429</v>
      </c>
    </row>
    <row r="37" spans="1:7" x14ac:dyDescent="0.25">
      <c r="A37" t="s">
        <v>710</v>
      </c>
      <c r="B37" t="s">
        <v>706</v>
      </c>
      <c r="F37" t="s">
        <v>425</v>
      </c>
      <c r="G37" t="s">
        <v>430</v>
      </c>
    </row>
    <row r="38" spans="1:7" x14ac:dyDescent="0.25">
      <c r="A38" t="s">
        <v>712</v>
      </c>
      <c r="B38" t="s">
        <v>706</v>
      </c>
      <c r="F38" t="s">
        <v>645</v>
      </c>
      <c r="G38" t="s">
        <v>649</v>
      </c>
    </row>
    <row r="39" spans="1:7" x14ac:dyDescent="0.25">
      <c r="A39" t="s">
        <v>714</v>
      </c>
      <c r="B39" t="s">
        <v>706</v>
      </c>
      <c r="F39" t="s">
        <v>645</v>
      </c>
      <c r="G39" t="s">
        <v>651</v>
      </c>
    </row>
    <row r="40" spans="1:7" x14ac:dyDescent="0.25">
      <c r="A40" t="s">
        <v>726</v>
      </c>
      <c r="B40" t="s">
        <v>722</v>
      </c>
      <c r="F40" t="s">
        <v>651</v>
      </c>
      <c r="G40" t="s">
        <v>654</v>
      </c>
    </row>
    <row r="41" spans="1:7" x14ac:dyDescent="0.25">
      <c r="A41" t="s">
        <v>732</v>
      </c>
      <c r="B41" t="s">
        <v>728</v>
      </c>
      <c r="F41" t="s">
        <v>651</v>
      </c>
      <c r="G41" t="s">
        <v>661</v>
      </c>
    </row>
    <row r="42" spans="1:7" x14ac:dyDescent="0.25">
      <c r="A42" t="s">
        <v>735</v>
      </c>
      <c r="B42" t="s">
        <v>728</v>
      </c>
      <c r="F42" t="s">
        <v>666</v>
      </c>
      <c r="G42" t="s">
        <v>670</v>
      </c>
    </row>
    <row r="43" spans="1:7" x14ac:dyDescent="0.25">
      <c r="A43" t="s">
        <v>737</v>
      </c>
      <c r="B43" t="s">
        <v>61</v>
      </c>
      <c r="F43" t="s">
        <v>676</v>
      </c>
      <c r="G43" t="s">
        <v>680</v>
      </c>
    </row>
    <row r="44" spans="1:7" x14ac:dyDescent="0.25">
      <c r="A44" t="s">
        <v>741</v>
      </c>
      <c r="B44" t="s">
        <v>737</v>
      </c>
      <c r="F44" t="s">
        <v>680</v>
      </c>
      <c r="G44" t="s">
        <v>682</v>
      </c>
    </row>
    <row r="45" spans="1:7" x14ac:dyDescent="0.25">
      <c r="A45" t="s">
        <v>744</v>
      </c>
      <c r="B45" t="s">
        <v>741</v>
      </c>
      <c r="F45" t="s">
        <v>680</v>
      </c>
      <c r="G45" t="s">
        <v>687</v>
      </c>
    </row>
    <row r="46" spans="1:7" x14ac:dyDescent="0.25">
      <c r="A46" t="s">
        <v>750</v>
      </c>
      <c r="B46" t="s">
        <v>746</v>
      </c>
      <c r="F46" t="s">
        <v>680</v>
      </c>
      <c r="G46" t="s">
        <v>685</v>
      </c>
    </row>
    <row r="47" spans="1:7" x14ac:dyDescent="0.25">
      <c r="A47" t="s">
        <v>759</v>
      </c>
      <c r="B47" t="s">
        <v>756</v>
      </c>
      <c r="F47" t="s">
        <v>680</v>
      </c>
      <c r="G47" t="s">
        <v>689</v>
      </c>
    </row>
    <row r="48" spans="1:7" x14ac:dyDescent="0.25">
      <c r="A48" t="s">
        <v>1053</v>
      </c>
      <c r="B48" t="s">
        <v>1051</v>
      </c>
      <c r="F48" t="s">
        <v>694</v>
      </c>
      <c r="G48" t="s">
        <v>698</v>
      </c>
    </row>
    <row r="49" spans="1:7" x14ac:dyDescent="0.25">
      <c r="A49" t="s">
        <v>1056</v>
      </c>
      <c r="B49" t="s">
        <v>1053</v>
      </c>
      <c r="F49" t="s">
        <v>706</v>
      </c>
      <c r="G49" t="s">
        <v>710</v>
      </c>
    </row>
    <row r="50" spans="1:7" x14ac:dyDescent="0.25">
      <c r="A50" t="s">
        <v>1058</v>
      </c>
      <c r="B50" t="s">
        <v>1051</v>
      </c>
      <c r="F50" t="s">
        <v>706</v>
      </c>
      <c r="G50" t="s">
        <v>712</v>
      </c>
    </row>
    <row r="51" spans="1:7" x14ac:dyDescent="0.25">
      <c r="A51" t="s">
        <v>1060</v>
      </c>
      <c r="B51" t="s">
        <v>1051</v>
      </c>
      <c r="F51" t="s">
        <v>706</v>
      </c>
      <c r="G51" t="s">
        <v>714</v>
      </c>
    </row>
    <row r="52" spans="1:7" x14ac:dyDescent="0.25">
      <c r="A52" t="s">
        <v>1063</v>
      </c>
      <c r="B52" t="s">
        <v>1051</v>
      </c>
      <c r="F52" t="s">
        <v>722</v>
      </c>
      <c r="G52" t="s">
        <v>726</v>
      </c>
    </row>
    <row r="53" spans="1:7" x14ac:dyDescent="0.25">
      <c r="A53" t="s">
        <v>1066</v>
      </c>
      <c r="B53" t="s">
        <v>1063</v>
      </c>
      <c r="F53" t="s">
        <v>728</v>
      </c>
      <c r="G53" t="s">
        <v>732</v>
      </c>
    </row>
    <row r="54" spans="1:7" x14ac:dyDescent="0.25">
      <c r="A54" t="s">
        <v>1069</v>
      </c>
      <c r="B54" t="s">
        <v>1051</v>
      </c>
      <c r="F54" t="s">
        <v>728</v>
      </c>
      <c r="G54" t="s">
        <v>735</v>
      </c>
    </row>
    <row r="55" spans="1:7" x14ac:dyDescent="0.25">
      <c r="A55" t="s">
        <v>1071</v>
      </c>
      <c r="B55" t="s">
        <v>1051</v>
      </c>
      <c r="F55" t="s">
        <v>737</v>
      </c>
      <c r="G55" t="s">
        <v>741</v>
      </c>
    </row>
    <row r="56" spans="1:7" x14ac:dyDescent="0.25">
      <c r="A56" t="s">
        <v>1093</v>
      </c>
      <c r="B56" t="s">
        <v>1090</v>
      </c>
      <c r="F56" t="s">
        <v>741</v>
      </c>
      <c r="G56" t="s">
        <v>744</v>
      </c>
    </row>
    <row r="57" spans="1:7" x14ac:dyDescent="0.25">
      <c r="A57" t="s">
        <v>1095</v>
      </c>
      <c r="B57" t="s">
        <v>1090</v>
      </c>
      <c r="F57" t="s">
        <v>746</v>
      </c>
      <c r="G57" t="s">
        <v>750</v>
      </c>
    </row>
    <row r="58" spans="1:7" x14ac:dyDescent="0.25">
      <c r="A58" t="s">
        <v>1096</v>
      </c>
      <c r="B58" t="s">
        <v>1090</v>
      </c>
      <c r="F58" t="s">
        <v>750</v>
      </c>
      <c r="G58" t="s">
        <v>754</v>
      </c>
    </row>
    <row r="59" spans="1:7" x14ac:dyDescent="0.25">
      <c r="A59" t="s">
        <v>1097</v>
      </c>
      <c r="B59" t="s">
        <v>1090</v>
      </c>
      <c r="F59" t="s">
        <v>756</v>
      </c>
      <c r="G59" t="s">
        <v>759</v>
      </c>
    </row>
    <row r="60" spans="1:7" x14ac:dyDescent="0.25">
      <c r="A60" t="s">
        <v>1103</v>
      </c>
      <c r="B60" t="s">
        <v>18</v>
      </c>
      <c r="F60" t="s">
        <v>1053</v>
      </c>
      <c r="G60" t="s">
        <v>1056</v>
      </c>
    </row>
    <row r="61" spans="1:7" x14ac:dyDescent="0.25">
      <c r="A61" t="s">
        <v>1073</v>
      </c>
      <c r="B61" t="s">
        <v>1051</v>
      </c>
      <c r="F61" t="s">
        <v>1051</v>
      </c>
      <c r="G61" t="s">
        <v>1053</v>
      </c>
    </row>
    <row r="62" spans="1:7" x14ac:dyDescent="0.25">
      <c r="A62" t="s">
        <v>478</v>
      </c>
      <c r="B62" t="s">
        <v>472</v>
      </c>
      <c r="F62" t="s">
        <v>1051</v>
      </c>
      <c r="G62" t="s">
        <v>1058</v>
      </c>
    </row>
    <row r="63" spans="1:7" x14ac:dyDescent="0.25">
      <c r="A63" t="s">
        <v>486</v>
      </c>
      <c r="B63" t="s">
        <v>478</v>
      </c>
      <c r="F63" t="s">
        <v>1051</v>
      </c>
      <c r="G63" t="s">
        <v>1060</v>
      </c>
    </row>
    <row r="64" spans="1:7" x14ac:dyDescent="0.25">
      <c r="A64" t="s">
        <v>486</v>
      </c>
      <c r="B64" t="s">
        <v>482</v>
      </c>
      <c r="F64" t="s">
        <v>1051</v>
      </c>
      <c r="G64" t="s">
        <v>1063</v>
      </c>
    </row>
    <row r="65" spans="1:7" x14ac:dyDescent="0.25">
      <c r="A65" t="s">
        <v>488</v>
      </c>
      <c r="B65" t="s">
        <v>478</v>
      </c>
      <c r="F65" t="s">
        <v>1051</v>
      </c>
      <c r="G65" t="s">
        <v>1069</v>
      </c>
    </row>
    <row r="66" spans="1:7" x14ac:dyDescent="0.25">
      <c r="A66" t="s">
        <v>488</v>
      </c>
      <c r="B66" t="s">
        <v>482</v>
      </c>
      <c r="F66" t="s">
        <v>1051</v>
      </c>
      <c r="G66" t="s">
        <v>1071</v>
      </c>
    </row>
    <row r="67" spans="1:7" x14ac:dyDescent="0.25">
      <c r="A67" t="s">
        <v>495</v>
      </c>
      <c r="B67" t="s">
        <v>492</v>
      </c>
      <c r="F67" t="s">
        <v>1051</v>
      </c>
      <c r="G67" t="s">
        <v>1073</v>
      </c>
    </row>
    <row r="68" spans="1:7" x14ac:dyDescent="0.25">
      <c r="A68" t="s">
        <v>492</v>
      </c>
      <c r="B68" t="s">
        <v>472</v>
      </c>
      <c r="F68" t="s">
        <v>1051</v>
      </c>
      <c r="G68" t="s">
        <v>1076</v>
      </c>
    </row>
    <row r="69" spans="1:7" x14ac:dyDescent="0.25">
      <c r="A69" t="s">
        <v>497</v>
      </c>
      <c r="B69" t="s">
        <v>492</v>
      </c>
      <c r="F69" t="s">
        <v>1051</v>
      </c>
      <c r="G69" t="s">
        <v>1082</v>
      </c>
    </row>
    <row r="70" spans="1:7" x14ac:dyDescent="0.25">
      <c r="A70" t="s">
        <v>497</v>
      </c>
      <c r="B70" t="s">
        <v>472</v>
      </c>
      <c r="F70" t="s">
        <v>1063</v>
      </c>
      <c r="G70" t="s">
        <v>1066</v>
      </c>
    </row>
    <row r="71" spans="1:7" x14ac:dyDescent="0.25">
      <c r="A71" t="s">
        <v>499</v>
      </c>
      <c r="B71" t="s">
        <v>472</v>
      </c>
      <c r="F71" t="s">
        <v>1090</v>
      </c>
      <c r="G71" t="s">
        <v>1093</v>
      </c>
    </row>
    <row r="72" spans="1:7" x14ac:dyDescent="0.25">
      <c r="A72" t="s">
        <v>503</v>
      </c>
      <c r="B72" t="s">
        <v>472</v>
      </c>
      <c r="F72" t="s">
        <v>1090</v>
      </c>
      <c r="G72" t="s">
        <v>1095</v>
      </c>
    </row>
    <row r="73" spans="1:7" x14ac:dyDescent="0.25">
      <c r="A73" t="s">
        <v>506</v>
      </c>
      <c r="B73" t="s">
        <v>503</v>
      </c>
      <c r="F73" t="s">
        <v>1090</v>
      </c>
      <c r="G73" t="s">
        <v>1096</v>
      </c>
    </row>
    <row r="74" spans="1:7" x14ac:dyDescent="0.25">
      <c r="A74" t="s">
        <v>524</v>
      </c>
      <c r="B74" t="s">
        <v>61</v>
      </c>
      <c r="F74" t="s">
        <v>1090</v>
      </c>
      <c r="G74" t="s">
        <v>1097</v>
      </c>
    </row>
    <row r="75" spans="1:7" x14ac:dyDescent="0.25">
      <c r="A75" t="s">
        <v>524</v>
      </c>
      <c r="B75" t="s">
        <v>472</v>
      </c>
      <c r="F75" t="s">
        <v>478</v>
      </c>
      <c r="G75" t="s">
        <v>486</v>
      </c>
    </row>
    <row r="76" spans="1:7" x14ac:dyDescent="0.25">
      <c r="A76" t="s">
        <v>532</v>
      </c>
      <c r="B76" t="s">
        <v>45</v>
      </c>
      <c r="F76" t="s">
        <v>478</v>
      </c>
      <c r="G76" t="s">
        <v>488</v>
      </c>
    </row>
    <row r="77" spans="1:7" x14ac:dyDescent="0.25">
      <c r="A77" t="s">
        <v>532</v>
      </c>
      <c r="B77" t="s">
        <v>18</v>
      </c>
      <c r="F77" t="s">
        <v>478</v>
      </c>
      <c r="G77" t="s">
        <v>482</v>
      </c>
    </row>
    <row r="78" spans="1:7" x14ac:dyDescent="0.25">
      <c r="A78" t="s">
        <v>537</v>
      </c>
      <c r="B78" t="s">
        <v>18</v>
      </c>
      <c r="F78" t="s">
        <v>492</v>
      </c>
      <c r="G78" t="s">
        <v>495</v>
      </c>
    </row>
    <row r="79" spans="1:7" x14ac:dyDescent="0.25">
      <c r="A79" t="s">
        <v>537</v>
      </c>
      <c r="B79" t="s">
        <v>472</v>
      </c>
      <c r="F79" t="s">
        <v>492</v>
      </c>
      <c r="G79" t="s">
        <v>497</v>
      </c>
    </row>
    <row r="80" spans="1:7" x14ac:dyDescent="0.25">
      <c r="A80" t="s">
        <v>540</v>
      </c>
      <c r="B80" t="s">
        <v>537</v>
      </c>
      <c r="F80" t="s">
        <v>503</v>
      </c>
      <c r="G80" t="s">
        <v>506</v>
      </c>
    </row>
    <row r="81" spans="1:7" x14ac:dyDescent="0.25">
      <c r="A81" t="s">
        <v>542</v>
      </c>
      <c r="B81" t="s">
        <v>472</v>
      </c>
      <c r="F81" t="s">
        <v>532</v>
      </c>
      <c r="G81" t="s">
        <v>535</v>
      </c>
    </row>
    <row r="82" spans="1:7" x14ac:dyDescent="0.25">
      <c r="A82" t="s">
        <v>545</v>
      </c>
      <c r="B82" t="s">
        <v>542</v>
      </c>
      <c r="F82" t="s">
        <v>537</v>
      </c>
      <c r="G82" t="s">
        <v>540</v>
      </c>
    </row>
    <row r="83" spans="1:7" x14ac:dyDescent="0.25">
      <c r="A83" t="s">
        <v>547</v>
      </c>
      <c r="B83" t="s">
        <v>472</v>
      </c>
      <c r="F83" t="s">
        <v>542</v>
      </c>
      <c r="G83" t="s">
        <v>545</v>
      </c>
    </row>
    <row r="84" spans="1:7" x14ac:dyDescent="0.25">
      <c r="A84" t="s">
        <v>551</v>
      </c>
      <c r="B84" t="s">
        <v>547</v>
      </c>
      <c r="F84" t="s">
        <v>547</v>
      </c>
      <c r="G84" t="s">
        <v>551</v>
      </c>
    </row>
    <row r="85" spans="1:7" x14ac:dyDescent="0.25">
      <c r="A85" t="s">
        <v>535</v>
      </c>
      <c r="B85" t="s">
        <v>532</v>
      </c>
      <c r="F85" t="s">
        <v>551</v>
      </c>
      <c r="G85" t="s">
        <v>554</v>
      </c>
    </row>
    <row r="86" spans="1:7" x14ac:dyDescent="0.25">
      <c r="A86" t="s">
        <v>527</v>
      </c>
      <c r="B86" t="s">
        <v>45</v>
      </c>
      <c r="F86" t="s">
        <v>527</v>
      </c>
      <c r="G86" t="s">
        <v>530</v>
      </c>
    </row>
    <row r="87" spans="1:7" x14ac:dyDescent="0.25">
      <c r="A87" t="s">
        <v>530</v>
      </c>
      <c r="B87" t="s">
        <v>527</v>
      </c>
      <c r="F87" t="s">
        <v>558</v>
      </c>
      <c r="G87" t="s">
        <v>561</v>
      </c>
    </row>
    <row r="88" spans="1:7" x14ac:dyDescent="0.25">
      <c r="A88" t="s">
        <v>558</v>
      </c>
      <c r="B88" t="s">
        <v>472</v>
      </c>
      <c r="F88" t="s">
        <v>558</v>
      </c>
      <c r="G88" t="s">
        <v>564</v>
      </c>
    </row>
    <row r="89" spans="1:7" x14ac:dyDescent="0.25">
      <c r="A89" t="s">
        <v>561</v>
      </c>
      <c r="B89" t="s">
        <v>558</v>
      </c>
      <c r="F89" t="s">
        <v>558</v>
      </c>
      <c r="G89" t="s">
        <v>567</v>
      </c>
    </row>
    <row r="90" spans="1:7" x14ac:dyDescent="0.25">
      <c r="A90" t="s">
        <v>564</v>
      </c>
      <c r="B90" t="s">
        <v>558</v>
      </c>
      <c r="F90" t="s">
        <v>510</v>
      </c>
      <c r="G90" t="s">
        <v>514</v>
      </c>
    </row>
    <row r="91" spans="1:7" x14ac:dyDescent="0.25">
      <c r="A91" t="s">
        <v>1015</v>
      </c>
      <c r="B91" t="s">
        <v>1012</v>
      </c>
      <c r="F91" t="s">
        <v>815</v>
      </c>
      <c r="G91" t="s">
        <v>819</v>
      </c>
    </row>
    <row r="92" spans="1:7" x14ac:dyDescent="0.25">
      <c r="A92" t="s">
        <v>567</v>
      </c>
      <c r="B92" t="s">
        <v>558</v>
      </c>
      <c r="F92" t="s">
        <v>61</v>
      </c>
      <c r="G92" t="s">
        <v>737</v>
      </c>
    </row>
    <row r="93" spans="1:7" x14ac:dyDescent="0.25">
      <c r="A93" t="s">
        <v>510</v>
      </c>
      <c r="B93" t="s">
        <v>472</v>
      </c>
      <c r="F93" t="s">
        <v>61</v>
      </c>
      <c r="G93" t="s">
        <v>524</v>
      </c>
    </row>
    <row r="94" spans="1:7" x14ac:dyDescent="0.25">
      <c r="A94" t="s">
        <v>514</v>
      </c>
      <c r="B94" t="s">
        <v>510</v>
      </c>
      <c r="F94" t="s">
        <v>61</v>
      </c>
      <c r="G94" t="s">
        <v>520</v>
      </c>
    </row>
    <row r="95" spans="1:7" x14ac:dyDescent="0.25">
      <c r="A95" t="s">
        <v>520</v>
      </c>
      <c r="B95" t="s">
        <v>61</v>
      </c>
      <c r="F95" t="s">
        <v>61</v>
      </c>
      <c r="G95" t="s">
        <v>65</v>
      </c>
    </row>
    <row r="96" spans="1:7" x14ac:dyDescent="0.25">
      <c r="A96" t="s">
        <v>520</v>
      </c>
      <c r="B96" t="s">
        <v>472</v>
      </c>
      <c r="F96" t="s">
        <v>61</v>
      </c>
      <c r="G96" t="s">
        <v>909</v>
      </c>
    </row>
    <row r="97" spans="1:7" x14ac:dyDescent="0.25">
      <c r="A97" t="s">
        <v>516</v>
      </c>
      <c r="B97" t="s">
        <v>472</v>
      </c>
      <c r="F97" t="s">
        <v>61</v>
      </c>
      <c r="G97" t="s">
        <v>1214</v>
      </c>
    </row>
    <row r="98" spans="1:7" x14ac:dyDescent="0.25">
      <c r="A98" t="s">
        <v>819</v>
      </c>
      <c r="B98" t="s">
        <v>815</v>
      </c>
      <c r="F98" t="s">
        <v>61</v>
      </c>
      <c r="G98" t="s">
        <v>1137</v>
      </c>
    </row>
    <row r="99" spans="1:7" x14ac:dyDescent="0.25">
      <c r="A99" t="s">
        <v>778</v>
      </c>
      <c r="B99" t="s">
        <v>774</v>
      </c>
      <c r="F99" t="s">
        <v>774</v>
      </c>
      <c r="G99" t="s">
        <v>778</v>
      </c>
    </row>
    <row r="100" spans="1:7" x14ac:dyDescent="0.25">
      <c r="A100" t="s">
        <v>782</v>
      </c>
      <c r="B100" t="s">
        <v>778</v>
      </c>
      <c r="F100" t="s">
        <v>774</v>
      </c>
      <c r="G100" t="s">
        <v>785</v>
      </c>
    </row>
    <row r="101" spans="1:7" x14ac:dyDescent="0.25">
      <c r="A101" t="s">
        <v>785</v>
      </c>
      <c r="B101" t="s">
        <v>774</v>
      </c>
      <c r="F101" t="s">
        <v>778</v>
      </c>
      <c r="G101" t="s">
        <v>782</v>
      </c>
    </row>
    <row r="102" spans="1:7" x14ac:dyDescent="0.25">
      <c r="A102" t="s">
        <v>793</v>
      </c>
      <c r="B102" t="s">
        <v>789</v>
      </c>
      <c r="F102" t="s">
        <v>789</v>
      </c>
      <c r="G102" t="s">
        <v>793</v>
      </c>
    </row>
    <row r="103" spans="1:7" x14ac:dyDescent="0.25">
      <c r="A103" t="s">
        <v>799</v>
      </c>
      <c r="B103" t="s">
        <v>795</v>
      </c>
      <c r="F103" t="s">
        <v>795</v>
      </c>
      <c r="G103" t="s">
        <v>799</v>
      </c>
    </row>
    <row r="104" spans="1:7" x14ac:dyDescent="0.25">
      <c r="A104" t="s">
        <v>803</v>
      </c>
      <c r="B104" t="s">
        <v>799</v>
      </c>
      <c r="F104" t="s">
        <v>799</v>
      </c>
      <c r="G104" t="s">
        <v>803</v>
      </c>
    </row>
    <row r="105" spans="1:7" x14ac:dyDescent="0.25">
      <c r="A105" t="s">
        <v>1309</v>
      </c>
      <c r="B105" t="s">
        <v>1306</v>
      </c>
      <c r="F105" t="s">
        <v>1306</v>
      </c>
      <c r="G105" t="s">
        <v>1309</v>
      </c>
    </row>
    <row r="106" spans="1:7" x14ac:dyDescent="0.25">
      <c r="A106" t="s">
        <v>1403</v>
      </c>
      <c r="B106" t="s">
        <v>1397</v>
      </c>
      <c r="F106" t="s">
        <v>881</v>
      </c>
      <c r="G106" t="s">
        <v>885</v>
      </c>
    </row>
    <row r="107" spans="1:7" x14ac:dyDescent="0.25">
      <c r="A107" t="s">
        <v>881</v>
      </c>
      <c r="B107" t="s">
        <v>140</v>
      </c>
      <c r="F107" t="s">
        <v>881</v>
      </c>
      <c r="G107" t="s">
        <v>988</v>
      </c>
    </row>
    <row r="108" spans="1:7" x14ac:dyDescent="0.25">
      <c r="A108" t="s">
        <v>881</v>
      </c>
      <c r="B108" t="s">
        <v>153</v>
      </c>
      <c r="F108" t="s">
        <v>890</v>
      </c>
      <c r="G108" t="s">
        <v>894</v>
      </c>
    </row>
    <row r="109" spans="1:7" x14ac:dyDescent="0.25">
      <c r="A109" t="s">
        <v>885</v>
      </c>
      <c r="B109" t="s">
        <v>881</v>
      </c>
      <c r="F109" t="s">
        <v>890</v>
      </c>
      <c r="G109" t="s">
        <v>898</v>
      </c>
    </row>
    <row r="110" spans="1:7" x14ac:dyDescent="0.25">
      <c r="A110" t="s">
        <v>1019</v>
      </c>
      <c r="B110" t="s">
        <v>1012</v>
      </c>
      <c r="F110" t="s">
        <v>890</v>
      </c>
      <c r="G110" t="s">
        <v>901</v>
      </c>
    </row>
    <row r="111" spans="1:7" x14ac:dyDescent="0.25">
      <c r="A111" t="s">
        <v>894</v>
      </c>
      <c r="B111" t="s">
        <v>890</v>
      </c>
      <c r="F111" t="s">
        <v>890</v>
      </c>
      <c r="G111" t="s">
        <v>904</v>
      </c>
    </row>
    <row r="112" spans="1:7" x14ac:dyDescent="0.25">
      <c r="A112" t="s">
        <v>898</v>
      </c>
      <c r="B112" t="s">
        <v>890</v>
      </c>
      <c r="F112" t="s">
        <v>1012</v>
      </c>
      <c r="G112" t="s">
        <v>1015</v>
      </c>
    </row>
    <row r="113" spans="1:7" x14ac:dyDescent="0.25">
      <c r="A113" t="s">
        <v>901</v>
      </c>
      <c r="B113" t="s">
        <v>890</v>
      </c>
      <c r="F113" t="s">
        <v>1012</v>
      </c>
      <c r="G113" t="s">
        <v>1019</v>
      </c>
    </row>
    <row r="114" spans="1:7" x14ac:dyDescent="0.25">
      <c r="A114" t="s">
        <v>904</v>
      </c>
      <c r="B114" t="s">
        <v>890</v>
      </c>
      <c r="F114" t="s">
        <v>1012</v>
      </c>
      <c r="G114" t="s">
        <v>1022</v>
      </c>
    </row>
    <row r="115" spans="1:7" x14ac:dyDescent="0.25">
      <c r="A115" t="s">
        <v>1301</v>
      </c>
      <c r="B115" t="s">
        <v>101</v>
      </c>
      <c r="F115" t="s">
        <v>171</v>
      </c>
      <c r="G115" t="s">
        <v>175</v>
      </c>
    </row>
    <row r="116" spans="1:7" x14ac:dyDescent="0.25">
      <c r="A116" t="s">
        <v>1155</v>
      </c>
      <c r="B116" t="s">
        <v>1151</v>
      </c>
      <c r="F116" t="s">
        <v>171</v>
      </c>
      <c r="G116" t="s">
        <v>180</v>
      </c>
    </row>
    <row r="117" spans="1:7" x14ac:dyDescent="0.25">
      <c r="A117" t="s">
        <v>1157</v>
      </c>
      <c r="B117" t="s">
        <v>1151</v>
      </c>
      <c r="F117" t="s">
        <v>1151</v>
      </c>
      <c r="G117" t="s">
        <v>1155</v>
      </c>
    </row>
    <row r="118" spans="1:7" x14ac:dyDescent="0.25">
      <c r="A118" t="s">
        <v>1160</v>
      </c>
      <c r="B118" t="s">
        <v>1151</v>
      </c>
      <c r="F118" t="s">
        <v>1151</v>
      </c>
      <c r="G118" t="s">
        <v>1157</v>
      </c>
    </row>
    <row r="119" spans="1:7" x14ac:dyDescent="0.25">
      <c r="A119" t="s">
        <v>175</v>
      </c>
      <c r="B119" t="s">
        <v>171</v>
      </c>
      <c r="F119" t="s">
        <v>1151</v>
      </c>
      <c r="G119" t="s">
        <v>1160</v>
      </c>
    </row>
    <row r="120" spans="1:7" x14ac:dyDescent="0.25">
      <c r="A120" t="s">
        <v>1166</v>
      </c>
      <c r="B120" t="s">
        <v>1163</v>
      </c>
      <c r="F120" t="s">
        <v>1163</v>
      </c>
      <c r="G120" t="s">
        <v>1166</v>
      </c>
    </row>
    <row r="121" spans="1:7" x14ac:dyDescent="0.25">
      <c r="A121" t="s">
        <v>1732</v>
      </c>
      <c r="B121" t="s">
        <v>1731</v>
      </c>
      <c r="F121" t="s">
        <v>1172</v>
      </c>
      <c r="G121" t="s">
        <v>1176</v>
      </c>
    </row>
    <row r="122" spans="1:7" x14ac:dyDescent="0.25">
      <c r="A122" t="s">
        <v>1737</v>
      </c>
      <c r="B122" t="s">
        <v>1734</v>
      </c>
      <c r="F122" t="s">
        <v>1731</v>
      </c>
      <c r="G122" t="s">
        <v>1732</v>
      </c>
    </row>
    <row r="123" spans="1:7" x14ac:dyDescent="0.25">
      <c r="A123" t="s">
        <v>1738</v>
      </c>
      <c r="B123" t="s">
        <v>1734</v>
      </c>
      <c r="F123" t="s">
        <v>1731</v>
      </c>
      <c r="G123" t="s">
        <v>1733</v>
      </c>
    </row>
    <row r="124" spans="1:7" x14ac:dyDescent="0.25">
      <c r="A124" t="s">
        <v>1741</v>
      </c>
      <c r="B124" t="s">
        <v>1734</v>
      </c>
      <c r="F124" t="s">
        <v>1734</v>
      </c>
      <c r="G124" t="s">
        <v>1737</v>
      </c>
    </row>
    <row r="125" spans="1:7" x14ac:dyDescent="0.25">
      <c r="A125" t="s">
        <v>1733</v>
      </c>
      <c r="B125" t="s">
        <v>1731</v>
      </c>
      <c r="F125" t="s">
        <v>1734</v>
      </c>
      <c r="G125" t="s">
        <v>1738</v>
      </c>
    </row>
    <row r="126" spans="1:7" x14ac:dyDescent="0.25">
      <c r="A126" t="s">
        <v>833</v>
      </c>
      <c r="B126" t="s">
        <v>829</v>
      </c>
      <c r="F126" t="s">
        <v>1734</v>
      </c>
      <c r="G126" t="s">
        <v>1741</v>
      </c>
    </row>
    <row r="127" spans="1:7" x14ac:dyDescent="0.25">
      <c r="A127" t="s">
        <v>838</v>
      </c>
      <c r="B127" t="s">
        <v>835</v>
      </c>
      <c r="F127" t="s">
        <v>1734</v>
      </c>
      <c r="G127" t="s">
        <v>1192</v>
      </c>
    </row>
    <row r="128" spans="1:7" x14ac:dyDescent="0.25">
      <c r="A128" t="s">
        <v>848</v>
      </c>
      <c r="B128" t="s">
        <v>844</v>
      </c>
      <c r="F128" t="s">
        <v>829</v>
      </c>
      <c r="G128" t="s">
        <v>833</v>
      </c>
    </row>
    <row r="129" spans="1:7" x14ac:dyDescent="0.25">
      <c r="A129" t="s">
        <v>180</v>
      </c>
      <c r="B129" t="s">
        <v>171</v>
      </c>
      <c r="F129" t="s">
        <v>844</v>
      </c>
      <c r="G129" t="s">
        <v>848</v>
      </c>
    </row>
    <row r="130" spans="1:7" x14ac:dyDescent="0.25">
      <c r="A130" t="s">
        <v>1076</v>
      </c>
      <c r="B130" t="s">
        <v>1051</v>
      </c>
      <c r="F130" t="s">
        <v>354</v>
      </c>
      <c r="G130" t="s">
        <v>358</v>
      </c>
    </row>
    <row r="131" spans="1:7" x14ac:dyDescent="0.25">
      <c r="A131" t="s">
        <v>1079</v>
      </c>
      <c r="B131" t="s">
        <v>1076</v>
      </c>
      <c r="F131" t="s">
        <v>354</v>
      </c>
      <c r="G131" t="s">
        <v>360</v>
      </c>
    </row>
    <row r="132" spans="1:7" x14ac:dyDescent="0.25">
      <c r="A132" t="s">
        <v>1082</v>
      </c>
      <c r="B132" t="s">
        <v>1051</v>
      </c>
      <c r="F132" t="s">
        <v>1076</v>
      </c>
      <c r="G132" t="s">
        <v>1079</v>
      </c>
    </row>
    <row r="133" spans="1:7" x14ac:dyDescent="0.25">
      <c r="A133" t="s">
        <v>1085</v>
      </c>
      <c r="B133" t="s">
        <v>1082</v>
      </c>
      <c r="F133" t="s">
        <v>1082</v>
      </c>
      <c r="G133" t="s">
        <v>1085</v>
      </c>
    </row>
    <row r="134" spans="1:7" x14ac:dyDescent="0.25">
      <c r="A134" t="s">
        <v>1293</v>
      </c>
      <c r="B134" t="s">
        <v>1289</v>
      </c>
      <c r="F134" t="s">
        <v>1289</v>
      </c>
      <c r="G134" t="s">
        <v>1293</v>
      </c>
    </row>
    <row r="135" spans="1:7" x14ac:dyDescent="0.25">
      <c r="A135" t="s">
        <v>65</v>
      </c>
      <c r="B135" t="s">
        <v>61</v>
      </c>
      <c r="F135" t="s">
        <v>76</v>
      </c>
      <c r="G135" t="s">
        <v>80</v>
      </c>
    </row>
    <row r="136" spans="1:7" x14ac:dyDescent="0.25">
      <c r="A136" t="s">
        <v>80</v>
      </c>
      <c r="B136" t="s">
        <v>76</v>
      </c>
      <c r="F136" t="s">
        <v>80</v>
      </c>
      <c r="G136" t="s">
        <v>83</v>
      </c>
    </row>
    <row r="137" spans="1:7" x14ac:dyDescent="0.25">
      <c r="A137" t="s">
        <v>96</v>
      </c>
      <c r="B137" t="s">
        <v>92</v>
      </c>
      <c r="F137" t="s">
        <v>92</v>
      </c>
      <c r="G137" t="s">
        <v>96</v>
      </c>
    </row>
    <row r="138" spans="1:7" x14ac:dyDescent="0.25">
      <c r="A138" t="s">
        <v>99</v>
      </c>
      <c r="B138" t="s">
        <v>96</v>
      </c>
      <c r="F138" t="s">
        <v>96</v>
      </c>
      <c r="G138" t="s">
        <v>99</v>
      </c>
    </row>
    <row r="139" spans="1:7" x14ac:dyDescent="0.25">
      <c r="A139" t="s">
        <v>868</v>
      </c>
      <c r="B139" t="s">
        <v>864</v>
      </c>
      <c r="F139" t="s">
        <v>864</v>
      </c>
      <c r="G139" t="s">
        <v>868</v>
      </c>
    </row>
    <row r="140" spans="1:7" x14ac:dyDescent="0.25">
      <c r="A140" t="s">
        <v>870</v>
      </c>
      <c r="B140" t="s">
        <v>864</v>
      </c>
      <c r="F140" t="s">
        <v>864</v>
      </c>
      <c r="G140" t="s">
        <v>870</v>
      </c>
    </row>
    <row r="141" spans="1:7" x14ac:dyDescent="0.25">
      <c r="A141" t="s">
        <v>872</v>
      </c>
      <c r="B141" t="s">
        <v>864</v>
      </c>
      <c r="F141" t="s">
        <v>864</v>
      </c>
      <c r="G141" t="s">
        <v>872</v>
      </c>
    </row>
    <row r="142" spans="1:7" x14ac:dyDescent="0.25">
      <c r="A142" t="s">
        <v>874</v>
      </c>
      <c r="B142" t="s">
        <v>864</v>
      </c>
      <c r="F142" t="s">
        <v>864</v>
      </c>
      <c r="G142" t="s">
        <v>874</v>
      </c>
    </row>
    <row r="143" spans="1:7" x14ac:dyDescent="0.25">
      <c r="A143" t="s">
        <v>876</v>
      </c>
      <c r="B143" t="s">
        <v>864</v>
      </c>
      <c r="F143" t="s">
        <v>864</v>
      </c>
      <c r="G143" t="s">
        <v>876</v>
      </c>
    </row>
    <row r="144" spans="1:7" x14ac:dyDescent="0.25">
      <c r="A144" t="s">
        <v>879</v>
      </c>
      <c r="B144" t="s">
        <v>864</v>
      </c>
      <c r="F144" t="s">
        <v>864</v>
      </c>
      <c r="G144" t="s">
        <v>879</v>
      </c>
    </row>
    <row r="145" spans="1:7" x14ac:dyDescent="0.25">
      <c r="A145" t="s">
        <v>83</v>
      </c>
      <c r="B145" t="s">
        <v>80</v>
      </c>
      <c r="F145" t="s">
        <v>862</v>
      </c>
      <c r="G145" t="s">
        <v>863</v>
      </c>
    </row>
    <row r="146" spans="1:7" x14ac:dyDescent="0.25">
      <c r="A146" t="s">
        <v>863</v>
      </c>
      <c r="B146" t="s">
        <v>862</v>
      </c>
      <c r="F146" t="s">
        <v>909</v>
      </c>
      <c r="G146" t="s">
        <v>913</v>
      </c>
    </row>
    <row r="147" spans="1:7" x14ac:dyDescent="0.25">
      <c r="A147" t="s">
        <v>909</v>
      </c>
      <c r="B147" t="s">
        <v>61</v>
      </c>
      <c r="F147" t="s">
        <v>918</v>
      </c>
      <c r="G147" t="s">
        <v>922</v>
      </c>
    </row>
    <row r="148" spans="1:7" x14ac:dyDescent="0.25">
      <c r="A148" t="s">
        <v>913</v>
      </c>
      <c r="B148" t="s">
        <v>909</v>
      </c>
      <c r="F148" t="s">
        <v>932</v>
      </c>
      <c r="G148" t="s">
        <v>936</v>
      </c>
    </row>
    <row r="149" spans="1:7" x14ac:dyDescent="0.25">
      <c r="A149" t="s">
        <v>922</v>
      </c>
      <c r="B149" t="s">
        <v>918</v>
      </c>
      <c r="F149" t="s">
        <v>942</v>
      </c>
      <c r="G149" t="s">
        <v>946</v>
      </c>
    </row>
    <row r="150" spans="1:7" x14ac:dyDescent="0.25">
      <c r="A150" t="s">
        <v>936</v>
      </c>
      <c r="B150" t="s">
        <v>932</v>
      </c>
      <c r="F150" t="s">
        <v>942</v>
      </c>
      <c r="G150" t="s">
        <v>985</v>
      </c>
    </row>
    <row r="151" spans="1:7" x14ac:dyDescent="0.25">
      <c r="A151" t="s">
        <v>946</v>
      </c>
      <c r="B151" t="s">
        <v>942</v>
      </c>
      <c r="F151" t="s">
        <v>942</v>
      </c>
      <c r="G151" t="s">
        <v>949</v>
      </c>
    </row>
    <row r="152" spans="1:7" x14ac:dyDescent="0.25">
      <c r="A152" t="s">
        <v>985</v>
      </c>
      <c r="B152" t="s">
        <v>942</v>
      </c>
      <c r="F152" t="s">
        <v>942</v>
      </c>
      <c r="G152" t="s">
        <v>952</v>
      </c>
    </row>
    <row r="153" spans="1:7" x14ac:dyDescent="0.25">
      <c r="A153" t="s">
        <v>988</v>
      </c>
      <c r="B153" t="s">
        <v>881</v>
      </c>
      <c r="F153" t="s">
        <v>942</v>
      </c>
      <c r="G153" t="s">
        <v>954</v>
      </c>
    </row>
    <row r="154" spans="1:7" x14ac:dyDescent="0.25">
      <c r="A154" t="s">
        <v>991</v>
      </c>
      <c r="B154" t="s">
        <v>985</v>
      </c>
      <c r="F154" t="s">
        <v>942</v>
      </c>
      <c r="G154" t="s">
        <v>956</v>
      </c>
    </row>
    <row r="155" spans="1:7" x14ac:dyDescent="0.25">
      <c r="A155" t="s">
        <v>994</v>
      </c>
      <c r="B155" t="s">
        <v>985</v>
      </c>
      <c r="F155" t="s">
        <v>942</v>
      </c>
      <c r="G155" t="s">
        <v>959</v>
      </c>
    </row>
    <row r="156" spans="1:7" x14ac:dyDescent="0.25">
      <c r="A156" t="s">
        <v>997</v>
      </c>
      <c r="B156" t="s">
        <v>994</v>
      </c>
      <c r="F156" t="s">
        <v>942</v>
      </c>
      <c r="G156" t="s">
        <v>964</v>
      </c>
    </row>
    <row r="157" spans="1:7" x14ac:dyDescent="0.25">
      <c r="A157" t="s">
        <v>1004</v>
      </c>
      <c r="B157" t="s">
        <v>1000</v>
      </c>
      <c r="F157" t="s">
        <v>942</v>
      </c>
      <c r="G157" t="s">
        <v>967</v>
      </c>
    </row>
    <row r="158" spans="1:7" x14ac:dyDescent="0.25">
      <c r="A158" t="s">
        <v>1008</v>
      </c>
      <c r="B158" t="s">
        <v>1004</v>
      </c>
      <c r="F158" t="s">
        <v>942</v>
      </c>
      <c r="G158" t="s">
        <v>969</v>
      </c>
    </row>
    <row r="159" spans="1:7" x14ac:dyDescent="0.25">
      <c r="A159" t="s">
        <v>2019</v>
      </c>
      <c r="B159" t="s">
        <v>1000</v>
      </c>
      <c r="F159" t="s">
        <v>942</v>
      </c>
      <c r="G159" t="s">
        <v>971</v>
      </c>
    </row>
    <row r="160" spans="1:7" x14ac:dyDescent="0.25">
      <c r="A160" t="s">
        <v>2021</v>
      </c>
      <c r="B160" t="s">
        <v>1000</v>
      </c>
      <c r="F160" t="s">
        <v>942</v>
      </c>
      <c r="G160" t="s">
        <v>977</v>
      </c>
    </row>
    <row r="161" spans="1:7" x14ac:dyDescent="0.25">
      <c r="A161" t="s">
        <v>2023</v>
      </c>
      <c r="B161" t="s">
        <v>1000</v>
      </c>
      <c r="F161" t="s">
        <v>942</v>
      </c>
      <c r="G161" t="s">
        <v>980</v>
      </c>
    </row>
    <row r="162" spans="1:7" x14ac:dyDescent="0.25">
      <c r="A162" t="s">
        <v>1022</v>
      </c>
      <c r="B162" t="s">
        <v>1012</v>
      </c>
      <c r="F162" t="s">
        <v>985</v>
      </c>
      <c r="G162" t="s">
        <v>991</v>
      </c>
    </row>
    <row r="163" spans="1:7" x14ac:dyDescent="0.25">
      <c r="A163" t="s">
        <v>1032</v>
      </c>
      <c r="B163" t="s">
        <v>1028</v>
      </c>
      <c r="F163" t="s">
        <v>985</v>
      </c>
      <c r="G163" t="s">
        <v>994</v>
      </c>
    </row>
    <row r="164" spans="1:7" x14ac:dyDescent="0.25">
      <c r="A164" t="s">
        <v>1036</v>
      </c>
      <c r="B164" t="s">
        <v>1032</v>
      </c>
      <c r="F164" t="s">
        <v>994</v>
      </c>
      <c r="G164" t="s">
        <v>997</v>
      </c>
    </row>
    <row r="165" spans="1:7" x14ac:dyDescent="0.25">
      <c r="A165" t="s">
        <v>1038</v>
      </c>
      <c r="B165" t="s">
        <v>1028</v>
      </c>
      <c r="F165" t="s">
        <v>1000</v>
      </c>
      <c r="G165" t="s">
        <v>1004</v>
      </c>
    </row>
    <row r="166" spans="1:7" x14ac:dyDescent="0.25">
      <c r="A166" t="s">
        <v>1042</v>
      </c>
      <c r="B166" t="s">
        <v>1028</v>
      </c>
      <c r="F166" t="s">
        <v>1000</v>
      </c>
      <c r="G166" t="s">
        <v>2019</v>
      </c>
    </row>
    <row r="167" spans="1:7" x14ac:dyDescent="0.25">
      <c r="A167" t="s">
        <v>1046</v>
      </c>
      <c r="B167" t="s">
        <v>1042</v>
      </c>
      <c r="F167" t="s">
        <v>1000</v>
      </c>
      <c r="G167" t="s">
        <v>2021</v>
      </c>
    </row>
    <row r="168" spans="1:7" x14ac:dyDescent="0.25">
      <c r="A168" t="s">
        <v>1114</v>
      </c>
      <c r="B168" t="s">
        <v>1108</v>
      </c>
      <c r="F168" t="s">
        <v>1000</v>
      </c>
      <c r="G168" t="s">
        <v>2023</v>
      </c>
    </row>
    <row r="169" spans="1:7" x14ac:dyDescent="0.25">
      <c r="A169" t="s">
        <v>1120</v>
      </c>
      <c r="B169" t="s">
        <v>1116</v>
      </c>
      <c r="F169" t="s">
        <v>1004</v>
      </c>
      <c r="G169" t="s">
        <v>1008</v>
      </c>
    </row>
    <row r="170" spans="1:7" x14ac:dyDescent="0.25">
      <c r="A170" t="s">
        <v>1123</v>
      </c>
      <c r="B170" t="s">
        <v>1120</v>
      </c>
      <c r="F170" t="s">
        <v>1028</v>
      </c>
      <c r="G170" t="s">
        <v>1032</v>
      </c>
    </row>
    <row r="171" spans="1:7" x14ac:dyDescent="0.25">
      <c r="A171" t="s">
        <v>1423</v>
      </c>
      <c r="B171" t="s">
        <v>1419</v>
      </c>
      <c r="F171" t="s">
        <v>1028</v>
      </c>
      <c r="G171" t="s">
        <v>1038</v>
      </c>
    </row>
    <row r="172" spans="1:7" x14ac:dyDescent="0.25">
      <c r="A172" t="s">
        <v>1429</v>
      </c>
      <c r="B172" t="s">
        <v>1425</v>
      </c>
      <c r="F172" t="s">
        <v>1028</v>
      </c>
      <c r="G172" t="s">
        <v>1042</v>
      </c>
    </row>
    <row r="173" spans="1:7" x14ac:dyDescent="0.25">
      <c r="A173" t="s">
        <v>1431</v>
      </c>
      <c r="B173" t="s">
        <v>1425</v>
      </c>
      <c r="F173" t="s">
        <v>1032</v>
      </c>
      <c r="G173" t="s">
        <v>1036</v>
      </c>
    </row>
    <row r="174" spans="1:7" x14ac:dyDescent="0.25">
      <c r="A174" t="s">
        <v>1437</v>
      </c>
      <c r="B174" t="s">
        <v>1433</v>
      </c>
      <c r="F174" t="s">
        <v>1042</v>
      </c>
      <c r="G174" t="s">
        <v>1046</v>
      </c>
    </row>
    <row r="175" spans="1:7" x14ac:dyDescent="0.25">
      <c r="A175" t="s">
        <v>1446</v>
      </c>
      <c r="B175" t="s">
        <v>2033</v>
      </c>
      <c r="F175" t="s">
        <v>1357</v>
      </c>
      <c r="G175" t="s">
        <v>1361</v>
      </c>
    </row>
    <row r="176" spans="1:7" x14ac:dyDescent="0.25">
      <c r="A176" t="s">
        <v>1439</v>
      </c>
      <c r="B176" t="s">
        <v>1433</v>
      </c>
      <c r="F176" t="s">
        <v>1108</v>
      </c>
      <c r="G176" t="s">
        <v>1114</v>
      </c>
    </row>
    <row r="177" spans="1:7" x14ac:dyDescent="0.25">
      <c r="A177" t="s">
        <v>1449</v>
      </c>
      <c r="B177" t="s">
        <v>1446</v>
      </c>
      <c r="F177" t="s">
        <v>1116</v>
      </c>
      <c r="G177" t="s">
        <v>1120</v>
      </c>
    </row>
    <row r="178" spans="1:7" x14ac:dyDescent="0.25">
      <c r="A178" t="s">
        <v>1209</v>
      </c>
      <c r="B178" t="s">
        <v>1205</v>
      </c>
      <c r="F178" t="s">
        <v>1120</v>
      </c>
      <c r="G178" t="s">
        <v>1123</v>
      </c>
    </row>
    <row r="179" spans="1:7" x14ac:dyDescent="0.25">
      <c r="A179" t="s">
        <v>1211</v>
      </c>
      <c r="B179" t="s">
        <v>1205</v>
      </c>
      <c r="F179" t="s">
        <v>1419</v>
      </c>
      <c r="G179" t="s">
        <v>1423</v>
      </c>
    </row>
    <row r="180" spans="1:7" x14ac:dyDescent="0.25">
      <c r="A180" t="s">
        <v>1214</v>
      </c>
      <c r="B180" t="s">
        <v>61</v>
      </c>
      <c r="F180" t="s">
        <v>1425</v>
      </c>
      <c r="G180" t="s">
        <v>1429</v>
      </c>
    </row>
    <row r="181" spans="1:7" x14ac:dyDescent="0.25">
      <c r="A181" t="s">
        <v>1361</v>
      </c>
      <c r="B181" t="s">
        <v>1357</v>
      </c>
      <c r="F181" t="s">
        <v>1425</v>
      </c>
      <c r="G181" t="s">
        <v>1431</v>
      </c>
    </row>
    <row r="182" spans="1:7" x14ac:dyDescent="0.25">
      <c r="A182" t="s">
        <v>1131</v>
      </c>
      <c r="B182" t="s">
        <v>1127</v>
      </c>
      <c r="F182" t="s">
        <v>1433</v>
      </c>
      <c r="G182" t="s">
        <v>1437</v>
      </c>
    </row>
    <row r="183" spans="1:7" x14ac:dyDescent="0.25">
      <c r="A183" t="s">
        <v>1134</v>
      </c>
      <c r="B183" t="s">
        <v>1127</v>
      </c>
      <c r="F183" t="s">
        <v>1433</v>
      </c>
      <c r="G183" t="s">
        <v>1439</v>
      </c>
    </row>
    <row r="184" spans="1:7" x14ac:dyDescent="0.25">
      <c r="A184" t="s">
        <v>1137</v>
      </c>
      <c r="B184" t="s">
        <v>61</v>
      </c>
      <c r="F184" t="s">
        <v>2033</v>
      </c>
      <c r="G184" t="s">
        <v>1446</v>
      </c>
    </row>
    <row r="185" spans="1:7" x14ac:dyDescent="0.25">
      <c r="A185" t="s">
        <v>1141</v>
      </c>
      <c r="B185" t="s">
        <v>1137</v>
      </c>
      <c r="F185" t="s">
        <v>1446</v>
      </c>
      <c r="G185" t="s">
        <v>1449</v>
      </c>
    </row>
    <row r="186" spans="1:7" x14ac:dyDescent="0.25">
      <c r="A186" t="s">
        <v>1147</v>
      </c>
      <c r="B186" t="s">
        <v>1143</v>
      </c>
      <c r="F186" t="s">
        <v>1205</v>
      </c>
      <c r="G186" t="s">
        <v>1209</v>
      </c>
    </row>
    <row r="187" spans="1:7" x14ac:dyDescent="0.25">
      <c r="A187" t="s">
        <v>1239</v>
      </c>
      <c r="B187" t="s">
        <v>1235</v>
      </c>
      <c r="F187" t="s">
        <v>1205</v>
      </c>
      <c r="G187" t="s">
        <v>1211</v>
      </c>
    </row>
    <row r="188" spans="1:7" x14ac:dyDescent="0.25">
      <c r="A188" t="s">
        <v>1261</v>
      </c>
      <c r="B188" t="s">
        <v>1257</v>
      </c>
      <c r="F188" t="s">
        <v>1127</v>
      </c>
      <c r="G188" t="s">
        <v>1131</v>
      </c>
    </row>
    <row r="189" spans="1:7" x14ac:dyDescent="0.25">
      <c r="A189" t="s">
        <v>1269</v>
      </c>
      <c r="B189" t="s">
        <v>1265</v>
      </c>
      <c r="F189" t="s">
        <v>1127</v>
      </c>
      <c r="G189" t="s">
        <v>1134</v>
      </c>
    </row>
    <row r="190" spans="1:7" x14ac:dyDescent="0.25">
      <c r="A190" t="s">
        <v>1277</v>
      </c>
      <c r="B190" t="s">
        <v>1274</v>
      </c>
      <c r="F190" t="s">
        <v>1137</v>
      </c>
      <c r="G190" t="s">
        <v>1141</v>
      </c>
    </row>
    <row r="191" spans="1:7" x14ac:dyDescent="0.25">
      <c r="A191" t="s">
        <v>1393</v>
      </c>
      <c r="B191" t="s">
        <v>1389</v>
      </c>
      <c r="F191" t="s">
        <v>1143</v>
      </c>
      <c r="G191" t="s">
        <v>1147</v>
      </c>
    </row>
    <row r="192" spans="1:7" x14ac:dyDescent="0.25">
      <c r="A192" t="s">
        <v>1321</v>
      </c>
      <c r="B192" t="s">
        <v>1317</v>
      </c>
      <c r="F192" t="s">
        <v>1235</v>
      </c>
      <c r="G192" t="s">
        <v>1239</v>
      </c>
    </row>
    <row r="193" spans="1:7" x14ac:dyDescent="0.25">
      <c r="A193" t="s">
        <v>581</v>
      </c>
      <c r="B193" t="s">
        <v>577</v>
      </c>
      <c r="F193" t="s">
        <v>1257</v>
      </c>
      <c r="G193" t="s">
        <v>1261</v>
      </c>
    </row>
    <row r="194" spans="1:7" x14ac:dyDescent="0.25">
      <c r="A194" t="s">
        <v>581</v>
      </c>
      <c r="B194" t="s">
        <v>472</v>
      </c>
      <c r="F194" t="s">
        <v>1265</v>
      </c>
      <c r="G194" t="s">
        <v>1269</v>
      </c>
    </row>
    <row r="195" spans="1:7" x14ac:dyDescent="0.25">
      <c r="A195" t="s">
        <v>585</v>
      </c>
      <c r="B195" t="s">
        <v>581</v>
      </c>
      <c r="F195" t="s">
        <v>1274</v>
      </c>
      <c r="G195" t="s">
        <v>1277</v>
      </c>
    </row>
    <row r="196" spans="1:7" x14ac:dyDescent="0.25">
      <c r="A196" t="s">
        <v>587</v>
      </c>
      <c r="B196" t="s">
        <v>581</v>
      </c>
      <c r="F196" t="s">
        <v>1317</v>
      </c>
      <c r="G196" t="s">
        <v>1321</v>
      </c>
    </row>
    <row r="197" spans="1:7" x14ac:dyDescent="0.25">
      <c r="A197" t="s">
        <v>591</v>
      </c>
      <c r="B197" t="s">
        <v>581</v>
      </c>
      <c r="F197" t="s">
        <v>1389</v>
      </c>
      <c r="G197" t="s">
        <v>1393</v>
      </c>
    </row>
    <row r="198" spans="1:7" x14ac:dyDescent="0.25">
      <c r="A198" t="s">
        <v>594</v>
      </c>
      <c r="B198" t="s">
        <v>577</v>
      </c>
      <c r="F198" t="s">
        <v>1411</v>
      </c>
      <c r="G198" t="s">
        <v>1415</v>
      </c>
    </row>
    <row r="199" spans="1:7" x14ac:dyDescent="0.25">
      <c r="A199" t="s">
        <v>596</v>
      </c>
      <c r="B199" t="s">
        <v>577</v>
      </c>
      <c r="F199" t="s">
        <v>581</v>
      </c>
      <c r="G199" t="s">
        <v>585</v>
      </c>
    </row>
    <row r="200" spans="1:7" x14ac:dyDescent="0.25">
      <c r="A200" t="s">
        <v>598</v>
      </c>
      <c r="B200" t="s">
        <v>577</v>
      </c>
      <c r="F200" t="s">
        <v>581</v>
      </c>
      <c r="G200" t="s">
        <v>587</v>
      </c>
    </row>
    <row r="201" spans="1:7" x14ac:dyDescent="0.25">
      <c r="A201" t="s">
        <v>601</v>
      </c>
      <c r="B201" t="s">
        <v>577</v>
      </c>
      <c r="F201" t="s">
        <v>581</v>
      </c>
      <c r="G201" t="s">
        <v>591</v>
      </c>
    </row>
    <row r="202" spans="1:7" x14ac:dyDescent="0.25">
      <c r="A202" t="s">
        <v>606</v>
      </c>
      <c r="B202" t="s">
        <v>577</v>
      </c>
      <c r="F202" t="s">
        <v>1323</v>
      </c>
      <c r="G202" t="s">
        <v>1327</v>
      </c>
    </row>
    <row r="203" spans="1:7" x14ac:dyDescent="0.25">
      <c r="A203" t="s">
        <v>1415</v>
      </c>
      <c r="B203" t="s">
        <v>1411</v>
      </c>
      <c r="F203" t="s">
        <v>606</v>
      </c>
      <c r="G203" t="s">
        <v>609</v>
      </c>
    </row>
    <row r="204" spans="1:7" x14ac:dyDescent="0.25">
      <c r="A204" t="s">
        <v>1327</v>
      </c>
      <c r="B204" t="s">
        <v>1323</v>
      </c>
      <c r="F204" t="s">
        <v>18</v>
      </c>
      <c r="G204" t="s">
        <v>1103</v>
      </c>
    </row>
    <row r="205" spans="1:7" x14ac:dyDescent="0.25">
      <c r="A205" t="s">
        <v>358</v>
      </c>
      <c r="B205" t="s">
        <v>354</v>
      </c>
      <c r="F205" t="s">
        <v>18</v>
      </c>
      <c r="G205" t="s">
        <v>532</v>
      </c>
    </row>
    <row r="206" spans="1:7" x14ac:dyDescent="0.25">
      <c r="A206" t="s">
        <v>360</v>
      </c>
      <c r="B206" t="s">
        <v>354</v>
      </c>
      <c r="F206" t="s">
        <v>18</v>
      </c>
      <c r="G206" t="s">
        <v>537</v>
      </c>
    </row>
    <row r="207" spans="1:7" x14ac:dyDescent="0.25">
      <c r="A207" t="s">
        <v>754</v>
      </c>
      <c r="B207" t="s">
        <v>750</v>
      </c>
      <c r="F207" t="s">
        <v>69</v>
      </c>
      <c r="G207" t="s">
        <v>73</v>
      </c>
    </row>
    <row r="208" spans="1:7" x14ac:dyDescent="0.25">
      <c r="A208" t="s">
        <v>73</v>
      </c>
      <c r="B208" t="s">
        <v>69</v>
      </c>
      <c r="F208" t="s">
        <v>571</v>
      </c>
      <c r="G208" t="s">
        <v>577</v>
      </c>
    </row>
    <row r="209" spans="1:7" x14ac:dyDescent="0.25">
      <c r="A209" t="s">
        <v>609</v>
      </c>
      <c r="B209" t="s">
        <v>606</v>
      </c>
      <c r="F209" t="s">
        <v>571</v>
      </c>
      <c r="G209" t="s">
        <v>575</v>
      </c>
    </row>
    <row r="210" spans="1:7" x14ac:dyDescent="0.25">
      <c r="A210" t="s">
        <v>571</v>
      </c>
      <c r="B210" t="s">
        <v>472</v>
      </c>
      <c r="F210" t="s">
        <v>571</v>
      </c>
      <c r="G210" t="s">
        <v>604</v>
      </c>
    </row>
    <row r="211" spans="1:7" x14ac:dyDescent="0.25">
      <c r="A211" t="s">
        <v>809</v>
      </c>
      <c r="B211" t="s">
        <v>805</v>
      </c>
      <c r="F211" t="s">
        <v>1330</v>
      </c>
      <c r="G211" t="s">
        <v>1334</v>
      </c>
    </row>
    <row r="212" spans="1:7" x14ac:dyDescent="0.25">
      <c r="A212" t="s">
        <v>949</v>
      </c>
      <c r="B212" t="s">
        <v>942</v>
      </c>
      <c r="F212" t="s">
        <v>1330</v>
      </c>
      <c r="G212" t="s">
        <v>1348</v>
      </c>
    </row>
    <row r="213" spans="1:7" x14ac:dyDescent="0.25">
      <c r="A213" t="s">
        <v>1334</v>
      </c>
      <c r="B213" t="s">
        <v>1330</v>
      </c>
      <c r="F213" t="s">
        <v>1330</v>
      </c>
      <c r="G213" t="s">
        <v>1351</v>
      </c>
    </row>
    <row r="214" spans="1:7" x14ac:dyDescent="0.25">
      <c r="A214" t="s">
        <v>1338</v>
      </c>
      <c r="B214" t="s">
        <v>1334</v>
      </c>
      <c r="F214" t="s">
        <v>1330</v>
      </c>
      <c r="G214" t="s">
        <v>1354</v>
      </c>
    </row>
    <row r="215" spans="1:7" x14ac:dyDescent="0.25">
      <c r="A215" t="s">
        <v>1345</v>
      </c>
      <c r="B215" t="s">
        <v>1341</v>
      </c>
      <c r="F215" t="s">
        <v>805</v>
      </c>
      <c r="G215" t="s">
        <v>809</v>
      </c>
    </row>
    <row r="216" spans="1:7" x14ac:dyDescent="0.25">
      <c r="A216" t="s">
        <v>1348</v>
      </c>
      <c r="B216" t="s">
        <v>1330</v>
      </c>
      <c r="F216" t="s">
        <v>1334</v>
      </c>
      <c r="G216" t="s">
        <v>1338</v>
      </c>
    </row>
    <row r="217" spans="1:7" x14ac:dyDescent="0.25">
      <c r="A217" t="s">
        <v>1351</v>
      </c>
      <c r="B217" t="s">
        <v>1330</v>
      </c>
      <c r="F217" t="s">
        <v>1341</v>
      </c>
      <c r="G217" t="s">
        <v>1345</v>
      </c>
    </row>
    <row r="218" spans="1:7" x14ac:dyDescent="0.25">
      <c r="A218" t="s">
        <v>1354</v>
      </c>
      <c r="B218" t="s">
        <v>1330</v>
      </c>
      <c r="F218" t="s">
        <v>472</v>
      </c>
      <c r="G218" t="s">
        <v>478</v>
      </c>
    </row>
    <row r="219" spans="1:7" x14ac:dyDescent="0.25">
      <c r="A219" t="s">
        <v>482</v>
      </c>
      <c r="B219" t="s">
        <v>478</v>
      </c>
      <c r="F219" t="s">
        <v>472</v>
      </c>
      <c r="G219" t="s">
        <v>492</v>
      </c>
    </row>
    <row r="220" spans="1:7" x14ac:dyDescent="0.25">
      <c r="A220" t="s">
        <v>554</v>
      </c>
      <c r="B220" t="s">
        <v>551</v>
      </c>
      <c r="F220" t="s">
        <v>472</v>
      </c>
      <c r="G220" t="s">
        <v>497</v>
      </c>
    </row>
    <row r="221" spans="1:7" x14ac:dyDescent="0.25">
      <c r="A221" t="s">
        <v>661</v>
      </c>
      <c r="B221" t="s">
        <v>651</v>
      </c>
      <c r="F221" t="s">
        <v>472</v>
      </c>
      <c r="G221" t="s">
        <v>499</v>
      </c>
    </row>
    <row r="222" spans="1:7" x14ac:dyDescent="0.25">
      <c r="A222" t="s">
        <v>685</v>
      </c>
      <c r="B222" t="s">
        <v>680</v>
      </c>
      <c r="F222" t="s">
        <v>472</v>
      </c>
      <c r="G222" t="s">
        <v>503</v>
      </c>
    </row>
    <row r="223" spans="1:7" x14ac:dyDescent="0.25">
      <c r="A223" t="s">
        <v>689</v>
      </c>
      <c r="B223" t="s">
        <v>680</v>
      </c>
      <c r="F223" t="s">
        <v>472</v>
      </c>
      <c r="G223" t="s">
        <v>524</v>
      </c>
    </row>
    <row r="224" spans="1:7" x14ac:dyDescent="0.25">
      <c r="A224" t="s">
        <v>1171</v>
      </c>
      <c r="B224" t="s">
        <v>1168</v>
      </c>
      <c r="F224" t="s">
        <v>472</v>
      </c>
      <c r="G224" t="s">
        <v>537</v>
      </c>
    </row>
    <row r="225" spans="1:7" x14ac:dyDescent="0.25">
      <c r="A225" t="s">
        <v>1192</v>
      </c>
      <c r="B225" t="s">
        <v>1734</v>
      </c>
      <c r="F225" t="s">
        <v>472</v>
      </c>
      <c r="G225" t="s">
        <v>542</v>
      </c>
    </row>
    <row r="226" spans="1:7" x14ac:dyDescent="0.25">
      <c r="A226" t="s">
        <v>1176</v>
      </c>
      <c r="B226" t="s">
        <v>1172</v>
      </c>
      <c r="F226" t="s">
        <v>472</v>
      </c>
      <c r="G226" t="s">
        <v>547</v>
      </c>
    </row>
    <row r="227" spans="1:7" x14ac:dyDescent="0.25">
      <c r="A227" t="s">
        <v>147</v>
      </c>
      <c r="B227" t="s">
        <v>144</v>
      </c>
      <c r="F227" t="s">
        <v>472</v>
      </c>
      <c r="G227" t="s">
        <v>558</v>
      </c>
    </row>
    <row r="228" spans="1:7" x14ac:dyDescent="0.25">
      <c r="A228" t="s">
        <v>147</v>
      </c>
      <c r="B228" t="s">
        <v>140</v>
      </c>
      <c r="F228" t="s">
        <v>472</v>
      </c>
      <c r="G228" t="s">
        <v>510</v>
      </c>
    </row>
    <row r="229" spans="1:7" x14ac:dyDescent="0.25">
      <c r="A229" t="s">
        <v>144</v>
      </c>
      <c r="B229" t="s">
        <v>140</v>
      </c>
      <c r="F229" t="s">
        <v>472</v>
      </c>
      <c r="G229" t="s">
        <v>520</v>
      </c>
    </row>
    <row r="230" spans="1:7" x14ac:dyDescent="0.25">
      <c r="A230" t="s">
        <v>952</v>
      </c>
      <c r="B230" t="s">
        <v>942</v>
      </c>
      <c r="F230" t="s">
        <v>472</v>
      </c>
      <c r="G230" t="s">
        <v>516</v>
      </c>
    </row>
    <row r="231" spans="1:7" x14ac:dyDescent="0.25">
      <c r="A231" t="s">
        <v>954</v>
      </c>
      <c r="B231" t="s">
        <v>942</v>
      </c>
      <c r="F231" t="s">
        <v>472</v>
      </c>
      <c r="G231" t="s">
        <v>581</v>
      </c>
    </row>
    <row r="232" spans="1:7" x14ac:dyDescent="0.25">
      <c r="A232" t="s">
        <v>956</v>
      </c>
      <c r="B232" t="s">
        <v>942</v>
      </c>
      <c r="F232" t="s">
        <v>472</v>
      </c>
      <c r="G232" t="s">
        <v>571</v>
      </c>
    </row>
    <row r="233" spans="1:7" x14ac:dyDescent="0.25">
      <c r="A233" t="s">
        <v>959</v>
      </c>
      <c r="B233" t="s">
        <v>942</v>
      </c>
      <c r="F233" t="s">
        <v>472</v>
      </c>
      <c r="G233" t="s">
        <v>569</v>
      </c>
    </row>
    <row r="234" spans="1:7" x14ac:dyDescent="0.25">
      <c r="A234" t="s">
        <v>962</v>
      </c>
      <c r="B234" t="s">
        <v>959</v>
      </c>
      <c r="F234" t="s">
        <v>472</v>
      </c>
      <c r="G234" t="s">
        <v>476</v>
      </c>
    </row>
    <row r="235" spans="1:7" x14ac:dyDescent="0.25">
      <c r="A235" t="s">
        <v>964</v>
      </c>
      <c r="B235" t="s">
        <v>942</v>
      </c>
      <c r="F235" t="s">
        <v>472</v>
      </c>
      <c r="G235" t="s">
        <v>508</v>
      </c>
    </row>
    <row r="236" spans="1:7" x14ac:dyDescent="0.25">
      <c r="A236" t="s">
        <v>411</v>
      </c>
      <c r="B236" t="s">
        <v>404</v>
      </c>
      <c r="F236" t="s">
        <v>472</v>
      </c>
      <c r="G236" t="s">
        <v>556</v>
      </c>
    </row>
    <row r="237" spans="1:7" x14ac:dyDescent="0.25">
      <c r="A237" t="s">
        <v>430</v>
      </c>
      <c r="B237" t="s">
        <v>425</v>
      </c>
      <c r="F237" t="s">
        <v>472</v>
      </c>
      <c r="G237" t="s">
        <v>575</v>
      </c>
    </row>
    <row r="238" spans="1:7" x14ac:dyDescent="0.25">
      <c r="A238" t="s">
        <v>967</v>
      </c>
      <c r="B238" t="s">
        <v>942</v>
      </c>
      <c r="F238" t="s">
        <v>472</v>
      </c>
      <c r="G238" t="s">
        <v>604</v>
      </c>
    </row>
    <row r="239" spans="1:7" x14ac:dyDescent="0.25">
      <c r="A239" t="s">
        <v>969</v>
      </c>
      <c r="B239" t="s">
        <v>942</v>
      </c>
      <c r="F239" t="s">
        <v>482</v>
      </c>
      <c r="G239" t="s">
        <v>486</v>
      </c>
    </row>
    <row r="240" spans="1:7" x14ac:dyDescent="0.25">
      <c r="A240" t="s">
        <v>971</v>
      </c>
      <c r="B240" t="s">
        <v>942</v>
      </c>
      <c r="F240" t="s">
        <v>482</v>
      </c>
      <c r="G240" t="s">
        <v>488</v>
      </c>
    </row>
    <row r="241" spans="1:7" x14ac:dyDescent="0.25">
      <c r="A241" t="s">
        <v>974</v>
      </c>
      <c r="B241" t="s">
        <v>971</v>
      </c>
      <c r="F241" t="s">
        <v>835</v>
      </c>
      <c r="G241" t="s">
        <v>838</v>
      </c>
    </row>
    <row r="242" spans="1:7" x14ac:dyDescent="0.25">
      <c r="A242" t="s">
        <v>977</v>
      </c>
      <c r="B242" t="s">
        <v>942</v>
      </c>
      <c r="F242" t="s">
        <v>1168</v>
      </c>
      <c r="G242" t="s">
        <v>1171</v>
      </c>
    </row>
    <row r="243" spans="1:7" x14ac:dyDescent="0.25">
      <c r="A243" t="s">
        <v>980</v>
      </c>
      <c r="B243" t="s">
        <v>942</v>
      </c>
      <c r="F243" t="s">
        <v>144</v>
      </c>
      <c r="G243" t="s">
        <v>147</v>
      </c>
    </row>
    <row r="244" spans="1:7" x14ac:dyDescent="0.25">
      <c r="A244" t="s">
        <v>983</v>
      </c>
      <c r="B244" t="s">
        <v>980</v>
      </c>
      <c r="F244" t="s">
        <v>959</v>
      </c>
      <c r="G244" t="s">
        <v>962</v>
      </c>
    </row>
    <row r="245" spans="1:7" x14ac:dyDescent="0.25">
      <c r="A245" t="s">
        <v>611</v>
      </c>
      <c r="B245" t="s">
        <v>577</v>
      </c>
      <c r="F245" t="s">
        <v>101</v>
      </c>
      <c r="G245" t="s">
        <v>1301</v>
      </c>
    </row>
    <row r="246" spans="1:7" x14ac:dyDescent="0.25">
      <c r="A246" t="s">
        <v>615</v>
      </c>
      <c r="B246" t="s">
        <v>611</v>
      </c>
      <c r="F246" t="s">
        <v>971</v>
      </c>
      <c r="G246" t="s">
        <v>974</v>
      </c>
    </row>
    <row r="247" spans="1:7" x14ac:dyDescent="0.25">
      <c r="A247" t="s">
        <v>153</v>
      </c>
      <c r="B247" t="s">
        <v>149</v>
      </c>
      <c r="F247" t="s">
        <v>980</v>
      </c>
      <c r="G247" t="s">
        <v>983</v>
      </c>
    </row>
    <row r="248" spans="1:7" x14ac:dyDescent="0.25">
      <c r="A248" t="s">
        <v>155</v>
      </c>
      <c r="B248" t="s">
        <v>153</v>
      </c>
      <c r="F248" t="s">
        <v>140</v>
      </c>
      <c r="G248" t="s">
        <v>881</v>
      </c>
    </row>
    <row r="249" spans="1:7" x14ac:dyDescent="0.25">
      <c r="A249" t="s">
        <v>157</v>
      </c>
      <c r="B249" t="s">
        <v>153</v>
      </c>
      <c r="F249" t="s">
        <v>140</v>
      </c>
      <c r="G249" t="s">
        <v>147</v>
      </c>
    </row>
    <row r="250" spans="1:7" x14ac:dyDescent="0.25">
      <c r="A250" t="s">
        <v>157</v>
      </c>
      <c r="B250" t="s">
        <v>155</v>
      </c>
      <c r="F250" t="s">
        <v>140</v>
      </c>
      <c r="G250" t="s">
        <v>144</v>
      </c>
    </row>
    <row r="251" spans="1:7" x14ac:dyDescent="0.25">
      <c r="A251" t="s">
        <v>1385</v>
      </c>
      <c r="B251" t="s">
        <v>1381</v>
      </c>
      <c r="F251" t="s">
        <v>611</v>
      </c>
      <c r="G251" t="s">
        <v>615</v>
      </c>
    </row>
    <row r="252" spans="1:7" x14ac:dyDescent="0.25">
      <c r="A252" t="s">
        <v>202</v>
      </c>
      <c r="B252" t="s">
        <v>198</v>
      </c>
      <c r="F252" t="s">
        <v>149</v>
      </c>
      <c r="G252" t="s">
        <v>153</v>
      </c>
    </row>
    <row r="253" spans="1:7" x14ac:dyDescent="0.25">
      <c r="A253" t="s">
        <v>213</v>
      </c>
      <c r="B253" t="s">
        <v>209</v>
      </c>
      <c r="F253" t="s">
        <v>153</v>
      </c>
      <c r="G253" t="s">
        <v>881</v>
      </c>
    </row>
    <row r="254" spans="1:7" x14ac:dyDescent="0.25">
      <c r="A254" t="s">
        <v>216</v>
      </c>
      <c r="B254" t="s">
        <v>213</v>
      </c>
      <c r="F254" t="s">
        <v>153</v>
      </c>
      <c r="G254" t="s">
        <v>155</v>
      </c>
    </row>
    <row r="255" spans="1:7" x14ac:dyDescent="0.25">
      <c r="A255" t="s">
        <v>218</v>
      </c>
      <c r="B255" t="s">
        <v>213</v>
      </c>
      <c r="F255" t="s">
        <v>153</v>
      </c>
      <c r="G255" t="s">
        <v>157</v>
      </c>
    </row>
    <row r="256" spans="1:7" x14ac:dyDescent="0.25">
      <c r="A256" t="s">
        <v>224</v>
      </c>
      <c r="B256" t="s">
        <v>209</v>
      </c>
      <c r="F256" t="s">
        <v>155</v>
      </c>
      <c r="G256" t="s">
        <v>157</v>
      </c>
    </row>
    <row r="257" spans="1:7" x14ac:dyDescent="0.25">
      <c r="A257" t="s">
        <v>227</v>
      </c>
      <c r="B257" t="s">
        <v>224</v>
      </c>
      <c r="F257" t="s">
        <v>1381</v>
      </c>
      <c r="G257" t="s">
        <v>1385</v>
      </c>
    </row>
    <row r="258" spans="1:7" x14ac:dyDescent="0.25">
      <c r="A258" t="s">
        <v>220</v>
      </c>
      <c r="B258" t="s">
        <v>209</v>
      </c>
      <c r="F258" t="s">
        <v>198</v>
      </c>
      <c r="G258" t="s">
        <v>202</v>
      </c>
    </row>
    <row r="259" spans="1:7" x14ac:dyDescent="0.25">
      <c r="A259" t="s">
        <v>222</v>
      </c>
      <c r="B259" t="s">
        <v>205</v>
      </c>
      <c r="F259" t="s">
        <v>50</v>
      </c>
      <c r="G259" t="s">
        <v>56</v>
      </c>
    </row>
    <row r="260" spans="1:7" x14ac:dyDescent="0.25">
      <c r="A260" t="s">
        <v>237</v>
      </c>
      <c r="B260" t="s">
        <v>231</v>
      </c>
      <c r="F260" t="s">
        <v>205</v>
      </c>
      <c r="G260" t="s">
        <v>222</v>
      </c>
    </row>
    <row r="261" spans="1:7" x14ac:dyDescent="0.25">
      <c r="A261" t="s">
        <v>243</v>
      </c>
      <c r="B261" t="s">
        <v>231</v>
      </c>
      <c r="F261" t="s">
        <v>205</v>
      </c>
      <c r="G261" t="s">
        <v>247</v>
      </c>
    </row>
    <row r="262" spans="1:7" x14ac:dyDescent="0.25">
      <c r="A262" t="s">
        <v>247</v>
      </c>
      <c r="B262" t="s">
        <v>205</v>
      </c>
      <c r="F262" t="s">
        <v>205</v>
      </c>
      <c r="G262" t="s">
        <v>253</v>
      </c>
    </row>
    <row r="263" spans="1:7" x14ac:dyDescent="0.25">
      <c r="A263" t="s">
        <v>247</v>
      </c>
      <c r="B263" t="s">
        <v>231</v>
      </c>
      <c r="F263" t="s">
        <v>205</v>
      </c>
      <c r="G263" t="s">
        <v>262</v>
      </c>
    </row>
    <row r="264" spans="1:7" x14ac:dyDescent="0.25">
      <c r="A264" t="s">
        <v>251</v>
      </c>
      <c r="B264" t="s">
        <v>231</v>
      </c>
      <c r="F264" t="s">
        <v>205</v>
      </c>
      <c r="G264" t="s">
        <v>266</v>
      </c>
    </row>
    <row r="265" spans="1:7" x14ac:dyDescent="0.25">
      <c r="A265" t="s">
        <v>253</v>
      </c>
      <c r="B265" t="s">
        <v>205</v>
      </c>
      <c r="F265" t="s">
        <v>205</v>
      </c>
      <c r="G265" t="s">
        <v>267</v>
      </c>
    </row>
    <row r="266" spans="1:7" x14ac:dyDescent="0.25">
      <c r="A266" t="s">
        <v>253</v>
      </c>
      <c r="B266" t="s">
        <v>231</v>
      </c>
      <c r="F266" t="s">
        <v>209</v>
      </c>
      <c r="G266" t="s">
        <v>213</v>
      </c>
    </row>
    <row r="267" spans="1:7" x14ac:dyDescent="0.25">
      <c r="A267" t="s">
        <v>239</v>
      </c>
      <c r="B267" t="s">
        <v>231</v>
      </c>
      <c r="F267" t="s">
        <v>209</v>
      </c>
      <c r="G267" t="s">
        <v>224</v>
      </c>
    </row>
    <row r="268" spans="1:7" x14ac:dyDescent="0.25">
      <c r="A268" t="s">
        <v>259</v>
      </c>
      <c r="B268" t="s">
        <v>231</v>
      </c>
      <c r="F268" t="s">
        <v>209</v>
      </c>
      <c r="G268" t="s">
        <v>220</v>
      </c>
    </row>
    <row r="269" spans="1:7" x14ac:dyDescent="0.25">
      <c r="A269" t="s">
        <v>262</v>
      </c>
      <c r="B269" t="s">
        <v>205</v>
      </c>
      <c r="F269" t="s">
        <v>213</v>
      </c>
      <c r="G269" t="s">
        <v>216</v>
      </c>
    </row>
    <row r="270" spans="1:7" x14ac:dyDescent="0.25">
      <c r="A270" t="s">
        <v>262</v>
      </c>
      <c r="B270" t="s">
        <v>231</v>
      </c>
      <c r="F270" t="s">
        <v>213</v>
      </c>
      <c r="G270" t="s">
        <v>218</v>
      </c>
    </row>
    <row r="271" spans="1:7" x14ac:dyDescent="0.25">
      <c r="A271" t="s">
        <v>266</v>
      </c>
      <c r="B271" t="s">
        <v>205</v>
      </c>
      <c r="F271" t="s">
        <v>224</v>
      </c>
      <c r="G271" t="s">
        <v>227</v>
      </c>
    </row>
    <row r="272" spans="1:7" x14ac:dyDescent="0.25">
      <c r="A272" t="s">
        <v>266</v>
      </c>
      <c r="B272" t="s">
        <v>231</v>
      </c>
      <c r="F272" t="s">
        <v>231</v>
      </c>
      <c r="G272" t="s">
        <v>237</v>
      </c>
    </row>
    <row r="273" spans="1:7" x14ac:dyDescent="0.25">
      <c r="A273" t="s">
        <v>266</v>
      </c>
      <c r="B273" t="s">
        <v>262</v>
      </c>
      <c r="F273" t="s">
        <v>231</v>
      </c>
      <c r="G273" t="s">
        <v>243</v>
      </c>
    </row>
    <row r="274" spans="1:7" x14ac:dyDescent="0.25">
      <c r="A274" t="s">
        <v>267</v>
      </c>
      <c r="B274" t="s">
        <v>205</v>
      </c>
      <c r="F274" t="s">
        <v>231</v>
      </c>
      <c r="G274" t="s">
        <v>247</v>
      </c>
    </row>
    <row r="275" spans="1:7" x14ac:dyDescent="0.25">
      <c r="A275" t="s">
        <v>267</v>
      </c>
      <c r="B275" t="s">
        <v>231</v>
      </c>
      <c r="F275" t="s">
        <v>231</v>
      </c>
      <c r="G275" t="s">
        <v>251</v>
      </c>
    </row>
    <row r="276" spans="1:7" x14ac:dyDescent="0.25">
      <c r="A276" t="s">
        <v>267</v>
      </c>
      <c r="B276" t="s">
        <v>262</v>
      </c>
      <c r="F276" t="s">
        <v>231</v>
      </c>
      <c r="G276" t="s">
        <v>253</v>
      </c>
    </row>
    <row r="277" spans="1:7" x14ac:dyDescent="0.25">
      <c r="A277" t="s">
        <v>270</v>
      </c>
      <c r="B277" t="s">
        <v>231</v>
      </c>
      <c r="F277" t="s">
        <v>231</v>
      </c>
      <c r="G277" t="s">
        <v>239</v>
      </c>
    </row>
    <row r="278" spans="1:7" x14ac:dyDescent="0.25">
      <c r="A278" t="s">
        <v>272</v>
      </c>
      <c r="B278" t="s">
        <v>231</v>
      </c>
      <c r="F278" t="s">
        <v>231</v>
      </c>
      <c r="G278" t="s">
        <v>259</v>
      </c>
    </row>
    <row r="279" spans="1:7" x14ac:dyDescent="0.25">
      <c r="A279" t="s">
        <v>276</v>
      </c>
      <c r="B279" t="s">
        <v>231</v>
      </c>
      <c r="F279" t="s">
        <v>231</v>
      </c>
      <c r="G279" t="s">
        <v>262</v>
      </c>
    </row>
    <row r="280" spans="1:7" x14ac:dyDescent="0.25">
      <c r="A280" t="s">
        <v>280</v>
      </c>
      <c r="B280" t="s">
        <v>276</v>
      </c>
      <c r="F280" t="s">
        <v>231</v>
      </c>
      <c r="G280" t="s">
        <v>266</v>
      </c>
    </row>
    <row r="281" spans="1:7" x14ac:dyDescent="0.25">
      <c r="A281" t="s">
        <v>56</v>
      </c>
      <c r="B281" t="s">
        <v>50</v>
      </c>
      <c r="F281" t="s">
        <v>231</v>
      </c>
      <c r="G281" t="s">
        <v>267</v>
      </c>
    </row>
    <row r="282" spans="1:7" x14ac:dyDescent="0.25">
      <c r="A282" t="s">
        <v>288</v>
      </c>
      <c r="B282" t="s">
        <v>284</v>
      </c>
      <c r="F282" t="s">
        <v>231</v>
      </c>
      <c r="G282" t="s">
        <v>270</v>
      </c>
    </row>
    <row r="283" spans="1:7" x14ac:dyDescent="0.25">
      <c r="A283" t="s">
        <v>296</v>
      </c>
      <c r="B283" t="s">
        <v>292</v>
      </c>
      <c r="F283" t="s">
        <v>231</v>
      </c>
      <c r="G283" t="s">
        <v>272</v>
      </c>
    </row>
    <row r="284" spans="1:7" x14ac:dyDescent="0.25">
      <c r="A284" t="s">
        <v>306</v>
      </c>
      <c r="B284" t="s">
        <v>298</v>
      </c>
      <c r="F284" t="s">
        <v>231</v>
      </c>
      <c r="G284" t="s">
        <v>276</v>
      </c>
    </row>
    <row r="285" spans="1:7" x14ac:dyDescent="0.25">
      <c r="A285" t="s">
        <v>310</v>
      </c>
      <c r="B285" t="s">
        <v>298</v>
      </c>
      <c r="F285" t="s">
        <v>231</v>
      </c>
      <c r="G285" t="s">
        <v>235</v>
      </c>
    </row>
    <row r="286" spans="1:7" x14ac:dyDescent="0.25">
      <c r="A286" t="s">
        <v>314</v>
      </c>
      <c r="B286" t="s">
        <v>298</v>
      </c>
      <c r="F286" t="s">
        <v>231</v>
      </c>
      <c r="G286" t="s">
        <v>257</v>
      </c>
    </row>
    <row r="287" spans="1:7" x14ac:dyDescent="0.25">
      <c r="A287" t="s">
        <v>317</v>
      </c>
      <c r="B287" t="s">
        <v>314</v>
      </c>
      <c r="F287" t="s">
        <v>262</v>
      </c>
      <c r="G287" t="s">
        <v>266</v>
      </c>
    </row>
    <row r="288" spans="1:7" x14ac:dyDescent="0.25">
      <c r="A288" t="s">
        <v>302</v>
      </c>
      <c r="B288" t="s">
        <v>298</v>
      </c>
      <c r="F288" t="s">
        <v>262</v>
      </c>
      <c r="G288" t="s">
        <v>267</v>
      </c>
    </row>
    <row r="289" spans="1:7" x14ac:dyDescent="0.25">
      <c r="A289" t="s">
        <v>323</v>
      </c>
      <c r="B289" t="s">
        <v>319</v>
      </c>
      <c r="F289" t="s">
        <v>276</v>
      </c>
      <c r="G289" t="s">
        <v>280</v>
      </c>
    </row>
    <row r="290" spans="1:7" x14ac:dyDescent="0.25">
      <c r="A290" t="s">
        <v>325</v>
      </c>
      <c r="B290" t="s">
        <v>319</v>
      </c>
      <c r="F290" t="s">
        <v>284</v>
      </c>
      <c r="G290" t="s">
        <v>288</v>
      </c>
    </row>
    <row r="291" spans="1:7" x14ac:dyDescent="0.25">
      <c r="A291" t="s">
        <v>327</v>
      </c>
      <c r="B291" t="s">
        <v>325</v>
      </c>
      <c r="F291" t="s">
        <v>292</v>
      </c>
      <c r="G291" t="s">
        <v>296</v>
      </c>
    </row>
    <row r="292" spans="1:7" x14ac:dyDescent="0.25">
      <c r="A292" t="s">
        <v>109</v>
      </c>
      <c r="B292" t="s">
        <v>105</v>
      </c>
      <c r="F292" t="s">
        <v>298</v>
      </c>
      <c r="G292" t="s">
        <v>306</v>
      </c>
    </row>
    <row r="293" spans="1:7" x14ac:dyDescent="0.25">
      <c r="A293" t="s">
        <v>121</v>
      </c>
      <c r="B293" t="s">
        <v>118</v>
      </c>
      <c r="F293" t="s">
        <v>298</v>
      </c>
      <c r="G293" t="s">
        <v>310</v>
      </c>
    </row>
    <row r="294" spans="1:7" x14ac:dyDescent="0.25">
      <c r="A294" t="s">
        <v>124</v>
      </c>
      <c r="B294" t="s">
        <v>118</v>
      </c>
      <c r="F294" t="s">
        <v>298</v>
      </c>
      <c r="G294" t="s">
        <v>314</v>
      </c>
    </row>
    <row r="295" spans="1:7" x14ac:dyDescent="0.25">
      <c r="A295" t="s">
        <v>130</v>
      </c>
      <c r="B295" t="s">
        <v>126</v>
      </c>
      <c r="F295" t="s">
        <v>298</v>
      </c>
      <c r="G295" t="s">
        <v>302</v>
      </c>
    </row>
    <row r="296" spans="1:7" x14ac:dyDescent="0.25">
      <c r="A296" t="s">
        <v>133</v>
      </c>
      <c r="B296" t="s">
        <v>126</v>
      </c>
      <c r="F296" t="s">
        <v>314</v>
      </c>
      <c r="G296" t="s">
        <v>317</v>
      </c>
    </row>
    <row r="297" spans="1:7" x14ac:dyDescent="0.25">
      <c r="A297" t="s">
        <v>626</v>
      </c>
      <c r="B297" t="s">
        <v>622</v>
      </c>
      <c r="F297" t="s">
        <v>319</v>
      </c>
      <c r="G297" t="s">
        <v>323</v>
      </c>
    </row>
    <row r="298" spans="1:7" x14ac:dyDescent="0.25">
      <c r="A298" t="s">
        <v>569</v>
      </c>
      <c r="B298" t="s">
        <v>472</v>
      </c>
      <c r="F298" t="s">
        <v>319</v>
      </c>
      <c r="G298" t="s">
        <v>325</v>
      </c>
    </row>
    <row r="299" spans="1:7" x14ac:dyDescent="0.25">
      <c r="A299" t="s">
        <v>476</v>
      </c>
      <c r="B299" t="s">
        <v>472</v>
      </c>
      <c r="F299" t="s">
        <v>325</v>
      </c>
      <c r="G299" t="s">
        <v>327</v>
      </c>
    </row>
    <row r="300" spans="1:7" x14ac:dyDescent="0.25">
      <c r="A300" t="s">
        <v>508</v>
      </c>
      <c r="B300" t="s">
        <v>472</v>
      </c>
      <c r="F300" t="s">
        <v>105</v>
      </c>
      <c r="G300" t="s">
        <v>109</v>
      </c>
    </row>
    <row r="301" spans="1:7" x14ac:dyDescent="0.25">
      <c r="A301" t="s">
        <v>556</v>
      </c>
      <c r="B301" t="s">
        <v>472</v>
      </c>
      <c r="F301" t="s">
        <v>118</v>
      </c>
      <c r="G301" t="s">
        <v>121</v>
      </c>
    </row>
    <row r="302" spans="1:7" x14ac:dyDescent="0.25">
      <c r="A302" t="s">
        <v>575</v>
      </c>
      <c r="B302" t="s">
        <v>571</v>
      </c>
      <c r="F302" t="s">
        <v>118</v>
      </c>
      <c r="G302" t="s">
        <v>124</v>
      </c>
    </row>
    <row r="303" spans="1:7" x14ac:dyDescent="0.25">
      <c r="A303" t="s">
        <v>575</v>
      </c>
      <c r="B303" t="s">
        <v>472</v>
      </c>
      <c r="F303" t="s">
        <v>126</v>
      </c>
      <c r="G303" t="s">
        <v>130</v>
      </c>
    </row>
    <row r="304" spans="1:7" x14ac:dyDescent="0.25">
      <c r="A304" t="s">
        <v>604</v>
      </c>
      <c r="B304" t="s">
        <v>571</v>
      </c>
      <c r="F304" t="s">
        <v>126</v>
      </c>
      <c r="G304" t="s">
        <v>133</v>
      </c>
    </row>
    <row r="305" spans="1:7" x14ac:dyDescent="0.25">
      <c r="A305" t="s">
        <v>604</v>
      </c>
      <c r="B305" t="s">
        <v>472</v>
      </c>
      <c r="F305" t="s">
        <v>133</v>
      </c>
      <c r="G305" t="s">
        <v>136</v>
      </c>
    </row>
    <row r="306" spans="1:7" x14ac:dyDescent="0.25">
      <c r="A306" t="s">
        <v>235</v>
      </c>
      <c r="B306" t="s">
        <v>231</v>
      </c>
      <c r="F306" t="s">
        <v>622</v>
      </c>
      <c r="G306" t="s">
        <v>626</v>
      </c>
    </row>
    <row r="307" spans="1:7" x14ac:dyDescent="0.25">
      <c r="A307" t="s">
        <v>257</v>
      </c>
      <c r="B307" t="s">
        <v>231</v>
      </c>
      <c r="F307" t="s">
        <v>628</v>
      </c>
      <c r="G307" t="s">
        <v>632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EF44-EC79-4DBF-BCD3-BF52BD67F15A}">
  <sheetPr codeName="Feuil7"/>
  <dimension ref="B1:R305"/>
  <sheetViews>
    <sheetView workbookViewId="0">
      <selection activeCell="B2" sqref="B2"/>
    </sheetView>
  </sheetViews>
  <sheetFormatPr baseColWidth="10" defaultRowHeight="15" x14ac:dyDescent="0.25"/>
  <cols>
    <col min="2" max="2" width="19.5703125" customWidth="1"/>
    <col min="3" max="3" width="16.7109375" customWidth="1"/>
    <col min="5" max="5" width="25.140625" customWidth="1"/>
    <col min="6" max="6" width="22.28515625" customWidth="1"/>
    <col min="8" max="8" width="21.42578125" customWidth="1"/>
    <col min="9" max="9" width="18.5703125" customWidth="1"/>
    <col min="11" max="11" width="17.85546875" customWidth="1"/>
    <col min="12" max="12" width="18.42578125" customWidth="1"/>
    <col min="14" max="14" width="17.85546875" customWidth="1"/>
    <col min="15" max="15" width="15.5703125" customWidth="1"/>
    <col min="17" max="17" width="21.140625" customWidth="1"/>
    <col min="18" max="18" width="20.5703125" customWidth="1"/>
  </cols>
  <sheetData>
    <row r="1" spans="2:18" x14ac:dyDescent="0.25">
      <c r="B1" t="s">
        <v>2045</v>
      </c>
      <c r="C1" t="s">
        <v>2046</v>
      </c>
      <c r="E1" t="s">
        <v>2046</v>
      </c>
      <c r="F1" t="s">
        <v>2045</v>
      </c>
      <c r="H1" s="304" t="s">
        <v>2046</v>
      </c>
      <c r="I1" t="s">
        <v>2047</v>
      </c>
      <c r="K1" t="s">
        <v>2045</v>
      </c>
      <c r="L1" t="s">
        <v>2048</v>
      </c>
      <c r="N1" s="307" t="s">
        <v>2045</v>
      </c>
      <c r="O1" s="307" t="s">
        <v>2049</v>
      </c>
      <c r="Q1" s="307" t="s">
        <v>2046</v>
      </c>
      <c r="R1" s="307" t="s">
        <v>2050</v>
      </c>
    </row>
    <row r="2" spans="2:18" x14ac:dyDescent="0.25">
      <c r="B2" t="s">
        <v>632</v>
      </c>
      <c r="C2" t="s">
        <v>628</v>
      </c>
      <c r="E2" t="s">
        <v>45</v>
      </c>
      <c r="F2" t="s">
        <v>532</v>
      </c>
      <c r="H2" s="305" t="s">
        <v>45</v>
      </c>
      <c r="I2">
        <f>COUNTIF(Tableau2[Question mère],H2)</f>
        <v>2</v>
      </c>
      <c r="K2" t="s">
        <v>632</v>
      </c>
      <c r="L2">
        <f>COUNTIF(Tableau1[Question fille],Tableau4[[#This Row],[Question fille]])</f>
        <v>1</v>
      </c>
      <c r="N2" s="305" t="s">
        <v>532</v>
      </c>
      <c r="O2" s="309">
        <f>COUNTIF(Tableau3[Question mère],Tableau5[[#This Row],[Question fille]])</f>
        <v>1</v>
      </c>
      <c r="Q2" s="305" t="s">
        <v>45</v>
      </c>
      <c r="R2" s="309">
        <f>COUNTIF(Tableau4[Question fille],Tableau58[[#This Row],[Question mère]])</f>
        <v>0</v>
      </c>
    </row>
    <row r="3" spans="2:18" x14ac:dyDescent="0.25">
      <c r="B3" t="s">
        <v>638</v>
      </c>
      <c r="C3" t="s">
        <v>634</v>
      </c>
      <c r="E3" t="s">
        <v>45</v>
      </c>
      <c r="F3" t="s">
        <v>527</v>
      </c>
      <c r="H3" s="305" t="s">
        <v>634</v>
      </c>
      <c r="I3">
        <f>COUNTIF(Tableau2[Question mère],H3)</f>
        <v>1</v>
      </c>
      <c r="K3" t="s">
        <v>638</v>
      </c>
      <c r="L3">
        <f>COUNTIF(Tableau1[Question fille],Tableau4[[#This Row],[Question fille]])</f>
        <v>1</v>
      </c>
      <c r="N3" s="306" t="s">
        <v>527</v>
      </c>
      <c r="O3" s="306">
        <f>COUNTIF(Tableau3[Question mère],Tableau5[[#This Row],[Question fille]])</f>
        <v>1</v>
      </c>
      <c r="Q3" s="306" t="s">
        <v>634</v>
      </c>
      <c r="R3" s="306">
        <f>COUNTIF(Tableau4[Question fille],Tableau58[[#This Row],[Question mère]])</f>
        <v>0</v>
      </c>
    </row>
    <row r="4" spans="2:18" x14ac:dyDescent="0.25">
      <c r="B4" t="s">
        <v>641</v>
      </c>
      <c r="C4" t="s">
        <v>638</v>
      </c>
      <c r="E4" t="s">
        <v>634</v>
      </c>
      <c r="F4" t="s">
        <v>638</v>
      </c>
      <c r="H4" s="306" t="s">
        <v>638</v>
      </c>
      <c r="I4">
        <f>COUNTIF(Tableau2[Question mère],H4)</f>
        <v>1</v>
      </c>
      <c r="K4" t="s">
        <v>641</v>
      </c>
      <c r="L4">
        <f>COUNTIF(Tableau1[Question fille],Tableau4[[#This Row],[Question fille]])</f>
        <v>1</v>
      </c>
      <c r="N4" s="305" t="s">
        <v>638</v>
      </c>
      <c r="O4" s="306">
        <f>COUNTIF(Tableau3[Question mère],Tableau5[[#This Row],[Question fille]])</f>
        <v>1</v>
      </c>
      <c r="Q4" s="305" t="s">
        <v>638</v>
      </c>
      <c r="R4" s="306">
        <f>COUNTIF(Tableau4[Question fille],Tableau58[[#This Row],[Question mère]])</f>
        <v>1</v>
      </c>
    </row>
    <row r="5" spans="2:18" x14ac:dyDescent="0.25">
      <c r="B5" t="s">
        <v>340</v>
      </c>
      <c r="C5" t="s">
        <v>334</v>
      </c>
      <c r="E5" t="s">
        <v>638</v>
      </c>
      <c r="F5" t="s">
        <v>641</v>
      </c>
      <c r="H5" s="305" t="s">
        <v>334</v>
      </c>
      <c r="I5">
        <f>COUNTIF(Tableau2[Question mère],H5)</f>
        <v>2</v>
      </c>
      <c r="K5" t="s">
        <v>340</v>
      </c>
      <c r="L5">
        <f>COUNTIF(Tableau1[Question fille],Tableau4[[#This Row],[Question fille]])</f>
        <v>1</v>
      </c>
      <c r="N5" s="306" t="s">
        <v>641</v>
      </c>
      <c r="O5" s="306">
        <f>COUNTIF(Tableau3[Question mère],Tableau5[[#This Row],[Question fille]])</f>
        <v>0</v>
      </c>
      <c r="Q5" s="306" t="s">
        <v>334</v>
      </c>
      <c r="R5" s="306">
        <f>COUNTIF(Tableau4[Question fille],Tableau58[[#This Row],[Question mère]])</f>
        <v>0</v>
      </c>
    </row>
    <row r="6" spans="2:18" x14ac:dyDescent="0.25">
      <c r="B6" t="s">
        <v>344</v>
      </c>
      <c r="C6" t="s">
        <v>340</v>
      </c>
      <c r="E6" t="s">
        <v>334</v>
      </c>
      <c r="F6" t="s">
        <v>340</v>
      </c>
      <c r="H6" s="305" t="s">
        <v>340</v>
      </c>
      <c r="I6">
        <f>COUNTIF(Tableau2[Question mère],H6)</f>
        <v>1</v>
      </c>
      <c r="K6" t="s">
        <v>344</v>
      </c>
      <c r="L6">
        <f>COUNTIF(Tableau1[Question fille],Tableau4[[#This Row],[Question fille]])</f>
        <v>1</v>
      </c>
      <c r="N6" s="305" t="s">
        <v>340</v>
      </c>
      <c r="O6" s="306">
        <f>COUNTIF(Tableau3[Question mère],Tableau5[[#This Row],[Question fille]])</f>
        <v>1</v>
      </c>
      <c r="Q6" s="305" t="s">
        <v>340</v>
      </c>
      <c r="R6" s="306">
        <f>COUNTIF(Tableau4[Question fille],Tableau58[[#This Row],[Question mère]])</f>
        <v>1</v>
      </c>
    </row>
    <row r="7" spans="2:18" x14ac:dyDescent="0.25">
      <c r="B7" t="s">
        <v>348</v>
      </c>
      <c r="C7" t="s">
        <v>334</v>
      </c>
      <c r="E7" t="s">
        <v>334</v>
      </c>
      <c r="F7" t="s">
        <v>348</v>
      </c>
      <c r="H7" s="306" t="s">
        <v>372</v>
      </c>
      <c r="I7">
        <f>COUNTIF(Tableau2[Question mère],H7)</f>
        <v>2</v>
      </c>
      <c r="K7" t="s">
        <v>348</v>
      </c>
      <c r="L7">
        <f>COUNTIF(Tableau1[Question fille],Tableau4[[#This Row],[Question fille]])</f>
        <v>1</v>
      </c>
      <c r="N7" s="306" t="s">
        <v>348</v>
      </c>
      <c r="O7" s="306">
        <f>COUNTIF(Tableau3[Question mère],Tableau5[[#This Row],[Question fille]])</f>
        <v>0</v>
      </c>
      <c r="Q7" s="306" t="s">
        <v>372</v>
      </c>
      <c r="R7" s="306">
        <f>COUNTIF(Tableau4[Question fille],Tableau58[[#This Row],[Question mère]])</f>
        <v>0</v>
      </c>
    </row>
    <row r="8" spans="2:18" x14ac:dyDescent="0.25">
      <c r="B8" t="s">
        <v>376</v>
      </c>
      <c r="C8" t="s">
        <v>372</v>
      </c>
      <c r="E8" t="s">
        <v>340</v>
      </c>
      <c r="F8" t="s">
        <v>344</v>
      </c>
      <c r="H8" s="306" t="s">
        <v>376</v>
      </c>
      <c r="I8">
        <f>COUNTIF(Tableau2[Question mère],H8)</f>
        <v>1</v>
      </c>
      <c r="K8" t="s">
        <v>376</v>
      </c>
      <c r="L8">
        <f>COUNTIF(Tableau1[Question fille],Tableau4[[#This Row],[Question fille]])</f>
        <v>1</v>
      </c>
      <c r="N8" s="305" t="s">
        <v>344</v>
      </c>
      <c r="O8" s="306">
        <f>COUNTIF(Tableau3[Question mère],Tableau5[[#This Row],[Question fille]])</f>
        <v>0</v>
      </c>
      <c r="Q8" s="305" t="s">
        <v>376</v>
      </c>
      <c r="R8" s="306">
        <f>COUNTIF(Tableau4[Question fille],Tableau58[[#This Row],[Question mère]])</f>
        <v>1</v>
      </c>
    </row>
    <row r="9" spans="2:18" x14ac:dyDescent="0.25">
      <c r="B9" t="s">
        <v>380</v>
      </c>
      <c r="C9" t="s">
        <v>372</v>
      </c>
      <c r="E9" t="s">
        <v>372</v>
      </c>
      <c r="F9" t="s">
        <v>376</v>
      </c>
      <c r="H9" s="305" t="s">
        <v>387</v>
      </c>
      <c r="I9">
        <f>COUNTIF(Tableau2[Question mère],H9)</f>
        <v>1</v>
      </c>
      <c r="K9" t="s">
        <v>380</v>
      </c>
      <c r="L9">
        <f>COUNTIF(Tableau1[Question fille],Tableau4[[#This Row],[Question fille]])</f>
        <v>1</v>
      </c>
      <c r="N9" s="306" t="s">
        <v>376</v>
      </c>
      <c r="O9" s="306">
        <f>COUNTIF(Tableau3[Question mère],Tableau5[[#This Row],[Question fille]])</f>
        <v>1</v>
      </c>
      <c r="Q9" s="306" t="s">
        <v>387</v>
      </c>
      <c r="R9" s="306">
        <f>COUNTIF(Tableau4[Question fille],Tableau58[[#This Row],[Question mère]])</f>
        <v>0</v>
      </c>
    </row>
    <row r="10" spans="2:18" x14ac:dyDescent="0.25">
      <c r="B10" t="s">
        <v>383</v>
      </c>
      <c r="C10" t="s">
        <v>376</v>
      </c>
      <c r="E10" t="s">
        <v>372</v>
      </c>
      <c r="F10" t="s">
        <v>380</v>
      </c>
      <c r="H10" s="306" t="s">
        <v>391</v>
      </c>
      <c r="I10">
        <f>COUNTIF(Tableau2[Question mère],H10)</f>
        <v>1</v>
      </c>
      <c r="K10" t="s">
        <v>383</v>
      </c>
      <c r="L10">
        <f>COUNTIF(Tableau1[Question fille],Tableau4[[#This Row],[Question fille]])</f>
        <v>1</v>
      </c>
      <c r="N10" s="305" t="s">
        <v>380</v>
      </c>
      <c r="O10" s="306">
        <f>COUNTIF(Tableau3[Question mère],Tableau5[[#This Row],[Question fille]])</f>
        <v>0</v>
      </c>
      <c r="Q10" s="305" t="s">
        <v>391</v>
      </c>
      <c r="R10" s="306">
        <f>COUNTIF(Tableau4[Question fille],Tableau58[[#This Row],[Question mère]])</f>
        <v>1</v>
      </c>
    </row>
    <row r="11" spans="2:18" x14ac:dyDescent="0.25">
      <c r="B11" t="s">
        <v>136</v>
      </c>
      <c r="C11" t="s">
        <v>133</v>
      </c>
      <c r="E11" t="s">
        <v>376</v>
      </c>
      <c r="F11" t="s">
        <v>383</v>
      </c>
      <c r="H11" s="305" t="s">
        <v>1397</v>
      </c>
      <c r="I11">
        <f>COUNTIF(Tableau2[Question mère],H11)</f>
        <v>2</v>
      </c>
      <c r="K11" t="s">
        <v>136</v>
      </c>
      <c r="L11">
        <f>COUNTIF(Tableau1[Question fille],Tableau4[[#This Row],[Question fille]])</f>
        <v>1</v>
      </c>
      <c r="N11" s="306" t="s">
        <v>383</v>
      </c>
      <c r="O11" s="306">
        <f>COUNTIF(Tableau3[Question mère],Tableau5[[#This Row],[Question fille]])</f>
        <v>0</v>
      </c>
      <c r="Q11" s="306" t="s">
        <v>1397</v>
      </c>
      <c r="R11" s="306">
        <f>COUNTIF(Tableau4[Question fille],Tableau58[[#This Row],[Question mère]])</f>
        <v>0</v>
      </c>
    </row>
    <row r="12" spans="2:18" x14ac:dyDescent="0.25">
      <c r="B12" t="s">
        <v>391</v>
      </c>
      <c r="C12" t="s">
        <v>387</v>
      </c>
      <c r="E12" t="s">
        <v>387</v>
      </c>
      <c r="F12" t="s">
        <v>391</v>
      </c>
      <c r="H12" s="305" t="s">
        <v>404</v>
      </c>
      <c r="I12">
        <f>COUNTIF(Tableau2[Question mère],H12)</f>
        <v>2</v>
      </c>
      <c r="K12" t="s">
        <v>391</v>
      </c>
      <c r="L12">
        <f>COUNTIF(Tableau1[Question fille],Tableau4[[#This Row],[Question fille]])</f>
        <v>1</v>
      </c>
      <c r="N12" s="305" t="s">
        <v>391</v>
      </c>
      <c r="O12" s="306">
        <f>COUNTIF(Tableau3[Question mère],Tableau5[[#This Row],[Question fille]])</f>
        <v>1</v>
      </c>
      <c r="Q12" s="305" t="s">
        <v>404</v>
      </c>
      <c r="R12" s="306">
        <f>COUNTIF(Tableau4[Question fille],Tableau58[[#This Row],[Question mère]])</f>
        <v>0</v>
      </c>
    </row>
    <row r="13" spans="2:18" x14ac:dyDescent="0.25">
      <c r="B13" t="s">
        <v>394</v>
      </c>
      <c r="C13" t="s">
        <v>391</v>
      </c>
      <c r="E13" t="s">
        <v>391</v>
      </c>
      <c r="F13" t="s">
        <v>394</v>
      </c>
      <c r="H13" s="305" t="s">
        <v>414</v>
      </c>
      <c r="I13">
        <f>COUNTIF(Tableau2[Question mère],H13)</f>
        <v>1</v>
      </c>
      <c r="K13" t="s">
        <v>394</v>
      </c>
      <c r="L13">
        <f>COUNTIF(Tableau1[Question fille],Tableau4[[#This Row],[Question fille]])</f>
        <v>1</v>
      </c>
      <c r="N13" s="306" t="s">
        <v>394</v>
      </c>
      <c r="O13" s="306">
        <f>COUNTIF(Tableau3[Question mère],Tableau5[[#This Row],[Question fille]])</f>
        <v>0</v>
      </c>
      <c r="Q13" s="306" t="s">
        <v>414</v>
      </c>
      <c r="R13" s="306">
        <f>COUNTIF(Tableau4[Question fille],Tableau58[[#This Row],[Question mère]])</f>
        <v>0</v>
      </c>
    </row>
    <row r="14" spans="2:18" x14ac:dyDescent="0.25">
      <c r="B14" t="s">
        <v>1401</v>
      </c>
      <c r="C14" t="s">
        <v>1397</v>
      </c>
      <c r="E14" t="s">
        <v>1397</v>
      </c>
      <c r="F14" t="s">
        <v>1401</v>
      </c>
      <c r="H14" s="306" t="s">
        <v>418</v>
      </c>
      <c r="I14">
        <f>COUNTIF(Tableau2[Question mère],H14)</f>
        <v>1</v>
      </c>
      <c r="K14" t="s">
        <v>1401</v>
      </c>
      <c r="L14">
        <f>COUNTIF(Tableau1[Question fille],Tableau4[[#This Row],[Question fille]])</f>
        <v>1</v>
      </c>
      <c r="N14" s="305" t="s">
        <v>1401</v>
      </c>
      <c r="O14" s="306">
        <f>COUNTIF(Tableau3[Question mère],Tableau5[[#This Row],[Question fille]])</f>
        <v>0</v>
      </c>
      <c r="Q14" s="305" t="s">
        <v>418</v>
      </c>
      <c r="R14" s="306">
        <f>COUNTIF(Tableau4[Question fille],Tableau58[[#This Row],[Question mère]])</f>
        <v>1</v>
      </c>
    </row>
    <row r="15" spans="2:18" x14ac:dyDescent="0.25">
      <c r="B15" t="s">
        <v>408</v>
      </c>
      <c r="C15" t="s">
        <v>404</v>
      </c>
      <c r="E15" t="s">
        <v>1397</v>
      </c>
      <c r="F15" t="s">
        <v>1403</v>
      </c>
      <c r="H15" s="305" t="s">
        <v>437</v>
      </c>
      <c r="I15">
        <f>COUNTIF(Tableau2[Question mère],H15)</f>
        <v>2</v>
      </c>
      <c r="K15" t="s">
        <v>408</v>
      </c>
      <c r="L15">
        <f>COUNTIF(Tableau1[Question fille],Tableau4[[#This Row],[Question fille]])</f>
        <v>1</v>
      </c>
      <c r="N15" s="306" t="s">
        <v>1403</v>
      </c>
      <c r="O15" s="306">
        <f>COUNTIF(Tableau3[Question mère],Tableau5[[#This Row],[Question fille]])</f>
        <v>0</v>
      </c>
      <c r="Q15" s="306" t="s">
        <v>437</v>
      </c>
      <c r="R15" s="306">
        <f>COUNTIF(Tableau4[Question fille],Tableau58[[#This Row],[Question mère]])</f>
        <v>0</v>
      </c>
    </row>
    <row r="16" spans="2:18" x14ac:dyDescent="0.25">
      <c r="B16" t="s">
        <v>418</v>
      </c>
      <c r="C16" t="s">
        <v>414</v>
      </c>
      <c r="E16" t="s">
        <v>404</v>
      </c>
      <c r="F16" t="s">
        <v>408</v>
      </c>
      <c r="H16" s="305" t="s">
        <v>441</v>
      </c>
      <c r="I16">
        <f>COUNTIF(Tableau2[Question mère],H16)</f>
        <v>1</v>
      </c>
      <c r="K16" t="s">
        <v>418</v>
      </c>
      <c r="L16">
        <f>COUNTIF(Tableau1[Question fille],Tableau4[[#This Row],[Question fille]])</f>
        <v>1</v>
      </c>
      <c r="N16" s="305" t="s">
        <v>408</v>
      </c>
      <c r="O16" s="306">
        <f>COUNTIF(Tableau3[Question mère],Tableau5[[#This Row],[Question fille]])</f>
        <v>0</v>
      </c>
      <c r="Q16" s="305" t="s">
        <v>441</v>
      </c>
      <c r="R16" s="306">
        <f>COUNTIF(Tableau4[Question fille],Tableau58[[#This Row],[Question mère]])</f>
        <v>1</v>
      </c>
    </row>
    <row r="17" spans="2:18" x14ac:dyDescent="0.25">
      <c r="B17" t="s">
        <v>421</v>
      </c>
      <c r="C17" t="s">
        <v>418</v>
      </c>
      <c r="E17" t="s">
        <v>404</v>
      </c>
      <c r="F17" t="s">
        <v>411</v>
      </c>
      <c r="H17" s="306" t="s">
        <v>448</v>
      </c>
      <c r="I17">
        <f>COUNTIF(Tableau2[Question mère],H17)</f>
        <v>2</v>
      </c>
      <c r="K17" t="s">
        <v>421</v>
      </c>
      <c r="L17">
        <f>COUNTIF(Tableau1[Question fille],Tableau4[[#This Row],[Question fille]])</f>
        <v>1</v>
      </c>
      <c r="N17" s="306" t="s">
        <v>411</v>
      </c>
      <c r="O17" s="306">
        <f>COUNTIF(Tableau3[Question mère],Tableau5[[#This Row],[Question fille]])</f>
        <v>0</v>
      </c>
      <c r="Q17" s="306" t="s">
        <v>448</v>
      </c>
      <c r="R17" s="306">
        <f>COUNTIF(Tableau4[Question fille],Tableau58[[#This Row],[Question mère]])</f>
        <v>0</v>
      </c>
    </row>
    <row r="18" spans="2:18" x14ac:dyDescent="0.25">
      <c r="B18" t="s">
        <v>441</v>
      </c>
      <c r="C18" t="s">
        <v>437</v>
      </c>
      <c r="E18" t="s">
        <v>414</v>
      </c>
      <c r="F18" t="s">
        <v>418</v>
      </c>
      <c r="H18" s="306" t="s">
        <v>577</v>
      </c>
      <c r="I18">
        <f>COUNTIF(Tableau2[Question mère],H18)</f>
        <v>7</v>
      </c>
      <c r="K18" t="s">
        <v>441</v>
      </c>
      <c r="L18">
        <f>COUNTIF(Tableau1[Question fille],Tableau4[[#This Row],[Question fille]])</f>
        <v>1</v>
      </c>
      <c r="N18" s="305" t="s">
        <v>418</v>
      </c>
      <c r="O18" s="306">
        <f>COUNTIF(Tableau3[Question mère],Tableau5[[#This Row],[Question fille]])</f>
        <v>1</v>
      </c>
      <c r="Q18" s="305" t="s">
        <v>577</v>
      </c>
      <c r="R18" s="306">
        <f>COUNTIF(Tableau4[Question fille],Tableau58[[#This Row],[Question mère]])</f>
        <v>1</v>
      </c>
    </row>
    <row r="19" spans="2:18" x14ac:dyDescent="0.25">
      <c r="B19" t="s">
        <v>444</v>
      </c>
      <c r="C19" t="s">
        <v>441</v>
      </c>
      <c r="E19" t="s">
        <v>418</v>
      </c>
      <c r="F19" t="s">
        <v>421</v>
      </c>
      <c r="H19" s="305" t="s">
        <v>458</v>
      </c>
      <c r="I19">
        <f>COUNTIF(Tableau2[Question mère],H19)</f>
        <v>1</v>
      </c>
      <c r="K19" t="s">
        <v>444</v>
      </c>
      <c r="L19">
        <f>COUNTIF(Tableau1[Question fille],Tableau4[[#This Row],[Question fille]])</f>
        <v>1</v>
      </c>
      <c r="N19" s="306" t="s">
        <v>421</v>
      </c>
      <c r="O19" s="306">
        <f>COUNTIF(Tableau3[Question mère],Tableau5[[#This Row],[Question fille]])</f>
        <v>0</v>
      </c>
      <c r="Q19" s="306" t="s">
        <v>458</v>
      </c>
      <c r="R19" s="306">
        <f>COUNTIF(Tableau4[Question fille],Tableau58[[#This Row],[Question mère]])</f>
        <v>0</v>
      </c>
    </row>
    <row r="20" spans="2:18" x14ac:dyDescent="0.25">
      <c r="B20" t="s">
        <v>453</v>
      </c>
      <c r="C20" t="s">
        <v>448</v>
      </c>
      <c r="E20" t="s">
        <v>437</v>
      </c>
      <c r="F20" t="s">
        <v>441</v>
      </c>
      <c r="H20" s="306" t="s">
        <v>464</v>
      </c>
      <c r="I20">
        <f>COUNTIF(Tableau2[Question mère],H20)</f>
        <v>1</v>
      </c>
      <c r="K20" t="s">
        <v>453</v>
      </c>
      <c r="L20">
        <f>COUNTIF(Tableau1[Question fille],Tableau4[[#This Row],[Question fille]])</f>
        <v>1</v>
      </c>
      <c r="N20" s="305" t="s">
        <v>441</v>
      </c>
      <c r="O20" s="306">
        <f>COUNTIF(Tableau3[Question mère],Tableau5[[#This Row],[Question fille]])</f>
        <v>1</v>
      </c>
      <c r="Q20" s="305" t="s">
        <v>464</v>
      </c>
      <c r="R20" s="306">
        <f>COUNTIF(Tableau4[Question fille],Tableau58[[#This Row],[Question mère]])</f>
        <v>0</v>
      </c>
    </row>
    <row r="21" spans="2:18" x14ac:dyDescent="0.25">
      <c r="B21" t="s">
        <v>451</v>
      </c>
      <c r="C21" t="s">
        <v>448</v>
      </c>
      <c r="E21" t="s">
        <v>437</v>
      </c>
      <c r="F21" t="s">
        <v>446</v>
      </c>
      <c r="H21" s="305" t="s">
        <v>425</v>
      </c>
      <c r="I21">
        <f>COUNTIF(Tableau2[Question mère],H21)</f>
        <v>2</v>
      </c>
      <c r="K21" t="s">
        <v>451</v>
      </c>
      <c r="L21">
        <f>COUNTIF(Tableau1[Question fille],Tableau4[[#This Row],[Question fille]])</f>
        <v>1</v>
      </c>
      <c r="N21" s="306" t="s">
        <v>446</v>
      </c>
      <c r="O21" s="306">
        <f>COUNTIF(Tableau3[Question mère],Tableau5[[#This Row],[Question fille]])</f>
        <v>0</v>
      </c>
      <c r="Q21" s="306" t="s">
        <v>425</v>
      </c>
      <c r="R21" s="306">
        <f>COUNTIF(Tableau4[Question fille],Tableau58[[#This Row],[Question mère]])</f>
        <v>0</v>
      </c>
    </row>
    <row r="22" spans="2:18" x14ac:dyDescent="0.25">
      <c r="B22" t="s">
        <v>577</v>
      </c>
      <c r="C22" t="s">
        <v>571</v>
      </c>
      <c r="E22" t="s">
        <v>441</v>
      </c>
      <c r="F22" t="s">
        <v>444</v>
      </c>
      <c r="H22" s="305" t="s">
        <v>645</v>
      </c>
      <c r="I22">
        <f>COUNTIF(Tableau2[Question mère],H22)</f>
        <v>2</v>
      </c>
      <c r="K22" t="s">
        <v>577</v>
      </c>
      <c r="L22">
        <f>COUNTIF(Tableau1[Question fille],Tableau4[[#This Row],[Question fille]])</f>
        <v>1</v>
      </c>
      <c r="N22" s="305" t="s">
        <v>444</v>
      </c>
      <c r="O22" s="306">
        <f>COUNTIF(Tableau3[Question mère],Tableau5[[#This Row],[Question fille]])</f>
        <v>0</v>
      </c>
      <c r="Q22" s="305" t="s">
        <v>645</v>
      </c>
      <c r="R22" s="306">
        <f>COUNTIF(Tableau4[Question fille],Tableau58[[#This Row],[Question mère]])</f>
        <v>0</v>
      </c>
    </row>
    <row r="23" spans="2:18" x14ac:dyDescent="0.25">
      <c r="B23" t="s">
        <v>462</v>
      </c>
      <c r="C23" t="s">
        <v>458</v>
      </c>
      <c r="E23" t="s">
        <v>448</v>
      </c>
      <c r="F23" t="s">
        <v>453</v>
      </c>
      <c r="H23" s="305" t="s">
        <v>651</v>
      </c>
      <c r="I23">
        <f>COUNTIF(Tableau2[Question mère],H23)</f>
        <v>2</v>
      </c>
      <c r="K23" t="s">
        <v>462</v>
      </c>
      <c r="L23">
        <f>COUNTIF(Tableau1[Question fille],Tableau4[[#This Row],[Question fille]])</f>
        <v>1</v>
      </c>
      <c r="N23" s="306" t="s">
        <v>453</v>
      </c>
      <c r="O23" s="306">
        <f>COUNTIF(Tableau3[Question mère],Tableau5[[#This Row],[Question fille]])</f>
        <v>0</v>
      </c>
      <c r="Q23" s="306" t="s">
        <v>651</v>
      </c>
      <c r="R23" s="306">
        <f>COUNTIF(Tableau4[Question fille],Tableau58[[#This Row],[Question mère]])</f>
        <v>1</v>
      </c>
    </row>
    <row r="24" spans="2:18" x14ac:dyDescent="0.25">
      <c r="B24" t="s">
        <v>446</v>
      </c>
      <c r="C24" t="s">
        <v>437</v>
      </c>
      <c r="E24" t="s">
        <v>448</v>
      </c>
      <c r="F24" t="s">
        <v>451</v>
      </c>
      <c r="H24" s="305" t="s">
        <v>666</v>
      </c>
      <c r="I24">
        <f>COUNTIF(Tableau2[Question mère],H24)</f>
        <v>1</v>
      </c>
      <c r="K24" t="s">
        <v>446</v>
      </c>
      <c r="L24">
        <f>COUNTIF(Tableau1[Question fille],Tableau4[[#This Row],[Question fille]])</f>
        <v>1</v>
      </c>
      <c r="N24" s="305" t="s">
        <v>451</v>
      </c>
      <c r="O24" s="306">
        <f>COUNTIF(Tableau3[Question mère],Tableau5[[#This Row],[Question fille]])</f>
        <v>0</v>
      </c>
      <c r="Q24" s="305" t="s">
        <v>666</v>
      </c>
      <c r="R24" s="306">
        <f>COUNTIF(Tableau4[Question fille],Tableau58[[#This Row],[Question mère]])</f>
        <v>0</v>
      </c>
    </row>
    <row r="25" spans="2:18" x14ac:dyDescent="0.25">
      <c r="B25" t="s">
        <v>468</v>
      </c>
      <c r="C25" t="s">
        <v>464</v>
      </c>
      <c r="E25" t="s">
        <v>577</v>
      </c>
      <c r="F25" t="s">
        <v>581</v>
      </c>
      <c r="H25" s="306" t="s">
        <v>676</v>
      </c>
      <c r="I25">
        <f>COUNTIF(Tableau2[Question mère],H25)</f>
        <v>1</v>
      </c>
      <c r="K25" t="s">
        <v>468</v>
      </c>
      <c r="L25">
        <f>COUNTIF(Tableau1[Question fille],Tableau4[[#This Row],[Question fille]])</f>
        <v>1</v>
      </c>
      <c r="N25" s="306" t="s">
        <v>581</v>
      </c>
      <c r="O25" s="306">
        <f>COUNTIF(Tableau3[Question mère],Tableau5[[#This Row],[Question fille]])</f>
        <v>1</v>
      </c>
      <c r="Q25" s="306" t="s">
        <v>676</v>
      </c>
      <c r="R25" s="306">
        <f>COUNTIF(Tableau4[Question fille],Tableau58[[#This Row],[Question mère]])</f>
        <v>0</v>
      </c>
    </row>
    <row r="26" spans="2:18" x14ac:dyDescent="0.25">
      <c r="B26" t="s">
        <v>429</v>
      </c>
      <c r="C26" t="s">
        <v>425</v>
      </c>
      <c r="E26" t="s">
        <v>577</v>
      </c>
      <c r="F26" t="s">
        <v>594</v>
      </c>
      <c r="H26" s="305" t="s">
        <v>680</v>
      </c>
      <c r="I26">
        <f>COUNTIF(Tableau2[Question mère],H26)</f>
        <v>4</v>
      </c>
      <c r="K26" t="s">
        <v>429</v>
      </c>
      <c r="L26">
        <f>COUNTIF(Tableau1[Question fille],Tableau4[[#This Row],[Question fille]])</f>
        <v>1</v>
      </c>
      <c r="N26" s="305" t="s">
        <v>594</v>
      </c>
      <c r="O26" s="306">
        <f>COUNTIF(Tableau3[Question mère],Tableau5[[#This Row],[Question fille]])</f>
        <v>0</v>
      </c>
      <c r="Q26" s="305" t="s">
        <v>680</v>
      </c>
      <c r="R26" s="306">
        <f>COUNTIF(Tableau4[Question fille],Tableau58[[#This Row],[Question mère]])</f>
        <v>1</v>
      </c>
    </row>
    <row r="27" spans="2:18" x14ac:dyDescent="0.25">
      <c r="B27" t="s">
        <v>649</v>
      </c>
      <c r="C27" t="s">
        <v>645</v>
      </c>
      <c r="E27" t="s">
        <v>577</v>
      </c>
      <c r="F27" t="s">
        <v>596</v>
      </c>
      <c r="H27" s="305" t="s">
        <v>694</v>
      </c>
      <c r="I27">
        <f>COUNTIF(Tableau2[Question mère],H27)</f>
        <v>1</v>
      </c>
      <c r="K27" t="s">
        <v>649</v>
      </c>
      <c r="L27">
        <f>COUNTIF(Tableau1[Question fille],Tableau4[[#This Row],[Question fille]])</f>
        <v>1</v>
      </c>
      <c r="N27" s="306" t="s">
        <v>596</v>
      </c>
      <c r="O27" s="306">
        <f>COUNTIF(Tableau3[Question mère],Tableau5[[#This Row],[Question fille]])</f>
        <v>0</v>
      </c>
      <c r="Q27" s="306" t="s">
        <v>694</v>
      </c>
      <c r="R27" s="306">
        <f>COUNTIF(Tableau4[Question fille],Tableau58[[#This Row],[Question mère]])</f>
        <v>0</v>
      </c>
    </row>
    <row r="28" spans="2:18" x14ac:dyDescent="0.25">
      <c r="B28" t="s">
        <v>651</v>
      </c>
      <c r="C28" t="s">
        <v>645</v>
      </c>
      <c r="E28" t="s">
        <v>577</v>
      </c>
      <c r="F28" t="s">
        <v>598</v>
      </c>
      <c r="H28" s="306" t="s">
        <v>706</v>
      </c>
      <c r="I28">
        <f>COUNTIF(Tableau2[Question mère],H28)</f>
        <v>3</v>
      </c>
      <c r="K28" t="s">
        <v>651</v>
      </c>
      <c r="L28">
        <f>COUNTIF(Tableau1[Question fille],Tableau4[[#This Row],[Question fille]])</f>
        <v>1</v>
      </c>
      <c r="N28" s="305" t="s">
        <v>598</v>
      </c>
      <c r="O28" s="306">
        <f>COUNTIF(Tableau3[Question mère],Tableau5[[#This Row],[Question fille]])</f>
        <v>0</v>
      </c>
      <c r="Q28" s="305" t="s">
        <v>706</v>
      </c>
      <c r="R28" s="306">
        <f>COUNTIF(Tableau4[Question fille],Tableau58[[#This Row],[Question mère]])</f>
        <v>0</v>
      </c>
    </row>
    <row r="29" spans="2:18" x14ac:dyDescent="0.25">
      <c r="B29" t="s">
        <v>654</v>
      </c>
      <c r="C29" t="s">
        <v>651</v>
      </c>
      <c r="E29" t="s">
        <v>577</v>
      </c>
      <c r="F29" t="s">
        <v>601</v>
      </c>
      <c r="H29" s="305" t="s">
        <v>722</v>
      </c>
      <c r="I29">
        <f>COUNTIF(Tableau2[Question mère],H29)</f>
        <v>1</v>
      </c>
      <c r="K29" t="s">
        <v>654</v>
      </c>
      <c r="L29">
        <f>COUNTIF(Tableau1[Question fille],Tableau4[[#This Row],[Question fille]])</f>
        <v>1</v>
      </c>
      <c r="N29" s="306" t="s">
        <v>601</v>
      </c>
      <c r="O29" s="306">
        <f>COUNTIF(Tableau3[Question mère],Tableau5[[#This Row],[Question fille]])</f>
        <v>0</v>
      </c>
      <c r="Q29" s="306" t="s">
        <v>722</v>
      </c>
      <c r="R29" s="306">
        <f>COUNTIF(Tableau4[Question fille],Tableau58[[#This Row],[Question mère]])</f>
        <v>0</v>
      </c>
    </row>
    <row r="30" spans="2:18" x14ac:dyDescent="0.25">
      <c r="B30" t="s">
        <v>670</v>
      </c>
      <c r="C30" t="s">
        <v>666</v>
      </c>
      <c r="E30" t="s">
        <v>577</v>
      </c>
      <c r="F30" t="s">
        <v>606</v>
      </c>
      <c r="H30" s="306" t="s">
        <v>728</v>
      </c>
      <c r="I30">
        <f>COUNTIF(Tableau2[Question mère],H30)</f>
        <v>2</v>
      </c>
      <c r="K30" t="s">
        <v>670</v>
      </c>
      <c r="L30">
        <f>COUNTIF(Tableau1[Question fille],Tableau4[[#This Row],[Question fille]])</f>
        <v>1</v>
      </c>
      <c r="N30" s="305" t="s">
        <v>606</v>
      </c>
      <c r="O30" s="306">
        <f>COUNTIF(Tableau3[Question mère],Tableau5[[#This Row],[Question fille]])</f>
        <v>1</v>
      </c>
      <c r="Q30" s="305" t="s">
        <v>728</v>
      </c>
      <c r="R30" s="306">
        <f>COUNTIF(Tableau4[Question fille],Tableau58[[#This Row],[Question mère]])</f>
        <v>0</v>
      </c>
    </row>
    <row r="31" spans="2:18" x14ac:dyDescent="0.25">
      <c r="B31" t="s">
        <v>680</v>
      </c>
      <c r="C31" t="s">
        <v>676</v>
      </c>
      <c r="E31" t="s">
        <v>577</v>
      </c>
      <c r="F31" t="s">
        <v>611</v>
      </c>
      <c r="H31" s="306" t="s">
        <v>737</v>
      </c>
      <c r="I31">
        <f>COUNTIF(Tableau2[Question mère],H31)</f>
        <v>1</v>
      </c>
      <c r="K31" t="s">
        <v>680</v>
      </c>
      <c r="L31">
        <f>COUNTIF(Tableau1[Question fille],Tableau4[[#This Row],[Question fille]])</f>
        <v>1</v>
      </c>
      <c r="N31" s="306" t="s">
        <v>611</v>
      </c>
      <c r="O31" s="306">
        <f>COUNTIF(Tableau3[Question mère],Tableau5[[#This Row],[Question fille]])</f>
        <v>1</v>
      </c>
      <c r="Q31" s="306" t="s">
        <v>737</v>
      </c>
      <c r="R31" s="306">
        <f>COUNTIF(Tableau4[Question fille],Tableau58[[#This Row],[Question mère]])</f>
        <v>1</v>
      </c>
    </row>
    <row r="32" spans="2:18" x14ac:dyDescent="0.25">
      <c r="B32" t="s">
        <v>682</v>
      </c>
      <c r="C32" t="s">
        <v>680</v>
      </c>
      <c r="E32" t="s">
        <v>458</v>
      </c>
      <c r="F32" t="s">
        <v>462</v>
      </c>
      <c r="H32" s="305" t="s">
        <v>741</v>
      </c>
      <c r="I32">
        <f>COUNTIF(Tableau2[Question mère],H32)</f>
        <v>1</v>
      </c>
      <c r="K32" t="s">
        <v>682</v>
      </c>
      <c r="L32">
        <f>COUNTIF(Tableau1[Question fille],Tableau4[[#This Row],[Question fille]])</f>
        <v>1</v>
      </c>
      <c r="N32" s="305" t="s">
        <v>462</v>
      </c>
      <c r="O32" s="306">
        <f>COUNTIF(Tableau3[Question mère],Tableau5[[#This Row],[Question fille]])</f>
        <v>0</v>
      </c>
      <c r="Q32" s="305" t="s">
        <v>741</v>
      </c>
      <c r="R32" s="306">
        <f>COUNTIF(Tableau4[Question fille],Tableau58[[#This Row],[Question mère]])</f>
        <v>1</v>
      </c>
    </row>
    <row r="33" spans="2:18" x14ac:dyDescent="0.25">
      <c r="B33" t="s">
        <v>687</v>
      </c>
      <c r="C33" t="s">
        <v>680</v>
      </c>
      <c r="E33" t="s">
        <v>464</v>
      </c>
      <c r="F33" t="s">
        <v>468</v>
      </c>
      <c r="H33" s="306" t="s">
        <v>746</v>
      </c>
      <c r="I33">
        <f>COUNTIF(Tableau2[Question mère],H33)</f>
        <v>1</v>
      </c>
      <c r="K33" t="s">
        <v>687</v>
      </c>
      <c r="L33">
        <f>COUNTIF(Tableau1[Question fille],Tableau4[[#This Row],[Question fille]])</f>
        <v>1</v>
      </c>
      <c r="N33" s="306" t="s">
        <v>468</v>
      </c>
      <c r="O33" s="306">
        <f>COUNTIF(Tableau3[Question mère],Tableau5[[#This Row],[Question fille]])</f>
        <v>0</v>
      </c>
      <c r="Q33" s="306" t="s">
        <v>746</v>
      </c>
      <c r="R33" s="306">
        <f>COUNTIF(Tableau4[Question fille],Tableau58[[#This Row],[Question mère]])</f>
        <v>0</v>
      </c>
    </row>
    <row r="34" spans="2:18" x14ac:dyDescent="0.25">
      <c r="B34" t="s">
        <v>698</v>
      </c>
      <c r="C34" t="s">
        <v>694</v>
      </c>
      <c r="E34" t="s">
        <v>425</v>
      </c>
      <c r="F34" t="s">
        <v>429</v>
      </c>
      <c r="H34" s="305" t="s">
        <v>750</v>
      </c>
      <c r="I34">
        <f>COUNTIF(Tableau2[Question mère],H34)</f>
        <v>1</v>
      </c>
      <c r="K34" t="s">
        <v>698</v>
      </c>
      <c r="L34">
        <f>COUNTIF(Tableau1[Question fille],Tableau4[[#This Row],[Question fille]])</f>
        <v>1</v>
      </c>
      <c r="N34" s="305" t="s">
        <v>429</v>
      </c>
      <c r="O34" s="306">
        <f>COUNTIF(Tableau3[Question mère],Tableau5[[#This Row],[Question fille]])</f>
        <v>0</v>
      </c>
      <c r="Q34" s="305" t="s">
        <v>750</v>
      </c>
      <c r="R34" s="306">
        <f>COUNTIF(Tableau4[Question fille],Tableau58[[#This Row],[Question mère]])</f>
        <v>1</v>
      </c>
    </row>
    <row r="35" spans="2:18" x14ac:dyDescent="0.25">
      <c r="B35" t="s">
        <v>710</v>
      </c>
      <c r="C35" t="s">
        <v>706</v>
      </c>
      <c r="E35" t="s">
        <v>425</v>
      </c>
      <c r="F35" t="s">
        <v>430</v>
      </c>
      <c r="H35" s="306" t="s">
        <v>756</v>
      </c>
      <c r="I35">
        <f>COUNTIF(Tableau2[Question mère],H35)</f>
        <v>1</v>
      </c>
      <c r="K35" t="s">
        <v>710</v>
      </c>
      <c r="L35">
        <f>COUNTIF(Tableau1[Question fille],Tableau4[[#This Row],[Question fille]])</f>
        <v>1</v>
      </c>
      <c r="N35" s="306" t="s">
        <v>430</v>
      </c>
      <c r="O35" s="306">
        <f>COUNTIF(Tableau3[Question mère],Tableau5[[#This Row],[Question fille]])</f>
        <v>0</v>
      </c>
      <c r="Q35" s="306" t="s">
        <v>756</v>
      </c>
      <c r="R35" s="306">
        <f>COUNTIF(Tableau4[Question fille],Tableau58[[#This Row],[Question mère]])</f>
        <v>0</v>
      </c>
    </row>
    <row r="36" spans="2:18" x14ac:dyDescent="0.25">
      <c r="B36" t="s">
        <v>712</v>
      </c>
      <c r="C36" t="s">
        <v>706</v>
      </c>
      <c r="E36" t="s">
        <v>645</v>
      </c>
      <c r="F36" t="s">
        <v>649</v>
      </c>
      <c r="H36" s="305" t="s">
        <v>1053</v>
      </c>
      <c r="I36">
        <f>COUNTIF(Tableau2[Question mère],H36)</f>
        <v>1</v>
      </c>
      <c r="K36" t="s">
        <v>712</v>
      </c>
      <c r="L36">
        <f>COUNTIF(Tableau1[Question fille],Tableau4[[#This Row],[Question fille]])</f>
        <v>1</v>
      </c>
      <c r="N36" s="305" t="s">
        <v>649</v>
      </c>
      <c r="O36" s="306">
        <f>COUNTIF(Tableau3[Question mère],Tableau5[[#This Row],[Question fille]])</f>
        <v>0</v>
      </c>
      <c r="Q36" s="305" t="s">
        <v>1053</v>
      </c>
      <c r="R36" s="306">
        <f>COUNTIF(Tableau4[Question fille],Tableau58[[#This Row],[Question mère]])</f>
        <v>1</v>
      </c>
    </row>
    <row r="37" spans="2:18" x14ac:dyDescent="0.25">
      <c r="B37" t="s">
        <v>714</v>
      </c>
      <c r="C37" t="s">
        <v>706</v>
      </c>
      <c r="E37" t="s">
        <v>645</v>
      </c>
      <c r="F37" t="s">
        <v>651</v>
      </c>
      <c r="H37" s="306" t="s">
        <v>1051</v>
      </c>
      <c r="I37">
        <f>COUNTIF(Tableau2[Question mère],H37)</f>
        <v>9</v>
      </c>
      <c r="K37" t="s">
        <v>714</v>
      </c>
      <c r="L37">
        <f>COUNTIF(Tableau1[Question fille],Tableau4[[#This Row],[Question fille]])</f>
        <v>1</v>
      </c>
      <c r="N37" s="306" t="s">
        <v>651</v>
      </c>
      <c r="O37" s="306">
        <f>COUNTIF(Tableau3[Question mère],Tableau5[[#This Row],[Question fille]])</f>
        <v>1</v>
      </c>
      <c r="Q37" s="306" t="s">
        <v>1051</v>
      </c>
      <c r="R37" s="306">
        <f>COUNTIF(Tableau4[Question fille],Tableau58[[#This Row],[Question mère]])</f>
        <v>0</v>
      </c>
    </row>
    <row r="38" spans="2:18" x14ac:dyDescent="0.25">
      <c r="B38" t="s">
        <v>726</v>
      </c>
      <c r="C38" t="s">
        <v>722</v>
      </c>
      <c r="E38" t="s">
        <v>651</v>
      </c>
      <c r="F38" t="s">
        <v>654</v>
      </c>
      <c r="H38" s="305" t="s">
        <v>1063</v>
      </c>
      <c r="I38">
        <f>COUNTIF(Tableau2[Question mère],H38)</f>
        <v>1</v>
      </c>
      <c r="K38" t="s">
        <v>726</v>
      </c>
      <c r="L38">
        <f>COUNTIF(Tableau1[Question fille],Tableau4[[#This Row],[Question fille]])</f>
        <v>1</v>
      </c>
      <c r="N38" s="305" t="s">
        <v>654</v>
      </c>
      <c r="O38" s="306">
        <f>COUNTIF(Tableau3[Question mère],Tableau5[[#This Row],[Question fille]])</f>
        <v>0</v>
      </c>
      <c r="Q38" s="305" t="s">
        <v>1063</v>
      </c>
      <c r="R38" s="306">
        <f>COUNTIF(Tableau4[Question fille],Tableau58[[#This Row],[Question mère]])</f>
        <v>1</v>
      </c>
    </row>
    <row r="39" spans="2:18" x14ac:dyDescent="0.25">
      <c r="B39" t="s">
        <v>732</v>
      </c>
      <c r="C39" t="s">
        <v>728</v>
      </c>
      <c r="E39" t="s">
        <v>651</v>
      </c>
      <c r="F39" t="s">
        <v>661</v>
      </c>
      <c r="H39" s="306" t="s">
        <v>1090</v>
      </c>
      <c r="I39">
        <f>COUNTIF(Tableau2[Question mère],H39)</f>
        <v>4</v>
      </c>
      <c r="K39" t="s">
        <v>732</v>
      </c>
      <c r="L39">
        <f>COUNTIF(Tableau1[Question fille],Tableau4[[#This Row],[Question fille]])</f>
        <v>1</v>
      </c>
      <c r="N39" s="306" t="s">
        <v>661</v>
      </c>
      <c r="O39" s="306">
        <f>COUNTIF(Tableau3[Question mère],Tableau5[[#This Row],[Question fille]])</f>
        <v>0</v>
      </c>
      <c r="Q39" s="306" t="s">
        <v>1090</v>
      </c>
      <c r="R39" s="306">
        <f>COUNTIF(Tableau4[Question fille],Tableau58[[#This Row],[Question mère]])</f>
        <v>0</v>
      </c>
    </row>
    <row r="40" spans="2:18" x14ac:dyDescent="0.25">
      <c r="B40" t="s">
        <v>735</v>
      </c>
      <c r="C40" t="s">
        <v>728</v>
      </c>
      <c r="E40" t="s">
        <v>666</v>
      </c>
      <c r="F40" t="s">
        <v>670</v>
      </c>
      <c r="H40" s="306" t="s">
        <v>478</v>
      </c>
      <c r="I40">
        <f>COUNTIF(Tableau2[Question mère],H40)</f>
        <v>3</v>
      </c>
      <c r="K40" t="s">
        <v>735</v>
      </c>
      <c r="L40">
        <f>COUNTIF(Tableau1[Question fille],Tableau4[[#This Row],[Question fille]])</f>
        <v>1</v>
      </c>
      <c r="N40" s="305" t="s">
        <v>670</v>
      </c>
      <c r="O40" s="306">
        <f>COUNTIF(Tableau3[Question mère],Tableau5[[#This Row],[Question fille]])</f>
        <v>0</v>
      </c>
      <c r="Q40" s="305" t="s">
        <v>478</v>
      </c>
      <c r="R40" s="306">
        <f>COUNTIF(Tableau4[Question fille],Tableau58[[#This Row],[Question mère]])</f>
        <v>1</v>
      </c>
    </row>
    <row r="41" spans="2:18" x14ac:dyDescent="0.25">
      <c r="B41" t="s">
        <v>737</v>
      </c>
      <c r="C41" t="s">
        <v>61</v>
      </c>
      <c r="E41" t="s">
        <v>676</v>
      </c>
      <c r="F41" t="s">
        <v>680</v>
      </c>
      <c r="H41" s="305" t="s">
        <v>492</v>
      </c>
      <c r="I41">
        <f>COUNTIF(Tableau2[Question mère],H41)</f>
        <v>2</v>
      </c>
      <c r="K41" t="s">
        <v>737</v>
      </c>
      <c r="L41">
        <f>COUNTIF(Tableau1[Question fille],Tableau4[[#This Row],[Question fille]])</f>
        <v>1</v>
      </c>
      <c r="N41" s="306" t="s">
        <v>680</v>
      </c>
      <c r="O41" s="306">
        <f>COUNTIF(Tableau3[Question mère],Tableau5[[#This Row],[Question fille]])</f>
        <v>1</v>
      </c>
      <c r="Q41" s="306" t="s">
        <v>492</v>
      </c>
      <c r="R41" s="306">
        <f>COUNTIF(Tableau4[Question fille],Tableau58[[#This Row],[Question mère]])</f>
        <v>1</v>
      </c>
    </row>
    <row r="42" spans="2:18" x14ac:dyDescent="0.25">
      <c r="B42" t="s">
        <v>741</v>
      </c>
      <c r="C42" t="s">
        <v>737</v>
      </c>
      <c r="E42" t="s">
        <v>680</v>
      </c>
      <c r="F42" t="s">
        <v>682</v>
      </c>
      <c r="H42" s="305" t="s">
        <v>503</v>
      </c>
      <c r="I42">
        <f>COUNTIF(Tableau2[Question mère],H42)</f>
        <v>1</v>
      </c>
      <c r="K42" t="s">
        <v>741</v>
      </c>
      <c r="L42">
        <f>COUNTIF(Tableau1[Question fille],Tableau4[[#This Row],[Question fille]])</f>
        <v>1</v>
      </c>
      <c r="N42" s="305" t="s">
        <v>682</v>
      </c>
      <c r="O42" s="306">
        <f>COUNTIF(Tableau3[Question mère],Tableau5[[#This Row],[Question fille]])</f>
        <v>0</v>
      </c>
      <c r="Q42" s="305" t="s">
        <v>503</v>
      </c>
      <c r="R42" s="306">
        <f>COUNTIF(Tableau4[Question fille],Tableau58[[#This Row],[Question mère]])</f>
        <v>1</v>
      </c>
    </row>
    <row r="43" spans="2:18" x14ac:dyDescent="0.25">
      <c r="B43" t="s">
        <v>744</v>
      </c>
      <c r="C43" t="s">
        <v>741</v>
      </c>
      <c r="E43" t="s">
        <v>680</v>
      </c>
      <c r="F43" t="s">
        <v>687</v>
      </c>
      <c r="H43" s="306" t="s">
        <v>532</v>
      </c>
      <c r="I43">
        <f>COUNTIF(Tableau2[Question mère],H43)</f>
        <v>1</v>
      </c>
      <c r="K43" t="s">
        <v>744</v>
      </c>
      <c r="L43">
        <f>COUNTIF(Tableau1[Question fille],Tableau4[[#This Row],[Question fille]])</f>
        <v>1</v>
      </c>
      <c r="N43" s="306" t="s">
        <v>687</v>
      </c>
      <c r="O43" s="306">
        <f>COUNTIF(Tableau3[Question mère],Tableau5[[#This Row],[Question fille]])</f>
        <v>0</v>
      </c>
      <c r="Q43" s="306" t="s">
        <v>532</v>
      </c>
      <c r="R43" s="306">
        <f>COUNTIF(Tableau4[Question fille],Tableau58[[#This Row],[Question mère]])</f>
        <v>1</v>
      </c>
    </row>
    <row r="44" spans="2:18" x14ac:dyDescent="0.25">
      <c r="B44" t="s">
        <v>750</v>
      </c>
      <c r="C44" t="s">
        <v>746</v>
      </c>
      <c r="E44" t="s">
        <v>680</v>
      </c>
      <c r="F44" t="s">
        <v>685</v>
      </c>
      <c r="H44" s="305" t="s">
        <v>537</v>
      </c>
      <c r="I44">
        <f>COUNTIF(Tableau2[Question mère],H44)</f>
        <v>1</v>
      </c>
      <c r="K44" t="s">
        <v>750</v>
      </c>
      <c r="L44">
        <f>COUNTIF(Tableau1[Question fille],Tableau4[[#This Row],[Question fille]])</f>
        <v>1</v>
      </c>
      <c r="N44" s="305" t="s">
        <v>685</v>
      </c>
      <c r="O44" s="306">
        <f>COUNTIF(Tableau3[Question mère],Tableau5[[#This Row],[Question fille]])</f>
        <v>0</v>
      </c>
      <c r="Q44" s="305" t="s">
        <v>537</v>
      </c>
      <c r="R44" s="306">
        <f>COUNTIF(Tableau4[Question fille],Tableau58[[#This Row],[Question mère]])</f>
        <v>1</v>
      </c>
    </row>
    <row r="45" spans="2:18" x14ac:dyDescent="0.25">
      <c r="B45" t="s">
        <v>759</v>
      </c>
      <c r="C45" t="s">
        <v>756</v>
      </c>
      <c r="E45" t="s">
        <v>680</v>
      </c>
      <c r="F45" t="s">
        <v>689</v>
      </c>
      <c r="H45" s="306" t="s">
        <v>542</v>
      </c>
      <c r="I45">
        <f>COUNTIF(Tableau2[Question mère],H45)</f>
        <v>1</v>
      </c>
      <c r="K45" t="s">
        <v>759</v>
      </c>
      <c r="L45">
        <f>COUNTIF(Tableau1[Question fille],Tableau4[[#This Row],[Question fille]])</f>
        <v>1</v>
      </c>
      <c r="N45" s="306" t="s">
        <v>689</v>
      </c>
      <c r="O45" s="306">
        <f>COUNTIF(Tableau3[Question mère],Tableau5[[#This Row],[Question fille]])</f>
        <v>0</v>
      </c>
      <c r="Q45" s="306" t="s">
        <v>542</v>
      </c>
      <c r="R45" s="306">
        <f>COUNTIF(Tableau4[Question fille],Tableau58[[#This Row],[Question mère]])</f>
        <v>1</v>
      </c>
    </row>
    <row r="46" spans="2:18" x14ac:dyDescent="0.25">
      <c r="B46" t="s">
        <v>1053</v>
      </c>
      <c r="C46" t="s">
        <v>1051</v>
      </c>
      <c r="E46" t="s">
        <v>694</v>
      </c>
      <c r="F46" t="s">
        <v>698</v>
      </c>
      <c r="H46" s="305" t="s">
        <v>547</v>
      </c>
      <c r="I46">
        <f>COUNTIF(Tableau2[Question mère],H46)</f>
        <v>1</v>
      </c>
      <c r="K46" t="s">
        <v>1053</v>
      </c>
      <c r="L46">
        <f>COUNTIF(Tableau1[Question fille],Tableau4[[#This Row],[Question fille]])</f>
        <v>1</v>
      </c>
      <c r="N46" s="305" t="s">
        <v>698</v>
      </c>
      <c r="O46" s="306">
        <f>COUNTIF(Tableau3[Question mère],Tableau5[[#This Row],[Question fille]])</f>
        <v>0</v>
      </c>
      <c r="Q46" s="305" t="s">
        <v>547</v>
      </c>
      <c r="R46" s="306">
        <f>COUNTIF(Tableau4[Question fille],Tableau58[[#This Row],[Question mère]])</f>
        <v>1</v>
      </c>
    </row>
    <row r="47" spans="2:18" x14ac:dyDescent="0.25">
      <c r="B47" t="s">
        <v>1056</v>
      </c>
      <c r="C47" t="s">
        <v>1053</v>
      </c>
      <c r="E47" t="s">
        <v>706</v>
      </c>
      <c r="F47" t="s">
        <v>710</v>
      </c>
      <c r="H47" s="306" t="s">
        <v>551</v>
      </c>
      <c r="I47">
        <f>COUNTIF(Tableau2[Question mère],H47)</f>
        <v>1</v>
      </c>
      <c r="K47" t="s">
        <v>1056</v>
      </c>
      <c r="L47">
        <f>COUNTIF(Tableau1[Question fille],Tableau4[[#This Row],[Question fille]])</f>
        <v>1</v>
      </c>
      <c r="N47" s="306" t="s">
        <v>710</v>
      </c>
      <c r="O47" s="306">
        <f>COUNTIF(Tableau3[Question mère],Tableau5[[#This Row],[Question fille]])</f>
        <v>0</v>
      </c>
      <c r="Q47" s="306" t="s">
        <v>551</v>
      </c>
      <c r="R47" s="306">
        <f>COUNTIF(Tableau4[Question fille],Tableau58[[#This Row],[Question mère]])</f>
        <v>1</v>
      </c>
    </row>
    <row r="48" spans="2:18" x14ac:dyDescent="0.25">
      <c r="B48" t="s">
        <v>1058</v>
      </c>
      <c r="C48" t="s">
        <v>1051</v>
      </c>
      <c r="E48" t="s">
        <v>706</v>
      </c>
      <c r="F48" t="s">
        <v>712</v>
      </c>
      <c r="H48" s="305" t="s">
        <v>527</v>
      </c>
      <c r="I48">
        <f>COUNTIF(Tableau2[Question mère],H48)</f>
        <v>1</v>
      </c>
      <c r="K48" t="s">
        <v>1058</v>
      </c>
      <c r="L48">
        <f>COUNTIF(Tableau1[Question fille],Tableau4[[#This Row],[Question fille]])</f>
        <v>1</v>
      </c>
      <c r="N48" s="305" t="s">
        <v>712</v>
      </c>
      <c r="O48" s="306">
        <f>COUNTIF(Tableau3[Question mère],Tableau5[[#This Row],[Question fille]])</f>
        <v>0</v>
      </c>
      <c r="Q48" s="305" t="s">
        <v>527</v>
      </c>
      <c r="R48" s="306">
        <f>COUNTIF(Tableau4[Question fille],Tableau58[[#This Row],[Question mère]])</f>
        <v>1</v>
      </c>
    </row>
    <row r="49" spans="2:18" x14ac:dyDescent="0.25">
      <c r="B49" t="s">
        <v>1060</v>
      </c>
      <c r="C49" t="s">
        <v>1051</v>
      </c>
      <c r="E49" t="s">
        <v>706</v>
      </c>
      <c r="F49" t="s">
        <v>714</v>
      </c>
      <c r="H49" s="306" t="s">
        <v>558</v>
      </c>
      <c r="I49">
        <f>COUNTIF(Tableau2[Question mère],H49)</f>
        <v>3</v>
      </c>
      <c r="K49" t="s">
        <v>1060</v>
      </c>
      <c r="L49">
        <f>COUNTIF(Tableau1[Question fille],Tableau4[[#This Row],[Question fille]])</f>
        <v>1</v>
      </c>
      <c r="N49" s="306" t="s">
        <v>714</v>
      </c>
      <c r="O49" s="306">
        <f>COUNTIF(Tableau3[Question mère],Tableau5[[#This Row],[Question fille]])</f>
        <v>0</v>
      </c>
      <c r="Q49" s="306" t="s">
        <v>558</v>
      </c>
      <c r="R49" s="306">
        <f>COUNTIF(Tableau4[Question fille],Tableau58[[#This Row],[Question mère]])</f>
        <v>1</v>
      </c>
    </row>
    <row r="50" spans="2:18" x14ac:dyDescent="0.25">
      <c r="B50" t="s">
        <v>1063</v>
      </c>
      <c r="C50" t="s">
        <v>1051</v>
      </c>
      <c r="E50" t="s">
        <v>722</v>
      </c>
      <c r="F50" t="s">
        <v>726</v>
      </c>
      <c r="H50" s="305" t="s">
        <v>510</v>
      </c>
      <c r="I50">
        <f>COUNTIF(Tableau2[Question mère],H50)</f>
        <v>1</v>
      </c>
      <c r="K50" t="s">
        <v>1063</v>
      </c>
      <c r="L50">
        <f>COUNTIF(Tableau1[Question fille],Tableau4[[#This Row],[Question fille]])</f>
        <v>1</v>
      </c>
      <c r="N50" s="305" t="s">
        <v>726</v>
      </c>
      <c r="O50" s="306">
        <f>COUNTIF(Tableau3[Question mère],Tableau5[[#This Row],[Question fille]])</f>
        <v>0</v>
      </c>
      <c r="Q50" s="305" t="s">
        <v>510</v>
      </c>
      <c r="R50" s="306">
        <f>COUNTIF(Tableau4[Question fille],Tableau58[[#This Row],[Question mère]])</f>
        <v>1</v>
      </c>
    </row>
    <row r="51" spans="2:18" x14ac:dyDescent="0.25">
      <c r="B51" t="s">
        <v>1066</v>
      </c>
      <c r="C51" t="s">
        <v>1063</v>
      </c>
      <c r="E51" t="s">
        <v>728</v>
      </c>
      <c r="F51" t="s">
        <v>732</v>
      </c>
      <c r="H51" s="306" t="s">
        <v>815</v>
      </c>
      <c r="I51">
        <f>COUNTIF(Tableau2[Question mère],H51)</f>
        <v>1</v>
      </c>
      <c r="K51" t="s">
        <v>1066</v>
      </c>
      <c r="L51">
        <f>COUNTIF(Tableau1[Question fille],Tableau4[[#This Row],[Question fille]])</f>
        <v>1</v>
      </c>
      <c r="N51" s="306" t="s">
        <v>732</v>
      </c>
      <c r="O51" s="306">
        <f>COUNTIF(Tableau3[Question mère],Tableau5[[#This Row],[Question fille]])</f>
        <v>0</v>
      </c>
      <c r="Q51" s="306" t="s">
        <v>815</v>
      </c>
      <c r="R51" s="306">
        <f>COUNTIF(Tableau4[Question fille],Tableau58[[#This Row],[Question mère]])</f>
        <v>0</v>
      </c>
    </row>
    <row r="52" spans="2:18" x14ac:dyDescent="0.25">
      <c r="B52" t="s">
        <v>1069</v>
      </c>
      <c r="C52" t="s">
        <v>1051</v>
      </c>
      <c r="E52" t="s">
        <v>728</v>
      </c>
      <c r="F52" t="s">
        <v>735</v>
      </c>
      <c r="H52" s="305" t="s">
        <v>61</v>
      </c>
      <c r="I52">
        <f>COUNTIF(Tableau2[Question mère],H52)</f>
        <v>7</v>
      </c>
      <c r="K52" t="s">
        <v>1069</v>
      </c>
      <c r="L52">
        <f>COUNTIF(Tableau1[Question fille],Tableau4[[#This Row],[Question fille]])</f>
        <v>1</v>
      </c>
      <c r="N52" s="305" t="s">
        <v>735</v>
      </c>
      <c r="O52" s="306">
        <f>COUNTIF(Tableau3[Question mère],Tableau5[[#This Row],[Question fille]])</f>
        <v>0</v>
      </c>
      <c r="Q52" s="305" t="s">
        <v>61</v>
      </c>
      <c r="R52" s="306">
        <f>COUNTIF(Tableau4[Question fille],Tableau58[[#This Row],[Question mère]])</f>
        <v>0</v>
      </c>
    </row>
    <row r="53" spans="2:18" x14ac:dyDescent="0.25">
      <c r="B53" t="s">
        <v>1071</v>
      </c>
      <c r="C53" t="s">
        <v>1051</v>
      </c>
      <c r="E53" t="s">
        <v>737</v>
      </c>
      <c r="F53" t="s">
        <v>741</v>
      </c>
      <c r="H53" s="306" t="s">
        <v>774</v>
      </c>
      <c r="I53">
        <f>COUNTIF(Tableau2[Question mère],H53)</f>
        <v>2</v>
      </c>
      <c r="K53" t="s">
        <v>1071</v>
      </c>
      <c r="L53">
        <f>COUNTIF(Tableau1[Question fille],Tableau4[[#This Row],[Question fille]])</f>
        <v>1</v>
      </c>
      <c r="N53" s="306" t="s">
        <v>741</v>
      </c>
      <c r="O53" s="306">
        <f>COUNTIF(Tableau3[Question mère],Tableau5[[#This Row],[Question fille]])</f>
        <v>1</v>
      </c>
      <c r="Q53" s="306" t="s">
        <v>774</v>
      </c>
      <c r="R53" s="306">
        <f>COUNTIF(Tableau4[Question fille],Tableau58[[#This Row],[Question mère]])</f>
        <v>0</v>
      </c>
    </row>
    <row r="54" spans="2:18" x14ac:dyDescent="0.25">
      <c r="B54" t="s">
        <v>1093</v>
      </c>
      <c r="C54" t="s">
        <v>1090</v>
      </c>
      <c r="E54" t="s">
        <v>741</v>
      </c>
      <c r="F54" t="s">
        <v>744</v>
      </c>
      <c r="H54" s="306" t="s">
        <v>778</v>
      </c>
      <c r="I54">
        <f>COUNTIF(Tableau2[Question mère],H54)</f>
        <v>1</v>
      </c>
      <c r="K54" t="s">
        <v>1093</v>
      </c>
      <c r="L54">
        <f>COUNTIF(Tableau1[Question fille],Tableau4[[#This Row],[Question fille]])</f>
        <v>1</v>
      </c>
      <c r="N54" s="305" t="s">
        <v>744</v>
      </c>
      <c r="O54" s="306">
        <f>COUNTIF(Tableau3[Question mère],Tableau5[[#This Row],[Question fille]])</f>
        <v>0</v>
      </c>
      <c r="Q54" s="305" t="s">
        <v>778</v>
      </c>
      <c r="R54" s="306">
        <f>COUNTIF(Tableau4[Question fille],Tableau58[[#This Row],[Question mère]])</f>
        <v>1</v>
      </c>
    </row>
    <row r="55" spans="2:18" x14ac:dyDescent="0.25">
      <c r="B55" t="s">
        <v>1095</v>
      </c>
      <c r="C55" t="s">
        <v>1090</v>
      </c>
      <c r="E55" t="s">
        <v>746</v>
      </c>
      <c r="F55" t="s">
        <v>750</v>
      </c>
      <c r="H55" s="305" t="s">
        <v>789</v>
      </c>
      <c r="I55">
        <f>COUNTIF(Tableau2[Question mère],H55)</f>
        <v>1</v>
      </c>
      <c r="K55" t="s">
        <v>1095</v>
      </c>
      <c r="L55">
        <f>COUNTIF(Tableau1[Question fille],Tableau4[[#This Row],[Question fille]])</f>
        <v>1</v>
      </c>
      <c r="N55" s="306" t="s">
        <v>750</v>
      </c>
      <c r="O55" s="306">
        <f>COUNTIF(Tableau3[Question mère],Tableau5[[#This Row],[Question fille]])</f>
        <v>1</v>
      </c>
      <c r="Q55" s="306" t="s">
        <v>789</v>
      </c>
      <c r="R55" s="306">
        <f>COUNTIF(Tableau4[Question fille],Tableau58[[#This Row],[Question mère]])</f>
        <v>0</v>
      </c>
    </row>
    <row r="56" spans="2:18" x14ac:dyDescent="0.25">
      <c r="B56" t="s">
        <v>1096</v>
      </c>
      <c r="C56" t="s">
        <v>1090</v>
      </c>
      <c r="E56" t="s">
        <v>750</v>
      </c>
      <c r="F56" t="s">
        <v>754</v>
      </c>
      <c r="H56" s="306" t="s">
        <v>795</v>
      </c>
      <c r="I56">
        <f>COUNTIF(Tableau2[Question mère],H56)</f>
        <v>1</v>
      </c>
      <c r="K56" t="s">
        <v>1096</v>
      </c>
      <c r="L56">
        <f>COUNTIF(Tableau1[Question fille],Tableau4[[#This Row],[Question fille]])</f>
        <v>1</v>
      </c>
      <c r="N56" s="305" t="s">
        <v>754</v>
      </c>
      <c r="O56" s="306">
        <f>COUNTIF(Tableau3[Question mère],Tableau5[[#This Row],[Question fille]])</f>
        <v>0</v>
      </c>
      <c r="Q56" s="305" t="s">
        <v>795</v>
      </c>
      <c r="R56" s="306">
        <f>COUNTIF(Tableau4[Question fille],Tableau58[[#This Row],[Question mère]])</f>
        <v>0</v>
      </c>
    </row>
    <row r="57" spans="2:18" x14ac:dyDescent="0.25">
      <c r="B57" t="s">
        <v>1097</v>
      </c>
      <c r="C57" t="s">
        <v>1090</v>
      </c>
      <c r="E57" t="s">
        <v>756</v>
      </c>
      <c r="F57" t="s">
        <v>759</v>
      </c>
      <c r="H57" s="305" t="s">
        <v>799</v>
      </c>
      <c r="I57">
        <f>COUNTIF(Tableau2[Question mère],H57)</f>
        <v>1</v>
      </c>
      <c r="K57" t="s">
        <v>1097</v>
      </c>
      <c r="L57">
        <f>COUNTIF(Tableau1[Question fille],Tableau4[[#This Row],[Question fille]])</f>
        <v>1</v>
      </c>
      <c r="N57" s="306" t="s">
        <v>759</v>
      </c>
      <c r="O57" s="306">
        <f>COUNTIF(Tableau3[Question mère],Tableau5[[#This Row],[Question fille]])</f>
        <v>0</v>
      </c>
      <c r="Q57" s="306" t="s">
        <v>799</v>
      </c>
      <c r="R57" s="306">
        <f>COUNTIF(Tableau4[Question fille],Tableau58[[#This Row],[Question mère]])</f>
        <v>1</v>
      </c>
    </row>
    <row r="58" spans="2:18" x14ac:dyDescent="0.25">
      <c r="B58" t="s">
        <v>1103</v>
      </c>
      <c r="C58" t="s">
        <v>18</v>
      </c>
      <c r="E58" t="s">
        <v>1053</v>
      </c>
      <c r="F58" t="s">
        <v>1056</v>
      </c>
      <c r="H58" s="306" t="s">
        <v>1306</v>
      </c>
      <c r="I58">
        <f>COUNTIF(Tableau2[Question mère],H58)</f>
        <v>1</v>
      </c>
      <c r="K58" t="s">
        <v>1103</v>
      </c>
      <c r="L58">
        <f>COUNTIF(Tableau1[Question fille],Tableau4[[#This Row],[Question fille]])</f>
        <v>1</v>
      </c>
      <c r="N58" s="305" t="s">
        <v>1056</v>
      </c>
      <c r="O58" s="306">
        <f>COUNTIF(Tableau3[Question mère],Tableau5[[#This Row],[Question fille]])</f>
        <v>0</v>
      </c>
      <c r="Q58" s="305" t="s">
        <v>1306</v>
      </c>
      <c r="R58" s="306">
        <f>COUNTIF(Tableau4[Question fille],Tableau58[[#This Row],[Question mère]])</f>
        <v>0</v>
      </c>
    </row>
    <row r="59" spans="2:18" x14ac:dyDescent="0.25">
      <c r="B59" t="s">
        <v>1073</v>
      </c>
      <c r="C59" t="s">
        <v>1051</v>
      </c>
      <c r="E59" t="s">
        <v>1051</v>
      </c>
      <c r="F59" t="s">
        <v>1053</v>
      </c>
      <c r="H59" s="305" t="s">
        <v>881</v>
      </c>
      <c r="I59">
        <f>COUNTIF(Tableau2[Question mère],H59)</f>
        <v>2</v>
      </c>
      <c r="K59" t="s">
        <v>1073</v>
      </c>
      <c r="L59">
        <f>COUNTIF(Tableau1[Question fille],Tableau4[[#This Row],[Question fille]])</f>
        <v>1</v>
      </c>
      <c r="N59" s="306" t="s">
        <v>1053</v>
      </c>
      <c r="O59" s="306">
        <f>COUNTIF(Tableau3[Question mère],Tableau5[[#This Row],[Question fille]])</f>
        <v>1</v>
      </c>
      <c r="Q59" s="306" t="s">
        <v>881</v>
      </c>
      <c r="R59" s="306">
        <f>COUNTIF(Tableau4[Question fille],Tableau58[[#This Row],[Question mère]])</f>
        <v>1</v>
      </c>
    </row>
    <row r="60" spans="2:18" x14ac:dyDescent="0.25">
      <c r="B60" t="s">
        <v>478</v>
      </c>
      <c r="C60" t="s">
        <v>472</v>
      </c>
      <c r="E60" t="s">
        <v>1051</v>
      </c>
      <c r="F60" t="s">
        <v>1058</v>
      </c>
      <c r="H60" s="305" t="s">
        <v>890</v>
      </c>
      <c r="I60">
        <f>COUNTIF(Tableau2[Question mère],H60)</f>
        <v>4</v>
      </c>
      <c r="K60" t="s">
        <v>478</v>
      </c>
      <c r="L60">
        <f>COUNTIF(Tableau1[Question fille],Tableau4[[#This Row],[Question fille]])</f>
        <v>1</v>
      </c>
      <c r="N60" s="305" t="s">
        <v>1058</v>
      </c>
      <c r="O60" s="306">
        <f>COUNTIF(Tableau3[Question mère],Tableau5[[#This Row],[Question fille]])</f>
        <v>0</v>
      </c>
      <c r="Q60" s="305" t="s">
        <v>890</v>
      </c>
      <c r="R60" s="306">
        <f>COUNTIF(Tableau4[Question fille],Tableau58[[#This Row],[Question mère]])</f>
        <v>0</v>
      </c>
    </row>
    <row r="61" spans="2:18" x14ac:dyDescent="0.25">
      <c r="B61" t="s">
        <v>486</v>
      </c>
      <c r="C61" t="s">
        <v>478</v>
      </c>
      <c r="E61" t="s">
        <v>1051</v>
      </c>
      <c r="F61" t="s">
        <v>1060</v>
      </c>
      <c r="H61" s="305" t="s">
        <v>1012</v>
      </c>
      <c r="I61">
        <f>COUNTIF(Tableau2[Question mère],H61)</f>
        <v>3</v>
      </c>
      <c r="K61" t="s">
        <v>486</v>
      </c>
      <c r="L61">
        <f>COUNTIF(Tableau1[Question fille],Tableau4[[#This Row],[Question fille]])</f>
        <v>2</v>
      </c>
      <c r="N61" s="306" t="s">
        <v>1060</v>
      </c>
      <c r="O61" s="306">
        <f>COUNTIF(Tableau3[Question mère],Tableau5[[#This Row],[Question fille]])</f>
        <v>0</v>
      </c>
      <c r="Q61" s="306" t="s">
        <v>1012</v>
      </c>
      <c r="R61" s="306">
        <f>COUNTIF(Tableau4[Question fille],Tableau58[[#This Row],[Question mère]])</f>
        <v>0</v>
      </c>
    </row>
    <row r="62" spans="2:18" x14ac:dyDescent="0.25">
      <c r="B62" t="s">
        <v>486</v>
      </c>
      <c r="C62" t="s">
        <v>482</v>
      </c>
      <c r="E62" t="s">
        <v>1051</v>
      </c>
      <c r="F62" t="s">
        <v>1063</v>
      </c>
      <c r="H62" s="306" t="s">
        <v>171</v>
      </c>
      <c r="I62">
        <f>COUNTIF(Tableau2[Question mère],H62)</f>
        <v>2</v>
      </c>
      <c r="K62" t="s">
        <v>488</v>
      </c>
      <c r="L62">
        <f>COUNTIF(Tableau1[Question fille],Tableau4[[#This Row],[Question fille]])</f>
        <v>2</v>
      </c>
      <c r="N62" s="305" t="s">
        <v>1063</v>
      </c>
      <c r="O62" s="306">
        <f>COUNTIF(Tableau3[Question mère],Tableau5[[#This Row],[Question fille]])</f>
        <v>1</v>
      </c>
      <c r="Q62" s="305" t="s">
        <v>171</v>
      </c>
      <c r="R62" s="306">
        <f>COUNTIF(Tableau4[Question fille],Tableau58[[#This Row],[Question mère]])</f>
        <v>0</v>
      </c>
    </row>
    <row r="63" spans="2:18" x14ac:dyDescent="0.25">
      <c r="B63" t="s">
        <v>488</v>
      </c>
      <c r="C63" t="s">
        <v>478</v>
      </c>
      <c r="E63" t="s">
        <v>1051</v>
      </c>
      <c r="F63" t="s">
        <v>1069</v>
      </c>
      <c r="H63" s="306" t="s">
        <v>1151</v>
      </c>
      <c r="I63">
        <f>COUNTIF(Tableau2[Question mère],H63)</f>
        <v>3</v>
      </c>
      <c r="K63" t="s">
        <v>495</v>
      </c>
      <c r="L63">
        <f>COUNTIF(Tableau1[Question fille],Tableau4[[#This Row],[Question fille]])</f>
        <v>1</v>
      </c>
      <c r="N63" s="306" t="s">
        <v>1069</v>
      </c>
      <c r="O63" s="306">
        <f>COUNTIF(Tableau3[Question mère],Tableau5[[#This Row],[Question fille]])</f>
        <v>0</v>
      </c>
      <c r="Q63" s="306" t="s">
        <v>1151</v>
      </c>
      <c r="R63" s="306">
        <f>COUNTIF(Tableau4[Question fille],Tableau58[[#This Row],[Question mère]])</f>
        <v>0</v>
      </c>
    </row>
    <row r="64" spans="2:18" x14ac:dyDescent="0.25">
      <c r="B64" t="s">
        <v>488</v>
      </c>
      <c r="C64" t="s">
        <v>482</v>
      </c>
      <c r="E64" t="s">
        <v>1051</v>
      </c>
      <c r="F64" t="s">
        <v>1071</v>
      </c>
      <c r="H64" s="305" t="s">
        <v>1163</v>
      </c>
      <c r="I64">
        <f>COUNTIF(Tableau2[Question mère],H64)</f>
        <v>1</v>
      </c>
      <c r="K64" t="s">
        <v>492</v>
      </c>
      <c r="L64">
        <f>COUNTIF(Tableau1[Question fille],Tableau4[[#This Row],[Question fille]])</f>
        <v>1</v>
      </c>
      <c r="N64" s="305" t="s">
        <v>1071</v>
      </c>
      <c r="O64" s="306">
        <f>COUNTIF(Tableau3[Question mère],Tableau5[[#This Row],[Question fille]])</f>
        <v>0</v>
      </c>
      <c r="Q64" s="305" t="s">
        <v>1163</v>
      </c>
      <c r="R64" s="306">
        <f>COUNTIF(Tableau4[Question fille],Tableau58[[#This Row],[Question mère]])</f>
        <v>0</v>
      </c>
    </row>
    <row r="65" spans="2:18" x14ac:dyDescent="0.25">
      <c r="B65" t="s">
        <v>495</v>
      </c>
      <c r="C65" t="s">
        <v>492</v>
      </c>
      <c r="E65" t="s">
        <v>1051</v>
      </c>
      <c r="F65" t="s">
        <v>1073</v>
      </c>
      <c r="H65" s="306" t="s">
        <v>1172</v>
      </c>
      <c r="I65">
        <f>COUNTIF(Tableau2[Question mère],H65)</f>
        <v>1</v>
      </c>
      <c r="K65" t="s">
        <v>497</v>
      </c>
      <c r="L65">
        <f>COUNTIF(Tableau1[Question fille],Tableau4[[#This Row],[Question fille]])</f>
        <v>2</v>
      </c>
      <c r="N65" s="306" t="s">
        <v>1073</v>
      </c>
      <c r="O65" s="306">
        <f>COUNTIF(Tableau3[Question mère],Tableau5[[#This Row],[Question fille]])</f>
        <v>0</v>
      </c>
      <c r="Q65" s="306" t="s">
        <v>1172</v>
      </c>
      <c r="R65" s="306">
        <f>COUNTIF(Tableau4[Question fille],Tableau58[[#This Row],[Question mère]])</f>
        <v>0</v>
      </c>
    </row>
    <row r="66" spans="2:18" x14ac:dyDescent="0.25">
      <c r="B66" t="s">
        <v>492</v>
      </c>
      <c r="C66" t="s">
        <v>472</v>
      </c>
      <c r="E66" t="s">
        <v>1051</v>
      </c>
      <c r="F66" t="s">
        <v>1076</v>
      </c>
      <c r="H66" s="305" t="s">
        <v>1731</v>
      </c>
      <c r="I66">
        <f>COUNTIF(Tableau2[Question mère],H66)</f>
        <v>2</v>
      </c>
      <c r="K66" t="s">
        <v>499</v>
      </c>
      <c r="L66">
        <f>COUNTIF(Tableau1[Question fille],Tableau4[[#This Row],[Question fille]])</f>
        <v>1</v>
      </c>
      <c r="N66" s="305" t="s">
        <v>1076</v>
      </c>
      <c r="O66" s="306">
        <f>COUNTIF(Tableau3[Question mère],Tableau5[[#This Row],[Question fille]])</f>
        <v>1</v>
      </c>
      <c r="Q66" s="305" t="s">
        <v>1731</v>
      </c>
      <c r="R66" s="306">
        <f>COUNTIF(Tableau4[Question fille],Tableau58[[#This Row],[Question mère]])</f>
        <v>0</v>
      </c>
    </row>
    <row r="67" spans="2:18" x14ac:dyDescent="0.25">
      <c r="B67" t="s">
        <v>497</v>
      </c>
      <c r="C67" t="s">
        <v>492</v>
      </c>
      <c r="E67" t="s">
        <v>1051</v>
      </c>
      <c r="F67" t="s">
        <v>1082</v>
      </c>
      <c r="H67" s="305" t="s">
        <v>1734</v>
      </c>
      <c r="I67">
        <f>COUNTIF(Tableau2[Question mère],H67)</f>
        <v>4</v>
      </c>
      <c r="K67" t="s">
        <v>503</v>
      </c>
      <c r="L67">
        <f>COUNTIF(Tableau1[Question fille],Tableau4[[#This Row],[Question fille]])</f>
        <v>1</v>
      </c>
      <c r="N67" s="306" t="s">
        <v>1082</v>
      </c>
      <c r="O67" s="306">
        <f>COUNTIF(Tableau3[Question mère],Tableau5[[#This Row],[Question fille]])</f>
        <v>1</v>
      </c>
      <c r="Q67" s="306" t="s">
        <v>1734</v>
      </c>
      <c r="R67" s="306">
        <f>COUNTIF(Tableau4[Question fille],Tableau58[[#This Row],[Question mère]])</f>
        <v>0</v>
      </c>
    </row>
    <row r="68" spans="2:18" x14ac:dyDescent="0.25">
      <c r="B68" t="s">
        <v>497</v>
      </c>
      <c r="C68" t="s">
        <v>472</v>
      </c>
      <c r="E68" t="s">
        <v>1063</v>
      </c>
      <c r="F68" t="s">
        <v>1066</v>
      </c>
      <c r="H68" s="305" t="s">
        <v>829</v>
      </c>
      <c r="I68">
        <f>COUNTIF(Tableau2[Question mère],H68)</f>
        <v>1</v>
      </c>
      <c r="K68" t="s">
        <v>506</v>
      </c>
      <c r="L68">
        <f>COUNTIF(Tableau1[Question fille],Tableau4[[#This Row],[Question fille]])</f>
        <v>1</v>
      </c>
      <c r="N68" s="305" t="s">
        <v>1066</v>
      </c>
      <c r="O68" s="306">
        <f>COUNTIF(Tableau3[Question mère],Tableau5[[#This Row],[Question fille]])</f>
        <v>0</v>
      </c>
      <c r="Q68" s="305" t="s">
        <v>829</v>
      </c>
      <c r="R68" s="306">
        <f>COUNTIF(Tableau4[Question fille],Tableau58[[#This Row],[Question mère]])</f>
        <v>0</v>
      </c>
    </row>
    <row r="69" spans="2:18" x14ac:dyDescent="0.25">
      <c r="B69" t="s">
        <v>499</v>
      </c>
      <c r="C69" t="s">
        <v>472</v>
      </c>
      <c r="E69" t="s">
        <v>1090</v>
      </c>
      <c r="F69" t="s">
        <v>1093</v>
      </c>
      <c r="H69" s="306" t="s">
        <v>844</v>
      </c>
      <c r="I69">
        <f>COUNTIF(Tableau2[Question mère],H69)</f>
        <v>1</v>
      </c>
      <c r="K69" t="s">
        <v>524</v>
      </c>
      <c r="L69">
        <f>COUNTIF(Tableau1[Question fille],Tableau4[[#This Row],[Question fille]])</f>
        <v>2</v>
      </c>
      <c r="N69" s="306" t="s">
        <v>1093</v>
      </c>
      <c r="O69" s="306">
        <f>COUNTIF(Tableau3[Question mère],Tableau5[[#This Row],[Question fille]])</f>
        <v>0</v>
      </c>
      <c r="Q69" s="306" t="s">
        <v>844</v>
      </c>
      <c r="R69" s="306">
        <f>COUNTIF(Tableau4[Question fille],Tableau58[[#This Row],[Question mère]])</f>
        <v>0</v>
      </c>
    </row>
    <row r="70" spans="2:18" x14ac:dyDescent="0.25">
      <c r="B70" t="s">
        <v>503</v>
      </c>
      <c r="C70" t="s">
        <v>472</v>
      </c>
      <c r="E70" t="s">
        <v>1090</v>
      </c>
      <c r="F70" t="s">
        <v>1095</v>
      </c>
      <c r="H70" s="305" t="s">
        <v>354</v>
      </c>
      <c r="I70">
        <f>COUNTIF(Tableau2[Question mère],H70)</f>
        <v>2</v>
      </c>
      <c r="K70" t="s">
        <v>532</v>
      </c>
      <c r="L70">
        <f>COUNTIF(Tableau1[Question fille],Tableau4[[#This Row],[Question fille]])</f>
        <v>2</v>
      </c>
      <c r="N70" s="305" t="s">
        <v>1095</v>
      </c>
      <c r="O70" s="306">
        <f>COUNTIF(Tableau3[Question mère],Tableau5[[#This Row],[Question fille]])</f>
        <v>0</v>
      </c>
      <c r="Q70" s="305" t="s">
        <v>354</v>
      </c>
      <c r="R70" s="306">
        <f>COUNTIF(Tableau4[Question fille],Tableau58[[#This Row],[Question mère]])</f>
        <v>0</v>
      </c>
    </row>
    <row r="71" spans="2:18" x14ac:dyDescent="0.25">
      <c r="B71" t="s">
        <v>506</v>
      </c>
      <c r="C71" t="s">
        <v>503</v>
      </c>
      <c r="E71" t="s">
        <v>1090</v>
      </c>
      <c r="F71" t="s">
        <v>1096</v>
      </c>
      <c r="H71" s="305" t="s">
        <v>1076</v>
      </c>
      <c r="I71">
        <f>COUNTIF(Tableau2[Question mère],H71)</f>
        <v>1</v>
      </c>
      <c r="K71" t="s">
        <v>537</v>
      </c>
      <c r="L71">
        <f>COUNTIF(Tableau1[Question fille],Tableau4[[#This Row],[Question fille]])</f>
        <v>2</v>
      </c>
      <c r="N71" s="306" t="s">
        <v>1096</v>
      </c>
      <c r="O71" s="306">
        <f>COUNTIF(Tableau3[Question mère],Tableau5[[#This Row],[Question fille]])</f>
        <v>0</v>
      </c>
      <c r="Q71" s="306" t="s">
        <v>1076</v>
      </c>
      <c r="R71" s="306">
        <f>COUNTIF(Tableau4[Question fille],Tableau58[[#This Row],[Question mère]])</f>
        <v>1</v>
      </c>
    </row>
    <row r="72" spans="2:18" x14ac:dyDescent="0.25">
      <c r="B72" t="s">
        <v>524</v>
      </c>
      <c r="C72" t="s">
        <v>61</v>
      </c>
      <c r="E72" t="s">
        <v>1090</v>
      </c>
      <c r="F72" t="s">
        <v>1097</v>
      </c>
      <c r="H72" s="306" t="s">
        <v>1082</v>
      </c>
      <c r="I72">
        <f>COUNTIF(Tableau2[Question mère],H72)</f>
        <v>1</v>
      </c>
      <c r="K72" t="s">
        <v>540</v>
      </c>
      <c r="L72">
        <f>COUNTIF(Tableau1[Question fille],Tableau4[[#This Row],[Question fille]])</f>
        <v>1</v>
      </c>
      <c r="N72" s="305" t="s">
        <v>1097</v>
      </c>
      <c r="O72" s="306">
        <f>COUNTIF(Tableau3[Question mère],Tableau5[[#This Row],[Question fille]])</f>
        <v>0</v>
      </c>
      <c r="Q72" s="305" t="s">
        <v>1082</v>
      </c>
      <c r="R72" s="306">
        <f>COUNTIF(Tableau4[Question fille],Tableau58[[#This Row],[Question mère]])</f>
        <v>1</v>
      </c>
    </row>
    <row r="73" spans="2:18" x14ac:dyDescent="0.25">
      <c r="B73" t="s">
        <v>524</v>
      </c>
      <c r="C73" t="s">
        <v>472</v>
      </c>
      <c r="E73" t="s">
        <v>478</v>
      </c>
      <c r="F73" t="s">
        <v>486</v>
      </c>
      <c r="H73" s="305" t="s">
        <v>1289</v>
      </c>
      <c r="I73">
        <f>COUNTIF(Tableau2[Question mère],H73)</f>
        <v>1</v>
      </c>
      <c r="K73" t="s">
        <v>542</v>
      </c>
      <c r="L73">
        <f>COUNTIF(Tableau1[Question fille],Tableau4[[#This Row],[Question fille]])</f>
        <v>1</v>
      </c>
      <c r="N73" s="306" t="s">
        <v>486</v>
      </c>
      <c r="O73" s="306">
        <f>COUNTIF(Tableau3[Question mère],Tableau5[[#This Row],[Question fille]])</f>
        <v>0</v>
      </c>
      <c r="Q73" s="306" t="s">
        <v>1289</v>
      </c>
      <c r="R73" s="306">
        <f>COUNTIF(Tableau4[Question fille],Tableau58[[#This Row],[Question mère]])</f>
        <v>0</v>
      </c>
    </row>
    <row r="74" spans="2:18" x14ac:dyDescent="0.25">
      <c r="B74" t="s">
        <v>532</v>
      </c>
      <c r="C74" t="s">
        <v>45</v>
      </c>
      <c r="E74" t="s">
        <v>478</v>
      </c>
      <c r="F74" t="s">
        <v>488</v>
      </c>
      <c r="H74" s="306" t="s">
        <v>76</v>
      </c>
      <c r="I74">
        <f>COUNTIF(Tableau2[Question mère],H74)</f>
        <v>1</v>
      </c>
      <c r="K74" t="s">
        <v>545</v>
      </c>
      <c r="L74">
        <f>COUNTIF(Tableau1[Question fille],Tableau4[[#This Row],[Question fille]])</f>
        <v>1</v>
      </c>
      <c r="N74" s="305" t="s">
        <v>488</v>
      </c>
      <c r="O74" s="306">
        <f>COUNTIF(Tableau3[Question mère],Tableau5[[#This Row],[Question fille]])</f>
        <v>0</v>
      </c>
      <c r="Q74" s="305" t="s">
        <v>76</v>
      </c>
      <c r="R74" s="306">
        <f>COUNTIF(Tableau4[Question fille],Tableau58[[#This Row],[Question mère]])</f>
        <v>0</v>
      </c>
    </row>
    <row r="75" spans="2:18" x14ac:dyDescent="0.25">
      <c r="B75" t="s">
        <v>532</v>
      </c>
      <c r="C75" t="s">
        <v>18</v>
      </c>
      <c r="E75" t="s">
        <v>478</v>
      </c>
      <c r="F75" t="s">
        <v>482</v>
      </c>
      <c r="H75" s="305" t="s">
        <v>80</v>
      </c>
      <c r="I75">
        <f>COUNTIF(Tableau2[Question mère],H75)</f>
        <v>1</v>
      </c>
      <c r="K75" t="s">
        <v>547</v>
      </c>
      <c r="L75">
        <f>COUNTIF(Tableau1[Question fille],Tableau4[[#This Row],[Question fille]])</f>
        <v>1</v>
      </c>
      <c r="N75" s="306" t="s">
        <v>482</v>
      </c>
      <c r="O75" s="306">
        <f>COUNTIF(Tableau3[Question mère],Tableau5[[#This Row],[Question fille]])</f>
        <v>1</v>
      </c>
      <c r="Q75" s="306" t="s">
        <v>80</v>
      </c>
      <c r="R75" s="306">
        <f>COUNTIF(Tableau4[Question fille],Tableau58[[#This Row],[Question mère]])</f>
        <v>1</v>
      </c>
    </row>
    <row r="76" spans="2:18" x14ac:dyDescent="0.25">
      <c r="B76" t="s">
        <v>537</v>
      </c>
      <c r="C76" t="s">
        <v>18</v>
      </c>
      <c r="E76" t="s">
        <v>492</v>
      </c>
      <c r="F76" t="s">
        <v>495</v>
      </c>
      <c r="H76" s="306" t="s">
        <v>92</v>
      </c>
      <c r="I76">
        <f>COUNTIF(Tableau2[Question mère],H76)</f>
        <v>1</v>
      </c>
      <c r="K76" t="s">
        <v>551</v>
      </c>
      <c r="L76">
        <f>COUNTIF(Tableau1[Question fille],Tableau4[[#This Row],[Question fille]])</f>
        <v>1</v>
      </c>
      <c r="N76" s="305" t="s">
        <v>495</v>
      </c>
      <c r="O76" s="306">
        <f>COUNTIF(Tableau3[Question mère],Tableau5[[#This Row],[Question fille]])</f>
        <v>0</v>
      </c>
      <c r="Q76" s="305" t="s">
        <v>92</v>
      </c>
      <c r="R76" s="306">
        <f>COUNTIF(Tableau4[Question fille],Tableau58[[#This Row],[Question mère]])</f>
        <v>0</v>
      </c>
    </row>
    <row r="77" spans="2:18" x14ac:dyDescent="0.25">
      <c r="B77" t="s">
        <v>537</v>
      </c>
      <c r="C77" t="s">
        <v>472</v>
      </c>
      <c r="E77" t="s">
        <v>492</v>
      </c>
      <c r="F77" t="s">
        <v>497</v>
      </c>
      <c r="H77" s="305" t="s">
        <v>96</v>
      </c>
      <c r="I77">
        <f>COUNTIF(Tableau2[Question mère],H77)</f>
        <v>1</v>
      </c>
      <c r="K77" t="s">
        <v>535</v>
      </c>
      <c r="L77">
        <f>COUNTIF(Tableau1[Question fille],Tableau4[[#This Row],[Question fille]])</f>
        <v>1</v>
      </c>
      <c r="N77" s="306" t="s">
        <v>497</v>
      </c>
      <c r="O77" s="306">
        <f>COUNTIF(Tableau3[Question mère],Tableau5[[#This Row],[Question fille]])</f>
        <v>0</v>
      </c>
      <c r="Q77" s="306" t="s">
        <v>96</v>
      </c>
      <c r="R77" s="306">
        <f>COUNTIF(Tableau4[Question fille],Tableau58[[#This Row],[Question mère]])</f>
        <v>1</v>
      </c>
    </row>
    <row r="78" spans="2:18" x14ac:dyDescent="0.25">
      <c r="B78" t="s">
        <v>540</v>
      </c>
      <c r="C78" t="s">
        <v>537</v>
      </c>
      <c r="E78" t="s">
        <v>503</v>
      </c>
      <c r="F78" t="s">
        <v>506</v>
      </c>
      <c r="H78" s="306" t="s">
        <v>864</v>
      </c>
      <c r="I78">
        <f>COUNTIF(Tableau2[Question mère],H78)</f>
        <v>6</v>
      </c>
      <c r="K78" t="s">
        <v>527</v>
      </c>
      <c r="L78">
        <f>COUNTIF(Tableau1[Question fille],Tableau4[[#This Row],[Question fille]])</f>
        <v>1</v>
      </c>
      <c r="N78" s="305" t="s">
        <v>506</v>
      </c>
      <c r="O78" s="306">
        <f>COUNTIF(Tableau3[Question mère],Tableau5[[#This Row],[Question fille]])</f>
        <v>0</v>
      </c>
      <c r="Q78" s="305" t="s">
        <v>864</v>
      </c>
      <c r="R78" s="306">
        <f>COUNTIF(Tableau4[Question fille],Tableau58[[#This Row],[Question mère]])</f>
        <v>0</v>
      </c>
    </row>
    <row r="79" spans="2:18" x14ac:dyDescent="0.25">
      <c r="B79" t="s">
        <v>542</v>
      </c>
      <c r="C79" t="s">
        <v>472</v>
      </c>
      <c r="E79" t="s">
        <v>532</v>
      </c>
      <c r="F79" t="s">
        <v>535</v>
      </c>
      <c r="H79" s="306" t="s">
        <v>862</v>
      </c>
      <c r="I79">
        <f>COUNTIF(Tableau2[Question mère],H79)</f>
        <v>1</v>
      </c>
      <c r="K79" t="s">
        <v>530</v>
      </c>
      <c r="L79">
        <f>COUNTIF(Tableau1[Question fille],Tableau4[[#This Row],[Question fille]])</f>
        <v>1</v>
      </c>
      <c r="N79" s="306" t="s">
        <v>535</v>
      </c>
      <c r="O79" s="306">
        <f>COUNTIF(Tableau3[Question mère],Tableau5[[#This Row],[Question fille]])</f>
        <v>0</v>
      </c>
      <c r="Q79" s="306" t="s">
        <v>862</v>
      </c>
      <c r="R79" s="306">
        <f>COUNTIF(Tableau4[Question fille],Tableau58[[#This Row],[Question mère]])</f>
        <v>0</v>
      </c>
    </row>
    <row r="80" spans="2:18" x14ac:dyDescent="0.25">
      <c r="B80" t="s">
        <v>545</v>
      </c>
      <c r="C80" t="s">
        <v>542</v>
      </c>
      <c r="E80" t="s">
        <v>537</v>
      </c>
      <c r="F80" t="s">
        <v>540</v>
      </c>
      <c r="H80" s="305" t="s">
        <v>909</v>
      </c>
      <c r="I80">
        <f>COUNTIF(Tableau2[Question mère],H80)</f>
        <v>1</v>
      </c>
      <c r="K80" t="s">
        <v>558</v>
      </c>
      <c r="L80">
        <f>COUNTIF(Tableau1[Question fille],Tableau4[[#This Row],[Question fille]])</f>
        <v>1</v>
      </c>
      <c r="N80" s="305" t="s">
        <v>540</v>
      </c>
      <c r="O80" s="306">
        <f>COUNTIF(Tableau3[Question mère],Tableau5[[#This Row],[Question fille]])</f>
        <v>0</v>
      </c>
      <c r="Q80" s="305" t="s">
        <v>909</v>
      </c>
      <c r="R80" s="306">
        <f>COUNTIF(Tableau4[Question fille],Tableau58[[#This Row],[Question mère]])</f>
        <v>1</v>
      </c>
    </row>
    <row r="81" spans="2:18" x14ac:dyDescent="0.25">
      <c r="B81" t="s">
        <v>547</v>
      </c>
      <c r="C81" t="s">
        <v>472</v>
      </c>
      <c r="E81" t="s">
        <v>542</v>
      </c>
      <c r="F81" t="s">
        <v>545</v>
      </c>
      <c r="H81" s="306" t="s">
        <v>918</v>
      </c>
      <c r="I81">
        <f>COUNTIF(Tableau2[Question mère],H81)</f>
        <v>1</v>
      </c>
      <c r="K81" t="s">
        <v>561</v>
      </c>
      <c r="L81">
        <f>COUNTIF(Tableau1[Question fille],Tableau4[[#This Row],[Question fille]])</f>
        <v>1</v>
      </c>
      <c r="N81" s="306" t="s">
        <v>545</v>
      </c>
      <c r="O81" s="306">
        <f>COUNTIF(Tableau3[Question mère],Tableau5[[#This Row],[Question fille]])</f>
        <v>0</v>
      </c>
      <c r="Q81" s="306" t="s">
        <v>918</v>
      </c>
      <c r="R81" s="306">
        <f>COUNTIF(Tableau4[Question fille],Tableau58[[#This Row],[Question mère]])</f>
        <v>0</v>
      </c>
    </row>
    <row r="82" spans="2:18" x14ac:dyDescent="0.25">
      <c r="B82" t="s">
        <v>551</v>
      </c>
      <c r="C82" t="s">
        <v>547</v>
      </c>
      <c r="E82" t="s">
        <v>547</v>
      </c>
      <c r="F82" t="s">
        <v>551</v>
      </c>
      <c r="H82" s="305" t="s">
        <v>932</v>
      </c>
      <c r="I82">
        <f>COUNTIF(Tableau2[Question mère],H82)</f>
        <v>1</v>
      </c>
      <c r="K82" t="s">
        <v>564</v>
      </c>
      <c r="L82">
        <f>COUNTIF(Tableau1[Question fille],Tableau4[[#This Row],[Question fille]])</f>
        <v>1</v>
      </c>
      <c r="N82" s="305" t="s">
        <v>551</v>
      </c>
      <c r="O82" s="306">
        <f>COUNTIF(Tableau3[Question mère],Tableau5[[#This Row],[Question fille]])</f>
        <v>1</v>
      </c>
      <c r="Q82" s="305" t="s">
        <v>932</v>
      </c>
      <c r="R82" s="306">
        <f>COUNTIF(Tableau4[Question fille],Tableau58[[#This Row],[Question mère]])</f>
        <v>0</v>
      </c>
    </row>
    <row r="83" spans="2:18" x14ac:dyDescent="0.25">
      <c r="B83" t="s">
        <v>535</v>
      </c>
      <c r="C83" t="s">
        <v>532</v>
      </c>
      <c r="E83" t="s">
        <v>551</v>
      </c>
      <c r="F83" t="s">
        <v>554</v>
      </c>
      <c r="H83" s="306" t="s">
        <v>942</v>
      </c>
      <c r="I83">
        <f>COUNTIF(Tableau2[Question mère],H83)</f>
        <v>13</v>
      </c>
      <c r="K83" t="s">
        <v>1015</v>
      </c>
      <c r="L83">
        <f>COUNTIF(Tableau1[Question fille],Tableau4[[#This Row],[Question fille]])</f>
        <v>1</v>
      </c>
      <c r="N83" s="306" t="s">
        <v>554</v>
      </c>
      <c r="O83" s="306">
        <f>COUNTIF(Tableau3[Question mère],Tableau5[[#This Row],[Question fille]])</f>
        <v>0</v>
      </c>
      <c r="Q83" s="306" t="s">
        <v>942</v>
      </c>
      <c r="R83" s="306">
        <f>COUNTIF(Tableau4[Question fille],Tableau58[[#This Row],[Question mère]])</f>
        <v>0</v>
      </c>
    </row>
    <row r="84" spans="2:18" x14ac:dyDescent="0.25">
      <c r="B84" t="s">
        <v>527</v>
      </c>
      <c r="C84" t="s">
        <v>45</v>
      </c>
      <c r="E84" t="s">
        <v>527</v>
      </c>
      <c r="F84" t="s">
        <v>530</v>
      </c>
      <c r="H84" s="305" t="s">
        <v>985</v>
      </c>
      <c r="I84">
        <f>COUNTIF(Tableau2[Question mère],H84)</f>
        <v>2</v>
      </c>
      <c r="K84" t="s">
        <v>567</v>
      </c>
      <c r="L84">
        <f>COUNTIF(Tableau1[Question fille],Tableau4[[#This Row],[Question fille]])</f>
        <v>1</v>
      </c>
      <c r="N84" s="305" t="s">
        <v>530</v>
      </c>
      <c r="O84" s="306">
        <f>COUNTIF(Tableau3[Question mère],Tableau5[[#This Row],[Question fille]])</f>
        <v>0</v>
      </c>
      <c r="Q84" s="305" t="s">
        <v>985</v>
      </c>
      <c r="R84" s="306">
        <f>COUNTIF(Tableau4[Question fille],Tableau58[[#This Row],[Question mère]])</f>
        <v>1</v>
      </c>
    </row>
    <row r="85" spans="2:18" x14ac:dyDescent="0.25">
      <c r="B85" t="s">
        <v>530</v>
      </c>
      <c r="C85" t="s">
        <v>527</v>
      </c>
      <c r="E85" t="s">
        <v>558</v>
      </c>
      <c r="F85" t="s">
        <v>561</v>
      </c>
      <c r="H85" s="305" t="s">
        <v>994</v>
      </c>
      <c r="I85">
        <f>COUNTIF(Tableau2[Question mère],H85)</f>
        <v>1</v>
      </c>
      <c r="K85" t="s">
        <v>510</v>
      </c>
      <c r="L85">
        <f>COUNTIF(Tableau1[Question fille],Tableau4[[#This Row],[Question fille]])</f>
        <v>1</v>
      </c>
      <c r="N85" s="306" t="s">
        <v>561</v>
      </c>
      <c r="O85" s="306">
        <f>COUNTIF(Tableau3[Question mère],Tableau5[[#This Row],[Question fille]])</f>
        <v>0</v>
      </c>
      <c r="Q85" s="306" t="s">
        <v>994</v>
      </c>
      <c r="R85" s="306">
        <f>COUNTIF(Tableau4[Question fille],Tableau58[[#This Row],[Question mère]])</f>
        <v>1</v>
      </c>
    </row>
    <row r="86" spans="2:18" x14ac:dyDescent="0.25">
      <c r="B86" t="s">
        <v>558</v>
      </c>
      <c r="C86" t="s">
        <v>472</v>
      </c>
      <c r="E86" t="s">
        <v>558</v>
      </c>
      <c r="F86" t="s">
        <v>564</v>
      </c>
      <c r="H86" s="306" t="s">
        <v>1000</v>
      </c>
      <c r="I86">
        <f>COUNTIF(Tableau2[Question mère],H86)</f>
        <v>4</v>
      </c>
      <c r="K86" t="s">
        <v>514</v>
      </c>
      <c r="L86">
        <f>COUNTIF(Tableau1[Question fille],Tableau4[[#This Row],[Question fille]])</f>
        <v>1</v>
      </c>
      <c r="N86" s="305" t="s">
        <v>564</v>
      </c>
      <c r="O86" s="306">
        <f>COUNTIF(Tableau3[Question mère],Tableau5[[#This Row],[Question fille]])</f>
        <v>0</v>
      </c>
      <c r="Q86" s="305" t="s">
        <v>1000</v>
      </c>
      <c r="R86" s="306">
        <f>COUNTIF(Tableau4[Question fille],Tableau58[[#This Row],[Question mère]])</f>
        <v>0</v>
      </c>
    </row>
    <row r="87" spans="2:18" x14ac:dyDescent="0.25">
      <c r="B87" t="s">
        <v>561</v>
      </c>
      <c r="C87" t="s">
        <v>558</v>
      </c>
      <c r="E87" t="s">
        <v>558</v>
      </c>
      <c r="F87" t="s">
        <v>567</v>
      </c>
      <c r="H87" s="306" t="s">
        <v>1004</v>
      </c>
      <c r="I87">
        <f>COUNTIF(Tableau2[Question mère],H87)</f>
        <v>1</v>
      </c>
      <c r="K87" t="s">
        <v>520</v>
      </c>
      <c r="L87">
        <f>COUNTIF(Tableau1[Question fille],Tableau4[[#This Row],[Question fille]])</f>
        <v>2</v>
      </c>
      <c r="N87" s="306" t="s">
        <v>567</v>
      </c>
      <c r="O87" s="306">
        <f>COUNTIF(Tableau3[Question mère],Tableau5[[#This Row],[Question fille]])</f>
        <v>0</v>
      </c>
      <c r="Q87" s="306" t="s">
        <v>1004</v>
      </c>
      <c r="R87" s="306">
        <f>COUNTIF(Tableau4[Question fille],Tableau58[[#This Row],[Question mère]])</f>
        <v>1</v>
      </c>
    </row>
    <row r="88" spans="2:18" x14ac:dyDescent="0.25">
      <c r="B88" t="s">
        <v>564</v>
      </c>
      <c r="C88" t="s">
        <v>558</v>
      </c>
      <c r="E88" t="s">
        <v>510</v>
      </c>
      <c r="F88" t="s">
        <v>514</v>
      </c>
      <c r="H88" s="305" t="s">
        <v>1028</v>
      </c>
      <c r="I88">
        <f>COUNTIF(Tableau2[Question mère],H88)</f>
        <v>3</v>
      </c>
      <c r="K88" t="s">
        <v>516</v>
      </c>
      <c r="L88">
        <f>COUNTIF(Tableau1[Question fille],Tableau4[[#This Row],[Question fille]])</f>
        <v>1</v>
      </c>
      <c r="N88" s="305" t="s">
        <v>514</v>
      </c>
      <c r="O88" s="306">
        <f>COUNTIF(Tableau3[Question mère],Tableau5[[#This Row],[Question fille]])</f>
        <v>0</v>
      </c>
      <c r="Q88" s="305" t="s">
        <v>1028</v>
      </c>
      <c r="R88" s="306">
        <f>COUNTIF(Tableau4[Question fille],Tableau58[[#This Row],[Question mère]])</f>
        <v>0</v>
      </c>
    </row>
    <row r="89" spans="2:18" x14ac:dyDescent="0.25">
      <c r="B89" t="s">
        <v>1015</v>
      </c>
      <c r="C89" t="s">
        <v>1012</v>
      </c>
      <c r="E89" t="s">
        <v>815</v>
      </c>
      <c r="F89" t="s">
        <v>819</v>
      </c>
      <c r="H89" s="306" t="s">
        <v>1032</v>
      </c>
      <c r="I89">
        <f>COUNTIF(Tableau2[Question mère],H89)</f>
        <v>1</v>
      </c>
      <c r="K89" t="s">
        <v>819</v>
      </c>
      <c r="L89">
        <f>COUNTIF(Tableau1[Question fille],Tableau4[[#This Row],[Question fille]])</f>
        <v>1</v>
      </c>
      <c r="N89" s="306" t="s">
        <v>819</v>
      </c>
      <c r="O89" s="306">
        <f>COUNTIF(Tableau3[Question mère],Tableau5[[#This Row],[Question fille]])</f>
        <v>0</v>
      </c>
      <c r="Q89" s="306" t="s">
        <v>1032</v>
      </c>
      <c r="R89" s="306">
        <f>COUNTIF(Tableau4[Question fille],Tableau58[[#This Row],[Question mère]])</f>
        <v>1</v>
      </c>
    </row>
    <row r="90" spans="2:18" x14ac:dyDescent="0.25">
      <c r="B90" t="s">
        <v>567</v>
      </c>
      <c r="C90" t="s">
        <v>558</v>
      </c>
      <c r="E90" t="s">
        <v>61</v>
      </c>
      <c r="F90" t="s">
        <v>737</v>
      </c>
      <c r="H90" s="305" t="s">
        <v>1042</v>
      </c>
      <c r="I90">
        <f>COUNTIF(Tableau2[Question mère],H90)</f>
        <v>1</v>
      </c>
      <c r="K90" t="s">
        <v>778</v>
      </c>
      <c r="L90">
        <f>COUNTIF(Tableau1[Question fille],Tableau4[[#This Row],[Question fille]])</f>
        <v>1</v>
      </c>
      <c r="N90" s="305" t="s">
        <v>737</v>
      </c>
      <c r="O90" s="306">
        <f>COUNTIF(Tableau3[Question mère],Tableau5[[#This Row],[Question fille]])</f>
        <v>1</v>
      </c>
      <c r="Q90" s="305" t="s">
        <v>1042</v>
      </c>
      <c r="R90" s="306">
        <f>COUNTIF(Tableau4[Question fille],Tableau58[[#This Row],[Question mère]])</f>
        <v>1</v>
      </c>
    </row>
    <row r="91" spans="2:18" x14ac:dyDescent="0.25">
      <c r="B91" t="s">
        <v>510</v>
      </c>
      <c r="C91" t="s">
        <v>472</v>
      </c>
      <c r="E91" t="s">
        <v>61</v>
      </c>
      <c r="F91" t="s">
        <v>524</v>
      </c>
      <c r="H91" s="306" t="s">
        <v>1357</v>
      </c>
      <c r="I91">
        <f>COUNTIF(Tableau2[Question mère],H91)</f>
        <v>1</v>
      </c>
      <c r="K91" t="s">
        <v>782</v>
      </c>
      <c r="L91">
        <f>COUNTIF(Tableau1[Question fille],Tableau4[[#This Row],[Question fille]])</f>
        <v>1</v>
      </c>
      <c r="N91" s="306" t="s">
        <v>524</v>
      </c>
      <c r="O91" s="306">
        <f>COUNTIF(Tableau3[Question mère],Tableau5[[#This Row],[Question fille]])</f>
        <v>0</v>
      </c>
      <c r="Q91" s="306" t="s">
        <v>1357</v>
      </c>
      <c r="R91" s="306">
        <f>COUNTIF(Tableau4[Question fille],Tableau58[[#This Row],[Question mère]])</f>
        <v>0</v>
      </c>
    </row>
    <row r="92" spans="2:18" x14ac:dyDescent="0.25">
      <c r="B92" t="s">
        <v>514</v>
      </c>
      <c r="C92" t="s">
        <v>510</v>
      </c>
      <c r="E92" t="s">
        <v>61</v>
      </c>
      <c r="F92" t="s">
        <v>520</v>
      </c>
      <c r="H92" s="305" t="s">
        <v>1108</v>
      </c>
      <c r="I92">
        <f>COUNTIF(Tableau2[Question mère],H92)</f>
        <v>1</v>
      </c>
      <c r="K92" t="s">
        <v>785</v>
      </c>
      <c r="L92">
        <f>COUNTIF(Tableau1[Question fille],Tableau4[[#This Row],[Question fille]])</f>
        <v>1</v>
      </c>
      <c r="N92" s="305" t="s">
        <v>520</v>
      </c>
      <c r="O92" s="306">
        <f>COUNTIF(Tableau3[Question mère],Tableau5[[#This Row],[Question fille]])</f>
        <v>0</v>
      </c>
      <c r="Q92" s="305" t="s">
        <v>1108</v>
      </c>
      <c r="R92" s="306">
        <f>COUNTIF(Tableau4[Question fille],Tableau58[[#This Row],[Question mère]])</f>
        <v>0</v>
      </c>
    </row>
    <row r="93" spans="2:18" x14ac:dyDescent="0.25">
      <c r="B93" t="s">
        <v>520</v>
      </c>
      <c r="C93" t="s">
        <v>61</v>
      </c>
      <c r="E93" t="s">
        <v>61</v>
      </c>
      <c r="F93" t="s">
        <v>65</v>
      </c>
      <c r="H93" s="306" t="s">
        <v>1116</v>
      </c>
      <c r="I93">
        <f>COUNTIF(Tableau2[Question mère],H93)</f>
        <v>1</v>
      </c>
      <c r="K93" t="s">
        <v>793</v>
      </c>
      <c r="L93">
        <f>COUNTIF(Tableau1[Question fille],Tableau4[[#This Row],[Question fille]])</f>
        <v>1</v>
      </c>
      <c r="N93" s="306" t="s">
        <v>65</v>
      </c>
      <c r="O93" s="306">
        <f>COUNTIF(Tableau3[Question mère],Tableau5[[#This Row],[Question fille]])</f>
        <v>0</v>
      </c>
      <c r="Q93" s="306" t="s">
        <v>1116</v>
      </c>
      <c r="R93" s="306">
        <f>COUNTIF(Tableau4[Question fille],Tableau58[[#This Row],[Question mère]])</f>
        <v>0</v>
      </c>
    </row>
    <row r="94" spans="2:18" x14ac:dyDescent="0.25">
      <c r="B94" t="s">
        <v>520</v>
      </c>
      <c r="C94" t="s">
        <v>472</v>
      </c>
      <c r="E94" t="s">
        <v>61</v>
      </c>
      <c r="F94" t="s">
        <v>909</v>
      </c>
      <c r="H94" s="305" t="s">
        <v>1120</v>
      </c>
      <c r="I94">
        <f>COUNTIF(Tableau2[Question mère],H94)</f>
        <v>1</v>
      </c>
      <c r="K94" t="s">
        <v>799</v>
      </c>
      <c r="L94">
        <f>COUNTIF(Tableau1[Question fille],Tableau4[[#This Row],[Question fille]])</f>
        <v>1</v>
      </c>
      <c r="N94" s="305" t="s">
        <v>909</v>
      </c>
      <c r="O94" s="306">
        <f>COUNTIF(Tableau3[Question mère],Tableau5[[#This Row],[Question fille]])</f>
        <v>1</v>
      </c>
      <c r="Q94" s="305" t="s">
        <v>1120</v>
      </c>
      <c r="R94" s="306">
        <f>COUNTIF(Tableau4[Question fille],Tableau58[[#This Row],[Question mère]])</f>
        <v>1</v>
      </c>
    </row>
    <row r="95" spans="2:18" x14ac:dyDescent="0.25">
      <c r="B95" t="s">
        <v>516</v>
      </c>
      <c r="C95" t="s">
        <v>472</v>
      </c>
      <c r="E95" t="s">
        <v>61</v>
      </c>
      <c r="F95" t="s">
        <v>1214</v>
      </c>
      <c r="H95" s="306" t="s">
        <v>1419</v>
      </c>
      <c r="I95">
        <f>COUNTIF(Tableau2[Question mère],H95)</f>
        <v>1</v>
      </c>
      <c r="K95" t="s">
        <v>803</v>
      </c>
      <c r="L95">
        <f>COUNTIF(Tableau1[Question fille],Tableau4[[#This Row],[Question fille]])</f>
        <v>1</v>
      </c>
      <c r="N95" s="306" t="s">
        <v>1214</v>
      </c>
      <c r="O95" s="306">
        <f>COUNTIF(Tableau3[Question mère],Tableau5[[#This Row],[Question fille]])</f>
        <v>0</v>
      </c>
      <c r="Q95" s="306" t="s">
        <v>1419</v>
      </c>
      <c r="R95" s="306">
        <f>COUNTIF(Tableau4[Question fille],Tableau58[[#This Row],[Question mère]])</f>
        <v>0</v>
      </c>
    </row>
    <row r="96" spans="2:18" x14ac:dyDescent="0.25">
      <c r="B96" t="s">
        <v>819</v>
      </c>
      <c r="C96" t="s">
        <v>815</v>
      </c>
      <c r="E96" t="s">
        <v>61</v>
      </c>
      <c r="F96" t="s">
        <v>1137</v>
      </c>
      <c r="H96" s="305" t="s">
        <v>1425</v>
      </c>
      <c r="I96">
        <f>COUNTIF(Tableau2[Question mère],H96)</f>
        <v>2</v>
      </c>
      <c r="K96" t="s">
        <v>1309</v>
      </c>
      <c r="L96">
        <f>COUNTIF(Tableau1[Question fille],Tableau4[[#This Row],[Question fille]])</f>
        <v>1</v>
      </c>
      <c r="N96" s="305" t="s">
        <v>1137</v>
      </c>
      <c r="O96" s="306">
        <f>COUNTIF(Tableau3[Question mère],Tableau5[[#This Row],[Question fille]])</f>
        <v>1</v>
      </c>
      <c r="Q96" s="305" t="s">
        <v>1425</v>
      </c>
      <c r="R96" s="306">
        <f>COUNTIF(Tableau4[Question fille],Tableau58[[#This Row],[Question mère]])</f>
        <v>0</v>
      </c>
    </row>
    <row r="97" spans="2:18" x14ac:dyDescent="0.25">
      <c r="B97" t="s">
        <v>778</v>
      </c>
      <c r="C97" t="s">
        <v>774</v>
      </c>
      <c r="E97" t="s">
        <v>774</v>
      </c>
      <c r="F97" t="s">
        <v>778</v>
      </c>
      <c r="H97" s="305" t="s">
        <v>1433</v>
      </c>
      <c r="I97">
        <f>COUNTIF(Tableau2[Question mère],H97)</f>
        <v>2</v>
      </c>
      <c r="K97" t="s">
        <v>1403</v>
      </c>
      <c r="L97">
        <f>COUNTIF(Tableau1[Question fille],Tableau4[[#This Row],[Question fille]])</f>
        <v>1</v>
      </c>
      <c r="N97" s="306" t="s">
        <v>778</v>
      </c>
      <c r="O97" s="306">
        <f>COUNTIF(Tableau3[Question mère],Tableau5[[#This Row],[Question fille]])</f>
        <v>1</v>
      </c>
      <c r="Q97" s="306" t="s">
        <v>1433</v>
      </c>
      <c r="R97" s="306">
        <f>COUNTIF(Tableau4[Question fille],Tableau58[[#This Row],[Question mère]])</f>
        <v>0</v>
      </c>
    </row>
    <row r="98" spans="2:18" x14ac:dyDescent="0.25">
      <c r="B98" t="s">
        <v>782</v>
      </c>
      <c r="C98" t="s">
        <v>778</v>
      </c>
      <c r="E98" t="s">
        <v>774</v>
      </c>
      <c r="F98" t="s">
        <v>785</v>
      </c>
      <c r="H98" s="305" t="s">
        <v>2033</v>
      </c>
      <c r="I98">
        <f>COUNTIF(Tableau2[Question mère],H98)</f>
        <v>1</v>
      </c>
      <c r="K98" t="s">
        <v>881</v>
      </c>
      <c r="L98">
        <f>COUNTIF(Tableau1[Question fille],Tableau4[[#This Row],[Question fille]])</f>
        <v>2</v>
      </c>
      <c r="N98" s="305" t="s">
        <v>785</v>
      </c>
      <c r="O98" s="306">
        <f>COUNTIF(Tableau3[Question mère],Tableau5[[#This Row],[Question fille]])</f>
        <v>0</v>
      </c>
      <c r="Q98" s="305" t="s">
        <v>2033</v>
      </c>
      <c r="R98" s="306">
        <f>COUNTIF(Tableau4[Question fille],Tableau58[[#This Row],[Question mère]])</f>
        <v>0</v>
      </c>
    </row>
    <row r="99" spans="2:18" x14ac:dyDescent="0.25">
      <c r="B99" t="s">
        <v>785</v>
      </c>
      <c r="C99" t="s">
        <v>774</v>
      </c>
      <c r="E99" t="s">
        <v>778</v>
      </c>
      <c r="F99" t="s">
        <v>782</v>
      </c>
      <c r="H99" s="306" t="s">
        <v>1446</v>
      </c>
      <c r="I99">
        <f>COUNTIF(Tableau2[Question mère],H99)</f>
        <v>1</v>
      </c>
      <c r="K99" t="s">
        <v>885</v>
      </c>
      <c r="L99">
        <f>COUNTIF(Tableau1[Question fille],Tableau4[[#This Row],[Question fille]])</f>
        <v>1</v>
      </c>
      <c r="N99" s="306" t="s">
        <v>782</v>
      </c>
      <c r="O99" s="306">
        <f>COUNTIF(Tableau3[Question mère],Tableau5[[#This Row],[Question fille]])</f>
        <v>0</v>
      </c>
      <c r="Q99" s="306" t="s">
        <v>1446</v>
      </c>
      <c r="R99" s="306">
        <f>COUNTIF(Tableau4[Question fille],Tableau58[[#This Row],[Question mère]])</f>
        <v>1</v>
      </c>
    </row>
    <row r="100" spans="2:18" x14ac:dyDescent="0.25">
      <c r="B100" t="s">
        <v>793</v>
      </c>
      <c r="C100" t="s">
        <v>789</v>
      </c>
      <c r="E100" t="s">
        <v>789</v>
      </c>
      <c r="F100" t="s">
        <v>793</v>
      </c>
      <c r="H100" s="305" t="s">
        <v>1205</v>
      </c>
      <c r="I100">
        <f>COUNTIF(Tableau2[Question mère],H100)</f>
        <v>2</v>
      </c>
      <c r="K100" t="s">
        <v>1019</v>
      </c>
      <c r="L100">
        <f>COUNTIF(Tableau1[Question fille],Tableau4[[#This Row],[Question fille]])</f>
        <v>1</v>
      </c>
      <c r="N100" s="305" t="s">
        <v>793</v>
      </c>
      <c r="O100" s="306">
        <f>COUNTIF(Tableau3[Question mère],Tableau5[[#This Row],[Question fille]])</f>
        <v>0</v>
      </c>
      <c r="Q100" s="305" t="s">
        <v>1205</v>
      </c>
      <c r="R100" s="306">
        <f>COUNTIF(Tableau4[Question fille],Tableau58[[#This Row],[Question mère]])</f>
        <v>0</v>
      </c>
    </row>
    <row r="101" spans="2:18" x14ac:dyDescent="0.25">
      <c r="B101" t="s">
        <v>799</v>
      </c>
      <c r="C101" t="s">
        <v>795</v>
      </c>
      <c r="E101" t="s">
        <v>795</v>
      </c>
      <c r="F101" t="s">
        <v>799</v>
      </c>
      <c r="H101" s="305" t="s">
        <v>1127</v>
      </c>
      <c r="I101">
        <f>COUNTIF(Tableau2[Question mère],H101)</f>
        <v>2</v>
      </c>
      <c r="K101" t="s">
        <v>894</v>
      </c>
      <c r="L101">
        <f>COUNTIF(Tableau1[Question fille],Tableau4[[#This Row],[Question fille]])</f>
        <v>1</v>
      </c>
      <c r="N101" s="306" t="s">
        <v>799</v>
      </c>
      <c r="O101" s="306">
        <f>COUNTIF(Tableau3[Question mère],Tableau5[[#This Row],[Question fille]])</f>
        <v>1</v>
      </c>
      <c r="Q101" s="306" t="s">
        <v>1127</v>
      </c>
      <c r="R101" s="306">
        <f>COUNTIF(Tableau4[Question fille],Tableau58[[#This Row],[Question mère]])</f>
        <v>0</v>
      </c>
    </row>
    <row r="102" spans="2:18" x14ac:dyDescent="0.25">
      <c r="B102" t="s">
        <v>803</v>
      </c>
      <c r="C102" t="s">
        <v>799</v>
      </c>
      <c r="E102" t="s">
        <v>799</v>
      </c>
      <c r="F102" t="s">
        <v>803</v>
      </c>
      <c r="H102" s="305" t="s">
        <v>1137</v>
      </c>
      <c r="I102">
        <f>COUNTIF(Tableau2[Question mère],H102)</f>
        <v>1</v>
      </c>
      <c r="K102" t="s">
        <v>898</v>
      </c>
      <c r="L102">
        <f>COUNTIF(Tableau1[Question fille],Tableau4[[#This Row],[Question fille]])</f>
        <v>1</v>
      </c>
      <c r="N102" s="305" t="s">
        <v>803</v>
      </c>
      <c r="O102" s="306">
        <f>COUNTIF(Tableau3[Question mère],Tableau5[[#This Row],[Question fille]])</f>
        <v>0</v>
      </c>
      <c r="Q102" s="305" t="s">
        <v>1137</v>
      </c>
      <c r="R102" s="306">
        <f>COUNTIF(Tableau4[Question fille],Tableau58[[#This Row],[Question mère]])</f>
        <v>1</v>
      </c>
    </row>
    <row r="103" spans="2:18" x14ac:dyDescent="0.25">
      <c r="B103" t="s">
        <v>1309</v>
      </c>
      <c r="C103" t="s">
        <v>1306</v>
      </c>
      <c r="E103" t="s">
        <v>1306</v>
      </c>
      <c r="F103" t="s">
        <v>1309</v>
      </c>
      <c r="H103" s="306" t="s">
        <v>1143</v>
      </c>
      <c r="I103">
        <f>COUNTIF(Tableau2[Question mère],H103)</f>
        <v>1</v>
      </c>
      <c r="K103" t="s">
        <v>901</v>
      </c>
      <c r="L103">
        <f>COUNTIF(Tableau1[Question fille],Tableau4[[#This Row],[Question fille]])</f>
        <v>1</v>
      </c>
      <c r="N103" s="306" t="s">
        <v>1309</v>
      </c>
      <c r="O103" s="306">
        <f>COUNTIF(Tableau3[Question mère],Tableau5[[#This Row],[Question fille]])</f>
        <v>0</v>
      </c>
      <c r="Q103" s="306" t="s">
        <v>1143</v>
      </c>
      <c r="R103" s="306">
        <f>COUNTIF(Tableau4[Question fille],Tableau58[[#This Row],[Question mère]])</f>
        <v>0</v>
      </c>
    </row>
    <row r="104" spans="2:18" x14ac:dyDescent="0.25">
      <c r="B104" t="s">
        <v>1403</v>
      </c>
      <c r="C104" t="s">
        <v>1397</v>
      </c>
      <c r="E104" t="s">
        <v>881</v>
      </c>
      <c r="F104" t="s">
        <v>885</v>
      </c>
      <c r="H104" s="305" t="s">
        <v>1235</v>
      </c>
      <c r="I104">
        <f>COUNTIF(Tableau2[Question mère],H104)</f>
        <v>1</v>
      </c>
      <c r="K104" t="s">
        <v>904</v>
      </c>
      <c r="L104">
        <f>COUNTIF(Tableau1[Question fille],Tableau4[[#This Row],[Question fille]])</f>
        <v>1</v>
      </c>
      <c r="N104" s="305" t="s">
        <v>885</v>
      </c>
      <c r="O104" s="306">
        <f>COUNTIF(Tableau3[Question mère],Tableau5[[#This Row],[Question fille]])</f>
        <v>0</v>
      </c>
      <c r="Q104" s="305" t="s">
        <v>1235</v>
      </c>
      <c r="R104" s="306">
        <f>COUNTIF(Tableau4[Question fille],Tableau58[[#This Row],[Question mère]])</f>
        <v>0</v>
      </c>
    </row>
    <row r="105" spans="2:18" x14ac:dyDescent="0.25">
      <c r="B105" t="s">
        <v>881</v>
      </c>
      <c r="C105" t="s">
        <v>140</v>
      </c>
      <c r="E105" t="s">
        <v>881</v>
      </c>
      <c r="F105" t="s">
        <v>988</v>
      </c>
      <c r="H105" s="306" t="s">
        <v>1257</v>
      </c>
      <c r="I105">
        <f>COUNTIF(Tableau2[Question mère],H105)</f>
        <v>1</v>
      </c>
      <c r="K105" t="s">
        <v>1301</v>
      </c>
      <c r="L105">
        <f>COUNTIF(Tableau1[Question fille],Tableau4[[#This Row],[Question fille]])</f>
        <v>1</v>
      </c>
      <c r="N105" s="306" t="s">
        <v>988</v>
      </c>
      <c r="O105" s="306">
        <f>COUNTIF(Tableau3[Question mère],Tableau5[[#This Row],[Question fille]])</f>
        <v>0</v>
      </c>
      <c r="Q105" s="306" t="s">
        <v>1257</v>
      </c>
      <c r="R105" s="306">
        <f>COUNTIF(Tableau4[Question fille],Tableau58[[#This Row],[Question mère]])</f>
        <v>0</v>
      </c>
    </row>
    <row r="106" spans="2:18" x14ac:dyDescent="0.25">
      <c r="B106" t="s">
        <v>881</v>
      </c>
      <c r="C106" t="s">
        <v>153</v>
      </c>
      <c r="E106" t="s">
        <v>890</v>
      </c>
      <c r="F106" t="s">
        <v>894</v>
      </c>
      <c r="H106" s="305" t="s">
        <v>1265</v>
      </c>
      <c r="I106">
        <f>COUNTIF(Tableau2[Question mère],H106)</f>
        <v>1</v>
      </c>
      <c r="K106" t="s">
        <v>1155</v>
      </c>
      <c r="L106">
        <f>COUNTIF(Tableau1[Question fille],Tableau4[[#This Row],[Question fille]])</f>
        <v>1</v>
      </c>
      <c r="N106" s="305" t="s">
        <v>894</v>
      </c>
      <c r="O106" s="306">
        <f>COUNTIF(Tableau3[Question mère],Tableau5[[#This Row],[Question fille]])</f>
        <v>0</v>
      </c>
      <c r="Q106" s="305" t="s">
        <v>1265</v>
      </c>
      <c r="R106" s="306">
        <f>COUNTIF(Tableau4[Question fille],Tableau58[[#This Row],[Question mère]])</f>
        <v>0</v>
      </c>
    </row>
    <row r="107" spans="2:18" x14ac:dyDescent="0.25">
      <c r="B107" t="s">
        <v>885</v>
      </c>
      <c r="C107" t="s">
        <v>881</v>
      </c>
      <c r="E107" t="s">
        <v>890</v>
      </c>
      <c r="F107" t="s">
        <v>898</v>
      </c>
      <c r="H107" s="306" t="s">
        <v>1274</v>
      </c>
      <c r="I107">
        <f>COUNTIF(Tableau2[Question mère],H107)</f>
        <v>1</v>
      </c>
      <c r="K107" t="s">
        <v>1157</v>
      </c>
      <c r="L107">
        <f>COUNTIF(Tableau1[Question fille],Tableau4[[#This Row],[Question fille]])</f>
        <v>1</v>
      </c>
      <c r="N107" s="306" t="s">
        <v>898</v>
      </c>
      <c r="O107" s="306">
        <f>COUNTIF(Tableau3[Question mère],Tableau5[[#This Row],[Question fille]])</f>
        <v>0</v>
      </c>
      <c r="Q107" s="306" t="s">
        <v>1274</v>
      </c>
      <c r="R107" s="306">
        <f>COUNTIF(Tableau4[Question fille],Tableau58[[#This Row],[Question mère]])</f>
        <v>0</v>
      </c>
    </row>
    <row r="108" spans="2:18" x14ac:dyDescent="0.25">
      <c r="B108" t="s">
        <v>1019</v>
      </c>
      <c r="C108" t="s">
        <v>1012</v>
      </c>
      <c r="E108" t="s">
        <v>890</v>
      </c>
      <c r="F108" t="s">
        <v>901</v>
      </c>
      <c r="H108" s="305" t="s">
        <v>1317</v>
      </c>
      <c r="I108">
        <f>COUNTIF(Tableau2[Question mère],H108)</f>
        <v>1</v>
      </c>
      <c r="K108" t="s">
        <v>1160</v>
      </c>
      <c r="L108">
        <f>COUNTIF(Tableau1[Question fille],Tableau4[[#This Row],[Question fille]])</f>
        <v>1</v>
      </c>
      <c r="N108" s="305" t="s">
        <v>901</v>
      </c>
      <c r="O108" s="306">
        <f>COUNTIF(Tableau3[Question mère],Tableau5[[#This Row],[Question fille]])</f>
        <v>0</v>
      </c>
      <c r="Q108" s="305" t="s">
        <v>1317</v>
      </c>
      <c r="R108" s="306">
        <f>COUNTIF(Tableau4[Question fille],Tableau58[[#This Row],[Question mère]])</f>
        <v>0</v>
      </c>
    </row>
    <row r="109" spans="2:18" x14ac:dyDescent="0.25">
      <c r="B109" t="s">
        <v>894</v>
      </c>
      <c r="C109" t="s">
        <v>890</v>
      </c>
      <c r="E109" t="s">
        <v>890</v>
      </c>
      <c r="F109" t="s">
        <v>904</v>
      </c>
      <c r="H109" s="306" t="s">
        <v>1389</v>
      </c>
      <c r="I109">
        <f>COUNTIF(Tableau2[Question mère],H109)</f>
        <v>1</v>
      </c>
      <c r="K109" t="s">
        <v>175</v>
      </c>
      <c r="L109">
        <f>COUNTIF(Tableau1[Question fille],Tableau4[[#This Row],[Question fille]])</f>
        <v>1</v>
      </c>
      <c r="N109" s="306" t="s">
        <v>904</v>
      </c>
      <c r="O109" s="306">
        <f>COUNTIF(Tableau3[Question mère],Tableau5[[#This Row],[Question fille]])</f>
        <v>0</v>
      </c>
      <c r="Q109" s="306" t="s">
        <v>1389</v>
      </c>
      <c r="R109" s="306">
        <f>COUNTIF(Tableau4[Question fille],Tableau58[[#This Row],[Question mère]])</f>
        <v>0</v>
      </c>
    </row>
    <row r="110" spans="2:18" x14ac:dyDescent="0.25">
      <c r="B110" t="s">
        <v>898</v>
      </c>
      <c r="C110" t="s">
        <v>890</v>
      </c>
      <c r="E110" t="s">
        <v>1012</v>
      </c>
      <c r="F110" t="s">
        <v>1015</v>
      </c>
      <c r="H110" s="305" t="s">
        <v>1411</v>
      </c>
      <c r="I110">
        <f>COUNTIF(Tableau2[Question mère],H110)</f>
        <v>1</v>
      </c>
      <c r="K110" t="s">
        <v>1166</v>
      </c>
      <c r="L110">
        <f>COUNTIF(Tableau1[Question fille],Tableau4[[#This Row],[Question fille]])</f>
        <v>1</v>
      </c>
      <c r="N110" s="305" t="s">
        <v>1015</v>
      </c>
      <c r="O110" s="306">
        <f>COUNTIF(Tableau3[Question mère],Tableau5[[#This Row],[Question fille]])</f>
        <v>0</v>
      </c>
      <c r="Q110" s="305" t="s">
        <v>1411</v>
      </c>
      <c r="R110" s="306">
        <f>COUNTIF(Tableau4[Question fille],Tableau58[[#This Row],[Question mère]])</f>
        <v>0</v>
      </c>
    </row>
    <row r="111" spans="2:18" x14ac:dyDescent="0.25">
      <c r="B111" t="s">
        <v>901</v>
      </c>
      <c r="C111" t="s">
        <v>890</v>
      </c>
      <c r="E111" t="s">
        <v>1012</v>
      </c>
      <c r="F111" t="s">
        <v>1019</v>
      </c>
      <c r="H111" s="306" t="s">
        <v>581</v>
      </c>
      <c r="I111">
        <f>COUNTIF(Tableau2[Question mère],H111)</f>
        <v>3</v>
      </c>
      <c r="K111" t="s">
        <v>1732</v>
      </c>
      <c r="L111">
        <f>COUNTIF(Tableau1[Question fille],Tableau4[[#This Row],[Question fille]])</f>
        <v>1</v>
      </c>
      <c r="N111" s="306" t="s">
        <v>1019</v>
      </c>
      <c r="O111" s="306">
        <f>COUNTIF(Tableau3[Question mère],Tableau5[[#This Row],[Question fille]])</f>
        <v>0</v>
      </c>
      <c r="Q111" s="306" t="s">
        <v>581</v>
      </c>
      <c r="R111" s="306">
        <f>COUNTIF(Tableau4[Question fille],Tableau58[[#This Row],[Question mère]])</f>
        <v>1</v>
      </c>
    </row>
    <row r="112" spans="2:18" x14ac:dyDescent="0.25">
      <c r="B112" t="s">
        <v>904</v>
      </c>
      <c r="C112" t="s">
        <v>890</v>
      </c>
      <c r="E112" t="s">
        <v>1012</v>
      </c>
      <c r="F112" t="s">
        <v>1022</v>
      </c>
      <c r="H112" s="305" t="s">
        <v>1323</v>
      </c>
      <c r="I112">
        <f>COUNTIF(Tableau2[Question mère],H112)</f>
        <v>1</v>
      </c>
      <c r="K112" t="s">
        <v>1737</v>
      </c>
      <c r="L112">
        <f>COUNTIF(Tableau1[Question fille],Tableau4[[#This Row],[Question fille]])</f>
        <v>1</v>
      </c>
      <c r="N112" s="305" t="s">
        <v>1022</v>
      </c>
      <c r="O112" s="306">
        <f>COUNTIF(Tableau3[Question mère],Tableau5[[#This Row],[Question fille]])</f>
        <v>0</v>
      </c>
      <c r="Q112" s="305" t="s">
        <v>1323</v>
      </c>
      <c r="R112" s="306">
        <f>COUNTIF(Tableau4[Question fille],Tableau58[[#This Row],[Question mère]])</f>
        <v>0</v>
      </c>
    </row>
    <row r="113" spans="2:18" x14ac:dyDescent="0.25">
      <c r="B113" t="s">
        <v>1301</v>
      </c>
      <c r="C113" t="s">
        <v>101</v>
      </c>
      <c r="E113" t="s">
        <v>171</v>
      </c>
      <c r="F113" t="s">
        <v>175</v>
      </c>
      <c r="H113" s="306" t="s">
        <v>606</v>
      </c>
      <c r="I113">
        <f>COUNTIF(Tableau2[Question mère],H113)</f>
        <v>1</v>
      </c>
      <c r="K113" t="s">
        <v>1738</v>
      </c>
      <c r="L113">
        <f>COUNTIF(Tableau1[Question fille],Tableau4[[#This Row],[Question fille]])</f>
        <v>1</v>
      </c>
      <c r="N113" s="306" t="s">
        <v>175</v>
      </c>
      <c r="O113" s="306">
        <f>COUNTIF(Tableau3[Question mère],Tableau5[[#This Row],[Question fille]])</f>
        <v>0</v>
      </c>
      <c r="Q113" s="306" t="s">
        <v>606</v>
      </c>
      <c r="R113" s="306">
        <f>COUNTIF(Tableau4[Question fille],Tableau58[[#This Row],[Question mère]])</f>
        <v>1</v>
      </c>
    </row>
    <row r="114" spans="2:18" x14ac:dyDescent="0.25">
      <c r="B114" t="s">
        <v>1155</v>
      </c>
      <c r="C114" t="s">
        <v>1151</v>
      </c>
      <c r="E114" t="s">
        <v>171</v>
      </c>
      <c r="F114" t="s">
        <v>180</v>
      </c>
      <c r="H114" s="305" t="s">
        <v>18</v>
      </c>
      <c r="I114">
        <f>COUNTIF(Tableau2[Question mère],H114)</f>
        <v>3</v>
      </c>
      <c r="K114" t="s">
        <v>1741</v>
      </c>
      <c r="L114">
        <f>COUNTIF(Tableau1[Question fille],Tableau4[[#This Row],[Question fille]])</f>
        <v>1</v>
      </c>
      <c r="N114" s="305" t="s">
        <v>180</v>
      </c>
      <c r="O114" s="306">
        <f>COUNTIF(Tableau3[Question mère],Tableau5[[#This Row],[Question fille]])</f>
        <v>0</v>
      </c>
      <c r="Q114" s="305" t="s">
        <v>18</v>
      </c>
      <c r="R114" s="306">
        <f>COUNTIF(Tableau4[Question fille],Tableau58[[#This Row],[Question mère]])</f>
        <v>0</v>
      </c>
    </row>
    <row r="115" spans="2:18" x14ac:dyDescent="0.25">
      <c r="B115" t="s">
        <v>1157</v>
      </c>
      <c r="C115" t="s">
        <v>1151</v>
      </c>
      <c r="E115" t="s">
        <v>1151</v>
      </c>
      <c r="F115" t="s">
        <v>1155</v>
      </c>
      <c r="H115" s="306" t="s">
        <v>69</v>
      </c>
      <c r="I115">
        <f>COUNTIF(Tableau2[Question mère],H115)</f>
        <v>1</v>
      </c>
      <c r="K115" t="s">
        <v>1733</v>
      </c>
      <c r="L115">
        <f>COUNTIF(Tableau1[Question fille],Tableau4[[#This Row],[Question fille]])</f>
        <v>1</v>
      </c>
      <c r="N115" s="306" t="s">
        <v>1155</v>
      </c>
      <c r="O115" s="306">
        <f>COUNTIF(Tableau3[Question mère],Tableau5[[#This Row],[Question fille]])</f>
        <v>0</v>
      </c>
      <c r="Q115" s="306" t="s">
        <v>69</v>
      </c>
      <c r="R115" s="306">
        <f>COUNTIF(Tableau4[Question fille],Tableau58[[#This Row],[Question mère]])</f>
        <v>0</v>
      </c>
    </row>
    <row r="116" spans="2:18" x14ac:dyDescent="0.25">
      <c r="B116" t="s">
        <v>1160</v>
      </c>
      <c r="C116" t="s">
        <v>1151</v>
      </c>
      <c r="E116" t="s">
        <v>1151</v>
      </c>
      <c r="F116" t="s">
        <v>1157</v>
      </c>
      <c r="H116" s="305" t="s">
        <v>571</v>
      </c>
      <c r="I116">
        <f>COUNTIF(Tableau2[Question mère],H116)</f>
        <v>3</v>
      </c>
      <c r="K116" t="s">
        <v>833</v>
      </c>
      <c r="L116">
        <f>COUNTIF(Tableau1[Question fille],Tableau4[[#This Row],[Question fille]])</f>
        <v>1</v>
      </c>
      <c r="N116" s="305" t="s">
        <v>1157</v>
      </c>
      <c r="O116" s="306">
        <f>COUNTIF(Tableau3[Question mère],Tableau5[[#This Row],[Question fille]])</f>
        <v>0</v>
      </c>
      <c r="Q116" s="305" t="s">
        <v>571</v>
      </c>
      <c r="R116" s="306">
        <f>COUNTIF(Tableau4[Question fille],Tableau58[[#This Row],[Question mère]])</f>
        <v>1</v>
      </c>
    </row>
    <row r="117" spans="2:18" x14ac:dyDescent="0.25">
      <c r="B117" t="s">
        <v>175</v>
      </c>
      <c r="C117" t="s">
        <v>171</v>
      </c>
      <c r="E117" t="s">
        <v>1151</v>
      </c>
      <c r="F117" t="s">
        <v>1160</v>
      </c>
      <c r="H117" s="306" t="s">
        <v>1330</v>
      </c>
      <c r="I117">
        <f>COUNTIF(Tableau2[Question mère],H117)</f>
        <v>4</v>
      </c>
      <c r="K117" t="s">
        <v>838</v>
      </c>
      <c r="L117">
        <f>COUNTIF(Tableau1[Question fille],Tableau4[[#This Row],[Question fille]])</f>
        <v>1</v>
      </c>
      <c r="N117" s="306" t="s">
        <v>1160</v>
      </c>
      <c r="O117" s="306">
        <f>COUNTIF(Tableau3[Question mère],Tableau5[[#This Row],[Question fille]])</f>
        <v>0</v>
      </c>
      <c r="Q117" s="306" t="s">
        <v>1330</v>
      </c>
      <c r="R117" s="306">
        <f>COUNTIF(Tableau4[Question fille],Tableau58[[#This Row],[Question mère]])</f>
        <v>0</v>
      </c>
    </row>
    <row r="118" spans="2:18" x14ac:dyDescent="0.25">
      <c r="B118" t="s">
        <v>1166</v>
      </c>
      <c r="C118" t="s">
        <v>1163</v>
      </c>
      <c r="E118" t="s">
        <v>1163</v>
      </c>
      <c r="F118" t="s">
        <v>1166</v>
      </c>
      <c r="H118" s="306" t="s">
        <v>805</v>
      </c>
      <c r="I118">
        <f>COUNTIF(Tableau2[Question mère],H118)</f>
        <v>1</v>
      </c>
      <c r="K118" t="s">
        <v>848</v>
      </c>
      <c r="L118">
        <f>COUNTIF(Tableau1[Question fille],Tableau4[[#This Row],[Question fille]])</f>
        <v>1</v>
      </c>
      <c r="N118" s="305" t="s">
        <v>1166</v>
      </c>
      <c r="O118" s="306">
        <f>COUNTIF(Tableau3[Question mère],Tableau5[[#This Row],[Question fille]])</f>
        <v>0</v>
      </c>
      <c r="Q118" s="305" t="s">
        <v>805</v>
      </c>
      <c r="R118" s="306">
        <f>COUNTIF(Tableau4[Question fille],Tableau58[[#This Row],[Question mère]])</f>
        <v>0</v>
      </c>
    </row>
    <row r="119" spans="2:18" x14ac:dyDescent="0.25">
      <c r="B119" t="s">
        <v>1732</v>
      </c>
      <c r="C119" t="s">
        <v>1731</v>
      </c>
      <c r="E119" t="s">
        <v>1172</v>
      </c>
      <c r="F119" t="s">
        <v>1176</v>
      </c>
      <c r="H119" s="305" t="s">
        <v>1334</v>
      </c>
      <c r="I119">
        <f>COUNTIF(Tableau2[Question mère],H119)</f>
        <v>1</v>
      </c>
      <c r="K119" t="s">
        <v>180</v>
      </c>
      <c r="L119">
        <f>COUNTIF(Tableau1[Question fille],Tableau4[[#This Row],[Question fille]])</f>
        <v>1</v>
      </c>
      <c r="N119" s="306" t="s">
        <v>1176</v>
      </c>
      <c r="O119" s="306">
        <f>COUNTIF(Tableau3[Question mère],Tableau5[[#This Row],[Question fille]])</f>
        <v>0</v>
      </c>
      <c r="Q119" s="306" t="s">
        <v>1334</v>
      </c>
      <c r="R119" s="306">
        <f>COUNTIF(Tableau4[Question fille],Tableau58[[#This Row],[Question mère]])</f>
        <v>1</v>
      </c>
    </row>
    <row r="120" spans="2:18" x14ac:dyDescent="0.25">
      <c r="B120" t="s">
        <v>1737</v>
      </c>
      <c r="C120" t="s">
        <v>1734</v>
      </c>
      <c r="E120" t="s">
        <v>1731</v>
      </c>
      <c r="F120" t="s">
        <v>1732</v>
      </c>
      <c r="H120" s="306" t="s">
        <v>1341</v>
      </c>
      <c r="I120">
        <f>COUNTIF(Tableau2[Question mère],H120)</f>
        <v>1</v>
      </c>
      <c r="K120" t="s">
        <v>1076</v>
      </c>
      <c r="L120">
        <f>COUNTIF(Tableau1[Question fille],Tableau4[[#This Row],[Question fille]])</f>
        <v>1</v>
      </c>
      <c r="N120" s="305" t="s">
        <v>1732</v>
      </c>
      <c r="O120" s="306">
        <f>COUNTIF(Tableau3[Question mère],Tableau5[[#This Row],[Question fille]])</f>
        <v>0</v>
      </c>
      <c r="Q120" s="305" t="s">
        <v>1341</v>
      </c>
      <c r="R120" s="306">
        <f>COUNTIF(Tableau4[Question fille],Tableau58[[#This Row],[Question mère]])</f>
        <v>0</v>
      </c>
    </row>
    <row r="121" spans="2:18" x14ac:dyDescent="0.25">
      <c r="B121" t="s">
        <v>1738</v>
      </c>
      <c r="C121" t="s">
        <v>1734</v>
      </c>
      <c r="E121" t="s">
        <v>1731</v>
      </c>
      <c r="F121" t="s">
        <v>1733</v>
      </c>
      <c r="H121" s="305" t="s">
        <v>472</v>
      </c>
      <c r="I121">
        <f>COUNTIF(Tableau2[Question mère],H121)</f>
        <v>21</v>
      </c>
      <c r="K121" t="s">
        <v>1079</v>
      </c>
      <c r="L121">
        <f>COUNTIF(Tableau1[Question fille],Tableau4[[#This Row],[Question fille]])</f>
        <v>1</v>
      </c>
      <c r="N121" s="306" t="s">
        <v>1733</v>
      </c>
      <c r="O121" s="306">
        <f>COUNTIF(Tableau3[Question mère],Tableau5[[#This Row],[Question fille]])</f>
        <v>0</v>
      </c>
      <c r="Q121" s="306" t="s">
        <v>472</v>
      </c>
      <c r="R121" s="306">
        <f>COUNTIF(Tableau4[Question fille],Tableau58[[#This Row],[Question mère]])</f>
        <v>0</v>
      </c>
    </row>
    <row r="122" spans="2:18" x14ac:dyDescent="0.25">
      <c r="B122" t="s">
        <v>1741</v>
      </c>
      <c r="C122" t="s">
        <v>1734</v>
      </c>
      <c r="E122" t="s">
        <v>1734</v>
      </c>
      <c r="F122" t="s">
        <v>1737</v>
      </c>
      <c r="H122" s="306" t="s">
        <v>482</v>
      </c>
      <c r="I122">
        <f>COUNTIF(Tableau2[Question mère],H122)</f>
        <v>2</v>
      </c>
      <c r="K122" t="s">
        <v>1082</v>
      </c>
      <c r="L122">
        <f>COUNTIF(Tableau1[Question fille],Tableau4[[#This Row],[Question fille]])</f>
        <v>1</v>
      </c>
      <c r="N122" s="305" t="s">
        <v>1737</v>
      </c>
      <c r="O122" s="306">
        <f>COUNTIF(Tableau3[Question mère],Tableau5[[#This Row],[Question fille]])</f>
        <v>0</v>
      </c>
      <c r="Q122" s="305" t="s">
        <v>482</v>
      </c>
      <c r="R122" s="306">
        <f>COUNTIF(Tableau4[Question fille],Tableau58[[#This Row],[Question mère]])</f>
        <v>1</v>
      </c>
    </row>
    <row r="123" spans="2:18" x14ac:dyDescent="0.25">
      <c r="B123" t="s">
        <v>1733</v>
      </c>
      <c r="C123" t="s">
        <v>1731</v>
      </c>
      <c r="E123" t="s">
        <v>1734</v>
      </c>
      <c r="F123" t="s">
        <v>1738</v>
      </c>
      <c r="H123" s="306" t="s">
        <v>835</v>
      </c>
      <c r="I123">
        <f>COUNTIF(Tableau2[Question mère],H123)</f>
        <v>1</v>
      </c>
      <c r="K123" t="s">
        <v>1085</v>
      </c>
      <c r="L123">
        <f>COUNTIF(Tableau1[Question fille],Tableau4[[#This Row],[Question fille]])</f>
        <v>1</v>
      </c>
      <c r="N123" s="306" t="s">
        <v>1738</v>
      </c>
      <c r="O123" s="306">
        <f>COUNTIF(Tableau3[Question mère],Tableau5[[#This Row],[Question fille]])</f>
        <v>0</v>
      </c>
      <c r="Q123" s="306" t="s">
        <v>835</v>
      </c>
      <c r="R123" s="306">
        <f>COUNTIF(Tableau4[Question fille],Tableau58[[#This Row],[Question mère]])</f>
        <v>0</v>
      </c>
    </row>
    <row r="124" spans="2:18" x14ac:dyDescent="0.25">
      <c r="B124" t="s">
        <v>833</v>
      </c>
      <c r="C124" t="s">
        <v>829</v>
      </c>
      <c r="E124" t="s">
        <v>1734</v>
      </c>
      <c r="F124" t="s">
        <v>1741</v>
      </c>
      <c r="H124" s="305" t="s">
        <v>1168</v>
      </c>
      <c r="I124">
        <f>COUNTIF(Tableau2[Question mère],H124)</f>
        <v>1</v>
      </c>
      <c r="K124" t="s">
        <v>1293</v>
      </c>
      <c r="L124">
        <f>COUNTIF(Tableau1[Question fille],Tableau4[[#This Row],[Question fille]])</f>
        <v>1</v>
      </c>
      <c r="N124" s="305" t="s">
        <v>1741</v>
      </c>
      <c r="O124" s="306">
        <f>COUNTIF(Tableau3[Question mère],Tableau5[[#This Row],[Question fille]])</f>
        <v>0</v>
      </c>
      <c r="Q124" s="305" t="s">
        <v>1168</v>
      </c>
      <c r="R124" s="306">
        <f>COUNTIF(Tableau4[Question fille],Tableau58[[#This Row],[Question mère]])</f>
        <v>0</v>
      </c>
    </row>
    <row r="125" spans="2:18" x14ac:dyDescent="0.25">
      <c r="B125" t="s">
        <v>838</v>
      </c>
      <c r="C125" t="s">
        <v>835</v>
      </c>
      <c r="E125" t="s">
        <v>1734</v>
      </c>
      <c r="F125" t="s">
        <v>1192</v>
      </c>
      <c r="H125" s="306" t="s">
        <v>144</v>
      </c>
      <c r="I125">
        <f>COUNTIF(Tableau2[Question mère],H125)</f>
        <v>1</v>
      </c>
      <c r="K125" t="s">
        <v>65</v>
      </c>
      <c r="L125">
        <f>COUNTIF(Tableau1[Question fille],Tableau4[[#This Row],[Question fille]])</f>
        <v>1</v>
      </c>
      <c r="N125" s="306" t="s">
        <v>1192</v>
      </c>
      <c r="O125" s="306">
        <f>COUNTIF(Tableau3[Question mère],Tableau5[[#This Row],[Question fille]])</f>
        <v>0</v>
      </c>
      <c r="Q125" s="306" t="s">
        <v>144</v>
      </c>
      <c r="R125" s="306">
        <f>COUNTIF(Tableau4[Question fille],Tableau58[[#This Row],[Question mère]])</f>
        <v>1</v>
      </c>
    </row>
    <row r="126" spans="2:18" x14ac:dyDescent="0.25">
      <c r="B126" t="s">
        <v>848</v>
      </c>
      <c r="C126" t="s">
        <v>844</v>
      </c>
      <c r="E126" t="s">
        <v>829</v>
      </c>
      <c r="F126" t="s">
        <v>833</v>
      </c>
      <c r="H126" s="305" t="s">
        <v>959</v>
      </c>
      <c r="I126">
        <f>COUNTIF(Tableau2[Question mère],H126)</f>
        <v>1</v>
      </c>
      <c r="K126" t="s">
        <v>80</v>
      </c>
      <c r="L126">
        <f>COUNTIF(Tableau1[Question fille],Tableau4[[#This Row],[Question fille]])</f>
        <v>1</v>
      </c>
      <c r="N126" s="305" t="s">
        <v>833</v>
      </c>
      <c r="O126" s="306">
        <f>COUNTIF(Tableau3[Question mère],Tableau5[[#This Row],[Question fille]])</f>
        <v>0</v>
      </c>
      <c r="Q126" s="305" t="s">
        <v>959</v>
      </c>
      <c r="R126" s="306">
        <f>COUNTIF(Tableau4[Question fille],Tableau58[[#This Row],[Question mère]])</f>
        <v>1</v>
      </c>
    </row>
    <row r="127" spans="2:18" x14ac:dyDescent="0.25">
      <c r="B127" t="s">
        <v>180</v>
      </c>
      <c r="C127" t="s">
        <v>171</v>
      </c>
      <c r="E127" t="s">
        <v>844</v>
      </c>
      <c r="F127" t="s">
        <v>848</v>
      </c>
      <c r="H127" s="306" t="s">
        <v>101</v>
      </c>
      <c r="I127">
        <f>COUNTIF(Tableau2[Question mère],H127)</f>
        <v>1</v>
      </c>
      <c r="K127" t="s">
        <v>96</v>
      </c>
      <c r="L127">
        <f>COUNTIF(Tableau1[Question fille],Tableau4[[#This Row],[Question fille]])</f>
        <v>1</v>
      </c>
      <c r="N127" s="306" t="s">
        <v>848</v>
      </c>
      <c r="O127" s="306">
        <f>COUNTIF(Tableau3[Question mère],Tableau5[[#This Row],[Question fille]])</f>
        <v>0</v>
      </c>
      <c r="Q127" s="306" t="s">
        <v>101</v>
      </c>
      <c r="R127" s="306">
        <f>COUNTIF(Tableau4[Question fille],Tableau58[[#This Row],[Question mère]])</f>
        <v>0</v>
      </c>
    </row>
    <row r="128" spans="2:18" x14ac:dyDescent="0.25">
      <c r="B128" t="s">
        <v>1076</v>
      </c>
      <c r="C128" t="s">
        <v>1051</v>
      </c>
      <c r="E128" t="s">
        <v>354</v>
      </c>
      <c r="F128" t="s">
        <v>358</v>
      </c>
      <c r="H128" s="305" t="s">
        <v>971</v>
      </c>
      <c r="I128">
        <f>COUNTIF(Tableau2[Question mère],H128)</f>
        <v>1</v>
      </c>
      <c r="K128" t="s">
        <v>99</v>
      </c>
      <c r="L128">
        <f>COUNTIF(Tableau1[Question fille],Tableau4[[#This Row],[Question fille]])</f>
        <v>1</v>
      </c>
      <c r="N128" s="305" t="s">
        <v>358</v>
      </c>
      <c r="O128" s="306">
        <f>COUNTIF(Tableau3[Question mère],Tableau5[[#This Row],[Question fille]])</f>
        <v>0</v>
      </c>
      <c r="Q128" s="305" t="s">
        <v>971</v>
      </c>
      <c r="R128" s="306">
        <f>COUNTIF(Tableau4[Question fille],Tableau58[[#This Row],[Question mère]])</f>
        <v>1</v>
      </c>
    </row>
    <row r="129" spans="2:18" x14ac:dyDescent="0.25">
      <c r="B129" t="s">
        <v>1079</v>
      </c>
      <c r="C129" t="s">
        <v>1076</v>
      </c>
      <c r="E129" t="s">
        <v>354</v>
      </c>
      <c r="F129" t="s">
        <v>360</v>
      </c>
      <c r="H129" s="306" t="s">
        <v>980</v>
      </c>
      <c r="I129">
        <f>COUNTIF(Tableau2[Question mère],H129)</f>
        <v>1</v>
      </c>
      <c r="K129" t="s">
        <v>868</v>
      </c>
      <c r="L129">
        <f>COUNTIF(Tableau1[Question fille],Tableau4[[#This Row],[Question fille]])</f>
        <v>1</v>
      </c>
      <c r="N129" s="306" t="s">
        <v>360</v>
      </c>
      <c r="O129" s="306">
        <f>COUNTIF(Tableau3[Question mère],Tableau5[[#This Row],[Question fille]])</f>
        <v>0</v>
      </c>
      <c r="Q129" s="306" t="s">
        <v>980</v>
      </c>
      <c r="R129" s="306">
        <f>COUNTIF(Tableau4[Question fille],Tableau58[[#This Row],[Question mère]])</f>
        <v>1</v>
      </c>
    </row>
    <row r="130" spans="2:18" x14ac:dyDescent="0.25">
      <c r="B130" t="s">
        <v>1082</v>
      </c>
      <c r="C130" t="s">
        <v>1051</v>
      </c>
      <c r="E130" t="s">
        <v>1076</v>
      </c>
      <c r="F130" t="s">
        <v>1079</v>
      </c>
      <c r="H130" s="305" t="s">
        <v>140</v>
      </c>
      <c r="I130">
        <f>COUNTIF(Tableau2[Question mère],H130)</f>
        <v>3</v>
      </c>
      <c r="K130" t="s">
        <v>870</v>
      </c>
      <c r="L130">
        <f>COUNTIF(Tableau1[Question fille],Tableau4[[#This Row],[Question fille]])</f>
        <v>1</v>
      </c>
      <c r="N130" s="305" t="s">
        <v>1079</v>
      </c>
      <c r="O130" s="306">
        <f>COUNTIF(Tableau3[Question mère],Tableau5[[#This Row],[Question fille]])</f>
        <v>0</v>
      </c>
      <c r="Q130" s="305" t="s">
        <v>140</v>
      </c>
      <c r="R130" s="306">
        <f>COUNTIF(Tableau4[Question fille],Tableau58[[#This Row],[Question mère]])</f>
        <v>0</v>
      </c>
    </row>
    <row r="131" spans="2:18" x14ac:dyDescent="0.25">
      <c r="B131" t="s">
        <v>1085</v>
      </c>
      <c r="C131" t="s">
        <v>1082</v>
      </c>
      <c r="E131" t="s">
        <v>1082</v>
      </c>
      <c r="F131" t="s">
        <v>1085</v>
      </c>
      <c r="H131" s="306" t="s">
        <v>611</v>
      </c>
      <c r="I131">
        <f>COUNTIF(Tableau2[Question mère],H131)</f>
        <v>1</v>
      </c>
      <c r="K131" t="s">
        <v>872</v>
      </c>
      <c r="L131">
        <f>COUNTIF(Tableau1[Question fille],Tableau4[[#This Row],[Question fille]])</f>
        <v>1</v>
      </c>
      <c r="N131" s="306" t="s">
        <v>1085</v>
      </c>
      <c r="O131" s="306">
        <f>COUNTIF(Tableau3[Question mère],Tableau5[[#This Row],[Question fille]])</f>
        <v>0</v>
      </c>
      <c r="Q131" s="306" t="s">
        <v>611</v>
      </c>
      <c r="R131" s="306">
        <f>COUNTIF(Tableau4[Question fille],Tableau58[[#This Row],[Question mère]])</f>
        <v>1</v>
      </c>
    </row>
    <row r="132" spans="2:18" x14ac:dyDescent="0.25">
      <c r="B132" t="s">
        <v>1293</v>
      </c>
      <c r="C132" t="s">
        <v>1289</v>
      </c>
      <c r="E132" t="s">
        <v>1289</v>
      </c>
      <c r="F132" t="s">
        <v>1293</v>
      </c>
      <c r="H132" s="305" t="s">
        <v>149</v>
      </c>
      <c r="I132">
        <f>COUNTIF(Tableau2[Question mère],H132)</f>
        <v>1</v>
      </c>
      <c r="K132" t="s">
        <v>874</v>
      </c>
      <c r="L132">
        <f>COUNTIF(Tableau1[Question fille],Tableau4[[#This Row],[Question fille]])</f>
        <v>1</v>
      </c>
      <c r="N132" s="305" t="s">
        <v>1293</v>
      </c>
      <c r="O132" s="306">
        <f>COUNTIF(Tableau3[Question mère],Tableau5[[#This Row],[Question fille]])</f>
        <v>0</v>
      </c>
      <c r="Q132" s="305" t="s">
        <v>149</v>
      </c>
      <c r="R132" s="306">
        <f>COUNTIF(Tableau4[Question fille],Tableau58[[#This Row],[Question mère]])</f>
        <v>0</v>
      </c>
    </row>
    <row r="133" spans="2:18" x14ac:dyDescent="0.25">
      <c r="B133" t="s">
        <v>65</v>
      </c>
      <c r="C133" t="s">
        <v>61</v>
      </c>
      <c r="E133" t="s">
        <v>76</v>
      </c>
      <c r="F133" t="s">
        <v>80</v>
      </c>
      <c r="H133" s="306" t="s">
        <v>153</v>
      </c>
      <c r="I133">
        <f>COUNTIF(Tableau2[Question mère],H133)</f>
        <v>3</v>
      </c>
      <c r="K133" t="s">
        <v>876</v>
      </c>
      <c r="L133">
        <f>COUNTIF(Tableau1[Question fille],Tableau4[[#This Row],[Question fille]])</f>
        <v>1</v>
      </c>
      <c r="N133" s="306" t="s">
        <v>80</v>
      </c>
      <c r="O133" s="306">
        <f>COUNTIF(Tableau3[Question mère],Tableau5[[#This Row],[Question fille]])</f>
        <v>1</v>
      </c>
      <c r="Q133" s="306" t="s">
        <v>153</v>
      </c>
      <c r="R133" s="306">
        <f>COUNTIF(Tableau4[Question fille],Tableau58[[#This Row],[Question mère]])</f>
        <v>1</v>
      </c>
    </row>
    <row r="134" spans="2:18" x14ac:dyDescent="0.25">
      <c r="B134" t="s">
        <v>80</v>
      </c>
      <c r="C134" t="s">
        <v>76</v>
      </c>
      <c r="E134" t="s">
        <v>80</v>
      </c>
      <c r="F134" t="s">
        <v>83</v>
      </c>
      <c r="H134" s="305" t="s">
        <v>155</v>
      </c>
      <c r="I134">
        <f>COUNTIF(Tableau2[Question mère],H134)</f>
        <v>1</v>
      </c>
      <c r="K134" t="s">
        <v>879</v>
      </c>
      <c r="L134">
        <f>COUNTIF(Tableau1[Question fille],Tableau4[[#This Row],[Question fille]])</f>
        <v>1</v>
      </c>
      <c r="N134" s="305" t="s">
        <v>83</v>
      </c>
      <c r="O134" s="306">
        <f>COUNTIF(Tableau3[Question mère],Tableau5[[#This Row],[Question fille]])</f>
        <v>0</v>
      </c>
      <c r="Q134" s="305" t="s">
        <v>155</v>
      </c>
      <c r="R134" s="306">
        <f>COUNTIF(Tableau4[Question fille],Tableau58[[#This Row],[Question mère]])</f>
        <v>1</v>
      </c>
    </row>
    <row r="135" spans="2:18" x14ac:dyDescent="0.25">
      <c r="B135" t="s">
        <v>96</v>
      </c>
      <c r="C135" t="s">
        <v>92</v>
      </c>
      <c r="E135" t="s">
        <v>92</v>
      </c>
      <c r="F135" t="s">
        <v>96</v>
      </c>
      <c r="H135" s="306" t="s">
        <v>1381</v>
      </c>
      <c r="I135">
        <f>COUNTIF(Tableau2[Question mère],H135)</f>
        <v>1</v>
      </c>
      <c r="K135" t="s">
        <v>83</v>
      </c>
      <c r="L135">
        <f>COUNTIF(Tableau1[Question fille],Tableau4[[#This Row],[Question fille]])</f>
        <v>1</v>
      </c>
      <c r="N135" s="306" t="s">
        <v>96</v>
      </c>
      <c r="O135" s="306">
        <f>COUNTIF(Tableau3[Question mère],Tableau5[[#This Row],[Question fille]])</f>
        <v>1</v>
      </c>
      <c r="Q135" s="306" t="s">
        <v>1381</v>
      </c>
      <c r="R135" s="306">
        <f>COUNTIF(Tableau4[Question fille],Tableau58[[#This Row],[Question mère]])</f>
        <v>0</v>
      </c>
    </row>
    <row r="136" spans="2:18" x14ac:dyDescent="0.25">
      <c r="B136" t="s">
        <v>99</v>
      </c>
      <c r="C136" t="s">
        <v>96</v>
      </c>
      <c r="E136" t="s">
        <v>96</v>
      </c>
      <c r="F136" t="s">
        <v>99</v>
      </c>
      <c r="H136" s="305" t="s">
        <v>198</v>
      </c>
      <c r="I136">
        <f>COUNTIF(Tableau2[Question mère],H136)</f>
        <v>1</v>
      </c>
      <c r="K136" t="s">
        <v>863</v>
      </c>
      <c r="L136">
        <f>COUNTIF(Tableau1[Question fille],Tableau4[[#This Row],[Question fille]])</f>
        <v>1</v>
      </c>
      <c r="N136" s="305" t="s">
        <v>99</v>
      </c>
      <c r="O136" s="306">
        <f>COUNTIF(Tableau3[Question mère],Tableau5[[#This Row],[Question fille]])</f>
        <v>0</v>
      </c>
      <c r="Q136" s="305" t="s">
        <v>198</v>
      </c>
      <c r="R136" s="306">
        <f>COUNTIF(Tableau4[Question fille],Tableau58[[#This Row],[Question mère]])</f>
        <v>0</v>
      </c>
    </row>
    <row r="137" spans="2:18" x14ac:dyDescent="0.25">
      <c r="B137" t="s">
        <v>868</v>
      </c>
      <c r="C137" t="s">
        <v>864</v>
      </c>
      <c r="E137" t="s">
        <v>864</v>
      </c>
      <c r="F137" t="s">
        <v>868</v>
      </c>
      <c r="H137" s="306" t="s">
        <v>50</v>
      </c>
      <c r="I137">
        <f>COUNTIF(Tableau2[Question mère],H137)</f>
        <v>1</v>
      </c>
      <c r="K137" t="s">
        <v>909</v>
      </c>
      <c r="L137">
        <f>COUNTIF(Tableau1[Question fille],Tableau4[[#This Row],[Question fille]])</f>
        <v>1</v>
      </c>
      <c r="N137" s="306" t="s">
        <v>868</v>
      </c>
      <c r="O137" s="306">
        <f>COUNTIF(Tableau3[Question mère],Tableau5[[#This Row],[Question fille]])</f>
        <v>0</v>
      </c>
      <c r="Q137" s="306" t="s">
        <v>50</v>
      </c>
      <c r="R137" s="306">
        <f>COUNTIF(Tableau4[Question fille],Tableau58[[#This Row],[Question mère]])</f>
        <v>0</v>
      </c>
    </row>
    <row r="138" spans="2:18" x14ac:dyDescent="0.25">
      <c r="B138" t="s">
        <v>870</v>
      </c>
      <c r="C138" t="s">
        <v>864</v>
      </c>
      <c r="E138" t="s">
        <v>864</v>
      </c>
      <c r="F138" t="s">
        <v>870</v>
      </c>
      <c r="H138" s="305" t="s">
        <v>205</v>
      </c>
      <c r="I138">
        <f>COUNTIF(Tableau2[Question mère],H138)</f>
        <v>6</v>
      </c>
      <c r="K138" t="s">
        <v>913</v>
      </c>
      <c r="L138">
        <f>COUNTIF(Tableau1[Question fille],Tableau4[[#This Row],[Question fille]])</f>
        <v>1</v>
      </c>
      <c r="N138" s="305" t="s">
        <v>870</v>
      </c>
      <c r="O138" s="306">
        <f>COUNTIF(Tableau3[Question mère],Tableau5[[#This Row],[Question fille]])</f>
        <v>0</v>
      </c>
      <c r="Q138" s="305" t="s">
        <v>205</v>
      </c>
      <c r="R138" s="306">
        <f>COUNTIF(Tableau4[Question fille],Tableau58[[#This Row],[Question mère]])</f>
        <v>0</v>
      </c>
    </row>
    <row r="139" spans="2:18" x14ac:dyDescent="0.25">
      <c r="B139" t="s">
        <v>872</v>
      </c>
      <c r="C139" t="s">
        <v>864</v>
      </c>
      <c r="E139" t="s">
        <v>864</v>
      </c>
      <c r="F139" t="s">
        <v>872</v>
      </c>
      <c r="H139" s="305" t="s">
        <v>209</v>
      </c>
      <c r="I139">
        <f>COUNTIF(Tableau2[Question mère],H139)</f>
        <v>3</v>
      </c>
      <c r="K139" t="s">
        <v>922</v>
      </c>
      <c r="L139">
        <f>COUNTIF(Tableau1[Question fille],Tableau4[[#This Row],[Question fille]])</f>
        <v>1</v>
      </c>
      <c r="N139" s="306" t="s">
        <v>872</v>
      </c>
      <c r="O139" s="306">
        <f>COUNTIF(Tableau3[Question mère],Tableau5[[#This Row],[Question fille]])</f>
        <v>0</v>
      </c>
      <c r="Q139" s="306" t="s">
        <v>209</v>
      </c>
      <c r="R139" s="306">
        <f>COUNTIF(Tableau4[Question fille],Tableau58[[#This Row],[Question mère]])</f>
        <v>0</v>
      </c>
    </row>
    <row r="140" spans="2:18" x14ac:dyDescent="0.25">
      <c r="B140" t="s">
        <v>874</v>
      </c>
      <c r="C140" t="s">
        <v>864</v>
      </c>
      <c r="E140" t="s">
        <v>864</v>
      </c>
      <c r="F140" t="s">
        <v>874</v>
      </c>
      <c r="H140" s="306" t="s">
        <v>213</v>
      </c>
      <c r="I140">
        <f>COUNTIF(Tableau2[Question mère],H140)</f>
        <v>2</v>
      </c>
      <c r="K140" t="s">
        <v>936</v>
      </c>
      <c r="L140">
        <f>COUNTIF(Tableau1[Question fille],Tableau4[[#This Row],[Question fille]])</f>
        <v>1</v>
      </c>
      <c r="N140" s="305" t="s">
        <v>874</v>
      </c>
      <c r="O140" s="306">
        <f>COUNTIF(Tableau3[Question mère],Tableau5[[#This Row],[Question fille]])</f>
        <v>0</v>
      </c>
      <c r="Q140" s="305" t="s">
        <v>213</v>
      </c>
      <c r="R140" s="306">
        <f>COUNTIF(Tableau4[Question fille],Tableau58[[#This Row],[Question mère]])</f>
        <v>1</v>
      </c>
    </row>
    <row r="141" spans="2:18" x14ac:dyDescent="0.25">
      <c r="B141" t="s">
        <v>876</v>
      </c>
      <c r="C141" t="s">
        <v>864</v>
      </c>
      <c r="E141" t="s">
        <v>864</v>
      </c>
      <c r="F141" t="s">
        <v>876</v>
      </c>
      <c r="H141" s="306" t="s">
        <v>224</v>
      </c>
      <c r="I141">
        <f>COUNTIF(Tableau2[Question mère],H141)</f>
        <v>1</v>
      </c>
      <c r="K141" t="s">
        <v>946</v>
      </c>
      <c r="L141">
        <f>COUNTIF(Tableau1[Question fille],Tableau4[[#This Row],[Question fille]])</f>
        <v>1</v>
      </c>
      <c r="N141" s="306" t="s">
        <v>876</v>
      </c>
      <c r="O141" s="306">
        <f>COUNTIF(Tableau3[Question mère],Tableau5[[#This Row],[Question fille]])</f>
        <v>0</v>
      </c>
      <c r="Q141" s="306" t="s">
        <v>224</v>
      </c>
      <c r="R141" s="306">
        <f>COUNTIF(Tableau4[Question fille],Tableau58[[#This Row],[Question mère]])</f>
        <v>1</v>
      </c>
    </row>
    <row r="142" spans="2:18" x14ac:dyDescent="0.25">
      <c r="B142" t="s">
        <v>879</v>
      </c>
      <c r="C142" t="s">
        <v>864</v>
      </c>
      <c r="E142" t="s">
        <v>864</v>
      </c>
      <c r="F142" t="s">
        <v>879</v>
      </c>
      <c r="H142" s="305" t="s">
        <v>231</v>
      </c>
      <c r="I142">
        <f>COUNTIF(Tableau2[Question mère],H142)</f>
        <v>15</v>
      </c>
      <c r="K142" t="s">
        <v>985</v>
      </c>
      <c r="L142">
        <f>COUNTIF(Tableau1[Question fille],Tableau4[[#This Row],[Question fille]])</f>
        <v>1</v>
      </c>
      <c r="N142" s="305" t="s">
        <v>879</v>
      </c>
      <c r="O142" s="306">
        <f>COUNTIF(Tableau3[Question mère],Tableau5[[#This Row],[Question fille]])</f>
        <v>0</v>
      </c>
      <c r="Q142" s="305" t="s">
        <v>231</v>
      </c>
      <c r="R142" s="306">
        <f>COUNTIF(Tableau4[Question fille],Tableau58[[#This Row],[Question mère]])</f>
        <v>0</v>
      </c>
    </row>
    <row r="143" spans="2:18" x14ac:dyDescent="0.25">
      <c r="B143" t="s">
        <v>83</v>
      </c>
      <c r="C143" t="s">
        <v>80</v>
      </c>
      <c r="E143" t="s">
        <v>862</v>
      </c>
      <c r="F143" t="s">
        <v>863</v>
      </c>
      <c r="H143" s="306" t="s">
        <v>262</v>
      </c>
      <c r="I143">
        <f>COUNTIF(Tableau2[Question mère],H143)</f>
        <v>2</v>
      </c>
      <c r="K143" t="s">
        <v>988</v>
      </c>
      <c r="L143">
        <f>COUNTIF(Tableau1[Question fille],Tableau4[[#This Row],[Question fille]])</f>
        <v>1</v>
      </c>
      <c r="N143" s="306" t="s">
        <v>863</v>
      </c>
      <c r="O143" s="306">
        <f>COUNTIF(Tableau3[Question mère],Tableau5[[#This Row],[Question fille]])</f>
        <v>0</v>
      </c>
      <c r="Q143" s="306" t="s">
        <v>262</v>
      </c>
      <c r="R143" s="306">
        <f>COUNTIF(Tableau4[Question fille],Tableau58[[#This Row],[Question mère]])</f>
        <v>1</v>
      </c>
    </row>
    <row r="144" spans="2:18" x14ac:dyDescent="0.25">
      <c r="B144" t="s">
        <v>863</v>
      </c>
      <c r="C144" t="s">
        <v>862</v>
      </c>
      <c r="E144" t="s">
        <v>909</v>
      </c>
      <c r="F144" t="s">
        <v>913</v>
      </c>
      <c r="H144" s="306" t="s">
        <v>276</v>
      </c>
      <c r="I144">
        <f>COUNTIF(Tableau2[Question mère],H144)</f>
        <v>1</v>
      </c>
      <c r="K144" t="s">
        <v>991</v>
      </c>
      <c r="L144">
        <f>COUNTIF(Tableau1[Question fille],Tableau4[[#This Row],[Question fille]])</f>
        <v>1</v>
      </c>
      <c r="N144" s="305" t="s">
        <v>913</v>
      </c>
      <c r="O144" s="306">
        <f>COUNTIF(Tableau3[Question mère],Tableau5[[#This Row],[Question fille]])</f>
        <v>0</v>
      </c>
      <c r="Q144" s="305" t="s">
        <v>276</v>
      </c>
      <c r="R144" s="306">
        <f>COUNTIF(Tableau4[Question fille],Tableau58[[#This Row],[Question mère]])</f>
        <v>1</v>
      </c>
    </row>
    <row r="145" spans="2:18" x14ac:dyDescent="0.25">
      <c r="B145" t="s">
        <v>909</v>
      </c>
      <c r="C145" t="s">
        <v>61</v>
      </c>
      <c r="E145" t="s">
        <v>918</v>
      </c>
      <c r="F145" t="s">
        <v>922</v>
      </c>
      <c r="H145" s="305" t="s">
        <v>284</v>
      </c>
      <c r="I145">
        <f>COUNTIF(Tableau2[Question mère],H145)</f>
        <v>1</v>
      </c>
      <c r="K145" t="s">
        <v>994</v>
      </c>
      <c r="L145">
        <f>COUNTIF(Tableau1[Question fille],Tableau4[[#This Row],[Question fille]])</f>
        <v>1</v>
      </c>
      <c r="N145" s="306" t="s">
        <v>922</v>
      </c>
      <c r="O145" s="306">
        <f>COUNTIF(Tableau3[Question mère],Tableau5[[#This Row],[Question fille]])</f>
        <v>0</v>
      </c>
      <c r="Q145" s="306" t="s">
        <v>284</v>
      </c>
      <c r="R145" s="306">
        <f>COUNTIF(Tableau4[Question fille],Tableau58[[#This Row],[Question mère]])</f>
        <v>0</v>
      </c>
    </row>
    <row r="146" spans="2:18" x14ac:dyDescent="0.25">
      <c r="B146" t="s">
        <v>913</v>
      </c>
      <c r="C146" t="s">
        <v>909</v>
      </c>
      <c r="E146" t="s">
        <v>932</v>
      </c>
      <c r="F146" t="s">
        <v>936</v>
      </c>
      <c r="H146" s="306" t="s">
        <v>292</v>
      </c>
      <c r="I146">
        <f>COUNTIF(Tableau2[Question mère],H146)</f>
        <v>1</v>
      </c>
      <c r="K146" t="s">
        <v>997</v>
      </c>
      <c r="L146">
        <f>COUNTIF(Tableau1[Question fille],Tableau4[[#This Row],[Question fille]])</f>
        <v>1</v>
      </c>
      <c r="N146" s="305" t="s">
        <v>936</v>
      </c>
      <c r="O146" s="306">
        <f>COUNTIF(Tableau3[Question mère],Tableau5[[#This Row],[Question fille]])</f>
        <v>0</v>
      </c>
      <c r="Q146" s="305" t="s">
        <v>292</v>
      </c>
      <c r="R146" s="306">
        <f>COUNTIF(Tableau4[Question fille],Tableau58[[#This Row],[Question mère]])</f>
        <v>0</v>
      </c>
    </row>
    <row r="147" spans="2:18" x14ac:dyDescent="0.25">
      <c r="B147" t="s">
        <v>922</v>
      </c>
      <c r="C147" t="s">
        <v>918</v>
      </c>
      <c r="E147" t="s">
        <v>942</v>
      </c>
      <c r="F147" t="s">
        <v>946</v>
      </c>
      <c r="H147" s="305" t="s">
        <v>298</v>
      </c>
      <c r="I147">
        <f>COUNTIF(Tableau2[Question mère],H147)</f>
        <v>4</v>
      </c>
      <c r="K147" t="s">
        <v>1004</v>
      </c>
      <c r="L147">
        <f>COUNTIF(Tableau1[Question fille],Tableau4[[#This Row],[Question fille]])</f>
        <v>1</v>
      </c>
      <c r="N147" s="306" t="s">
        <v>946</v>
      </c>
      <c r="O147" s="306">
        <f>COUNTIF(Tableau3[Question mère],Tableau5[[#This Row],[Question fille]])</f>
        <v>0</v>
      </c>
      <c r="Q147" s="306" t="s">
        <v>298</v>
      </c>
      <c r="R147" s="306">
        <f>COUNTIF(Tableau4[Question fille],Tableau58[[#This Row],[Question mère]])</f>
        <v>0</v>
      </c>
    </row>
    <row r="148" spans="2:18" x14ac:dyDescent="0.25">
      <c r="B148" t="s">
        <v>936</v>
      </c>
      <c r="C148" t="s">
        <v>932</v>
      </c>
      <c r="E148" t="s">
        <v>942</v>
      </c>
      <c r="F148" t="s">
        <v>985</v>
      </c>
      <c r="H148" s="305" t="s">
        <v>314</v>
      </c>
      <c r="I148">
        <f>COUNTIF(Tableau2[Question mère],H148)</f>
        <v>1</v>
      </c>
      <c r="K148" t="s">
        <v>1008</v>
      </c>
      <c r="L148">
        <f>COUNTIF(Tableau1[Question fille],Tableau4[[#This Row],[Question fille]])</f>
        <v>1</v>
      </c>
      <c r="N148" s="305" t="s">
        <v>985</v>
      </c>
      <c r="O148" s="306">
        <f>COUNTIF(Tableau3[Question mère],Tableau5[[#This Row],[Question fille]])</f>
        <v>1</v>
      </c>
      <c r="Q148" s="305" t="s">
        <v>314</v>
      </c>
      <c r="R148" s="306">
        <f>COUNTIF(Tableau4[Question fille],Tableau58[[#This Row],[Question mère]])</f>
        <v>1</v>
      </c>
    </row>
    <row r="149" spans="2:18" x14ac:dyDescent="0.25">
      <c r="B149" t="s">
        <v>946</v>
      </c>
      <c r="C149" t="s">
        <v>942</v>
      </c>
      <c r="E149" t="s">
        <v>942</v>
      </c>
      <c r="F149" t="s">
        <v>949</v>
      </c>
      <c r="H149" s="306" t="s">
        <v>319</v>
      </c>
      <c r="I149">
        <f>COUNTIF(Tableau2[Question mère],H149)</f>
        <v>2</v>
      </c>
      <c r="K149" t="s">
        <v>2019</v>
      </c>
      <c r="L149">
        <f>COUNTIF(Tableau1[Question fille],Tableau4[[#This Row],[Question fille]])</f>
        <v>1</v>
      </c>
      <c r="N149" s="306" t="s">
        <v>949</v>
      </c>
      <c r="O149" s="306">
        <f>COUNTIF(Tableau3[Question mère],Tableau5[[#This Row],[Question fille]])</f>
        <v>0</v>
      </c>
      <c r="Q149" s="306" t="s">
        <v>319</v>
      </c>
      <c r="R149" s="306">
        <f>COUNTIF(Tableau4[Question fille],Tableau58[[#This Row],[Question mère]])</f>
        <v>0</v>
      </c>
    </row>
    <row r="150" spans="2:18" x14ac:dyDescent="0.25">
      <c r="B150" t="s">
        <v>985</v>
      </c>
      <c r="C150" t="s">
        <v>942</v>
      </c>
      <c r="E150" t="s">
        <v>942</v>
      </c>
      <c r="F150" t="s">
        <v>952</v>
      </c>
      <c r="H150" s="306" t="s">
        <v>325</v>
      </c>
      <c r="I150">
        <f>COUNTIF(Tableau2[Question mère],H150)</f>
        <v>1</v>
      </c>
      <c r="K150" t="s">
        <v>2021</v>
      </c>
      <c r="L150">
        <f>COUNTIF(Tableau1[Question fille],Tableau4[[#This Row],[Question fille]])</f>
        <v>1</v>
      </c>
      <c r="N150" s="305" t="s">
        <v>952</v>
      </c>
      <c r="O150" s="306">
        <f>COUNTIF(Tableau3[Question mère],Tableau5[[#This Row],[Question fille]])</f>
        <v>0</v>
      </c>
      <c r="Q150" s="305" t="s">
        <v>325</v>
      </c>
      <c r="R150" s="306">
        <f>COUNTIF(Tableau4[Question fille],Tableau58[[#This Row],[Question mère]])</f>
        <v>1</v>
      </c>
    </row>
    <row r="151" spans="2:18" x14ac:dyDescent="0.25">
      <c r="B151" t="s">
        <v>988</v>
      </c>
      <c r="C151" t="s">
        <v>881</v>
      </c>
      <c r="E151" t="s">
        <v>942</v>
      </c>
      <c r="F151" t="s">
        <v>954</v>
      </c>
      <c r="H151" s="305" t="s">
        <v>105</v>
      </c>
      <c r="I151">
        <f>COUNTIF(Tableau2[Question mère],H151)</f>
        <v>1</v>
      </c>
      <c r="K151" t="s">
        <v>2023</v>
      </c>
      <c r="L151">
        <f>COUNTIF(Tableau1[Question fille],Tableau4[[#This Row],[Question fille]])</f>
        <v>1</v>
      </c>
      <c r="N151" s="306" t="s">
        <v>954</v>
      </c>
      <c r="O151" s="306">
        <f>COUNTIF(Tableau3[Question mère],Tableau5[[#This Row],[Question fille]])</f>
        <v>0</v>
      </c>
      <c r="Q151" s="306" t="s">
        <v>105</v>
      </c>
      <c r="R151" s="306">
        <f>COUNTIF(Tableau4[Question fille],Tableau58[[#This Row],[Question mère]])</f>
        <v>0</v>
      </c>
    </row>
    <row r="152" spans="2:18" x14ac:dyDescent="0.25">
      <c r="B152" t="s">
        <v>991</v>
      </c>
      <c r="C152" t="s">
        <v>985</v>
      </c>
      <c r="E152" t="s">
        <v>942</v>
      </c>
      <c r="F152" t="s">
        <v>956</v>
      </c>
      <c r="H152" s="306" t="s">
        <v>118</v>
      </c>
      <c r="I152">
        <f>COUNTIF(Tableau2[Question mère],H152)</f>
        <v>2</v>
      </c>
      <c r="K152" t="s">
        <v>1022</v>
      </c>
      <c r="L152">
        <f>COUNTIF(Tableau1[Question fille],Tableau4[[#This Row],[Question fille]])</f>
        <v>1</v>
      </c>
      <c r="N152" s="305" t="s">
        <v>956</v>
      </c>
      <c r="O152" s="306">
        <f>COUNTIF(Tableau3[Question mère],Tableau5[[#This Row],[Question fille]])</f>
        <v>0</v>
      </c>
      <c r="Q152" s="305" t="s">
        <v>118</v>
      </c>
      <c r="R152" s="306">
        <f>COUNTIF(Tableau4[Question fille],Tableau58[[#This Row],[Question mère]])</f>
        <v>0</v>
      </c>
    </row>
    <row r="153" spans="2:18" x14ac:dyDescent="0.25">
      <c r="B153" t="s">
        <v>994</v>
      </c>
      <c r="C153" t="s">
        <v>985</v>
      </c>
      <c r="E153" t="s">
        <v>942</v>
      </c>
      <c r="F153" t="s">
        <v>959</v>
      </c>
      <c r="H153" s="306" t="s">
        <v>126</v>
      </c>
      <c r="I153">
        <f>COUNTIF(Tableau2[Question mère],H153)</f>
        <v>2</v>
      </c>
      <c r="K153" t="s">
        <v>1032</v>
      </c>
      <c r="L153">
        <f>COUNTIF(Tableau1[Question fille],Tableau4[[#This Row],[Question fille]])</f>
        <v>1</v>
      </c>
      <c r="N153" s="306" t="s">
        <v>959</v>
      </c>
      <c r="O153" s="306">
        <f>COUNTIF(Tableau3[Question mère],Tableau5[[#This Row],[Question fille]])</f>
        <v>1</v>
      </c>
      <c r="Q153" s="306" t="s">
        <v>126</v>
      </c>
      <c r="R153" s="306">
        <f>COUNTIF(Tableau4[Question fille],Tableau58[[#This Row],[Question mère]])</f>
        <v>0</v>
      </c>
    </row>
    <row r="154" spans="2:18" x14ac:dyDescent="0.25">
      <c r="B154" t="s">
        <v>997</v>
      </c>
      <c r="C154" t="s">
        <v>994</v>
      </c>
      <c r="E154" t="s">
        <v>942</v>
      </c>
      <c r="F154" t="s">
        <v>964</v>
      </c>
      <c r="H154" s="306" t="s">
        <v>133</v>
      </c>
      <c r="I154">
        <f>COUNTIF(Tableau2[Question mère],H154)</f>
        <v>1</v>
      </c>
      <c r="K154" t="s">
        <v>1036</v>
      </c>
      <c r="L154">
        <f>COUNTIF(Tableau1[Question fille],Tableau4[[#This Row],[Question fille]])</f>
        <v>1</v>
      </c>
      <c r="N154" s="305" t="s">
        <v>964</v>
      </c>
      <c r="O154" s="306">
        <f>COUNTIF(Tableau3[Question mère],Tableau5[[#This Row],[Question fille]])</f>
        <v>0</v>
      </c>
      <c r="Q154" s="305" t="s">
        <v>133</v>
      </c>
      <c r="R154" s="306">
        <f>COUNTIF(Tableau4[Question fille],Tableau58[[#This Row],[Question mère]])</f>
        <v>1</v>
      </c>
    </row>
    <row r="155" spans="2:18" x14ac:dyDescent="0.25">
      <c r="B155" t="s">
        <v>1004</v>
      </c>
      <c r="C155" t="s">
        <v>1000</v>
      </c>
      <c r="E155" t="s">
        <v>942</v>
      </c>
      <c r="F155" t="s">
        <v>967</v>
      </c>
      <c r="H155" s="305" t="s">
        <v>622</v>
      </c>
      <c r="I155">
        <f>COUNTIF(Tableau2[Question mère],H155)</f>
        <v>1</v>
      </c>
      <c r="K155" t="s">
        <v>1038</v>
      </c>
      <c r="L155">
        <f>COUNTIF(Tableau1[Question fille],Tableau4[[#This Row],[Question fille]])</f>
        <v>1</v>
      </c>
      <c r="N155" s="306" t="s">
        <v>967</v>
      </c>
      <c r="O155" s="306">
        <f>COUNTIF(Tableau3[Question mère],Tableau5[[#This Row],[Question fille]])</f>
        <v>0</v>
      </c>
      <c r="Q155" s="306" t="s">
        <v>622</v>
      </c>
      <c r="R155" s="306">
        <f>COUNTIF(Tableau4[Question fille],Tableau58[[#This Row],[Question mère]])</f>
        <v>0</v>
      </c>
    </row>
    <row r="156" spans="2:18" x14ac:dyDescent="0.25">
      <c r="B156" t="s">
        <v>1008</v>
      </c>
      <c r="C156" t="s">
        <v>1004</v>
      </c>
      <c r="E156" t="s">
        <v>942</v>
      </c>
      <c r="F156" t="s">
        <v>969</v>
      </c>
      <c r="H156" s="306" t="s">
        <v>628</v>
      </c>
      <c r="I156">
        <f>COUNTIF(Tableau2[Question mère],H156)</f>
        <v>1</v>
      </c>
      <c r="K156" t="s">
        <v>1042</v>
      </c>
      <c r="L156">
        <f>COUNTIF(Tableau1[Question fille],Tableau4[[#This Row],[Question fille]])</f>
        <v>1</v>
      </c>
      <c r="N156" s="305" t="s">
        <v>969</v>
      </c>
      <c r="O156" s="306">
        <f>COUNTIF(Tableau3[Question mère],Tableau5[[#This Row],[Question fille]])</f>
        <v>0</v>
      </c>
      <c r="Q156" s="305" t="s">
        <v>628</v>
      </c>
      <c r="R156" s="306">
        <f>COUNTIF(Tableau4[Question fille],Tableau58[[#This Row],[Question mère]])</f>
        <v>0</v>
      </c>
    </row>
    <row r="157" spans="2:18" x14ac:dyDescent="0.25">
      <c r="B157" t="s">
        <v>2019</v>
      </c>
      <c r="C157" t="s">
        <v>1000</v>
      </c>
      <c r="E157" t="s">
        <v>942</v>
      </c>
      <c r="F157" t="s">
        <v>971</v>
      </c>
      <c r="K157" t="s">
        <v>1046</v>
      </c>
      <c r="L157">
        <f>COUNTIF(Tableau1[Question fille],Tableau4[[#This Row],[Question fille]])</f>
        <v>1</v>
      </c>
      <c r="N157" s="306" t="s">
        <v>971</v>
      </c>
      <c r="O157" s="306">
        <f>COUNTIF(Tableau3[Question mère],Tableau5[[#This Row],[Question fille]])</f>
        <v>1</v>
      </c>
    </row>
    <row r="158" spans="2:18" x14ac:dyDescent="0.25">
      <c r="B158" t="s">
        <v>2021</v>
      </c>
      <c r="C158" t="s">
        <v>1000</v>
      </c>
      <c r="E158" t="s">
        <v>942</v>
      </c>
      <c r="F158" t="s">
        <v>977</v>
      </c>
      <c r="K158" t="s">
        <v>1114</v>
      </c>
      <c r="L158">
        <f>COUNTIF(Tableau1[Question fille],Tableau4[[#This Row],[Question fille]])</f>
        <v>1</v>
      </c>
      <c r="N158" s="305" t="s">
        <v>977</v>
      </c>
      <c r="O158" s="306">
        <f>COUNTIF(Tableau3[Question mère],Tableau5[[#This Row],[Question fille]])</f>
        <v>0</v>
      </c>
    </row>
    <row r="159" spans="2:18" x14ac:dyDescent="0.25">
      <c r="B159" t="s">
        <v>2023</v>
      </c>
      <c r="C159" t="s">
        <v>1000</v>
      </c>
      <c r="E159" t="s">
        <v>942</v>
      </c>
      <c r="F159" t="s">
        <v>980</v>
      </c>
      <c r="K159" t="s">
        <v>1120</v>
      </c>
      <c r="L159">
        <f>COUNTIF(Tableau1[Question fille],Tableau4[[#This Row],[Question fille]])</f>
        <v>1</v>
      </c>
      <c r="N159" s="306" t="s">
        <v>980</v>
      </c>
      <c r="O159" s="306">
        <f>COUNTIF(Tableau3[Question mère],Tableau5[[#This Row],[Question fille]])</f>
        <v>1</v>
      </c>
    </row>
    <row r="160" spans="2:18" x14ac:dyDescent="0.25">
      <c r="B160" t="s">
        <v>1022</v>
      </c>
      <c r="C160" t="s">
        <v>1012</v>
      </c>
      <c r="E160" t="s">
        <v>985</v>
      </c>
      <c r="F160" t="s">
        <v>991</v>
      </c>
      <c r="K160" t="s">
        <v>1123</v>
      </c>
      <c r="L160">
        <f>COUNTIF(Tableau1[Question fille],Tableau4[[#This Row],[Question fille]])</f>
        <v>1</v>
      </c>
      <c r="N160" s="305" t="s">
        <v>991</v>
      </c>
      <c r="O160" s="306">
        <f>COUNTIF(Tableau3[Question mère],Tableau5[[#This Row],[Question fille]])</f>
        <v>0</v>
      </c>
    </row>
    <row r="161" spans="2:15" x14ac:dyDescent="0.25">
      <c r="B161" t="s">
        <v>1032</v>
      </c>
      <c r="C161" t="s">
        <v>1028</v>
      </c>
      <c r="E161" t="s">
        <v>985</v>
      </c>
      <c r="F161" t="s">
        <v>994</v>
      </c>
      <c r="K161" t="s">
        <v>1423</v>
      </c>
      <c r="L161">
        <f>COUNTIF(Tableau1[Question fille],Tableau4[[#This Row],[Question fille]])</f>
        <v>1</v>
      </c>
      <c r="N161" s="306" t="s">
        <v>994</v>
      </c>
      <c r="O161" s="306">
        <f>COUNTIF(Tableau3[Question mère],Tableau5[[#This Row],[Question fille]])</f>
        <v>1</v>
      </c>
    </row>
    <row r="162" spans="2:15" x14ac:dyDescent="0.25">
      <c r="B162" t="s">
        <v>1036</v>
      </c>
      <c r="C162" t="s">
        <v>1032</v>
      </c>
      <c r="E162" t="s">
        <v>994</v>
      </c>
      <c r="F162" t="s">
        <v>997</v>
      </c>
      <c r="K162" t="s">
        <v>1429</v>
      </c>
      <c r="L162">
        <f>COUNTIF(Tableau1[Question fille],Tableau4[[#This Row],[Question fille]])</f>
        <v>1</v>
      </c>
      <c r="N162" s="305" t="s">
        <v>997</v>
      </c>
      <c r="O162" s="306">
        <f>COUNTIF(Tableau3[Question mère],Tableau5[[#This Row],[Question fille]])</f>
        <v>0</v>
      </c>
    </row>
    <row r="163" spans="2:15" x14ac:dyDescent="0.25">
      <c r="B163" t="s">
        <v>1038</v>
      </c>
      <c r="C163" t="s">
        <v>1028</v>
      </c>
      <c r="E163" t="s">
        <v>1000</v>
      </c>
      <c r="F163" t="s">
        <v>1004</v>
      </c>
      <c r="K163" t="s">
        <v>1431</v>
      </c>
      <c r="L163">
        <f>COUNTIF(Tableau1[Question fille],Tableau4[[#This Row],[Question fille]])</f>
        <v>1</v>
      </c>
      <c r="N163" s="306" t="s">
        <v>1004</v>
      </c>
      <c r="O163" s="306">
        <f>COUNTIF(Tableau3[Question mère],Tableau5[[#This Row],[Question fille]])</f>
        <v>1</v>
      </c>
    </row>
    <row r="164" spans="2:15" x14ac:dyDescent="0.25">
      <c r="B164" t="s">
        <v>1042</v>
      </c>
      <c r="C164" t="s">
        <v>1028</v>
      </c>
      <c r="E164" t="s">
        <v>1000</v>
      </c>
      <c r="F164" t="s">
        <v>2019</v>
      </c>
      <c r="K164" t="s">
        <v>1437</v>
      </c>
      <c r="L164">
        <f>COUNTIF(Tableau1[Question fille],Tableau4[[#This Row],[Question fille]])</f>
        <v>1</v>
      </c>
      <c r="N164" s="305" t="s">
        <v>2019</v>
      </c>
      <c r="O164" s="306">
        <f>COUNTIF(Tableau3[Question mère],Tableau5[[#This Row],[Question fille]])</f>
        <v>0</v>
      </c>
    </row>
    <row r="165" spans="2:15" x14ac:dyDescent="0.25">
      <c r="B165" t="s">
        <v>1046</v>
      </c>
      <c r="C165" t="s">
        <v>1042</v>
      </c>
      <c r="E165" t="s">
        <v>1000</v>
      </c>
      <c r="F165" t="s">
        <v>2021</v>
      </c>
      <c r="K165" t="s">
        <v>1446</v>
      </c>
      <c r="L165">
        <f>COUNTIF(Tableau1[Question fille],Tableau4[[#This Row],[Question fille]])</f>
        <v>1</v>
      </c>
      <c r="N165" s="306" t="s">
        <v>2021</v>
      </c>
      <c r="O165" s="306">
        <f>COUNTIF(Tableau3[Question mère],Tableau5[[#This Row],[Question fille]])</f>
        <v>0</v>
      </c>
    </row>
    <row r="166" spans="2:15" x14ac:dyDescent="0.25">
      <c r="B166" t="s">
        <v>1114</v>
      </c>
      <c r="C166" t="s">
        <v>1108</v>
      </c>
      <c r="E166" t="s">
        <v>1000</v>
      </c>
      <c r="F166" t="s">
        <v>2023</v>
      </c>
      <c r="K166" t="s">
        <v>1439</v>
      </c>
      <c r="L166">
        <f>COUNTIF(Tableau1[Question fille],Tableau4[[#This Row],[Question fille]])</f>
        <v>1</v>
      </c>
      <c r="N166" s="305" t="s">
        <v>2023</v>
      </c>
      <c r="O166" s="306">
        <f>COUNTIF(Tableau3[Question mère],Tableau5[[#This Row],[Question fille]])</f>
        <v>0</v>
      </c>
    </row>
    <row r="167" spans="2:15" x14ac:dyDescent="0.25">
      <c r="B167" t="s">
        <v>1120</v>
      </c>
      <c r="C167" t="s">
        <v>1116</v>
      </c>
      <c r="E167" t="s">
        <v>1004</v>
      </c>
      <c r="F167" t="s">
        <v>1008</v>
      </c>
      <c r="K167" t="s">
        <v>1449</v>
      </c>
      <c r="L167">
        <f>COUNTIF(Tableau1[Question fille],Tableau4[[#This Row],[Question fille]])</f>
        <v>1</v>
      </c>
      <c r="N167" s="306" t="s">
        <v>1008</v>
      </c>
      <c r="O167" s="306">
        <f>COUNTIF(Tableau3[Question mère],Tableau5[[#This Row],[Question fille]])</f>
        <v>0</v>
      </c>
    </row>
    <row r="168" spans="2:15" x14ac:dyDescent="0.25">
      <c r="B168" t="s">
        <v>1123</v>
      </c>
      <c r="C168" t="s">
        <v>1120</v>
      </c>
      <c r="E168" t="s">
        <v>1028</v>
      </c>
      <c r="F168" t="s">
        <v>1032</v>
      </c>
      <c r="K168" t="s">
        <v>1209</v>
      </c>
      <c r="L168">
        <f>COUNTIF(Tableau1[Question fille],Tableau4[[#This Row],[Question fille]])</f>
        <v>1</v>
      </c>
      <c r="N168" s="305" t="s">
        <v>1032</v>
      </c>
      <c r="O168" s="306">
        <f>COUNTIF(Tableau3[Question mère],Tableau5[[#This Row],[Question fille]])</f>
        <v>1</v>
      </c>
    </row>
    <row r="169" spans="2:15" x14ac:dyDescent="0.25">
      <c r="B169" t="s">
        <v>1423</v>
      </c>
      <c r="C169" t="s">
        <v>1419</v>
      </c>
      <c r="E169" t="s">
        <v>1028</v>
      </c>
      <c r="F169" t="s">
        <v>1038</v>
      </c>
      <c r="K169" t="s">
        <v>1211</v>
      </c>
      <c r="L169">
        <f>COUNTIF(Tableau1[Question fille],Tableau4[[#This Row],[Question fille]])</f>
        <v>1</v>
      </c>
      <c r="N169" s="306" t="s">
        <v>1038</v>
      </c>
      <c r="O169" s="306">
        <f>COUNTIF(Tableau3[Question mère],Tableau5[[#This Row],[Question fille]])</f>
        <v>0</v>
      </c>
    </row>
    <row r="170" spans="2:15" x14ac:dyDescent="0.25">
      <c r="B170" t="s">
        <v>1429</v>
      </c>
      <c r="C170" t="s">
        <v>1425</v>
      </c>
      <c r="E170" t="s">
        <v>1028</v>
      </c>
      <c r="F170" t="s">
        <v>1042</v>
      </c>
      <c r="K170" t="s">
        <v>1214</v>
      </c>
      <c r="L170">
        <f>COUNTIF(Tableau1[Question fille],Tableau4[[#This Row],[Question fille]])</f>
        <v>1</v>
      </c>
      <c r="N170" s="305" t="s">
        <v>1042</v>
      </c>
      <c r="O170" s="306">
        <f>COUNTIF(Tableau3[Question mère],Tableau5[[#This Row],[Question fille]])</f>
        <v>1</v>
      </c>
    </row>
    <row r="171" spans="2:15" x14ac:dyDescent="0.25">
      <c r="B171" t="s">
        <v>1431</v>
      </c>
      <c r="C171" t="s">
        <v>1425</v>
      </c>
      <c r="E171" t="s">
        <v>1032</v>
      </c>
      <c r="F171" t="s">
        <v>1036</v>
      </c>
      <c r="K171" t="s">
        <v>1361</v>
      </c>
      <c r="L171">
        <f>COUNTIF(Tableau1[Question fille],Tableau4[[#This Row],[Question fille]])</f>
        <v>1</v>
      </c>
      <c r="N171" s="306" t="s">
        <v>1036</v>
      </c>
      <c r="O171" s="306">
        <f>COUNTIF(Tableau3[Question mère],Tableau5[[#This Row],[Question fille]])</f>
        <v>0</v>
      </c>
    </row>
    <row r="172" spans="2:15" x14ac:dyDescent="0.25">
      <c r="B172" t="s">
        <v>1437</v>
      </c>
      <c r="C172" t="s">
        <v>1433</v>
      </c>
      <c r="E172" t="s">
        <v>1042</v>
      </c>
      <c r="F172" t="s">
        <v>1046</v>
      </c>
      <c r="K172" t="s">
        <v>1131</v>
      </c>
      <c r="L172">
        <f>COUNTIF(Tableau1[Question fille],Tableau4[[#This Row],[Question fille]])</f>
        <v>1</v>
      </c>
      <c r="N172" s="305" t="s">
        <v>1046</v>
      </c>
      <c r="O172" s="306">
        <f>COUNTIF(Tableau3[Question mère],Tableau5[[#This Row],[Question fille]])</f>
        <v>0</v>
      </c>
    </row>
    <row r="173" spans="2:15" x14ac:dyDescent="0.25">
      <c r="B173" t="s">
        <v>1446</v>
      </c>
      <c r="C173" t="s">
        <v>2033</v>
      </c>
      <c r="E173" t="s">
        <v>1357</v>
      </c>
      <c r="F173" t="s">
        <v>1361</v>
      </c>
      <c r="K173" t="s">
        <v>1134</v>
      </c>
      <c r="L173">
        <f>COUNTIF(Tableau1[Question fille],Tableau4[[#This Row],[Question fille]])</f>
        <v>1</v>
      </c>
      <c r="N173" s="306" t="s">
        <v>1361</v>
      </c>
      <c r="O173" s="306">
        <f>COUNTIF(Tableau3[Question mère],Tableau5[[#This Row],[Question fille]])</f>
        <v>0</v>
      </c>
    </row>
    <row r="174" spans="2:15" x14ac:dyDescent="0.25">
      <c r="B174" t="s">
        <v>1439</v>
      </c>
      <c r="C174" t="s">
        <v>1433</v>
      </c>
      <c r="E174" t="s">
        <v>1108</v>
      </c>
      <c r="F174" t="s">
        <v>1114</v>
      </c>
      <c r="K174" t="s">
        <v>1137</v>
      </c>
      <c r="L174">
        <f>COUNTIF(Tableau1[Question fille],Tableau4[[#This Row],[Question fille]])</f>
        <v>1</v>
      </c>
      <c r="N174" s="305" t="s">
        <v>1114</v>
      </c>
      <c r="O174" s="306">
        <f>COUNTIF(Tableau3[Question mère],Tableau5[[#This Row],[Question fille]])</f>
        <v>0</v>
      </c>
    </row>
    <row r="175" spans="2:15" x14ac:dyDescent="0.25">
      <c r="B175" t="s">
        <v>1449</v>
      </c>
      <c r="C175" t="s">
        <v>1446</v>
      </c>
      <c r="E175" t="s">
        <v>1116</v>
      </c>
      <c r="F175" t="s">
        <v>1120</v>
      </c>
      <c r="K175" t="s">
        <v>1141</v>
      </c>
      <c r="L175">
        <f>COUNTIF(Tableau1[Question fille],Tableau4[[#This Row],[Question fille]])</f>
        <v>1</v>
      </c>
      <c r="N175" s="306" t="s">
        <v>1120</v>
      </c>
      <c r="O175" s="306">
        <f>COUNTIF(Tableau3[Question mère],Tableau5[[#This Row],[Question fille]])</f>
        <v>1</v>
      </c>
    </row>
    <row r="176" spans="2:15" x14ac:dyDescent="0.25">
      <c r="B176" t="s">
        <v>1209</v>
      </c>
      <c r="C176" t="s">
        <v>1205</v>
      </c>
      <c r="E176" t="s">
        <v>1120</v>
      </c>
      <c r="F176" t="s">
        <v>1123</v>
      </c>
      <c r="K176" t="s">
        <v>1147</v>
      </c>
      <c r="L176">
        <f>COUNTIF(Tableau1[Question fille],Tableau4[[#This Row],[Question fille]])</f>
        <v>1</v>
      </c>
      <c r="N176" s="305" t="s">
        <v>1123</v>
      </c>
      <c r="O176" s="306">
        <f>COUNTIF(Tableau3[Question mère],Tableau5[[#This Row],[Question fille]])</f>
        <v>0</v>
      </c>
    </row>
    <row r="177" spans="2:15" x14ac:dyDescent="0.25">
      <c r="B177" t="s">
        <v>1211</v>
      </c>
      <c r="C177" t="s">
        <v>1205</v>
      </c>
      <c r="E177" t="s">
        <v>1419</v>
      </c>
      <c r="F177" t="s">
        <v>1423</v>
      </c>
      <c r="K177" t="s">
        <v>1239</v>
      </c>
      <c r="L177">
        <f>COUNTIF(Tableau1[Question fille],Tableau4[[#This Row],[Question fille]])</f>
        <v>1</v>
      </c>
      <c r="N177" s="306" t="s">
        <v>1423</v>
      </c>
      <c r="O177" s="306">
        <f>COUNTIF(Tableau3[Question mère],Tableau5[[#This Row],[Question fille]])</f>
        <v>0</v>
      </c>
    </row>
    <row r="178" spans="2:15" x14ac:dyDescent="0.25">
      <c r="B178" t="s">
        <v>1214</v>
      </c>
      <c r="C178" t="s">
        <v>61</v>
      </c>
      <c r="E178" t="s">
        <v>1425</v>
      </c>
      <c r="F178" t="s">
        <v>1429</v>
      </c>
      <c r="K178" t="s">
        <v>1261</v>
      </c>
      <c r="L178">
        <f>COUNTIF(Tableau1[Question fille],Tableau4[[#This Row],[Question fille]])</f>
        <v>1</v>
      </c>
      <c r="N178" s="305" t="s">
        <v>1429</v>
      </c>
      <c r="O178" s="306">
        <f>COUNTIF(Tableau3[Question mère],Tableau5[[#This Row],[Question fille]])</f>
        <v>0</v>
      </c>
    </row>
    <row r="179" spans="2:15" x14ac:dyDescent="0.25">
      <c r="B179" t="s">
        <v>1361</v>
      </c>
      <c r="C179" t="s">
        <v>1357</v>
      </c>
      <c r="E179" t="s">
        <v>1425</v>
      </c>
      <c r="F179" t="s">
        <v>1431</v>
      </c>
      <c r="K179" t="s">
        <v>1269</v>
      </c>
      <c r="L179">
        <f>COUNTIF(Tableau1[Question fille],Tableau4[[#This Row],[Question fille]])</f>
        <v>1</v>
      </c>
      <c r="N179" s="306" t="s">
        <v>1431</v>
      </c>
      <c r="O179" s="306">
        <f>COUNTIF(Tableau3[Question mère],Tableau5[[#This Row],[Question fille]])</f>
        <v>0</v>
      </c>
    </row>
    <row r="180" spans="2:15" x14ac:dyDescent="0.25">
      <c r="B180" t="s">
        <v>1131</v>
      </c>
      <c r="C180" t="s">
        <v>1127</v>
      </c>
      <c r="E180" t="s">
        <v>1433</v>
      </c>
      <c r="F180" t="s">
        <v>1437</v>
      </c>
      <c r="K180" t="s">
        <v>1277</v>
      </c>
      <c r="L180">
        <f>COUNTIF(Tableau1[Question fille],Tableau4[[#This Row],[Question fille]])</f>
        <v>1</v>
      </c>
      <c r="N180" s="305" t="s">
        <v>1437</v>
      </c>
      <c r="O180" s="306">
        <f>COUNTIF(Tableau3[Question mère],Tableau5[[#This Row],[Question fille]])</f>
        <v>0</v>
      </c>
    </row>
    <row r="181" spans="2:15" x14ac:dyDescent="0.25">
      <c r="B181" t="s">
        <v>1134</v>
      </c>
      <c r="C181" t="s">
        <v>1127</v>
      </c>
      <c r="E181" t="s">
        <v>1433</v>
      </c>
      <c r="F181" t="s">
        <v>1439</v>
      </c>
      <c r="K181" t="s">
        <v>1393</v>
      </c>
      <c r="L181">
        <f>COUNTIF(Tableau1[Question fille],Tableau4[[#This Row],[Question fille]])</f>
        <v>1</v>
      </c>
      <c r="N181" s="306" t="s">
        <v>1439</v>
      </c>
      <c r="O181" s="306">
        <f>COUNTIF(Tableau3[Question mère],Tableau5[[#This Row],[Question fille]])</f>
        <v>0</v>
      </c>
    </row>
    <row r="182" spans="2:15" x14ac:dyDescent="0.25">
      <c r="B182" t="s">
        <v>1137</v>
      </c>
      <c r="C182" t="s">
        <v>61</v>
      </c>
      <c r="E182" t="s">
        <v>2033</v>
      </c>
      <c r="F182" t="s">
        <v>1446</v>
      </c>
      <c r="K182" t="s">
        <v>1321</v>
      </c>
      <c r="L182">
        <f>COUNTIF(Tableau1[Question fille],Tableau4[[#This Row],[Question fille]])</f>
        <v>1</v>
      </c>
      <c r="N182" s="305" t="s">
        <v>1446</v>
      </c>
      <c r="O182" s="306">
        <f>COUNTIF(Tableau3[Question mère],Tableau5[[#This Row],[Question fille]])</f>
        <v>1</v>
      </c>
    </row>
    <row r="183" spans="2:15" x14ac:dyDescent="0.25">
      <c r="B183" t="s">
        <v>1141</v>
      </c>
      <c r="C183" t="s">
        <v>1137</v>
      </c>
      <c r="E183" t="s">
        <v>1446</v>
      </c>
      <c r="F183" t="s">
        <v>1449</v>
      </c>
      <c r="K183" t="s">
        <v>581</v>
      </c>
      <c r="L183">
        <f>COUNTIF(Tableau1[Question fille],Tableau4[[#This Row],[Question fille]])</f>
        <v>2</v>
      </c>
      <c r="N183" s="306" t="s">
        <v>1449</v>
      </c>
      <c r="O183" s="306">
        <f>COUNTIF(Tableau3[Question mère],Tableau5[[#This Row],[Question fille]])</f>
        <v>0</v>
      </c>
    </row>
    <row r="184" spans="2:15" x14ac:dyDescent="0.25">
      <c r="B184" t="s">
        <v>1147</v>
      </c>
      <c r="C184" t="s">
        <v>1143</v>
      </c>
      <c r="E184" t="s">
        <v>1205</v>
      </c>
      <c r="F184" t="s">
        <v>1209</v>
      </c>
      <c r="K184" t="s">
        <v>585</v>
      </c>
      <c r="L184">
        <f>COUNTIF(Tableau1[Question fille],Tableau4[[#This Row],[Question fille]])</f>
        <v>1</v>
      </c>
      <c r="N184" s="305" t="s">
        <v>1209</v>
      </c>
      <c r="O184" s="306">
        <f>COUNTIF(Tableau3[Question mère],Tableau5[[#This Row],[Question fille]])</f>
        <v>0</v>
      </c>
    </row>
    <row r="185" spans="2:15" x14ac:dyDescent="0.25">
      <c r="B185" t="s">
        <v>1239</v>
      </c>
      <c r="C185" t="s">
        <v>1235</v>
      </c>
      <c r="E185" t="s">
        <v>1205</v>
      </c>
      <c r="F185" t="s">
        <v>1211</v>
      </c>
      <c r="K185" t="s">
        <v>587</v>
      </c>
      <c r="L185">
        <f>COUNTIF(Tableau1[Question fille],Tableau4[[#This Row],[Question fille]])</f>
        <v>1</v>
      </c>
      <c r="N185" s="306" t="s">
        <v>1211</v>
      </c>
      <c r="O185" s="306">
        <f>COUNTIF(Tableau3[Question mère],Tableau5[[#This Row],[Question fille]])</f>
        <v>0</v>
      </c>
    </row>
    <row r="186" spans="2:15" x14ac:dyDescent="0.25">
      <c r="B186" t="s">
        <v>1261</v>
      </c>
      <c r="C186" t="s">
        <v>1257</v>
      </c>
      <c r="E186" t="s">
        <v>1127</v>
      </c>
      <c r="F186" t="s">
        <v>1131</v>
      </c>
      <c r="K186" t="s">
        <v>591</v>
      </c>
      <c r="L186">
        <f>COUNTIF(Tableau1[Question fille],Tableau4[[#This Row],[Question fille]])</f>
        <v>1</v>
      </c>
      <c r="N186" s="305" t="s">
        <v>1131</v>
      </c>
      <c r="O186" s="306">
        <f>COUNTIF(Tableau3[Question mère],Tableau5[[#This Row],[Question fille]])</f>
        <v>0</v>
      </c>
    </row>
    <row r="187" spans="2:15" x14ac:dyDescent="0.25">
      <c r="B187" t="s">
        <v>1269</v>
      </c>
      <c r="C187" t="s">
        <v>1265</v>
      </c>
      <c r="E187" t="s">
        <v>1127</v>
      </c>
      <c r="F187" t="s">
        <v>1134</v>
      </c>
      <c r="K187" t="s">
        <v>594</v>
      </c>
      <c r="L187">
        <f>COUNTIF(Tableau1[Question fille],Tableau4[[#This Row],[Question fille]])</f>
        <v>1</v>
      </c>
      <c r="N187" s="306" t="s">
        <v>1134</v>
      </c>
      <c r="O187" s="306">
        <f>COUNTIF(Tableau3[Question mère],Tableau5[[#This Row],[Question fille]])</f>
        <v>0</v>
      </c>
    </row>
    <row r="188" spans="2:15" x14ac:dyDescent="0.25">
      <c r="B188" t="s">
        <v>1277</v>
      </c>
      <c r="C188" t="s">
        <v>1274</v>
      </c>
      <c r="E188" t="s">
        <v>1137</v>
      </c>
      <c r="F188" t="s">
        <v>1141</v>
      </c>
      <c r="K188" t="s">
        <v>596</v>
      </c>
      <c r="L188">
        <f>COUNTIF(Tableau1[Question fille],Tableau4[[#This Row],[Question fille]])</f>
        <v>1</v>
      </c>
      <c r="N188" s="305" t="s">
        <v>1141</v>
      </c>
      <c r="O188" s="306">
        <f>COUNTIF(Tableau3[Question mère],Tableau5[[#This Row],[Question fille]])</f>
        <v>0</v>
      </c>
    </row>
    <row r="189" spans="2:15" x14ac:dyDescent="0.25">
      <c r="B189" t="s">
        <v>1393</v>
      </c>
      <c r="C189" t="s">
        <v>1389</v>
      </c>
      <c r="E189" t="s">
        <v>1143</v>
      </c>
      <c r="F189" t="s">
        <v>1147</v>
      </c>
      <c r="K189" t="s">
        <v>598</v>
      </c>
      <c r="L189">
        <f>COUNTIF(Tableau1[Question fille],Tableau4[[#This Row],[Question fille]])</f>
        <v>1</v>
      </c>
      <c r="N189" s="306" t="s">
        <v>1147</v>
      </c>
      <c r="O189" s="306">
        <f>COUNTIF(Tableau3[Question mère],Tableau5[[#This Row],[Question fille]])</f>
        <v>0</v>
      </c>
    </row>
    <row r="190" spans="2:15" x14ac:dyDescent="0.25">
      <c r="B190" t="s">
        <v>1321</v>
      </c>
      <c r="C190" t="s">
        <v>1317</v>
      </c>
      <c r="E190" t="s">
        <v>1235</v>
      </c>
      <c r="F190" t="s">
        <v>1239</v>
      </c>
      <c r="K190" t="s">
        <v>601</v>
      </c>
      <c r="L190">
        <f>COUNTIF(Tableau1[Question fille],Tableau4[[#This Row],[Question fille]])</f>
        <v>1</v>
      </c>
      <c r="N190" s="305" t="s">
        <v>1239</v>
      </c>
      <c r="O190" s="306">
        <f>COUNTIF(Tableau3[Question mère],Tableau5[[#This Row],[Question fille]])</f>
        <v>0</v>
      </c>
    </row>
    <row r="191" spans="2:15" x14ac:dyDescent="0.25">
      <c r="B191" t="s">
        <v>581</v>
      </c>
      <c r="C191" t="s">
        <v>577</v>
      </c>
      <c r="E191" t="s">
        <v>1257</v>
      </c>
      <c r="F191" t="s">
        <v>1261</v>
      </c>
      <c r="K191" t="s">
        <v>606</v>
      </c>
      <c r="L191">
        <f>COUNTIF(Tableau1[Question fille],Tableau4[[#This Row],[Question fille]])</f>
        <v>1</v>
      </c>
      <c r="N191" s="306" t="s">
        <v>1261</v>
      </c>
      <c r="O191" s="306">
        <f>COUNTIF(Tableau3[Question mère],Tableau5[[#This Row],[Question fille]])</f>
        <v>0</v>
      </c>
    </row>
    <row r="192" spans="2:15" x14ac:dyDescent="0.25">
      <c r="B192" t="s">
        <v>581</v>
      </c>
      <c r="C192" t="s">
        <v>472</v>
      </c>
      <c r="E192" t="s">
        <v>1265</v>
      </c>
      <c r="F192" t="s">
        <v>1269</v>
      </c>
      <c r="K192" t="s">
        <v>1415</v>
      </c>
      <c r="L192">
        <f>COUNTIF(Tableau1[Question fille],Tableau4[[#This Row],[Question fille]])</f>
        <v>1</v>
      </c>
      <c r="N192" s="305" t="s">
        <v>1269</v>
      </c>
      <c r="O192" s="306">
        <f>COUNTIF(Tableau3[Question mère],Tableau5[[#This Row],[Question fille]])</f>
        <v>0</v>
      </c>
    </row>
    <row r="193" spans="2:15" x14ac:dyDescent="0.25">
      <c r="B193" t="s">
        <v>585</v>
      </c>
      <c r="C193" t="s">
        <v>581</v>
      </c>
      <c r="E193" t="s">
        <v>1274</v>
      </c>
      <c r="F193" t="s">
        <v>1277</v>
      </c>
      <c r="K193" t="s">
        <v>1327</v>
      </c>
      <c r="L193">
        <f>COUNTIF(Tableau1[Question fille],Tableau4[[#This Row],[Question fille]])</f>
        <v>1</v>
      </c>
      <c r="N193" s="306" t="s">
        <v>1277</v>
      </c>
      <c r="O193" s="306">
        <f>COUNTIF(Tableau3[Question mère],Tableau5[[#This Row],[Question fille]])</f>
        <v>0</v>
      </c>
    </row>
    <row r="194" spans="2:15" x14ac:dyDescent="0.25">
      <c r="B194" t="s">
        <v>587</v>
      </c>
      <c r="C194" t="s">
        <v>581</v>
      </c>
      <c r="E194" t="s">
        <v>1317</v>
      </c>
      <c r="F194" t="s">
        <v>1321</v>
      </c>
      <c r="K194" t="s">
        <v>358</v>
      </c>
      <c r="L194">
        <f>COUNTIF(Tableau1[Question fille],Tableau4[[#This Row],[Question fille]])</f>
        <v>1</v>
      </c>
      <c r="N194" s="305" t="s">
        <v>1321</v>
      </c>
      <c r="O194" s="306">
        <f>COUNTIF(Tableau3[Question mère],Tableau5[[#This Row],[Question fille]])</f>
        <v>0</v>
      </c>
    </row>
    <row r="195" spans="2:15" x14ac:dyDescent="0.25">
      <c r="B195" t="s">
        <v>591</v>
      </c>
      <c r="C195" t="s">
        <v>581</v>
      </c>
      <c r="E195" t="s">
        <v>1389</v>
      </c>
      <c r="F195" t="s">
        <v>1393</v>
      </c>
      <c r="K195" t="s">
        <v>360</v>
      </c>
      <c r="L195">
        <f>COUNTIF(Tableau1[Question fille],Tableau4[[#This Row],[Question fille]])</f>
        <v>1</v>
      </c>
      <c r="N195" s="306" t="s">
        <v>1393</v>
      </c>
      <c r="O195" s="306">
        <f>COUNTIF(Tableau3[Question mère],Tableau5[[#This Row],[Question fille]])</f>
        <v>0</v>
      </c>
    </row>
    <row r="196" spans="2:15" x14ac:dyDescent="0.25">
      <c r="B196" t="s">
        <v>594</v>
      </c>
      <c r="C196" t="s">
        <v>577</v>
      </c>
      <c r="E196" t="s">
        <v>1411</v>
      </c>
      <c r="F196" t="s">
        <v>1415</v>
      </c>
      <c r="K196" t="s">
        <v>754</v>
      </c>
      <c r="L196">
        <f>COUNTIF(Tableau1[Question fille],Tableau4[[#This Row],[Question fille]])</f>
        <v>1</v>
      </c>
      <c r="N196" s="305" t="s">
        <v>1415</v>
      </c>
      <c r="O196" s="306">
        <f>COUNTIF(Tableau3[Question mère],Tableau5[[#This Row],[Question fille]])</f>
        <v>0</v>
      </c>
    </row>
    <row r="197" spans="2:15" x14ac:dyDescent="0.25">
      <c r="B197" t="s">
        <v>596</v>
      </c>
      <c r="C197" t="s">
        <v>577</v>
      </c>
      <c r="E197" t="s">
        <v>581</v>
      </c>
      <c r="F197" t="s">
        <v>585</v>
      </c>
      <c r="K197" t="s">
        <v>73</v>
      </c>
      <c r="L197">
        <f>COUNTIF(Tableau1[Question fille],Tableau4[[#This Row],[Question fille]])</f>
        <v>1</v>
      </c>
      <c r="N197" s="306" t="s">
        <v>585</v>
      </c>
      <c r="O197" s="306">
        <f>COUNTIF(Tableau3[Question mère],Tableau5[[#This Row],[Question fille]])</f>
        <v>0</v>
      </c>
    </row>
    <row r="198" spans="2:15" x14ac:dyDescent="0.25">
      <c r="B198" t="s">
        <v>598</v>
      </c>
      <c r="C198" t="s">
        <v>577</v>
      </c>
      <c r="E198" t="s">
        <v>581</v>
      </c>
      <c r="F198" t="s">
        <v>587</v>
      </c>
      <c r="K198" t="s">
        <v>609</v>
      </c>
      <c r="L198">
        <f>COUNTIF(Tableau1[Question fille],Tableau4[[#This Row],[Question fille]])</f>
        <v>1</v>
      </c>
      <c r="N198" s="305" t="s">
        <v>587</v>
      </c>
      <c r="O198" s="306">
        <f>COUNTIF(Tableau3[Question mère],Tableau5[[#This Row],[Question fille]])</f>
        <v>0</v>
      </c>
    </row>
    <row r="199" spans="2:15" x14ac:dyDescent="0.25">
      <c r="B199" t="s">
        <v>601</v>
      </c>
      <c r="C199" t="s">
        <v>577</v>
      </c>
      <c r="E199" t="s">
        <v>581</v>
      </c>
      <c r="F199" t="s">
        <v>591</v>
      </c>
      <c r="K199" t="s">
        <v>571</v>
      </c>
      <c r="L199">
        <f>COUNTIF(Tableau1[Question fille],Tableau4[[#This Row],[Question fille]])</f>
        <v>1</v>
      </c>
      <c r="N199" s="306" t="s">
        <v>591</v>
      </c>
      <c r="O199" s="306">
        <f>COUNTIF(Tableau3[Question mère],Tableau5[[#This Row],[Question fille]])</f>
        <v>0</v>
      </c>
    </row>
    <row r="200" spans="2:15" x14ac:dyDescent="0.25">
      <c r="B200" t="s">
        <v>606</v>
      </c>
      <c r="C200" t="s">
        <v>577</v>
      </c>
      <c r="E200" t="s">
        <v>1323</v>
      </c>
      <c r="F200" t="s">
        <v>1327</v>
      </c>
      <c r="K200" t="s">
        <v>809</v>
      </c>
      <c r="L200">
        <f>COUNTIF(Tableau1[Question fille],Tableau4[[#This Row],[Question fille]])</f>
        <v>1</v>
      </c>
      <c r="N200" s="305" t="s">
        <v>1327</v>
      </c>
      <c r="O200" s="306">
        <f>COUNTIF(Tableau3[Question mère],Tableau5[[#This Row],[Question fille]])</f>
        <v>0</v>
      </c>
    </row>
    <row r="201" spans="2:15" x14ac:dyDescent="0.25">
      <c r="B201" t="s">
        <v>1415</v>
      </c>
      <c r="C201" t="s">
        <v>1411</v>
      </c>
      <c r="E201" t="s">
        <v>606</v>
      </c>
      <c r="F201" t="s">
        <v>609</v>
      </c>
      <c r="K201" t="s">
        <v>949</v>
      </c>
      <c r="L201">
        <f>COUNTIF(Tableau1[Question fille],Tableau4[[#This Row],[Question fille]])</f>
        <v>1</v>
      </c>
      <c r="N201" s="306" t="s">
        <v>609</v>
      </c>
      <c r="O201" s="306">
        <f>COUNTIF(Tableau3[Question mère],Tableau5[[#This Row],[Question fille]])</f>
        <v>0</v>
      </c>
    </row>
    <row r="202" spans="2:15" x14ac:dyDescent="0.25">
      <c r="B202" t="s">
        <v>1327</v>
      </c>
      <c r="C202" t="s">
        <v>1323</v>
      </c>
      <c r="E202" t="s">
        <v>18</v>
      </c>
      <c r="F202" t="s">
        <v>1103</v>
      </c>
      <c r="K202" t="s">
        <v>1334</v>
      </c>
      <c r="L202">
        <f>COUNTIF(Tableau1[Question fille],Tableau4[[#This Row],[Question fille]])</f>
        <v>1</v>
      </c>
      <c r="N202" s="305" t="s">
        <v>1103</v>
      </c>
      <c r="O202" s="306">
        <f>COUNTIF(Tableau3[Question mère],Tableau5[[#This Row],[Question fille]])</f>
        <v>0</v>
      </c>
    </row>
    <row r="203" spans="2:15" x14ac:dyDescent="0.25">
      <c r="B203" t="s">
        <v>358</v>
      </c>
      <c r="C203" t="s">
        <v>354</v>
      </c>
      <c r="E203" t="s">
        <v>18</v>
      </c>
      <c r="F203" t="s">
        <v>532</v>
      </c>
      <c r="K203" t="s">
        <v>1338</v>
      </c>
      <c r="L203">
        <f>COUNTIF(Tableau1[Question fille],Tableau4[[#This Row],[Question fille]])</f>
        <v>1</v>
      </c>
      <c r="N203" s="305" t="s">
        <v>537</v>
      </c>
      <c r="O203" s="306">
        <f>COUNTIF(Tableau3[Question mère],Tableau5[[#This Row],[Question fille]])</f>
        <v>1</v>
      </c>
    </row>
    <row r="204" spans="2:15" x14ac:dyDescent="0.25">
      <c r="B204" t="s">
        <v>360</v>
      </c>
      <c r="C204" t="s">
        <v>354</v>
      </c>
      <c r="E204" t="s">
        <v>18</v>
      </c>
      <c r="F204" t="s">
        <v>537</v>
      </c>
      <c r="K204" t="s">
        <v>1345</v>
      </c>
      <c r="L204">
        <f>COUNTIF(Tableau1[Question fille],Tableau4[[#This Row],[Question fille]])</f>
        <v>1</v>
      </c>
      <c r="N204" s="306" t="s">
        <v>73</v>
      </c>
      <c r="O204" s="306">
        <f>COUNTIF(Tableau3[Question mère],Tableau5[[#This Row],[Question fille]])</f>
        <v>0</v>
      </c>
    </row>
    <row r="205" spans="2:15" x14ac:dyDescent="0.25">
      <c r="B205" t="s">
        <v>754</v>
      </c>
      <c r="C205" t="s">
        <v>750</v>
      </c>
      <c r="E205" t="s">
        <v>69</v>
      </c>
      <c r="F205" t="s">
        <v>73</v>
      </c>
      <c r="K205" t="s">
        <v>1348</v>
      </c>
      <c r="L205">
        <f>COUNTIF(Tableau1[Question fille],Tableau4[[#This Row],[Question fille]])</f>
        <v>1</v>
      </c>
      <c r="N205" s="305" t="s">
        <v>577</v>
      </c>
      <c r="O205" s="306">
        <f>COUNTIF(Tableau3[Question mère],Tableau5[[#This Row],[Question fille]])</f>
        <v>1</v>
      </c>
    </row>
    <row r="206" spans="2:15" x14ac:dyDescent="0.25">
      <c r="B206" t="s">
        <v>73</v>
      </c>
      <c r="C206" t="s">
        <v>69</v>
      </c>
      <c r="E206" t="s">
        <v>571</v>
      </c>
      <c r="F206" t="s">
        <v>577</v>
      </c>
      <c r="K206" t="s">
        <v>1351</v>
      </c>
      <c r="L206">
        <f>COUNTIF(Tableau1[Question fille],Tableau4[[#This Row],[Question fille]])</f>
        <v>1</v>
      </c>
      <c r="N206" s="306" t="s">
        <v>575</v>
      </c>
      <c r="O206" s="306">
        <f>COUNTIF(Tableau3[Question mère],Tableau5[[#This Row],[Question fille]])</f>
        <v>0</v>
      </c>
    </row>
    <row r="207" spans="2:15" x14ac:dyDescent="0.25">
      <c r="B207" t="s">
        <v>609</v>
      </c>
      <c r="C207" t="s">
        <v>606</v>
      </c>
      <c r="E207" t="s">
        <v>571</v>
      </c>
      <c r="F207" t="s">
        <v>575</v>
      </c>
      <c r="K207" t="s">
        <v>1354</v>
      </c>
      <c r="L207">
        <f>COUNTIF(Tableau1[Question fille],Tableau4[[#This Row],[Question fille]])</f>
        <v>1</v>
      </c>
      <c r="N207" s="305" t="s">
        <v>604</v>
      </c>
      <c r="O207" s="306">
        <f>COUNTIF(Tableau3[Question mère],Tableau5[[#This Row],[Question fille]])</f>
        <v>0</v>
      </c>
    </row>
    <row r="208" spans="2:15" x14ac:dyDescent="0.25">
      <c r="B208" t="s">
        <v>571</v>
      </c>
      <c r="C208" t="s">
        <v>472</v>
      </c>
      <c r="E208" t="s">
        <v>571</v>
      </c>
      <c r="F208" t="s">
        <v>604</v>
      </c>
      <c r="K208" t="s">
        <v>482</v>
      </c>
      <c r="L208">
        <f>COUNTIF(Tableau1[Question fille],Tableau4[[#This Row],[Question fille]])</f>
        <v>1</v>
      </c>
      <c r="N208" s="306" t="s">
        <v>1334</v>
      </c>
      <c r="O208" s="306">
        <f>COUNTIF(Tableau3[Question mère],Tableau5[[#This Row],[Question fille]])</f>
        <v>1</v>
      </c>
    </row>
    <row r="209" spans="2:15" x14ac:dyDescent="0.25">
      <c r="B209" t="s">
        <v>809</v>
      </c>
      <c r="C209" t="s">
        <v>805</v>
      </c>
      <c r="E209" t="s">
        <v>1330</v>
      </c>
      <c r="F209" t="s">
        <v>1334</v>
      </c>
      <c r="K209" t="s">
        <v>554</v>
      </c>
      <c r="L209">
        <f>COUNTIF(Tableau1[Question fille],Tableau4[[#This Row],[Question fille]])</f>
        <v>1</v>
      </c>
      <c r="N209" s="305" t="s">
        <v>1348</v>
      </c>
      <c r="O209" s="306">
        <f>COUNTIF(Tableau3[Question mère],Tableau5[[#This Row],[Question fille]])</f>
        <v>0</v>
      </c>
    </row>
    <row r="210" spans="2:15" x14ac:dyDescent="0.25">
      <c r="B210" t="s">
        <v>949</v>
      </c>
      <c r="C210" t="s">
        <v>942</v>
      </c>
      <c r="E210" t="s">
        <v>1330</v>
      </c>
      <c r="F210" t="s">
        <v>1348</v>
      </c>
      <c r="K210" t="s">
        <v>661</v>
      </c>
      <c r="L210">
        <f>COUNTIF(Tableau1[Question fille],Tableau4[[#This Row],[Question fille]])</f>
        <v>1</v>
      </c>
      <c r="N210" s="306" t="s">
        <v>1351</v>
      </c>
      <c r="O210" s="306">
        <f>COUNTIF(Tableau3[Question mère],Tableau5[[#This Row],[Question fille]])</f>
        <v>0</v>
      </c>
    </row>
    <row r="211" spans="2:15" x14ac:dyDescent="0.25">
      <c r="B211" t="s">
        <v>1334</v>
      </c>
      <c r="C211" t="s">
        <v>1330</v>
      </c>
      <c r="E211" t="s">
        <v>1330</v>
      </c>
      <c r="F211" t="s">
        <v>1351</v>
      </c>
      <c r="K211" t="s">
        <v>685</v>
      </c>
      <c r="L211">
        <f>COUNTIF(Tableau1[Question fille],Tableau4[[#This Row],[Question fille]])</f>
        <v>1</v>
      </c>
      <c r="N211" s="305" t="s">
        <v>1354</v>
      </c>
      <c r="O211" s="306">
        <f>COUNTIF(Tableau3[Question mère],Tableau5[[#This Row],[Question fille]])</f>
        <v>0</v>
      </c>
    </row>
    <row r="212" spans="2:15" x14ac:dyDescent="0.25">
      <c r="B212" t="s">
        <v>1338</v>
      </c>
      <c r="C212" t="s">
        <v>1334</v>
      </c>
      <c r="E212" t="s">
        <v>1330</v>
      </c>
      <c r="F212" t="s">
        <v>1354</v>
      </c>
      <c r="K212" t="s">
        <v>689</v>
      </c>
      <c r="L212">
        <f>COUNTIF(Tableau1[Question fille],Tableau4[[#This Row],[Question fille]])</f>
        <v>1</v>
      </c>
      <c r="N212" s="306" t="s">
        <v>809</v>
      </c>
      <c r="O212" s="306">
        <f>COUNTIF(Tableau3[Question mère],Tableau5[[#This Row],[Question fille]])</f>
        <v>0</v>
      </c>
    </row>
    <row r="213" spans="2:15" x14ac:dyDescent="0.25">
      <c r="B213" t="s">
        <v>1345</v>
      </c>
      <c r="C213" t="s">
        <v>1341</v>
      </c>
      <c r="E213" t="s">
        <v>805</v>
      </c>
      <c r="F213" t="s">
        <v>809</v>
      </c>
      <c r="K213" t="s">
        <v>1171</v>
      </c>
      <c r="L213">
        <f>COUNTIF(Tableau1[Question fille],Tableau4[[#This Row],[Question fille]])</f>
        <v>1</v>
      </c>
      <c r="N213" s="305" t="s">
        <v>1338</v>
      </c>
      <c r="O213" s="306">
        <f>COUNTIF(Tableau3[Question mère],Tableau5[[#This Row],[Question fille]])</f>
        <v>0</v>
      </c>
    </row>
    <row r="214" spans="2:15" x14ac:dyDescent="0.25">
      <c r="B214" t="s">
        <v>1348</v>
      </c>
      <c r="C214" t="s">
        <v>1330</v>
      </c>
      <c r="E214" t="s">
        <v>1334</v>
      </c>
      <c r="F214" t="s">
        <v>1338</v>
      </c>
      <c r="K214" t="s">
        <v>1192</v>
      </c>
      <c r="L214">
        <f>COUNTIF(Tableau1[Question fille],Tableau4[[#This Row],[Question fille]])</f>
        <v>1</v>
      </c>
      <c r="N214" s="306" t="s">
        <v>1345</v>
      </c>
      <c r="O214" s="306">
        <f>COUNTIF(Tableau3[Question mère],Tableau5[[#This Row],[Question fille]])</f>
        <v>0</v>
      </c>
    </row>
    <row r="215" spans="2:15" x14ac:dyDescent="0.25">
      <c r="B215" t="s">
        <v>1351</v>
      </c>
      <c r="C215" t="s">
        <v>1330</v>
      </c>
      <c r="E215" t="s">
        <v>1341</v>
      </c>
      <c r="F215" t="s">
        <v>1345</v>
      </c>
      <c r="K215" t="s">
        <v>1176</v>
      </c>
      <c r="L215">
        <f>COUNTIF(Tableau1[Question fille],Tableau4[[#This Row],[Question fille]])</f>
        <v>1</v>
      </c>
      <c r="N215" s="305" t="s">
        <v>478</v>
      </c>
      <c r="O215" s="306">
        <f>COUNTIF(Tableau3[Question mère],Tableau5[[#This Row],[Question fille]])</f>
        <v>1</v>
      </c>
    </row>
    <row r="216" spans="2:15" x14ac:dyDescent="0.25">
      <c r="B216" t="s">
        <v>1354</v>
      </c>
      <c r="C216" t="s">
        <v>1330</v>
      </c>
      <c r="E216" t="s">
        <v>472</v>
      </c>
      <c r="F216" t="s">
        <v>478</v>
      </c>
      <c r="K216" t="s">
        <v>147</v>
      </c>
      <c r="L216">
        <f>COUNTIF(Tableau1[Question fille],Tableau4[[#This Row],[Question fille]])</f>
        <v>2</v>
      </c>
      <c r="N216" s="306" t="s">
        <v>492</v>
      </c>
      <c r="O216" s="306">
        <f>COUNTIF(Tableau3[Question mère],Tableau5[[#This Row],[Question fille]])</f>
        <v>1</v>
      </c>
    </row>
    <row r="217" spans="2:15" x14ac:dyDescent="0.25">
      <c r="B217" t="s">
        <v>482</v>
      </c>
      <c r="C217" t="s">
        <v>478</v>
      </c>
      <c r="E217" t="s">
        <v>472</v>
      </c>
      <c r="F217" t="s">
        <v>492</v>
      </c>
      <c r="K217" t="s">
        <v>144</v>
      </c>
      <c r="L217">
        <f>COUNTIF(Tableau1[Question fille],Tableau4[[#This Row],[Question fille]])</f>
        <v>1</v>
      </c>
      <c r="N217" s="306" t="s">
        <v>499</v>
      </c>
      <c r="O217" s="306">
        <f>COUNTIF(Tableau3[Question mère],Tableau5[[#This Row],[Question fille]])</f>
        <v>0</v>
      </c>
    </row>
    <row r="218" spans="2:15" x14ac:dyDescent="0.25">
      <c r="B218" t="s">
        <v>554</v>
      </c>
      <c r="C218" t="s">
        <v>551</v>
      </c>
      <c r="E218" t="s">
        <v>472</v>
      </c>
      <c r="F218" t="s">
        <v>497</v>
      </c>
      <c r="K218" t="s">
        <v>952</v>
      </c>
      <c r="L218">
        <f>COUNTIF(Tableau1[Question fille],Tableau4[[#This Row],[Question fille]])</f>
        <v>1</v>
      </c>
      <c r="N218" s="305" t="s">
        <v>503</v>
      </c>
      <c r="O218" s="306">
        <f>COUNTIF(Tableau3[Question mère],Tableau5[[#This Row],[Question fille]])</f>
        <v>1</v>
      </c>
    </row>
    <row r="219" spans="2:15" x14ac:dyDescent="0.25">
      <c r="B219" t="s">
        <v>661</v>
      </c>
      <c r="C219" t="s">
        <v>651</v>
      </c>
      <c r="E219" t="s">
        <v>472</v>
      </c>
      <c r="F219" t="s">
        <v>499</v>
      </c>
      <c r="K219" t="s">
        <v>954</v>
      </c>
      <c r="L219">
        <f>COUNTIF(Tableau1[Question fille],Tableau4[[#This Row],[Question fille]])</f>
        <v>1</v>
      </c>
      <c r="N219" s="306" t="s">
        <v>542</v>
      </c>
      <c r="O219" s="306">
        <f>COUNTIF(Tableau3[Question mère],Tableau5[[#This Row],[Question fille]])</f>
        <v>1</v>
      </c>
    </row>
    <row r="220" spans="2:15" x14ac:dyDescent="0.25">
      <c r="B220" t="s">
        <v>685</v>
      </c>
      <c r="C220" t="s">
        <v>680</v>
      </c>
      <c r="E220" t="s">
        <v>472</v>
      </c>
      <c r="F220" t="s">
        <v>503</v>
      </c>
      <c r="K220" t="s">
        <v>956</v>
      </c>
      <c r="L220">
        <f>COUNTIF(Tableau1[Question fille],Tableau4[[#This Row],[Question fille]])</f>
        <v>1</v>
      </c>
      <c r="N220" s="305" t="s">
        <v>547</v>
      </c>
      <c r="O220" s="306">
        <f>COUNTIF(Tableau3[Question mère],Tableau5[[#This Row],[Question fille]])</f>
        <v>1</v>
      </c>
    </row>
    <row r="221" spans="2:15" x14ac:dyDescent="0.25">
      <c r="B221" t="s">
        <v>689</v>
      </c>
      <c r="C221" t="s">
        <v>680</v>
      </c>
      <c r="E221" t="s">
        <v>472</v>
      </c>
      <c r="F221" t="s">
        <v>524</v>
      </c>
      <c r="K221" t="s">
        <v>959</v>
      </c>
      <c r="L221">
        <f>COUNTIF(Tableau1[Question fille],Tableau4[[#This Row],[Question fille]])</f>
        <v>1</v>
      </c>
      <c r="N221" s="306" t="s">
        <v>558</v>
      </c>
      <c r="O221" s="306">
        <f>COUNTIF(Tableau3[Question mère],Tableau5[[#This Row],[Question fille]])</f>
        <v>1</v>
      </c>
    </row>
    <row r="222" spans="2:15" x14ac:dyDescent="0.25">
      <c r="B222" t="s">
        <v>1171</v>
      </c>
      <c r="C222" t="s">
        <v>1168</v>
      </c>
      <c r="E222" t="s">
        <v>472</v>
      </c>
      <c r="F222" t="s">
        <v>537</v>
      </c>
      <c r="K222" t="s">
        <v>962</v>
      </c>
      <c r="L222">
        <f>COUNTIF(Tableau1[Question fille],Tableau4[[#This Row],[Question fille]])</f>
        <v>1</v>
      </c>
      <c r="N222" s="305" t="s">
        <v>510</v>
      </c>
      <c r="O222" s="306">
        <f>COUNTIF(Tableau3[Question mère],Tableau5[[#This Row],[Question fille]])</f>
        <v>1</v>
      </c>
    </row>
    <row r="223" spans="2:15" x14ac:dyDescent="0.25">
      <c r="B223" t="s">
        <v>1192</v>
      </c>
      <c r="C223" t="s">
        <v>1734</v>
      </c>
      <c r="E223" t="s">
        <v>472</v>
      </c>
      <c r="F223" t="s">
        <v>542</v>
      </c>
      <c r="K223" t="s">
        <v>964</v>
      </c>
      <c r="L223">
        <f>COUNTIF(Tableau1[Question fille],Tableau4[[#This Row],[Question fille]])</f>
        <v>1</v>
      </c>
      <c r="N223" s="305" t="s">
        <v>516</v>
      </c>
      <c r="O223" s="306">
        <f>COUNTIF(Tableau3[Question mère],Tableau5[[#This Row],[Question fille]])</f>
        <v>0</v>
      </c>
    </row>
    <row r="224" spans="2:15" x14ac:dyDescent="0.25">
      <c r="B224" t="s">
        <v>1176</v>
      </c>
      <c r="C224" t="s">
        <v>1172</v>
      </c>
      <c r="E224" t="s">
        <v>472</v>
      </c>
      <c r="F224" t="s">
        <v>547</v>
      </c>
      <c r="K224" t="s">
        <v>411</v>
      </c>
      <c r="L224">
        <f>COUNTIF(Tableau1[Question fille],Tableau4[[#This Row],[Question fille]])</f>
        <v>1</v>
      </c>
      <c r="N224" s="305" t="s">
        <v>571</v>
      </c>
      <c r="O224" s="306">
        <f>COUNTIF(Tableau3[Question mère],Tableau5[[#This Row],[Question fille]])</f>
        <v>1</v>
      </c>
    </row>
    <row r="225" spans="2:15" x14ac:dyDescent="0.25">
      <c r="B225" t="s">
        <v>147</v>
      </c>
      <c r="C225" t="s">
        <v>144</v>
      </c>
      <c r="E225" t="s">
        <v>472</v>
      </c>
      <c r="F225" t="s">
        <v>558</v>
      </c>
      <c r="K225" t="s">
        <v>430</v>
      </c>
      <c r="L225">
        <f>COUNTIF(Tableau1[Question fille],Tableau4[[#This Row],[Question fille]])</f>
        <v>1</v>
      </c>
      <c r="N225" s="306" t="s">
        <v>569</v>
      </c>
      <c r="O225" s="306">
        <f>COUNTIF(Tableau3[Question mère],Tableau5[[#This Row],[Question fille]])</f>
        <v>0</v>
      </c>
    </row>
    <row r="226" spans="2:15" x14ac:dyDescent="0.25">
      <c r="B226" t="s">
        <v>147</v>
      </c>
      <c r="C226" t="s">
        <v>140</v>
      </c>
      <c r="E226" t="s">
        <v>472</v>
      </c>
      <c r="F226" t="s">
        <v>510</v>
      </c>
      <c r="K226" t="s">
        <v>967</v>
      </c>
      <c r="L226">
        <f>COUNTIF(Tableau1[Question fille],Tableau4[[#This Row],[Question fille]])</f>
        <v>1</v>
      </c>
      <c r="N226" s="305" t="s">
        <v>476</v>
      </c>
      <c r="O226" s="306">
        <f>COUNTIF(Tableau3[Question mère],Tableau5[[#This Row],[Question fille]])</f>
        <v>0</v>
      </c>
    </row>
    <row r="227" spans="2:15" x14ac:dyDescent="0.25">
      <c r="B227" t="s">
        <v>144</v>
      </c>
      <c r="C227" t="s">
        <v>140</v>
      </c>
      <c r="E227" t="s">
        <v>472</v>
      </c>
      <c r="F227" t="s">
        <v>520</v>
      </c>
      <c r="K227" t="s">
        <v>969</v>
      </c>
      <c r="L227">
        <f>COUNTIF(Tableau1[Question fille],Tableau4[[#This Row],[Question fille]])</f>
        <v>1</v>
      </c>
      <c r="N227" s="306" t="s">
        <v>508</v>
      </c>
      <c r="O227" s="306">
        <f>COUNTIF(Tableau3[Question mère],Tableau5[[#This Row],[Question fille]])</f>
        <v>0</v>
      </c>
    </row>
    <row r="228" spans="2:15" x14ac:dyDescent="0.25">
      <c r="B228" t="s">
        <v>952</v>
      </c>
      <c r="C228" t="s">
        <v>942</v>
      </c>
      <c r="E228" t="s">
        <v>472</v>
      </c>
      <c r="F228" t="s">
        <v>516</v>
      </c>
      <c r="K228" t="s">
        <v>971</v>
      </c>
      <c r="L228">
        <f>COUNTIF(Tableau1[Question fille],Tableau4[[#This Row],[Question fille]])</f>
        <v>1</v>
      </c>
      <c r="N228" s="305" t="s">
        <v>556</v>
      </c>
      <c r="O228" s="306">
        <f>COUNTIF(Tableau3[Question mère],Tableau5[[#This Row],[Question fille]])</f>
        <v>0</v>
      </c>
    </row>
    <row r="229" spans="2:15" x14ac:dyDescent="0.25">
      <c r="B229" t="s">
        <v>954</v>
      </c>
      <c r="C229" t="s">
        <v>942</v>
      </c>
      <c r="E229" t="s">
        <v>472</v>
      </c>
      <c r="F229" t="s">
        <v>581</v>
      </c>
      <c r="K229" t="s">
        <v>974</v>
      </c>
      <c r="L229">
        <f>COUNTIF(Tableau1[Question fille],Tableau4[[#This Row],[Question fille]])</f>
        <v>1</v>
      </c>
      <c r="N229" s="306" t="s">
        <v>838</v>
      </c>
      <c r="O229" s="306">
        <f>COUNTIF(Tableau3[Question mère],Tableau5[[#This Row],[Question fille]])</f>
        <v>0</v>
      </c>
    </row>
    <row r="230" spans="2:15" x14ac:dyDescent="0.25">
      <c r="B230" t="s">
        <v>956</v>
      </c>
      <c r="C230" t="s">
        <v>942</v>
      </c>
      <c r="E230" t="s">
        <v>472</v>
      </c>
      <c r="F230" t="s">
        <v>571</v>
      </c>
      <c r="K230" t="s">
        <v>977</v>
      </c>
      <c r="L230">
        <f>COUNTIF(Tableau1[Question fille],Tableau4[[#This Row],[Question fille]])</f>
        <v>1</v>
      </c>
      <c r="N230" s="305" t="s">
        <v>1171</v>
      </c>
      <c r="O230" s="306">
        <f>COUNTIF(Tableau3[Question mère],Tableau5[[#This Row],[Question fille]])</f>
        <v>0</v>
      </c>
    </row>
    <row r="231" spans="2:15" x14ac:dyDescent="0.25">
      <c r="B231" t="s">
        <v>959</v>
      </c>
      <c r="C231" t="s">
        <v>942</v>
      </c>
      <c r="E231" t="s">
        <v>472</v>
      </c>
      <c r="F231" t="s">
        <v>569</v>
      </c>
      <c r="K231" t="s">
        <v>980</v>
      </c>
      <c r="L231">
        <f>COUNTIF(Tableau1[Question fille],Tableau4[[#This Row],[Question fille]])</f>
        <v>1</v>
      </c>
      <c r="N231" s="306" t="s">
        <v>147</v>
      </c>
      <c r="O231" s="306">
        <f>COUNTIF(Tableau3[Question mère],Tableau5[[#This Row],[Question fille]])</f>
        <v>0</v>
      </c>
    </row>
    <row r="232" spans="2:15" x14ac:dyDescent="0.25">
      <c r="B232" t="s">
        <v>962</v>
      </c>
      <c r="C232" t="s">
        <v>959</v>
      </c>
      <c r="E232" t="s">
        <v>472</v>
      </c>
      <c r="F232" t="s">
        <v>476</v>
      </c>
      <c r="K232" t="s">
        <v>983</v>
      </c>
      <c r="L232">
        <f>COUNTIF(Tableau1[Question fille],Tableau4[[#This Row],[Question fille]])</f>
        <v>1</v>
      </c>
      <c r="N232" s="305" t="s">
        <v>962</v>
      </c>
      <c r="O232" s="306">
        <f>COUNTIF(Tableau3[Question mère],Tableau5[[#This Row],[Question fille]])</f>
        <v>0</v>
      </c>
    </row>
    <row r="233" spans="2:15" x14ac:dyDescent="0.25">
      <c r="B233" t="s">
        <v>964</v>
      </c>
      <c r="C233" t="s">
        <v>942</v>
      </c>
      <c r="E233" t="s">
        <v>472</v>
      </c>
      <c r="F233" t="s">
        <v>508</v>
      </c>
      <c r="K233" t="s">
        <v>611</v>
      </c>
      <c r="L233">
        <f>COUNTIF(Tableau1[Question fille],Tableau4[[#This Row],[Question fille]])</f>
        <v>1</v>
      </c>
      <c r="N233" s="306" t="s">
        <v>1301</v>
      </c>
      <c r="O233" s="306">
        <f>COUNTIF(Tableau3[Question mère],Tableau5[[#This Row],[Question fille]])</f>
        <v>0</v>
      </c>
    </row>
    <row r="234" spans="2:15" x14ac:dyDescent="0.25">
      <c r="B234" t="s">
        <v>411</v>
      </c>
      <c r="C234" t="s">
        <v>404</v>
      </c>
      <c r="E234" t="s">
        <v>472</v>
      </c>
      <c r="F234" t="s">
        <v>556</v>
      </c>
      <c r="K234" t="s">
        <v>615</v>
      </c>
      <c r="L234">
        <f>COUNTIF(Tableau1[Question fille],Tableau4[[#This Row],[Question fille]])</f>
        <v>1</v>
      </c>
      <c r="N234" s="305" t="s">
        <v>974</v>
      </c>
      <c r="O234" s="306">
        <f>COUNTIF(Tableau3[Question mère],Tableau5[[#This Row],[Question fille]])</f>
        <v>0</v>
      </c>
    </row>
    <row r="235" spans="2:15" x14ac:dyDescent="0.25">
      <c r="B235" t="s">
        <v>430</v>
      </c>
      <c r="C235" t="s">
        <v>425</v>
      </c>
      <c r="E235" t="s">
        <v>472</v>
      </c>
      <c r="F235" t="s">
        <v>575</v>
      </c>
      <c r="K235" t="s">
        <v>153</v>
      </c>
      <c r="L235">
        <f>COUNTIF(Tableau1[Question fille],Tableau4[[#This Row],[Question fille]])</f>
        <v>1</v>
      </c>
      <c r="N235" s="306" t="s">
        <v>983</v>
      </c>
      <c r="O235" s="306">
        <f>COUNTIF(Tableau3[Question mère],Tableau5[[#This Row],[Question fille]])</f>
        <v>0</v>
      </c>
    </row>
    <row r="236" spans="2:15" x14ac:dyDescent="0.25">
      <c r="B236" t="s">
        <v>967</v>
      </c>
      <c r="C236" t="s">
        <v>942</v>
      </c>
      <c r="E236" t="s">
        <v>472</v>
      </c>
      <c r="F236" t="s">
        <v>604</v>
      </c>
      <c r="K236" t="s">
        <v>155</v>
      </c>
      <c r="L236">
        <f>COUNTIF(Tableau1[Question fille],Tableau4[[#This Row],[Question fille]])</f>
        <v>1</v>
      </c>
      <c r="N236" s="305" t="s">
        <v>881</v>
      </c>
      <c r="O236" s="306">
        <f>COUNTIF(Tableau3[Question mère],Tableau5[[#This Row],[Question fille]])</f>
        <v>1</v>
      </c>
    </row>
    <row r="237" spans="2:15" x14ac:dyDescent="0.25">
      <c r="B237" t="s">
        <v>969</v>
      </c>
      <c r="C237" t="s">
        <v>942</v>
      </c>
      <c r="E237" t="s">
        <v>482</v>
      </c>
      <c r="F237" t="s">
        <v>486</v>
      </c>
      <c r="K237" t="s">
        <v>157</v>
      </c>
      <c r="L237">
        <f>COUNTIF(Tableau1[Question fille],Tableau4[[#This Row],[Question fille]])</f>
        <v>2</v>
      </c>
      <c r="N237" s="305" t="s">
        <v>144</v>
      </c>
      <c r="O237" s="306">
        <f>COUNTIF(Tableau3[Question mère],Tableau5[[#This Row],[Question fille]])</f>
        <v>1</v>
      </c>
    </row>
    <row r="238" spans="2:15" x14ac:dyDescent="0.25">
      <c r="B238" t="s">
        <v>971</v>
      </c>
      <c r="C238" t="s">
        <v>942</v>
      </c>
      <c r="E238" t="s">
        <v>482</v>
      </c>
      <c r="F238" t="s">
        <v>488</v>
      </c>
      <c r="K238" t="s">
        <v>1385</v>
      </c>
      <c r="L238">
        <f>COUNTIF(Tableau1[Question fille],Tableau4[[#This Row],[Question fille]])</f>
        <v>1</v>
      </c>
      <c r="N238" s="306" t="s">
        <v>615</v>
      </c>
      <c r="O238" s="306">
        <f>COUNTIF(Tableau3[Question mère],Tableau5[[#This Row],[Question fille]])</f>
        <v>0</v>
      </c>
    </row>
    <row r="239" spans="2:15" x14ac:dyDescent="0.25">
      <c r="B239" t="s">
        <v>974</v>
      </c>
      <c r="C239" t="s">
        <v>971</v>
      </c>
      <c r="E239" t="s">
        <v>835</v>
      </c>
      <c r="F239" t="s">
        <v>838</v>
      </c>
      <c r="K239" t="s">
        <v>202</v>
      </c>
      <c r="L239">
        <f>COUNTIF(Tableau1[Question fille],Tableau4[[#This Row],[Question fille]])</f>
        <v>1</v>
      </c>
      <c r="N239" s="305" t="s">
        <v>153</v>
      </c>
      <c r="O239" s="306">
        <f>COUNTIF(Tableau3[Question mère],Tableau5[[#This Row],[Question fille]])</f>
        <v>1</v>
      </c>
    </row>
    <row r="240" spans="2:15" x14ac:dyDescent="0.25">
      <c r="B240" t="s">
        <v>977</v>
      </c>
      <c r="C240" t="s">
        <v>942</v>
      </c>
      <c r="E240" t="s">
        <v>1168</v>
      </c>
      <c r="F240" t="s">
        <v>1171</v>
      </c>
      <c r="K240" t="s">
        <v>213</v>
      </c>
      <c r="L240">
        <f>COUNTIF(Tableau1[Question fille],Tableau4[[#This Row],[Question fille]])</f>
        <v>1</v>
      </c>
      <c r="N240" s="305" t="s">
        <v>155</v>
      </c>
      <c r="O240" s="306">
        <f>COUNTIF(Tableau3[Question mère],Tableau5[[#This Row],[Question fille]])</f>
        <v>1</v>
      </c>
    </row>
    <row r="241" spans="2:15" x14ac:dyDescent="0.25">
      <c r="B241" t="s">
        <v>980</v>
      </c>
      <c r="C241" t="s">
        <v>942</v>
      </c>
      <c r="E241" t="s">
        <v>144</v>
      </c>
      <c r="F241" t="s">
        <v>147</v>
      </c>
      <c r="K241" t="s">
        <v>216</v>
      </c>
      <c r="L241">
        <f>COUNTIF(Tableau1[Question fille],Tableau4[[#This Row],[Question fille]])</f>
        <v>1</v>
      </c>
      <c r="N241" s="306" t="s">
        <v>157</v>
      </c>
      <c r="O241" s="306">
        <f>COUNTIF(Tableau3[Question mère],Tableau5[[#This Row],[Question fille]])</f>
        <v>0</v>
      </c>
    </row>
    <row r="242" spans="2:15" x14ac:dyDescent="0.25">
      <c r="B242" t="s">
        <v>983</v>
      </c>
      <c r="C242" t="s">
        <v>980</v>
      </c>
      <c r="E242" t="s">
        <v>959</v>
      </c>
      <c r="F242" t="s">
        <v>962</v>
      </c>
      <c r="K242" t="s">
        <v>218</v>
      </c>
      <c r="L242">
        <f>COUNTIF(Tableau1[Question fille],Tableau4[[#This Row],[Question fille]])</f>
        <v>1</v>
      </c>
      <c r="N242" s="306" t="s">
        <v>1385</v>
      </c>
      <c r="O242" s="306">
        <f>COUNTIF(Tableau3[Question mère],Tableau5[[#This Row],[Question fille]])</f>
        <v>0</v>
      </c>
    </row>
    <row r="243" spans="2:15" x14ac:dyDescent="0.25">
      <c r="B243" t="s">
        <v>611</v>
      </c>
      <c r="C243" t="s">
        <v>577</v>
      </c>
      <c r="E243" t="s">
        <v>101</v>
      </c>
      <c r="F243" t="s">
        <v>1301</v>
      </c>
      <c r="K243" t="s">
        <v>224</v>
      </c>
      <c r="L243">
        <f>COUNTIF(Tableau1[Question fille],Tableau4[[#This Row],[Question fille]])</f>
        <v>1</v>
      </c>
      <c r="N243" s="305" t="s">
        <v>202</v>
      </c>
      <c r="O243" s="306">
        <f>COUNTIF(Tableau3[Question mère],Tableau5[[#This Row],[Question fille]])</f>
        <v>0</v>
      </c>
    </row>
    <row r="244" spans="2:15" x14ac:dyDescent="0.25">
      <c r="B244" t="s">
        <v>615</v>
      </c>
      <c r="C244" t="s">
        <v>611</v>
      </c>
      <c r="E244" t="s">
        <v>971</v>
      </c>
      <c r="F244" t="s">
        <v>974</v>
      </c>
      <c r="K244" t="s">
        <v>227</v>
      </c>
      <c r="L244">
        <f>COUNTIF(Tableau1[Question fille],Tableau4[[#This Row],[Question fille]])</f>
        <v>1</v>
      </c>
      <c r="N244" s="306" t="s">
        <v>56</v>
      </c>
      <c r="O244" s="306">
        <f>COUNTIF(Tableau3[Question mère],Tableau5[[#This Row],[Question fille]])</f>
        <v>0</v>
      </c>
    </row>
    <row r="245" spans="2:15" x14ac:dyDescent="0.25">
      <c r="B245" t="s">
        <v>153</v>
      </c>
      <c r="C245" t="s">
        <v>149</v>
      </c>
      <c r="E245" t="s">
        <v>980</v>
      </c>
      <c r="F245" t="s">
        <v>983</v>
      </c>
      <c r="K245" t="s">
        <v>220</v>
      </c>
      <c r="L245">
        <f>COUNTIF(Tableau1[Question fille],Tableau4[[#This Row],[Question fille]])</f>
        <v>1</v>
      </c>
      <c r="N245" s="305" t="s">
        <v>222</v>
      </c>
      <c r="O245" s="306">
        <f>COUNTIF(Tableau3[Question mère],Tableau5[[#This Row],[Question fille]])</f>
        <v>0</v>
      </c>
    </row>
    <row r="246" spans="2:15" x14ac:dyDescent="0.25">
      <c r="B246" t="s">
        <v>155</v>
      </c>
      <c r="C246" t="s">
        <v>153</v>
      </c>
      <c r="E246" t="s">
        <v>140</v>
      </c>
      <c r="F246" t="s">
        <v>881</v>
      </c>
      <c r="K246" t="s">
        <v>222</v>
      </c>
      <c r="L246">
        <f>COUNTIF(Tableau1[Question fille],Tableau4[[#This Row],[Question fille]])</f>
        <v>1</v>
      </c>
      <c r="N246" s="306" t="s">
        <v>247</v>
      </c>
      <c r="O246" s="306">
        <f>COUNTIF(Tableau3[Question mère],Tableau5[[#This Row],[Question fille]])</f>
        <v>0</v>
      </c>
    </row>
    <row r="247" spans="2:15" x14ac:dyDescent="0.25">
      <c r="B247" t="s">
        <v>157</v>
      </c>
      <c r="C247" t="s">
        <v>153</v>
      </c>
      <c r="E247" t="s">
        <v>140</v>
      </c>
      <c r="F247" t="s">
        <v>147</v>
      </c>
      <c r="K247" t="s">
        <v>237</v>
      </c>
      <c r="L247">
        <f>COUNTIF(Tableau1[Question fille],Tableau4[[#This Row],[Question fille]])</f>
        <v>1</v>
      </c>
      <c r="N247" s="305" t="s">
        <v>253</v>
      </c>
      <c r="O247" s="306">
        <f>COUNTIF(Tableau3[Question mère],Tableau5[[#This Row],[Question fille]])</f>
        <v>0</v>
      </c>
    </row>
    <row r="248" spans="2:15" x14ac:dyDescent="0.25">
      <c r="B248" t="s">
        <v>157</v>
      </c>
      <c r="C248" t="s">
        <v>155</v>
      </c>
      <c r="E248" t="s">
        <v>140</v>
      </c>
      <c r="F248" t="s">
        <v>144</v>
      </c>
      <c r="K248" t="s">
        <v>243</v>
      </c>
      <c r="L248">
        <f>COUNTIF(Tableau1[Question fille],Tableau4[[#This Row],[Question fille]])</f>
        <v>1</v>
      </c>
      <c r="N248" s="306" t="s">
        <v>262</v>
      </c>
      <c r="O248" s="306">
        <f>COUNTIF(Tableau3[Question mère],Tableau5[[#This Row],[Question fille]])</f>
        <v>1</v>
      </c>
    </row>
    <row r="249" spans="2:15" x14ac:dyDescent="0.25">
      <c r="B249" t="s">
        <v>1385</v>
      </c>
      <c r="C249" t="s">
        <v>1381</v>
      </c>
      <c r="E249" t="s">
        <v>611</v>
      </c>
      <c r="F249" t="s">
        <v>615</v>
      </c>
      <c r="K249" t="s">
        <v>247</v>
      </c>
      <c r="L249">
        <f>COUNTIF(Tableau1[Question fille],Tableau4[[#This Row],[Question fille]])</f>
        <v>2</v>
      </c>
      <c r="N249" s="305" t="s">
        <v>266</v>
      </c>
      <c r="O249" s="306">
        <f>COUNTIF(Tableau3[Question mère],Tableau5[[#This Row],[Question fille]])</f>
        <v>0</v>
      </c>
    </row>
    <row r="250" spans="2:15" x14ac:dyDescent="0.25">
      <c r="B250" t="s">
        <v>202</v>
      </c>
      <c r="C250" t="s">
        <v>198</v>
      </c>
      <c r="E250" t="s">
        <v>149</v>
      </c>
      <c r="F250" t="s">
        <v>153</v>
      </c>
      <c r="K250" t="s">
        <v>251</v>
      </c>
      <c r="L250">
        <f>COUNTIF(Tableau1[Question fille],Tableau4[[#This Row],[Question fille]])</f>
        <v>1</v>
      </c>
      <c r="N250" s="306" t="s">
        <v>267</v>
      </c>
      <c r="O250" s="306">
        <f>COUNTIF(Tableau3[Question mère],Tableau5[[#This Row],[Question fille]])</f>
        <v>0</v>
      </c>
    </row>
    <row r="251" spans="2:15" x14ac:dyDescent="0.25">
      <c r="B251" t="s">
        <v>213</v>
      </c>
      <c r="C251" t="s">
        <v>209</v>
      </c>
      <c r="E251" t="s">
        <v>153</v>
      </c>
      <c r="F251" t="s">
        <v>881</v>
      </c>
      <c r="K251" t="s">
        <v>253</v>
      </c>
      <c r="L251">
        <f>COUNTIF(Tableau1[Question fille],Tableau4[[#This Row],[Question fille]])</f>
        <v>2</v>
      </c>
      <c r="N251" s="305" t="s">
        <v>213</v>
      </c>
      <c r="O251" s="306">
        <f>COUNTIF(Tableau3[Question mère],Tableau5[[#This Row],[Question fille]])</f>
        <v>1</v>
      </c>
    </row>
    <row r="252" spans="2:15" x14ac:dyDescent="0.25">
      <c r="B252" t="s">
        <v>216</v>
      </c>
      <c r="C252" t="s">
        <v>213</v>
      </c>
      <c r="E252" t="s">
        <v>153</v>
      </c>
      <c r="F252" t="s">
        <v>155</v>
      </c>
      <c r="K252" t="s">
        <v>239</v>
      </c>
      <c r="L252">
        <f>COUNTIF(Tableau1[Question fille],Tableau4[[#This Row],[Question fille]])</f>
        <v>1</v>
      </c>
      <c r="N252" s="306" t="s">
        <v>224</v>
      </c>
      <c r="O252" s="306">
        <f>COUNTIF(Tableau3[Question mère],Tableau5[[#This Row],[Question fille]])</f>
        <v>1</v>
      </c>
    </row>
    <row r="253" spans="2:15" x14ac:dyDescent="0.25">
      <c r="B253" t="s">
        <v>218</v>
      </c>
      <c r="C253" t="s">
        <v>213</v>
      </c>
      <c r="E253" t="s">
        <v>153</v>
      </c>
      <c r="F253" t="s">
        <v>157</v>
      </c>
      <c r="K253" t="s">
        <v>259</v>
      </c>
      <c r="L253">
        <f>COUNTIF(Tableau1[Question fille],Tableau4[[#This Row],[Question fille]])</f>
        <v>1</v>
      </c>
      <c r="N253" s="305" t="s">
        <v>220</v>
      </c>
      <c r="O253" s="306">
        <f>COUNTIF(Tableau3[Question mère],Tableau5[[#This Row],[Question fille]])</f>
        <v>0</v>
      </c>
    </row>
    <row r="254" spans="2:15" x14ac:dyDescent="0.25">
      <c r="B254" t="s">
        <v>224</v>
      </c>
      <c r="C254" t="s">
        <v>209</v>
      </c>
      <c r="E254" t="s">
        <v>155</v>
      </c>
      <c r="F254" t="s">
        <v>157</v>
      </c>
      <c r="K254" t="s">
        <v>262</v>
      </c>
      <c r="L254">
        <f>COUNTIF(Tableau1[Question fille],Tableau4[[#This Row],[Question fille]])</f>
        <v>2</v>
      </c>
      <c r="N254" s="306" t="s">
        <v>216</v>
      </c>
      <c r="O254" s="306">
        <f>COUNTIF(Tableau3[Question mère],Tableau5[[#This Row],[Question fille]])</f>
        <v>0</v>
      </c>
    </row>
    <row r="255" spans="2:15" x14ac:dyDescent="0.25">
      <c r="B255" t="s">
        <v>227</v>
      </c>
      <c r="C255" t="s">
        <v>224</v>
      </c>
      <c r="E255" t="s">
        <v>1381</v>
      </c>
      <c r="F255" t="s">
        <v>1385</v>
      </c>
      <c r="K255" t="s">
        <v>266</v>
      </c>
      <c r="L255">
        <f>COUNTIF(Tableau1[Question fille],Tableau4[[#This Row],[Question fille]])</f>
        <v>3</v>
      </c>
      <c r="N255" s="305" t="s">
        <v>218</v>
      </c>
      <c r="O255" s="306">
        <f>COUNTIF(Tableau3[Question mère],Tableau5[[#This Row],[Question fille]])</f>
        <v>0</v>
      </c>
    </row>
    <row r="256" spans="2:15" x14ac:dyDescent="0.25">
      <c r="B256" t="s">
        <v>220</v>
      </c>
      <c r="C256" t="s">
        <v>209</v>
      </c>
      <c r="E256" t="s">
        <v>198</v>
      </c>
      <c r="F256" t="s">
        <v>202</v>
      </c>
      <c r="K256" t="s">
        <v>267</v>
      </c>
      <c r="L256">
        <f>COUNTIF(Tableau1[Question fille],Tableau4[[#This Row],[Question fille]])</f>
        <v>3</v>
      </c>
      <c r="N256" s="306" t="s">
        <v>227</v>
      </c>
      <c r="O256" s="306">
        <f>COUNTIF(Tableau3[Question mère],Tableau5[[#This Row],[Question fille]])</f>
        <v>0</v>
      </c>
    </row>
    <row r="257" spans="2:15" x14ac:dyDescent="0.25">
      <c r="B257" t="s">
        <v>222</v>
      </c>
      <c r="C257" t="s">
        <v>205</v>
      </c>
      <c r="E257" t="s">
        <v>50</v>
      </c>
      <c r="F257" t="s">
        <v>56</v>
      </c>
      <c r="K257" t="s">
        <v>270</v>
      </c>
      <c r="L257">
        <f>COUNTIF(Tableau1[Question fille],Tableau4[[#This Row],[Question fille]])</f>
        <v>1</v>
      </c>
      <c r="N257" s="305" t="s">
        <v>237</v>
      </c>
      <c r="O257" s="306">
        <f>COUNTIF(Tableau3[Question mère],Tableau5[[#This Row],[Question fille]])</f>
        <v>0</v>
      </c>
    </row>
    <row r="258" spans="2:15" x14ac:dyDescent="0.25">
      <c r="B258" t="s">
        <v>237</v>
      </c>
      <c r="C258" t="s">
        <v>231</v>
      </c>
      <c r="E258" t="s">
        <v>205</v>
      </c>
      <c r="F258" t="s">
        <v>222</v>
      </c>
      <c r="K258" t="s">
        <v>272</v>
      </c>
      <c r="L258">
        <f>COUNTIF(Tableau1[Question fille],Tableau4[[#This Row],[Question fille]])</f>
        <v>1</v>
      </c>
      <c r="N258" s="306" t="s">
        <v>243</v>
      </c>
      <c r="O258" s="306">
        <f>COUNTIF(Tableau3[Question mère],Tableau5[[#This Row],[Question fille]])</f>
        <v>0</v>
      </c>
    </row>
    <row r="259" spans="2:15" x14ac:dyDescent="0.25">
      <c r="B259" t="s">
        <v>243</v>
      </c>
      <c r="C259" t="s">
        <v>231</v>
      </c>
      <c r="E259" t="s">
        <v>205</v>
      </c>
      <c r="F259" t="s">
        <v>247</v>
      </c>
      <c r="K259" t="s">
        <v>276</v>
      </c>
      <c r="L259">
        <f>COUNTIF(Tableau1[Question fille],Tableau4[[#This Row],[Question fille]])</f>
        <v>1</v>
      </c>
      <c r="N259" s="306" t="s">
        <v>251</v>
      </c>
      <c r="O259" s="306">
        <f>COUNTIF(Tableau3[Question mère],Tableau5[[#This Row],[Question fille]])</f>
        <v>0</v>
      </c>
    </row>
    <row r="260" spans="2:15" x14ac:dyDescent="0.25">
      <c r="B260" t="s">
        <v>247</v>
      </c>
      <c r="C260" t="s">
        <v>205</v>
      </c>
      <c r="E260" t="s">
        <v>205</v>
      </c>
      <c r="F260" t="s">
        <v>253</v>
      </c>
      <c r="K260" t="s">
        <v>280</v>
      </c>
      <c r="L260">
        <f>COUNTIF(Tableau1[Question fille],Tableau4[[#This Row],[Question fille]])</f>
        <v>1</v>
      </c>
      <c r="N260" s="306" t="s">
        <v>239</v>
      </c>
      <c r="O260" s="306">
        <f>COUNTIF(Tableau3[Question mère],Tableau5[[#This Row],[Question fille]])</f>
        <v>0</v>
      </c>
    </row>
    <row r="261" spans="2:15" x14ac:dyDescent="0.25">
      <c r="B261" t="s">
        <v>247</v>
      </c>
      <c r="C261" t="s">
        <v>231</v>
      </c>
      <c r="E261" t="s">
        <v>205</v>
      </c>
      <c r="F261" t="s">
        <v>262</v>
      </c>
      <c r="K261" t="s">
        <v>56</v>
      </c>
      <c r="L261">
        <f>COUNTIF(Tableau1[Question fille],Tableau4[[#This Row],[Question fille]])</f>
        <v>1</v>
      </c>
      <c r="N261" s="305" t="s">
        <v>259</v>
      </c>
      <c r="O261" s="306">
        <f>COUNTIF(Tableau3[Question mère],Tableau5[[#This Row],[Question fille]])</f>
        <v>0</v>
      </c>
    </row>
    <row r="262" spans="2:15" x14ac:dyDescent="0.25">
      <c r="B262" t="s">
        <v>251</v>
      </c>
      <c r="C262" t="s">
        <v>231</v>
      </c>
      <c r="E262" t="s">
        <v>205</v>
      </c>
      <c r="F262" t="s">
        <v>266</v>
      </c>
      <c r="K262" t="s">
        <v>288</v>
      </c>
      <c r="L262">
        <f>COUNTIF(Tableau1[Question fille],Tableau4[[#This Row],[Question fille]])</f>
        <v>1</v>
      </c>
      <c r="N262" s="305" t="s">
        <v>270</v>
      </c>
      <c r="O262" s="306">
        <f>COUNTIF(Tableau3[Question mère],Tableau5[[#This Row],[Question fille]])</f>
        <v>0</v>
      </c>
    </row>
    <row r="263" spans="2:15" x14ac:dyDescent="0.25">
      <c r="B263" t="s">
        <v>253</v>
      </c>
      <c r="C263" t="s">
        <v>205</v>
      </c>
      <c r="E263" t="s">
        <v>205</v>
      </c>
      <c r="F263" t="s">
        <v>267</v>
      </c>
      <c r="K263" t="s">
        <v>296</v>
      </c>
      <c r="L263">
        <f>COUNTIF(Tableau1[Question fille],Tableau4[[#This Row],[Question fille]])</f>
        <v>1</v>
      </c>
      <c r="N263" s="306" t="s">
        <v>272</v>
      </c>
      <c r="O263" s="306">
        <f>COUNTIF(Tableau3[Question mère],Tableau5[[#This Row],[Question fille]])</f>
        <v>0</v>
      </c>
    </row>
    <row r="264" spans="2:15" x14ac:dyDescent="0.25">
      <c r="B264" t="s">
        <v>253</v>
      </c>
      <c r="C264" t="s">
        <v>231</v>
      </c>
      <c r="E264" t="s">
        <v>209</v>
      </c>
      <c r="F264" t="s">
        <v>213</v>
      </c>
      <c r="K264" t="s">
        <v>306</v>
      </c>
      <c r="L264">
        <f>COUNTIF(Tableau1[Question fille],Tableau4[[#This Row],[Question fille]])</f>
        <v>1</v>
      </c>
      <c r="N264" s="305" t="s">
        <v>276</v>
      </c>
      <c r="O264" s="306">
        <f>COUNTIF(Tableau3[Question mère],Tableau5[[#This Row],[Question fille]])</f>
        <v>1</v>
      </c>
    </row>
    <row r="265" spans="2:15" x14ac:dyDescent="0.25">
      <c r="B265" t="s">
        <v>239</v>
      </c>
      <c r="C265" t="s">
        <v>231</v>
      </c>
      <c r="E265" t="s">
        <v>209</v>
      </c>
      <c r="F265" t="s">
        <v>224</v>
      </c>
      <c r="K265" t="s">
        <v>310</v>
      </c>
      <c r="L265">
        <f>COUNTIF(Tableau1[Question fille],Tableau4[[#This Row],[Question fille]])</f>
        <v>1</v>
      </c>
      <c r="N265" s="306" t="s">
        <v>235</v>
      </c>
      <c r="O265" s="306">
        <f>COUNTIF(Tableau3[Question mère],Tableau5[[#This Row],[Question fille]])</f>
        <v>0</v>
      </c>
    </row>
    <row r="266" spans="2:15" x14ac:dyDescent="0.25">
      <c r="B266" t="s">
        <v>259</v>
      </c>
      <c r="C266" t="s">
        <v>231</v>
      </c>
      <c r="E266" t="s">
        <v>209</v>
      </c>
      <c r="F266" t="s">
        <v>220</v>
      </c>
      <c r="K266" t="s">
        <v>314</v>
      </c>
      <c r="L266">
        <f>COUNTIF(Tableau1[Question fille],Tableau4[[#This Row],[Question fille]])</f>
        <v>1</v>
      </c>
      <c r="N266" s="305" t="s">
        <v>257</v>
      </c>
      <c r="O266" s="306">
        <f>COUNTIF(Tableau3[Question mère],Tableau5[[#This Row],[Question fille]])</f>
        <v>0</v>
      </c>
    </row>
    <row r="267" spans="2:15" x14ac:dyDescent="0.25">
      <c r="B267" t="s">
        <v>262</v>
      </c>
      <c r="C267" t="s">
        <v>205</v>
      </c>
      <c r="E267" t="s">
        <v>213</v>
      </c>
      <c r="F267" t="s">
        <v>216</v>
      </c>
      <c r="K267" t="s">
        <v>317</v>
      </c>
      <c r="L267">
        <f>COUNTIF(Tableau1[Question fille],Tableau4[[#This Row],[Question fille]])</f>
        <v>1</v>
      </c>
      <c r="N267" s="306" t="s">
        <v>280</v>
      </c>
      <c r="O267" s="306">
        <f>COUNTIF(Tableau3[Question mère],Tableau5[[#This Row],[Question fille]])</f>
        <v>0</v>
      </c>
    </row>
    <row r="268" spans="2:15" x14ac:dyDescent="0.25">
      <c r="B268" t="s">
        <v>262</v>
      </c>
      <c r="C268" t="s">
        <v>231</v>
      </c>
      <c r="E268" t="s">
        <v>213</v>
      </c>
      <c r="F268" t="s">
        <v>218</v>
      </c>
      <c r="K268" t="s">
        <v>302</v>
      </c>
      <c r="L268">
        <f>COUNTIF(Tableau1[Question fille],Tableau4[[#This Row],[Question fille]])</f>
        <v>1</v>
      </c>
      <c r="N268" s="305" t="s">
        <v>288</v>
      </c>
      <c r="O268" s="306">
        <f>COUNTIF(Tableau3[Question mère],Tableau5[[#This Row],[Question fille]])</f>
        <v>0</v>
      </c>
    </row>
    <row r="269" spans="2:15" x14ac:dyDescent="0.25">
      <c r="B269" t="s">
        <v>266</v>
      </c>
      <c r="C269" t="s">
        <v>205</v>
      </c>
      <c r="E269" t="s">
        <v>224</v>
      </c>
      <c r="F269" t="s">
        <v>227</v>
      </c>
      <c r="K269" t="s">
        <v>323</v>
      </c>
      <c r="L269">
        <f>COUNTIF(Tableau1[Question fille],Tableau4[[#This Row],[Question fille]])</f>
        <v>1</v>
      </c>
      <c r="N269" s="306" t="s">
        <v>296</v>
      </c>
      <c r="O269" s="306">
        <f>COUNTIF(Tableau3[Question mère],Tableau5[[#This Row],[Question fille]])</f>
        <v>0</v>
      </c>
    </row>
    <row r="270" spans="2:15" x14ac:dyDescent="0.25">
      <c r="B270" t="s">
        <v>266</v>
      </c>
      <c r="C270" t="s">
        <v>231</v>
      </c>
      <c r="E270" t="s">
        <v>231</v>
      </c>
      <c r="F270" t="s">
        <v>237</v>
      </c>
      <c r="K270" t="s">
        <v>325</v>
      </c>
      <c r="L270">
        <f>COUNTIF(Tableau1[Question fille],Tableau4[[#This Row],[Question fille]])</f>
        <v>1</v>
      </c>
      <c r="N270" s="305" t="s">
        <v>306</v>
      </c>
      <c r="O270" s="306">
        <f>COUNTIF(Tableau3[Question mère],Tableau5[[#This Row],[Question fille]])</f>
        <v>0</v>
      </c>
    </row>
    <row r="271" spans="2:15" x14ac:dyDescent="0.25">
      <c r="B271" t="s">
        <v>266</v>
      </c>
      <c r="C271" t="s">
        <v>262</v>
      </c>
      <c r="E271" t="s">
        <v>231</v>
      </c>
      <c r="F271" t="s">
        <v>243</v>
      </c>
      <c r="K271" t="s">
        <v>327</v>
      </c>
      <c r="L271">
        <f>COUNTIF(Tableau1[Question fille],Tableau4[[#This Row],[Question fille]])</f>
        <v>1</v>
      </c>
      <c r="N271" s="306" t="s">
        <v>310</v>
      </c>
      <c r="O271" s="306">
        <f>COUNTIF(Tableau3[Question mère],Tableau5[[#This Row],[Question fille]])</f>
        <v>0</v>
      </c>
    </row>
    <row r="272" spans="2:15" x14ac:dyDescent="0.25">
      <c r="B272" t="s">
        <v>267</v>
      </c>
      <c r="C272" t="s">
        <v>205</v>
      </c>
      <c r="E272" t="s">
        <v>231</v>
      </c>
      <c r="F272" t="s">
        <v>247</v>
      </c>
      <c r="K272" t="s">
        <v>109</v>
      </c>
      <c r="L272">
        <f>COUNTIF(Tableau1[Question fille],Tableau4[[#This Row],[Question fille]])</f>
        <v>1</v>
      </c>
      <c r="N272" s="305" t="s">
        <v>314</v>
      </c>
      <c r="O272" s="306">
        <f>COUNTIF(Tableau3[Question mère],Tableau5[[#This Row],[Question fille]])</f>
        <v>1</v>
      </c>
    </row>
    <row r="273" spans="2:15" x14ac:dyDescent="0.25">
      <c r="B273" t="s">
        <v>267</v>
      </c>
      <c r="C273" t="s">
        <v>231</v>
      </c>
      <c r="E273" t="s">
        <v>231</v>
      </c>
      <c r="F273" t="s">
        <v>251</v>
      </c>
      <c r="K273" t="s">
        <v>121</v>
      </c>
      <c r="L273">
        <f>COUNTIF(Tableau1[Question fille],Tableau4[[#This Row],[Question fille]])</f>
        <v>1</v>
      </c>
      <c r="N273" s="306" t="s">
        <v>302</v>
      </c>
      <c r="O273" s="306">
        <f>COUNTIF(Tableau3[Question mère],Tableau5[[#This Row],[Question fille]])</f>
        <v>0</v>
      </c>
    </row>
    <row r="274" spans="2:15" x14ac:dyDescent="0.25">
      <c r="B274" t="s">
        <v>267</v>
      </c>
      <c r="C274" t="s">
        <v>262</v>
      </c>
      <c r="E274" t="s">
        <v>231</v>
      </c>
      <c r="F274" t="s">
        <v>253</v>
      </c>
      <c r="K274" t="s">
        <v>124</v>
      </c>
      <c r="L274">
        <f>COUNTIF(Tableau1[Question fille],Tableau4[[#This Row],[Question fille]])</f>
        <v>1</v>
      </c>
      <c r="N274" s="305" t="s">
        <v>317</v>
      </c>
      <c r="O274" s="306">
        <f>COUNTIF(Tableau3[Question mère],Tableau5[[#This Row],[Question fille]])</f>
        <v>0</v>
      </c>
    </row>
    <row r="275" spans="2:15" x14ac:dyDescent="0.25">
      <c r="B275" t="s">
        <v>270</v>
      </c>
      <c r="C275" t="s">
        <v>231</v>
      </c>
      <c r="E275" t="s">
        <v>231</v>
      </c>
      <c r="F275" t="s">
        <v>239</v>
      </c>
      <c r="K275" t="s">
        <v>130</v>
      </c>
      <c r="L275">
        <f>COUNTIF(Tableau1[Question fille],Tableau4[[#This Row],[Question fille]])</f>
        <v>1</v>
      </c>
      <c r="N275" s="306" t="s">
        <v>323</v>
      </c>
      <c r="O275" s="306">
        <f>COUNTIF(Tableau3[Question mère],Tableau5[[#This Row],[Question fille]])</f>
        <v>0</v>
      </c>
    </row>
    <row r="276" spans="2:15" x14ac:dyDescent="0.25">
      <c r="B276" t="s">
        <v>272</v>
      </c>
      <c r="C276" t="s">
        <v>231</v>
      </c>
      <c r="E276" t="s">
        <v>231</v>
      </c>
      <c r="F276" t="s">
        <v>259</v>
      </c>
      <c r="K276" t="s">
        <v>133</v>
      </c>
      <c r="L276">
        <f>COUNTIF(Tableau1[Question fille],Tableau4[[#This Row],[Question fille]])</f>
        <v>1</v>
      </c>
      <c r="N276" s="305" t="s">
        <v>325</v>
      </c>
      <c r="O276" s="306">
        <f>COUNTIF(Tableau3[Question mère],Tableau5[[#This Row],[Question fille]])</f>
        <v>1</v>
      </c>
    </row>
    <row r="277" spans="2:15" x14ac:dyDescent="0.25">
      <c r="B277" t="s">
        <v>276</v>
      </c>
      <c r="C277" t="s">
        <v>231</v>
      </c>
      <c r="E277" t="s">
        <v>231</v>
      </c>
      <c r="F277" t="s">
        <v>262</v>
      </c>
      <c r="K277" t="s">
        <v>626</v>
      </c>
      <c r="L277">
        <f>COUNTIF(Tableau1[Question fille],Tableau4[[#This Row],[Question fille]])</f>
        <v>1</v>
      </c>
      <c r="N277" s="306" t="s">
        <v>327</v>
      </c>
      <c r="O277" s="306">
        <f>COUNTIF(Tableau3[Question mère],Tableau5[[#This Row],[Question fille]])</f>
        <v>0</v>
      </c>
    </row>
    <row r="278" spans="2:15" x14ac:dyDescent="0.25">
      <c r="B278" t="s">
        <v>280</v>
      </c>
      <c r="C278" t="s">
        <v>276</v>
      </c>
      <c r="E278" t="s">
        <v>231</v>
      </c>
      <c r="F278" t="s">
        <v>266</v>
      </c>
      <c r="K278" t="s">
        <v>569</v>
      </c>
      <c r="L278">
        <f>COUNTIF(Tableau1[Question fille],Tableau4[[#This Row],[Question fille]])</f>
        <v>1</v>
      </c>
      <c r="N278" s="305" t="s">
        <v>109</v>
      </c>
      <c r="O278" s="306">
        <f>COUNTIF(Tableau3[Question mère],Tableau5[[#This Row],[Question fille]])</f>
        <v>0</v>
      </c>
    </row>
    <row r="279" spans="2:15" x14ac:dyDescent="0.25">
      <c r="B279" t="s">
        <v>56</v>
      </c>
      <c r="C279" t="s">
        <v>50</v>
      </c>
      <c r="E279" t="s">
        <v>231</v>
      </c>
      <c r="F279" t="s">
        <v>267</v>
      </c>
      <c r="K279" t="s">
        <v>476</v>
      </c>
      <c r="L279">
        <f>COUNTIF(Tableau1[Question fille],Tableau4[[#This Row],[Question fille]])</f>
        <v>1</v>
      </c>
      <c r="N279" s="306" t="s">
        <v>121</v>
      </c>
      <c r="O279" s="306">
        <f>COUNTIF(Tableau3[Question mère],Tableau5[[#This Row],[Question fille]])</f>
        <v>0</v>
      </c>
    </row>
    <row r="280" spans="2:15" x14ac:dyDescent="0.25">
      <c r="B280" t="s">
        <v>288</v>
      </c>
      <c r="C280" t="s">
        <v>284</v>
      </c>
      <c r="E280" t="s">
        <v>231</v>
      </c>
      <c r="F280" t="s">
        <v>270</v>
      </c>
      <c r="K280" t="s">
        <v>508</v>
      </c>
      <c r="L280">
        <f>COUNTIF(Tableau1[Question fille],Tableau4[[#This Row],[Question fille]])</f>
        <v>1</v>
      </c>
      <c r="N280" s="305" t="s">
        <v>124</v>
      </c>
      <c r="O280" s="306">
        <f>COUNTIF(Tableau3[Question mère],Tableau5[[#This Row],[Question fille]])</f>
        <v>0</v>
      </c>
    </row>
    <row r="281" spans="2:15" x14ac:dyDescent="0.25">
      <c r="B281" t="s">
        <v>296</v>
      </c>
      <c r="C281" t="s">
        <v>292</v>
      </c>
      <c r="E281" t="s">
        <v>231</v>
      </c>
      <c r="F281" t="s">
        <v>272</v>
      </c>
      <c r="K281" t="s">
        <v>556</v>
      </c>
      <c r="L281">
        <f>COUNTIF(Tableau1[Question fille],Tableau4[[#This Row],[Question fille]])</f>
        <v>1</v>
      </c>
      <c r="N281" s="306" t="s">
        <v>130</v>
      </c>
      <c r="O281" s="306">
        <f>COUNTIF(Tableau3[Question mère],Tableau5[[#This Row],[Question fille]])</f>
        <v>0</v>
      </c>
    </row>
    <row r="282" spans="2:15" x14ac:dyDescent="0.25">
      <c r="B282" t="s">
        <v>306</v>
      </c>
      <c r="C282" t="s">
        <v>298</v>
      </c>
      <c r="E282" t="s">
        <v>231</v>
      </c>
      <c r="F282" t="s">
        <v>276</v>
      </c>
      <c r="K282" t="s">
        <v>575</v>
      </c>
      <c r="L282">
        <f>COUNTIF(Tableau1[Question fille],Tableau4[[#This Row],[Question fille]])</f>
        <v>2</v>
      </c>
      <c r="N282" s="305" t="s">
        <v>133</v>
      </c>
      <c r="O282" s="306">
        <f>COUNTIF(Tableau3[Question mère],Tableau5[[#This Row],[Question fille]])</f>
        <v>1</v>
      </c>
    </row>
    <row r="283" spans="2:15" x14ac:dyDescent="0.25">
      <c r="B283" t="s">
        <v>310</v>
      </c>
      <c r="C283" t="s">
        <v>298</v>
      </c>
      <c r="E283" t="s">
        <v>231</v>
      </c>
      <c r="F283" t="s">
        <v>235</v>
      </c>
      <c r="K283" t="s">
        <v>604</v>
      </c>
      <c r="L283">
        <f>COUNTIF(Tableau1[Question fille],Tableau4[[#This Row],[Question fille]])</f>
        <v>2</v>
      </c>
      <c r="N283" s="306" t="s">
        <v>136</v>
      </c>
      <c r="O283" s="306">
        <f>COUNTIF(Tableau3[Question mère],Tableau5[[#This Row],[Question fille]])</f>
        <v>0</v>
      </c>
    </row>
    <row r="284" spans="2:15" x14ac:dyDescent="0.25">
      <c r="B284" t="s">
        <v>314</v>
      </c>
      <c r="C284" t="s">
        <v>298</v>
      </c>
      <c r="E284" t="s">
        <v>231</v>
      </c>
      <c r="F284" t="s">
        <v>257</v>
      </c>
      <c r="K284" t="s">
        <v>235</v>
      </c>
      <c r="L284">
        <f>COUNTIF(Tableau1[Question fille],Tableau4[[#This Row],[Question fille]])</f>
        <v>1</v>
      </c>
      <c r="N284" s="305" t="s">
        <v>626</v>
      </c>
      <c r="O284" s="306">
        <f>COUNTIF(Tableau3[Question mère],Tableau5[[#This Row],[Question fille]])</f>
        <v>0</v>
      </c>
    </row>
    <row r="285" spans="2:15" x14ac:dyDescent="0.25">
      <c r="B285" t="s">
        <v>317</v>
      </c>
      <c r="C285" t="s">
        <v>314</v>
      </c>
      <c r="E285" t="s">
        <v>262</v>
      </c>
      <c r="F285" t="s">
        <v>266</v>
      </c>
      <c r="K285" t="s">
        <v>257</v>
      </c>
      <c r="L285">
        <f>COUNTIF(Tableau1[Question fille],Tableau4[[#This Row],[Question fille]])</f>
        <v>1</v>
      </c>
      <c r="N285" s="308" t="s">
        <v>632</v>
      </c>
      <c r="O285" s="308">
        <f>COUNTIF(Tableau3[Question mère],Tableau5[[#This Row],[Question fille]])</f>
        <v>0</v>
      </c>
    </row>
    <row r="286" spans="2:15" x14ac:dyDescent="0.25">
      <c r="B286" t="s">
        <v>302</v>
      </c>
      <c r="C286" t="s">
        <v>298</v>
      </c>
      <c r="E286" t="s">
        <v>262</v>
      </c>
      <c r="F286" t="s">
        <v>267</v>
      </c>
    </row>
    <row r="287" spans="2:15" x14ac:dyDescent="0.25">
      <c r="B287" t="s">
        <v>323</v>
      </c>
      <c r="C287" t="s">
        <v>319</v>
      </c>
      <c r="E287" t="s">
        <v>276</v>
      </c>
      <c r="F287" t="s">
        <v>280</v>
      </c>
    </row>
    <row r="288" spans="2:15" x14ac:dyDescent="0.25">
      <c r="B288" t="s">
        <v>325</v>
      </c>
      <c r="C288" t="s">
        <v>319</v>
      </c>
      <c r="E288" t="s">
        <v>284</v>
      </c>
      <c r="F288" t="s">
        <v>288</v>
      </c>
    </row>
    <row r="289" spans="2:6" x14ac:dyDescent="0.25">
      <c r="B289" t="s">
        <v>327</v>
      </c>
      <c r="C289" t="s">
        <v>325</v>
      </c>
      <c r="E289" t="s">
        <v>292</v>
      </c>
      <c r="F289" t="s">
        <v>296</v>
      </c>
    </row>
    <row r="290" spans="2:6" x14ac:dyDescent="0.25">
      <c r="B290" t="s">
        <v>109</v>
      </c>
      <c r="C290" t="s">
        <v>105</v>
      </c>
      <c r="E290" t="s">
        <v>298</v>
      </c>
      <c r="F290" t="s">
        <v>306</v>
      </c>
    </row>
    <row r="291" spans="2:6" x14ac:dyDescent="0.25">
      <c r="B291" t="s">
        <v>121</v>
      </c>
      <c r="C291" t="s">
        <v>118</v>
      </c>
      <c r="E291" t="s">
        <v>298</v>
      </c>
      <c r="F291" t="s">
        <v>310</v>
      </c>
    </row>
    <row r="292" spans="2:6" x14ac:dyDescent="0.25">
      <c r="B292" t="s">
        <v>124</v>
      </c>
      <c r="C292" t="s">
        <v>118</v>
      </c>
      <c r="E292" t="s">
        <v>298</v>
      </c>
      <c r="F292" t="s">
        <v>314</v>
      </c>
    </row>
    <row r="293" spans="2:6" x14ac:dyDescent="0.25">
      <c r="B293" t="s">
        <v>130</v>
      </c>
      <c r="C293" t="s">
        <v>126</v>
      </c>
      <c r="E293" t="s">
        <v>298</v>
      </c>
      <c r="F293" t="s">
        <v>302</v>
      </c>
    </row>
    <row r="294" spans="2:6" x14ac:dyDescent="0.25">
      <c r="B294" t="s">
        <v>133</v>
      </c>
      <c r="C294" t="s">
        <v>126</v>
      </c>
      <c r="E294" t="s">
        <v>314</v>
      </c>
      <c r="F294" t="s">
        <v>317</v>
      </c>
    </row>
    <row r="295" spans="2:6" x14ac:dyDescent="0.25">
      <c r="B295" t="s">
        <v>626</v>
      </c>
      <c r="C295" t="s">
        <v>622</v>
      </c>
      <c r="E295" t="s">
        <v>319</v>
      </c>
      <c r="F295" t="s">
        <v>323</v>
      </c>
    </row>
    <row r="296" spans="2:6" x14ac:dyDescent="0.25">
      <c r="B296" t="s">
        <v>569</v>
      </c>
      <c r="C296" t="s">
        <v>472</v>
      </c>
      <c r="E296" t="s">
        <v>319</v>
      </c>
      <c r="F296" t="s">
        <v>325</v>
      </c>
    </row>
    <row r="297" spans="2:6" x14ac:dyDescent="0.25">
      <c r="B297" t="s">
        <v>476</v>
      </c>
      <c r="C297" t="s">
        <v>472</v>
      </c>
      <c r="E297" t="s">
        <v>325</v>
      </c>
      <c r="F297" t="s">
        <v>327</v>
      </c>
    </row>
    <row r="298" spans="2:6" x14ac:dyDescent="0.25">
      <c r="B298" t="s">
        <v>508</v>
      </c>
      <c r="C298" t="s">
        <v>472</v>
      </c>
      <c r="E298" t="s">
        <v>105</v>
      </c>
      <c r="F298" t="s">
        <v>109</v>
      </c>
    </row>
    <row r="299" spans="2:6" x14ac:dyDescent="0.25">
      <c r="B299" t="s">
        <v>556</v>
      </c>
      <c r="C299" t="s">
        <v>472</v>
      </c>
      <c r="E299" t="s">
        <v>118</v>
      </c>
      <c r="F299" t="s">
        <v>121</v>
      </c>
    </row>
    <row r="300" spans="2:6" x14ac:dyDescent="0.25">
      <c r="B300" t="s">
        <v>575</v>
      </c>
      <c r="C300" t="s">
        <v>571</v>
      </c>
      <c r="E300" t="s">
        <v>118</v>
      </c>
      <c r="F300" t="s">
        <v>124</v>
      </c>
    </row>
    <row r="301" spans="2:6" x14ac:dyDescent="0.25">
      <c r="B301" t="s">
        <v>575</v>
      </c>
      <c r="C301" t="s">
        <v>472</v>
      </c>
      <c r="E301" t="s">
        <v>126</v>
      </c>
      <c r="F301" t="s">
        <v>130</v>
      </c>
    </row>
    <row r="302" spans="2:6" x14ac:dyDescent="0.25">
      <c r="B302" t="s">
        <v>604</v>
      </c>
      <c r="C302" t="s">
        <v>571</v>
      </c>
      <c r="E302" t="s">
        <v>126</v>
      </c>
      <c r="F302" t="s">
        <v>133</v>
      </c>
    </row>
    <row r="303" spans="2:6" x14ac:dyDescent="0.25">
      <c r="B303" t="s">
        <v>604</v>
      </c>
      <c r="C303" t="s">
        <v>472</v>
      </c>
      <c r="E303" t="s">
        <v>133</v>
      </c>
      <c r="F303" t="s">
        <v>136</v>
      </c>
    </row>
    <row r="304" spans="2:6" x14ac:dyDescent="0.25">
      <c r="B304" t="s">
        <v>235</v>
      </c>
      <c r="C304" t="s">
        <v>231</v>
      </c>
      <c r="E304" t="s">
        <v>622</v>
      </c>
      <c r="F304" t="s">
        <v>626</v>
      </c>
    </row>
    <row r="305" spans="2:6" x14ac:dyDescent="0.25">
      <c r="B305" t="s">
        <v>257</v>
      </c>
      <c r="C305" t="s">
        <v>231</v>
      </c>
      <c r="E305" t="s">
        <v>628</v>
      </c>
      <c r="F305" t="s">
        <v>632</v>
      </c>
    </row>
  </sheetData>
  <pageMargins left="0.7" right="0.7" top="0.75" bottom="0.75" header="0.3" footer="0.3"/>
  <tableParts count="6">
    <tablePart r:id="rId1"/>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FF982-8358-4192-959E-BA572F9DA4C7}">
  <sheetPr codeName="Feuil6" filterMode="1">
    <tabColor rgb="FF00B0F0"/>
  </sheetPr>
  <dimension ref="A1:F305"/>
  <sheetViews>
    <sheetView showGridLines="0" zoomScale="70" zoomScaleNormal="70" workbookViewId="0">
      <pane xSplit="3" ySplit="1" topLeftCell="D265" activePane="bottomRight" state="frozen"/>
      <selection pane="topRight" activeCell="E24" sqref="E24"/>
      <selection pane="bottomLeft" activeCell="E24" sqref="E24"/>
      <selection pane="bottomRight" activeCell="B1" sqref="B1"/>
    </sheetView>
  </sheetViews>
  <sheetFormatPr baseColWidth="10" defaultColWidth="29.5703125" defaultRowHeight="15" outlineLevelCol="1" x14ac:dyDescent="0.25"/>
  <cols>
    <col min="1" max="1" width="20.42578125" style="9" customWidth="1"/>
    <col min="2" max="2" width="68.42578125" style="9" customWidth="1" outlineLevel="1"/>
    <col min="3" max="3" width="23.5703125" style="9" customWidth="1"/>
    <col min="4" max="4" width="72.42578125" style="9" customWidth="1" outlineLevel="1"/>
    <col min="5" max="5" width="24.42578125" style="267" customWidth="1"/>
    <col min="6" max="6" width="25.5703125" style="267" customWidth="1"/>
    <col min="7" max="16384" width="29.5703125" style="9"/>
  </cols>
  <sheetData>
    <row r="1" spans="1:6" ht="37.5" customHeight="1" x14ac:dyDescent="0.25">
      <c r="A1" s="298" t="s">
        <v>1990</v>
      </c>
      <c r="B1" s="298"/>
      <c r="C1" s="298" t="s">
        <v>1991</v>
      </c>
      <c r="D1" s="298"/>
      <c r="E1" s="298" t="s">
        <v>1992</v>
      </c>
      <c r="F1" s="298" t="s">
        <v>1993</v>
      </c>
    </row>
    <row r="2" spans="1:6" ht="15.75" hidden="1" x14ac:dyDescent="0.25">
      <c r="A2" s="228" t="s">
        <v>632</v>
      </c>
      <c r="B2" s="9" t="s">
        <v>633</v>
      </c>
      <c r="C2" s="299" t="s">
        <v>628</v>
      </c>
      <c r="D2" s="9" t="s">
        <v>630</v>
      </c>
      <c r="E2" s="267" t="s">
        <v>1994</v>
      </c>
      <c r="F2" s="267" t="s">
        <v>70</v>
      </c>
    </row>
    <row r="3" spans="1:6" ht="15.75" hidden="1" x14ac:dyDescent="0.25">
      <c r="A3" s="228" t="s">
        <v>638</v>
      </c>
      <c r="B3" s="9" t="s">
        <v>639</v>
      </c>
      <c r="C3" s="299" t="s">
        <v>634</v>
      </c>
      <c r="D3" s="9" t="s">
        <v>636</v>
      </c>
      <c r="E3" s="267" t="s">
        <v>1994</v>
      </c>
      <c r="F3" s="267" t="s">
        <v>1521</v>
      </c>
    </row>
    <row r="4" spans="1:6" ht="15.75" hidden="1" x14ac:dyDescent="0.25">
      <c r="A4" s="228" t="s">
        <v>340</v>
      </c>
      <c r="B4" s="9" t="s">
        <v>342</v>
      </c>
      <c r="C4" s="299" t="s">
        <v>334</v>
      </c>
      <c r="D4" s="9" t="s">
        <v>336</v>
      </c>
      <c r="E4" s="267" t="s">
        <v>1994</v>
      </c>
      <c r="F4" s="267" t="s">
        <v>1995</v>
      </c>
    </row>
    <row r="5" spans="1:6" ht="15.75" hidden="1" x14ac:dyDescent="0.25">
      <c r="A5" s="228" t="s">
        <v>344</v>
      </c>
      <c r="B5" s="9" t="s">
        <v>345</v>
      </c>
      <c r="C5" s="228" t="s">
        <v>340</v>
      </c>
      <c r="D5" s="9" t="s">
        <v>342</v>
      </c>
      <c r="E5" s="267" t="s">
        <v>1994</v>
      </c>
      <c r="F5" s="267" t="s">
        <v>1996</v>
      </c>
    </row>
    <row r="6" spans="1:6" ht="15.75" hidden="1" x14ac:dyDescent="0.25">
      <c r="A6" s="228" t="s">
        <v>348</v>
      </c>
      <c r="B6" s="9" t="s">
        <v>350</v>
      </c>
      <c r="C6" s="299" t="s">
        <v>334</v>
      </c>
      <c r="D6" s="9" t="s">
        <v>336</v>
      </c>
      <c r="E6" s="267" t="s">
        <v>1994</v>
      </c>
      <c r="F6" s="267" t="s">
        <v>1997</v>
      </c>
    </row>
    <row r="7" spans="1:6" ht="15.75" hidden="1" x14ac:dyDescent="0.25">
      <c r="A7" s="228" t="s">
        <v>376</v>
      </c>
      <c r="B7" s="9" t="s">
        <v>378</v>
      </c>
      <c r="C7" s="299" t="s">
        <v>372</v>
      </c>
      <c r="D7" s="9" t="s">
        <v>374</v>
      </c>
      <c r="E7" s="267" t="s">
        <v>1994</v>
      </c>
      <c r="F7" s="267" t="s">
        <v>1521</v>
      </c>
    </row>
    <row r="8" spans="1:6" ht="15.75" hidden="1" x14ac:dyDescent="0.25">
      <c r="A8" s="228" t="s">
        <v>380</v>
      </c>
      <c r="B8" s="9" t="s">
        <v>381</v>
      </c>
      <c r="C8" s="299" t="s">
        <v>372</v>
      </c>
      <c r="D8" s="9" t="s">
        <v>374</v>
      </c>
      <c r="E8" s="267" t="s">
        <v>1994</v>
      </c>
      <c r="F8" s="267" t="s">
        <v>1521</v>
      </c>
    </row>
    <row r="9" spans="1:6" ht="15.75" hidden="1" x14ac:dyDescent="0.25">
      <c r="A9" s="228" t="s">
        <v>383</v>
      </c>
      <c r="B9" s="9" t="s">
        <v>384</v>
      </c>
      <c r="C9" s="299" t="s">
        <v>376</v>
      </c>
      <c r="D9" s="9" t="s">
        <v>378</v>
      </c>
      <c r="E9" s="267" t="s">
        <v>1994</v>
      </c>
      <c r="F9" s="267" t="s">
        <v>1575</v>
      </c>
    </row>
    <row r="10" spans="1:6" ht="15.75" hidden="1" x14ac:dyDescent="0.25">
      <c r="A10" s="228" t="s">
        <v>391</v>
      </c>
      <c r="B10" s="9" t="s">
        <v>392</v>
      </c>
      <c r="C10" s="299" t="s">
        <v>387</v>
      </c>
      <c r="D10" s="9" t="s">
        <v>389</v>
      </c>
      <c r="E10" s="267" t="s">
        <v>1994</v>
      </c>
      <c r="F10" s="267" t="s">
        <v>70</v>
      </c>
    </row>
    <row r="11" spans="1:6" ht="15.75" hidden="1" x14ac:dyDescent="0.25">
      <c r="A11" s="228" t="s">
        <v>394</v>
      </c>
      <c r="B11" s="9" t="s">
        <v>395</v>
      </c>
      <c r="C11" s="299" t="s">
        <v>391</v>
      </c>
      <c r="D11" s="9" t="s">
        <v>392</v>
      </c>
      <c r="E11" s="267" t="s">
        <v>1994</v>
      </c>
      <c r="F11" s="267" t="s">
        <v>1575</v>
      </c>
    </row>
    <row r="12" spans="1:6" ht="15.75" hidden="1" x14ac:dyDescent="0.25">
      <c r="A12" s="228" t="s">
        <v>1401</v>
      </c>
      <c r="B12" s="9" t="s">
        <v>1402</v>
      </c>
      <c r="C12" s="299" t="s">
        <v>1397</v>
      </c>
      <c r="D12" s="9" t="s">
        <v>1399</v>
      </c>
      <c r="E12" s="267" t="s">
        <v>1994</v>
      </c>
      <c r="F12" s="267" t="s">
        <v>1521</v>
      </c>
    </row>
    <row r="13" spans="1:6" ht="15.75" hidden="1" x14ac:dyDescent="0.25">
      <c r="A13" s="228" t="s">
        <v>1403</v>
      </c>
      <c r="B13" s="9" t="s">
        <v>1405</v>
      </c>
      <c r="C13" s="299" t="s">
        <v>1397</v>
      </c>
      <c r="D13" s="9" t="s">
        <v>1399</v>
      </c>
      <c r="E13" s="267" t="s">
        <v>1994</v>
      </c>
      <c r="F13" s="267" t="s">
        <v>1521</v>
      </c>
    </row>
    <row r="14" spans="1:6" ht="15.75" hidden="1" x14ac:dyDescent="0.25">
      <c r="A14" s="228" t="s">
        <v>418</v>
      </c>
      <c r="B14" s="9" t="s">
        <v>419</v>
      </c>
      <c r="C14" s="299" t="s">
        <v>414</v>
      </c>
      <c r="D14" s="9" t="s">
        <v>416</v>
      </c>
      <c r="E14" s="267" t="s">
        <v>1994</v>
      </c>
      <c r="F14" s="267" t="s">
        <v>70</v>
      </c>
    </row>
    <row r="15" spans="1:6" ht="15.75" hidden="1" x14ac:dyDescent="0.25">
      <c r="A15" s="228" t="s">
        <v>421</v>
      </c>
      <c r="B15" s="9" t="s">
        <v>422</v>
      </c>
      <c r="C15" s="299" t="s">
        <v>418</v>
      </c>
      <c r="D15" s="9" t="s">
        <v>419</v>
      </c>
      <c r="E15" s="267" t="s">
        <v>1994</v>
      </c>
      <c r="F15" s="267" t="s">
        <v>1575</v>
      </c>
    </row>
    <row r="16" spans="1:6" ht="15.75" hidden="1" x14ac:dyDescent="0.25">
      <c r="A16" s="228" t="s">
        <v>441</v>
      </c>
      <c r="B16" s="9" t="s">
        <v>442</v>
      </c>
      <c r="C16" s="299" t="s">
        <v>437</v>
      </c>
      <c r="D16" s="9" t="s">
        <v>439</v>
      </c>
      <c r="E16" s="267" t="s">
        <v>1994</v>
      </c>
      <c r="F16" s="267" t="s">
        <v>1521</v>
      </c>
    </row>
    <row r="17" spans="1:6" ht="15.75" hidden="1" x14ac:dyDescent="0.25">
      <c r="A17" s="228" t="s">
        <v>444</v>
      </c>
      <c r="B17" s="9" t="s">
        <v>445</v>
      </c>
      <c r="C17" s="299" t="s">
        <v>441</v>
      </c>
      <c r="D17" s="9" t="s">
        <v>442</v>
      </c>
      <c r="E17" s="267" t="s">
        <v>1994</v>
      </c>
      <c r="F17" s="267" t="s">
        <v>1998</v>
      </c>
    </row>
    <row r="18" spans="1:6" ht="15.75" hidden="1" x14ac:dyDescent="0.25">
      <c r="A18" s="228" t="s">
        <v>453</v>
      </c>
      <c r="B18" s="9" t="s">
        <v>454</v>
      </c>
      <c r="C18" s="299" t="s">
        <v>448</v>
      </c>
      <c r="D18" s="9" t="s">
        <v>449</v>
      </c>
      <c r="E18" s="267" t="s">
        <v>1994</v>
      </c>
      <c r="F18" s="267" t="s">
        <v>1999</v>
      </c>
    </row>
    <row r="19" spans="1:6" ht="15.75" hidden="1" x14ac:dyDescent="0.25">
      <c r="A19" s="228" t="s">
        <v>451</v>
      </c>
      <c r="B19" s="9" t="s">
        <v>452</v>
      </c>
      <c r="C19" s="299" t="s">
        <v>448</v>
      </c>
      <c r="D19" s="9" t="s">
        <v>449</v>
      </c>
      <c r="E19" s="267" t="s">
        <v>1994</v>
      </c>
      <c r="F19" s="267" t="s">
        <v>1575</v>
      </c>
    </row>
    <row r="20" spans="1:6" ht="15.75" hidden="1" x14ac:dyDescent="0.25">
      <c r="A20" s="228" t="s">
        <v>462</v>
      </c>
      <c r="B20" s="9" t="s">
        <v>463</v>
      </c>
      <c r="C20" s="299" t="s">
        <v>458</v>
      </c>
      <c r="D20" s="9" t="s">
        <v>460</v>
      </c>
      <c r="E20" s="267" t="s">
        <v>1994</v>
      </c>
      <c r="F20" s="267" t="s">
        <v>70</v>
      </c>
    </row>
    <row r="21" spans="1:6" ht="15.75" hidden="1" x14ac:dyDescent="0.25">
      <c r="A21" s="228" t="s">
        <v>446</v>
      </c>
      <c r="B21" s="9" t="s">
        <v>447</v>
      </c>
      <c r="C21" s="299" t="s">
        <v>437</v>
      </c>
      <c r="D21" s="9" t="s">
        <v>439</v>
      </c>
      <c r="E21" s="267" t="s">
        <v>1994</v>
      </c>
      <c r="F21" s="267" t="s">
        <v>70</v>
      </c>
    </row>
    <row r="22" spans="1:6" ht="15.75" hidden="1" x14ac:dyDescent="0.25">
      <c r="A22" s="228" t="s">
        <v>468</v>
      </c>
      <c r="B22" s="9" t="s">
        <v>469</v>
      </c>
      <c r="C22" s="299" t="s">
        <v>464</v>
      </c>
      <c r="D22" s="9" t="s">
        <v>466</v>
      </c>
      <c r="E22" s="267" t="s">
        <v>1994</v>
      </c>
      <c r="F22" s="267" t="s">
        <v>1521</v>
      </c>
    </row>
    <row r="23" spans="1:6" ht="15.75" hidden="1" x14ac:dyDescent="0.25">
      <c r="A23" s="228" t="s">
        <v>649</v>
      </c>
      <c r="B23" s="9" t="s">
        <v>650</v>
      </c>
      <c r="C23" s="299" t="s">
        <v>645</v>
      </c>
      <c r="D23" s="9" t="s">
        <v>647</v>
      </c>
      <c r="E23" s="267" t="s">
        <v>1994</v>
      </c>
      <c r="F23" s="267" t="s">
        <v>70</v>
      </c>
    </row>
    <row r="24" spans="1:6" ht="15.6" hidden="1" customHeight="1" x14ac:dyDescent="0.25">
      <c r="A24" s="228" t="s">
        <v>651</v>
      </c>
      <c r="B24" s="9" t="s">
        <v>652</v>
      </c>
      <c r="C24" s="299" t="s">
        <v>645</v>
      </c>
      <c r="D24" s="9" t="s">
        <v>647</v>
      </c>
      <c r="E24" s="267" t="s">
        <v>1994</v>
      </c>
      <c r="F24" s="267" t="s">
        <v>70</v>
      </c>
    </row>
    <row r="25" spans="1:6" ht="15.75" hidden="1" x14ac:dyDescent="0.25">
      <c r="A25" s="228" t="s">
        <v>654</v>
      </c>
      <c r="B25" s="9" t="s">
        <v>656</v>
      </c>
      <c r="C25" s="299" t="s">
        <v>651</v>
      </c>
      <c r="D25" s="9" t="s">
        <v>652</v>
      </c>
      <c r="E25" s="267" t="s">
        <v>1994</v>
      </c>
      <c r="F25" s="267" t="s">
        <v>1521</v>
      </c>
    </row>
    <row r="26" spans="1:6" ht="15.75" hidden="1" x14ac:dyDescent="0.25">
      <c r="A26" s="228" t="s">
        <v>670</v>
      </c>
      <c r="B26" s="9" t="s">
        <v>671</v>
      </c>
      <c r="C26" s="299" t="s">
        <v>666</v>
      </c>
      <c r="D26" s="9" t="s">
        <v>668</v>
      </c>
      <c r="E26" s="267" t="s">
        <v>1994</v>
      </c>
      <c r="F26" s="267" t="s">
        <v>70</v>
      </c>
    </row>
    <row r="27" spans="1:6" ht="15.75" hidden="1" x14ac:dyDescent="0.25">
      <c r="A27" s="228" t="s">
        <v>680</v>
      </c>
      <c r="B27" s="9" t="s">
        <v>681</v>
      </c>
      <c r="C27" s="299" t="s">
        <v>676</v>
      </c>
      <c r="D27" s="9" t="s">
        <v>678</v>
      </c>
      <c r="E27" s="267" t="s">
        <v>1994</v>
      </c>
      <c r="F27" s="267" t="s">
        <v>1521</v>
      </c>
    </row>
    <row r="28" spans="1:6" ht="15.75" hidden="1" x14ac:dyDescent="0.25">
      <c r="A28" s="228" t="s">
        <v>682</v>
      </c>
      <c r="B28" s="9" t="s">
        <v>683</v>
      </c>
      <c r="C28" s="228" t="s">
        <v>680</v>
      </c>
      <c r="D28" s="9" t="s">
        <v>681</v>
      </c>
      <c r="E28" s="267" t="s">
        <v>1994</v>
      </c>
      <c r="F28" s="267" t="s">
        <v>2000</v>
      </c>
    </row>
    <row r="29" spans="1:6" ht="15.75" hidden="1" x14ac:dyDescent="0.25">
      <c r="A29" s="228" t="s">
        <v>685</v>
      </c>
      <c r="B29" s="9" t="s">
        <v>686</v>
      </c>
      <c r="C29" s="228" t="s">
        <v>680</v>
      </c>
      <c r="D29" s="9" t="s">
        <v>681</v>
      </c>
      <c r="E29" s="267" t="s">
        <v>1994</v>
      </c>
      <c r="F29" s="267" t="s">
        <v>2000</v>
      </c>
    </row>
    <row r="30" spans="1:6" ht="15.75" hidden="1" x14ac:dyDescent="0.25">
      <c r="A30" s="228" t="s">
        <v>687</v>
      </c>
      <c r="B30" s="9" t="s">
        <v>688</v>
      </c>
      <c r="C30" s="228" t="s">
        <v>680</v>
      </c>
      <c r="D30" s="9" t="s">
        <v>681</v>
      </c>
      <c r="E30" s="267" t="s">
        <v>1994</v>
      </c>
      <c r="F30" s="267" t="s">
        <v>2001</v>
      </c>
    </row>
    <row r="31" spans="1:6" ht="15.75" hidden="1" x14ac:dyDescent="0.25">
      <c r="A31" s="228" t="s">
        <v>689</v>
      </c>
      <c r="B31" s="9" t="s">
        <v>690</v>
      </c>
      <c r="C31" s="228" t="s">
        <v>680</v>
      </c>
      <c r="D31" s="9" t="s">
        <v>681</v>
      </c>
      <c r="E31" s="267" t="s">
        <v>1994</v>
      </c>
      <c r="F31" s="267" t="s">
        <v>2001</v>
      </c>
    </row>
    <row r="32" spans="1:6" ht="15.75" hidden="1" x14ac:dyDescent="0.25">
      <c r="A32" s="228" t="s">
        <v>698</v>
      </c>
      <c r="B32" s="9" t="s">
        <v>699</v>
      </c>
      <c r="C32" s="299" t="s">
        <v>694</v>
      </c>
      <c r="D32" s="9" t="s">
        <v>696</v>
      </c>
      <c r="E32" s="267" t="s">
        <v>1994</v>
      </c>
      <c r="F32" s="267" t="s">
        <v>70</v>
      </c>
    </row>
    <row r="33" spans="1:6" ht="15.75" hidden="1" x14ac:dyDescent="0.25">
      <c r="A33" s="228" t="s">
        <v>710</v>
      </c>
      <c r="B33" s="9" t="s">
        <v>711</v>
      </c>
      <c r="C33" s="299" t="s">
        <v>706</v>
      </c>
      <c r="D33" s="9" t="s">
        <v>708</v>
      </c>
      <c r="E33" s="267" t="s">
        <v>1994</v>
      </c>
      <c r="F33" s="267" t="s">
        <v>1521</v>
      </c>
    </row>
    <row r="34" spans="1:6" ht="15.75" hidden="1" x14ac:dyDescent="0.25">
      <c r="A34" s="228" t="s">
        <v>712</v>
      </c>
      <c r="B34" s="9" t="s">
        <v>713</v>
      </c>
      <c r="C34" s="299" t="s">
        <v>706</v>
      </c>
      <c r="D34" s="9" t="s">
        <v>708</v>
      </c>
      <c r="E34" s="267" t="s">
        <v>1994</v>
      </c>
      <c r="F34" s="267" t="s">
        <v>1521</v>
      </c>
    </row>
    <row r="35" spans="1:6" ht="15.75" hidden="1" x14ac:dyDescent="0.25">
      <c r="A35" s="228" t="s">
        <v>714</v>
      </c>
      <c r="B35" s="9" t="s">
        <v>715</v>
      </c>
      <c r="C35" s="299" t="s">
        <v>706</v>
      </c>
      <c r="D35" s="9" t="s">
        <v>708</v>
      </c>
      <c r="E35" s="267" t="s">
        <v>1994</v>
      </c>
      <c r="F35" s="267" t="s">
        <v>1521</v>
      </c>
    </row>
    <row r="36" spans="1:6" ht="15.75" hidden="1" x14ac:dyDescent="0.25">
      <c r="A36" s="228" t="s">
        <v>732</v>
      </c>
      <c r="B36" s="9" t="s">
        <v>734</v>
      </c>
      <c r="C36" s="299" t="s">
        <v>728</v>
      </c>
      <c r="D36" s="9" t="s">
        <v>730</v>
      </c>
      <c r="E36" s="267" t="s">
        <v>1994</v>
      </c>
      <c r="F36" s="267" t="s">
        <v>70</v>
      </c>
    </row>
    <row r="37" spans="1:6" ht="15.75" hidden="1" x14ac:dyDescent="0.25">
      <c r="A37" s="228" t="s">
        <v>735</v>
      </c>
      <c r="B37" s="9" t="s">
        <v>736</v>
      </c>
      <c r="C37" s="299" t="s">
        <v>728</v>
      </c>
      <c r="D37" s="9" t="s">
        <v>730</v>
      </c>
      <c r="E37" s="267" t="s">
        <v>1994</v>
      </c>
      <c r="F37" s="267" t="s">
        <v>70</v>
      </c>
    </row>
    <row r="38" spans="1:6" ht="15.75" hidden="1" x14ac:dyDescent="0.25">
      <c r="A38" s="228" t="s">
        <v>737</v>
      </c>
      <c r="B38" s="9" t="s">
        <v>739</v>
      </c>
      <c r="C38" s="299" t="s">
        <v>61</v>
      </c>
      <c r="D38" s="9" t="s">
        <v>63</v>
      </c>
      <c r="E38" s="267" t="s">
        <v>1994</v>
      </c>
      <c r="F38" s="267" t="s">
        <v>2002</v>
      </c>
    </row>
    <row r="39" spans="1:6" ht="60" hidden="1" x14ac:dyDescent="0.25">
      <c r="A39" s="228" t="s">
        <v>741</v>
      </c>
      <c r="B39" s="220" t="s">
        <v>742</v>
      </c>
      <c r="C39" s="299" t="s">
        <v>737</v>
      </c>
      <c r="D39" s="9" t="s">
        <v>739</v>
      </c>
      <c r="E39" s="267" t="s">
        <v>1994</v>
      </c>
      <c r="F39" s="267" t="s">
        <v>1521</v>
      </c>
    </row>
    <row r="40" spans="1:6" ht="60" hidden="1" x14ac:dyDescent="0.25">
      <c r="A40" s="228" t="s">
        <v>744</v>
      </c>
      <c r="B40" s="9" t="s">
        <v>745</v>
      </c>
      <c r="C40" s="299" t="s">
        <v>741</v>
      </c>
      <c r="D40" s="220" t="s">
        <v>742</v>
      </c>
      <c r="E40" s="267" t="s">
        <v>1994</v>
      </c>
      <c r="F40" s="267" t="s">
        <v>1998</v>
      </c>
    </row>
    <row r="41" spans="1:6" ht="15.75" hidden="1" x14ac:dyDescent="0.25">
      <c r="A41" s="228" t="s">
        <v>750</v>
      </c>
      <c r="B41" s="9" t="s">
        <v>752</v>
      </c>
      <c r="C41" s="299" t="s">
        <v>746</v>
      </c>
      <c r="D41" s="9" t="s">
        <v>748</v>
      </c>
      <c r="E41" s="267" t="s">
        <v>1994</v>
      </c>
      <c r="F41" s="267" t="s">
        <v>1521</v>
      </c>
    </row>
    <row r="42" spans="1:6" ht="105" hidden="1" x14ac:dyDescent="0.25">
      <c r="A42" s="228" t="s">
        <v>759</v>
      </c>
      <c r="B42" s="220" t="s">
        <v>760</v>
      </c>
      <c r="C42" s="299" t="s">
        <v>756</v>
      </c>
      <c r="D42" s="9" t="s">
        <v>757</v>
      </c>
      <c r="E42" s="267" t="s">
        <v>1994</v>
      </c>
      <c r="F42" s="267" t="s">
        <v>1521</v>
      </c>
    </row>
    <row r="43" spans="1:6" ht="15.75" hidden="1" x14ac:dyDescent="0.25">
      <c r="A43" s="228" t="s">
        <v>1053</v>
      </c>
      <c r="B43" s="9" t="s">
        <v>1054</v>
      </c>
      <c r="C43" s="299" t="s">
        <v>1051</v>
      </c>
      <c r="D43" s="9" t="s">
        <v>474</v>
      </c>
      <c r="E43" s="267" t="s">
        <v>1994</v>
      </c>
      <c r="F43" s="267" t="s">
        <v>1521</v>
      </c>
    </row>
    <row r="44" spans="1:6" ht="15.75" hidden="1" x14ac:dyDescent="0.25">
      <c r="A44" s="228" t="s">
        <v>1056</v>
      </c>
      <c r="B44" s="9" t="s">
        <v>1057</v>
      </c>
      <c r="C44" s="299" t="s">
        <v>1053</v>
      </c>
      <c r="D44" s="9" t="s">
        <v>1054</v>
      </c>
      <c r="E44" s="267" t="s">
        <v>1994</v>
      </c>
      <c r="F44" s="267" t="s">
        <v>1521</v>
      </c>
    </row>
    <row r="45" spans="1:6" ht="15.6" hidden="1" customHeight="1" x14ac:dyDescent="0.25">
      <c r="A45" s="228" t="s">
        <v>1058</v>
      </c>
      <c r="B45" s="9" t="s">
        <v>1059</v>
      </c>
      <c r="C45" s="299" t="s">
        <v>1051</v>
      </c>
      <c r="D45" s="9" t="s">
        <v>474</v>
      </c>
      <c r="E45" s="267" t="s">
        <v>1994</v>
      </c>
      <c r="F45" s="267" t="s">
        <v>1521</v>
      </c>
    </row>
    <row r="46" spans="1:6" ht="15.75" hidden="1" x14ac:dyDescent="0.25">
      <c r="A46" s="228" t="s">
        <v>1060</v>
      </c>
      <c r="B46" s="9" t="s">
        <v>1061</v>
      </c>
      <c r="C46" s="299" t="s">
        <v>1051</v>
      </c>
      <c r="D46" s="9" t="s">
        <v>474</v>
      </c>
      <c r="E46" s="267" t="s">
        <v>1994</v>
      </c>
      <c r="F46" s="267" t="s">
        <v>1521</v>
      </c>
    </row>
    <row r="47" spans="1:6" ht="15.75" hidden="1" x14ac:dyDescent="0.25">
      <c r="A47" s="228" t="s">
        <v>1063</v>
      </c>
      <c r="B47" s="9" t="s">
        <v>1064</v>
      </c>
      <c r="C47" s="299" t="s">
        <v>1051</v>
      </c>
      <c r="D47" s="9" t="s">
        <v>474</v>
      </c>
      <c r="E47" s="267" t="s">
        <v>1994</v>
      </c>
      <c r="F47" s="267" t="s">
        <v>1521</v>
      </c>
    </row>
    <row r="48" spans="1:6" ht="15.75" hidden="1" x14ac:dyDescent="0.25">
      <c r="A48" s="228" t="s">
        <v>1066</v>
      </c>
      <c r="B48" s="9" t="s">
        <v>1067</v>
      </c>
      <c r="C48" s="299" t="s">
        <v>1063</v>
      </c>
      <c r="D48" s="9" t="s">
        <v>1064</v>
      </c>
      <c r="E48" s="267" t="s">
        <v>1994</v>
      </c>
      <c r="F48" s="267" t="s">
        <v>1521</v>
      </c>
    </row>
    <row r="49" spans="1:6" ht="15.75" hidden="1" x14ac:dyDescent="0.25">
      <c r="A49" s="228" t="s">
        <v>1069</v>
      </c>
      <c r="B49" s="9" t="s">
        <v>1070</v>
      </c>
      <c r="C49" s="299" t="s">
        <v>1051</v>
      </c>
      <c r="D49" s="9" t="s">
        <v>474</v>
      </c>
      <c r="E49" s="267" t="s">
        <v>1994</v>
      </c>
      <c r="F49" s="267" t="s">
        <v>1521</v>
      </c>
    </row>
    <row r="50" spans="1:6" ht="15.75" hidden="1" x14ac:dyDescent="0.25">
      <c r="A50" s="228" t="s">
        <v>1071</v>
      </c>
      <c r="B50" s="9" t="s">
        <v>1072</v>
      </c>
      <c r="C50" s="299" t="s">
        <v>1051</v>
      </c>
      <c r="D50" s="9" t="s">
        <v>474</v>
      </c>
      <c r="E50" s="267" t="s">
        <v>1994</v>
      </c>
      <c r="F50" s="267" t="s">
        <v>1521</v>
      </c>
    </row>
    <row r="51" spans="1:6" ht="15.75" hidden="1" x14ac:dyDescent="0.25">
      <c r="A51" s="228" t="s">
        <v>1093</v>
      </c>
      <c r="B51" s="9" t="s">
        <v>869</v>
      </c>
      <c r="C51" s="299" t="s">
        <v>1090</v>
      </c>
      <c r="D51" s="9" t="s">
        <v>1091</v>
      </c>
      <c r="E51" s="267" t="s">
        <v>1994</v>
      </c>
      <c r="F51" s="267" t="s">
        <v>865</v>
      </c>
    </row>
    <row r="52" spans="1:6" ht="15.75" hidden="1" x14ac:dyDescent="0.25">
      <c r="A52" s="228" t="s">
        <v>1095</v>
      </c>
      <c r="B52" s="9" t="s">
        <v>871</v>
      </c>
      <c r="C52" s="299" t="s">
        <v>1090</v>
      </c>
      <c r="D52" s="9" t="s">
        <v>1091</v>
      </c>
      <c r="E52" s="267" t="s">
        <v>1994</v>
      </c>
      <c r="F52" s="267" t="s">
        <v>1684</v>
      </c>
    </row>
    <row r="53" spans="1:6" ht="15.75" hidden="1" x14ac:dyDescent="0.25">
      <c r="A53" s="228" t="s">
        <v>1096</v>
      </c>
      <c r="B53" s="9" t="s">
        <v>873</v>
      </c>
      <c r="C53" s="299" t="s">
        <v>1090</v>
      </c>
      <c r="D53" s="9" t="s">
        <v>1091</v>
      </c>
      <c r="E53" s="267" t="s">
        <v>1994</v>
      </c>
      <c r="F53" s="267" t="s">
        <v>2003</v>
      </c>
    </row>
    <row r="54" spans="1:6" ht="15.75" hidden="1" x14ac:dyDescent="0.25">
      <c r="A54" s="228" t="s">
        <v>1097</v>
      </c>
      <c r="B54" s="9" t="s">
        <v>875</v>
      </c>
      <c r="C54" s="299" t="s">
        <v>1090</v>
      </c>
      <c r="D54" s="9" t="s">
        <v>1091</v>
      </c>
      <c r="E54" s="267" t="s">
        <v>1994</v>
      </c>
      <c r="F54" s="267" t="s">
        <v>2004</v>
      </c>
    </row>
    <row r="55" spans="1:6" ht="15.75" hidden="1" x14ac:dyDescent="0.25">
      <c r="A55" s="228" t="s">
        <v>1103</v>
      </c>
      <c r="B55" s="9" t="s">
        <v>1104</v>
      </c>
      <c r="C55" s="299" t="s">
        <v>18</v>
      </c>
      <c r="D55" s="9" t="s">
        <v>21</v>
      </c>
      <c r="E55" s="267" t="s">
        <v>1994</v>
      </c>
      <c r="F55" s="267" t="s">
        <v>1466</v>
      </c>
    </row>
    <row r="56" spans="1:6" ht="15.75" hidden="1" x14ac:dyDescent="0.25">
      <c r="A56" s="228" t="s">
        <v>1073</v>
      </c>
      <c r="B56" s="9" t="s">
        <v>1074</v>
      </c>
      <c r="C56" s="299" t="s">
        <v>1051</v>
      </c>
      <c r="D56" s="9" t="s">
        <v>474</v>
      </c>
      <c r="E56" s="267" t="s">
        <v>44</v>
      </c>
      <c r="F56" s="267" t="s">
        <v>1521</v>
      </c>
    </row>
    <row r="57" spans="1:6" ht="15.75" hidden="1" x14ac:dyDescent="0.25">
      <c r="A57" s="228" t="s">
        <v>482</v>
      </c>
      <c r="B57" s="9" t="s">
        <v>484</v>
      </c>
      <c r="C57" s="299" t="s">
        <v>478</v>
      </c>
      <c r="D57" s="9" t="s">
        <v>480</v>
      </c>
      <c r="E57" s="267" t="s">
        <v>1994</v>
      </c>
      <c r="F57" s="267" t="s">
        <v>1521</v>
      </c>
    </row>
    <row r="58" spans="1:6" ht="15.75" hidden="1" x14ac:dyDescent="0.25">
      <c r="A58" s="299" t="s">
        <v>495</v>
      </c>
      <c r="B58" s="9" t="s">
        <v>496</v>
      </c>
      <c r="C58" s="299" t="s">
        <v>492</v>
      </c>
      <c r="D58" s="9" t="s">
        <v>493</v>
      </c>
      <c r="E58" s="267" t="s">
        <v>1994</v>
      </c>
      <c r="F58" s="267" t="s">
        <v>1521</v>
      </c>
    </row>
    <row r="59" spans="1:6" ht="15.75" hidden="1" x14ac:dyDescent="0.25">
      <c r="A59" s="228" t="s">
        <v>497</v>
      </c>
      <c r="B59" s="9" t="s">
        <v>498</v>
      </c>
      <c r="C59" s="299" t="s">
        <v>492</v>
      </c>
      <c r="D59" s="9" t="s">
        <v>493</v>
      </c>
      <c r="E59" s="267" t="s">
        <v>1994</v>
      </c>
      <c r="F59" s="267" t="s">
        <v>70</v>
      </c>
    </row>
    <row r="60" spans="1:6" ht="15.75" hidden="1" x14ac:dyDescent="0.25">
      <c r="A60" s="299" t="s">
        <v>988</v>
      </c>
      <c r="B60" s="9" t="s">
        <v>989</v>
      </c>
      <c r="C60" s="299" t="s">
        <v>881</v>
      </c>
      <c r="D60" s="9" t="s">
        <v>883</v>
      </c>
      <c r="E60" s="267" t="s">
        <v>1994</v>
      </c>
      <c r="F60" s="267" t="s">
        <v>2005</v>
      </c>
    </row>
    <row r="61" spans="1:6" ht="15.75" hidden="1" x14ac:dyDescent="0.25">
      <c r="A61" s="299" t="s">
        <v>532</v>
      </c>
      <c r="B61" s="9" t="s">
        <v>533</v>
      </c>
      <c r="C61" s="299" t="s">
        <v>45</v>
      </c>
      <c r="D61" s="9" t="s">
        <v>47</v>
      </c>
      <c r="E61" s="267" t="s">
        <v>1994</v>
      </c>
      <c r="F61" s="267" t="s">
        <v>2006</v>
      </c>
    </row>
    <row r="62" spans="1:6" ht="15.75" hidden="1" x14ac:dyDescent="0.25">
      <c r="A62" s="299" t="s">
        <v>527</v>
      </c>
      <c r="B62" s="9" t="s">
        <v>528</v>
      </c>
      <c r="C62" s="299" t="s">
        <v>45</v>
      </c>
      <c r="D62" s="9" t="s">
        <v>47</v>
      </c>
      <c r="E62" s="267" t="s">
        <v>1994</v>
      </c>
      <c r="F62" s="267" t="s">
        <v>2006</v>
      </c>
    </row>
    <row r="63" spans="1:6" ht="15.75" hidden="1" x14ac:dyDescent="0.25">
      <c r="A63" s="228" t="s">
        <v>530</v>
      </c>
      <c r="B63" s="9" t="s">
        <v>531</v>
      </c>
      <c r="C63" s="299" t="s">
        <v>527</v>
      </c>
      <c r="D63" s="9" t="s">
        <v>528</v>
      </c>
      <c r="E63" s="267" t="s">
        <v>1994</v>
      </c>
      <c r="F63" s="267" t="s">
        <v>1521</v>
      </c>
    </row>
    <row r="64" spans="1:6" ht="15.75" hidden="1" x14ac:dyDescent="0.25">
      <c r="A64" s="228" t="s">
        <v>540</v>
      </c>
      <c r="B64" s="9" t="s">
        <v>541</v>
      </c>
      <c r="C64" s="299" t="s">
        <v>537</v>
      </c>
      <c r="D64" s="9" t="s">
        <v>538</v>
      </c>
      <c r="E64" s="267" t="s">
        <v>1994</v>
      </c>
      <c r="F64" s="267" t="s">
        <v>1521</v>
      </c>
    </row>
    <row r="65" spans="1:6" ht="15.75" hidden="1" x14ac:dyDescent="0.25">
      <c r="A65" s="228" t="s">
        <v>545</v>
      </c>
      <c r="B65" s="9" t="s">
        <v>546</v>
      </c>
      <c r="C65" s="299" t="s">
        <v>542</v>
      </c>
      <c r="D65" s="9" t="s">
        <v>543</v>
      </c>
      <c r="E65" s="267" t="s">
        <v>1994</v>
      </c>
      <c r="F65" s="267" t="s">
        <v>1521</v>
      </c>
    </row>
    <row r="66" spans="1:6" ht="15.75" hidden="1" x14ac:dyDescent="0.25">
      <c r="A66" s="228" t="s">
        <v>551</v>
      </c>
      <c r="B66" s="9" t="s">
        <v>552</v>
      </c>
      <c r="C66" s="299" t="s">
        <v>547</v>
      </c>
      <c r="D66" s="9" t="s">
        <v>549</v>
      </c>
      <c r="E66" s="267" t="s">
        <v>1994</v>
      </c>
      <c r="F66" s="267" t="s">
        <v>1521</v>
      </c>
    </row>
    <row r="67" spans="1:6" ht="15.75" hidden="1" x14ac:dyDescent="0.25">
      <c r="A67" s="299" t="s">
        <v>535</v>
      </c>
      <c r="B67" s="9" t="s">
        <v>536</v>
      </c>
      <c r="C67" s="299" t="s">
        <v>532</v>
      </c>
      <c r="D67" s="9" t="s">
        <v>533</v>
      </c>
      <c r="E67" s="267" t="s">
        <v>1994</v>
      </c>
      <c r="F67" s="267" t="s">
        <v>1521</v>
      </c>
    </row>
    <row r="68" spans="1:6" ht="15.75" hidden="1" x14ac:dyDescent="0.25">
      <c r="A68" s="228" t="s">
        <v>561</v>
      </c>
      <c r="B68" s="9" t="s">
        <v>562</v>
      </c>
      <c r="C68" s="299" t="s">
        <v>558</v>
      </c>
      <c r="D68" s="9" t="s">
        <v>559</v>
      </c>
      <c r="E68" s="267" t="s">
        <v>1994</v>
      </c>
      <c r="F68" s="267" t="s">
        <v>1521</v>
      </c>
    </row>
    <row r="69" spans="1:6" ht="15.75" hidden="1" x14ac:dyDescent="0.25">
      <c r="A69" s="228" t="s">
        <v>564</v>
      </c>
      <c r="B69" s="9" t="s">
        <v>565</v>
      </c>
      <c r="C69" s="299" t="s">
        <v>558</v>
      </c>
      <c r="D69" s="9" t="s">
        <v>559</v>
      </c>
      <c r="E69" s="267" t="s">
        <v>1994</v>
      </c>
      <c r="F69" s="267" t="s">
        <v>1521</v>
      </c>
    </row>
    <row r="70" spans="1:6" ht="15.75" hidden="1" x14ac:dyDescent="0.25">
      <c r="A70" s="228" t="s">
        <v>567</v>
      </c>
      <c r="B70" s="9" t="s">
        <v>568</v>
      </c>
      <c r="C70" s="299" t="s">
        <v>558</v>
      </c>
      <c r="D70" s="9" t="s">
        <v>559</v>
      </c>
      <c r="E70" s="267" t="s">
        <v>1994</v>
      </c>
      <c r="F70" s="267" t="s">
        <v>1521</v>
      </c>
    </row>
    <row r="71" spans="1:6" ht="15.75" hidden="1" x14ac:dyDescent="0.25">
      <c r="A71" s="228" t="s">
        <v>514</v>
      </c>
      <c r="B71" s="9" t="s">
        <v>515</v>
      </c>
      <c r="C71" s="299" t="s">
        <v>510</v>
      </c>
      <c r="D71" s="9" t="s">
        <v>512</v>
      </c>
      <c r="E71" s="267" t="s">
        <v>1994</v>
      </c>
      <c r="F71" s="267" t="s">
        <v>70</v>
      </c>
    </row>
    <row r="72" spans="1:6" ht="15.75" hidden="1" x14ac:dyDescent="0.25">
      <c r="A72" s="228" t="s">
        <v>520</v>
      </c>
      <c r="B72" s="9" t="s">
        <v>522</v>
      </c>
      <c r="C72" s="299" t="s">
        <v>61</v>
      </c>
      <c r="D72" s="9" t="s">
        <v>63</v>
      </c>
      <c r="E72" s="267" t="s">
        <v>1994</v>
      </c>
      <c r="F72" s="267" t="s">
        <v>2002</v>
      </c>
    </row>
    <row r="73" spans="1:6" ht="15.75" hidden="1" x14ac:dyDescent="0.25">
      <c r="A73" s="228" t="s">
        <v>778</v>
      </c>
      <c r="B73" s="9" t="s">
        <v>780</v>
      </c>
      <c r="C73" s="299" t="s">
        <v>774</v>
      </c>
      <c r="D73" s="9" t="s">
        <v>776</v>
      </c>
      <c r="E73" s="267" t="s">
        <v>1994</v>
      </c>
      <c r="F73" s="267" t="s">
        <v>2007</v>
      </c>
    </row>
    <row r="74" spans="1:6" ht="15.75" hidden="1" x14ac:dyDescent="0.25">
      <c r="A74" s="228" t="s">
        <v>782</v>
      </c>
      <c r="B74" s="9" t="s">
        <v>783</v>
      </c>
      <c r="C74" s="228" t="s">
        <v>778</v>
      </c>
      <c r="D74" s="9" t="s">
        <v>780</v>
      </c>
      <c r="E74" s="267" t="s">
        <v>1994</v>
      </c>
      <c r="F74" s="267" t="s">
        <v>1575</v>
      </c>
    </row>
    <row r="75" spans="1:6" ht="15.75" hidden="1" x14ac:dyDescent="0.25">
      <c r="A75" s="228" t="s">
        <v>785</v>
      </c>
      <c r="B75" s="9" t="s">
        <v>786</v>
      </c>
      <c r="C75" s="299" t="s">
        <v>774</v>
      </c>
      <c r="D75" s="9" t="s">
        <v>776</v>
      </c>
      <c r="E75" s="267" t="s">
        <v>1994</v>
      </c>
      <c r="F75" s="9" t="s">
        <v>2008</v>
      </c>
    </row>
    <row r="76" spans="1:6" ht="15.75" hidden="1" x14ac:dyDescent="0.25">
      <c r="A76" s="228" t="s">
        <v>793</v>
      </c>
      <c r="B76" s="9" t="s">
        <v>794</v>
      </c>
      <c r="C76" s="299" t="s">
        <v>789</v>
      </c>
      <c r="D76" s="9" t="s">
        <v>791</v>
      </c>
      <c r="E76" s="267" t="s">
        <v>1994</v>
      </c>
      <c r="F76" s="267" t="s">
        <v>1521</v>
      </c>
    </row>
    <row r="77" spans="1:6" ht="120" hidden="1" x14ac:dyDescent="0.25">
      <c r="A77" s="228" t="s">
        <v>799</v>
      </c>
      <c r="B77" s="220" t="s">
        <v>801</v>
      </c>
      <c r="C77" s="299" t="s">
        <v>795</v>
      </c>
      <c r="D77" s="9" t="s">
        <v>797</v>
      </c>
      <c r="E77" s="267" t="s">
        <v>1994</v>
      </c>
      <c r="F77" s="267" t="s">
        <v>1521</v>
      </c>
    </row>
    <row r="78" spans="1:6" ht="90" hidden="1" x14ac:dyDescent="0.25">
      <c r="A78" s="228" t="s">
        <v>803</v>
      </c>
      <c r="B78" s="9" t="s">
        <v>804</v>
      </c>
      <c r="C78" s="299" t="s">
        <v>799</v>
      </c>
      <c r="D78" s="220" t="s">
        <v>801</v>
      </c>
      <c r="E78" s="267" t="s">
        <v>1994</v>
      </c>
      <c r="F78" s="267" t="s">
        <v>70</v>
      </c>
    </row>
    <row r="79" spans="1:6" ht="15.75" hidden="1" x14ac:dyDescent="0.25">
      <c r="A79" s="228" t="s">
        <v>885</v>
      </c>
      <c r="B79" s="9" t="s">
        <v>886</v>
      </c>
      <c r="C79" s="299" t="s">
        <v>881</v>
      </c>
      <c r="D79" s="9" t="s">
        <v>883</v>
      </c>
      <c r="E79" s="267" t="s">
        <v>1994</v>
      </c>
      <c r="F79" s="267" t="s">
        <v>2005</v>
      </c>
    </row>
    <row r="80" spans="1:6" ht="15.75" hidden="1" x14ac:dyDescent="0.25">
      <c r="A80" s="228" t="s">
        <v>894</v>
      </c>
      <c r="B80" s="9" t="s">
        <v>896</v>
      </c>
      <c r="C80" s="299" t="s">
        <v>890</v>
      </c>
      <c r="D80" s="9" t="s">
        <v>892</v>
      </c>
      <c r="E80" s="267" t="s">
        <v>1994</v>
      </c>
      <c r="F80" s="267" t="s">
        <v>1521</v>
      </c>
    </row>
    <row r="81" spans="1:6" ht="15.75" hidden="1" x14ac:dyDescent="0.25">
      <c r="A81" s="228" t="s">
        <v>898</v>
      </c>
      <c r="B81" s="9" t="s">
        <v>899</v>
      </c>
      <c r="C81" s="299" t="s">
        <v>890</v>
      </c>
      <c r="D81" s="9" t="s">
        <v>892</v>
      </c>
      <c r="E81" s="267" t="s">
        <v>1994</v>
      </c>
      <c r="F81" s="267" t="s">
        <v>1521</v>
      </c>
    </row>
    <row r="82" spans="1:6" ht="15.75" hidden="1" x14ac:dyDescent="0.25">
      <c r="A82" s="228" t="s">
        <v>901</v>
      </c>
      <c r="B82" s="9" t="s">
        <v>902</v>
      </c>
      <c r="C82" s="299" t="s">
        <v>890</v>
      </c>
      <c r="D82" s="9" t="s">
        <v>892</v>
      </c>
      <c r="E82" s="267" t="s">
        <v>1994</v>
      </c>
      <c r="F82" s="267" t="s">
        <v>1521</v>
      </c>
    </row>
    <row r="83" spans="1:6" ht="15.75" hidden="1" x14ac:dyDescent="0.25">
      <c r="A83" s="228" t="s">
        <v>904</v>
      </c>
      <c r="B83" s="9" t="s">
        <v>905</v>
      </c>
      <c r="C83" s="299" t="s">
        <v>890</v>
      </c>
      <c r="D83" s="9" t="s">
        <v>892</v>
      </c>
      <c r="E83" s="267" t="s">
        <v>1994</v>
      </c>
      <c r="F83" s="267" t="s">
        <v>1521</v>
      </c>
    </row>
    <row r="84" spans="1:6" ht="15.75" hidden="1" x14ac:dyDescent="0.25">
      <c r="A84" s="228" t="s">
        <v>1155</v>
      </c>
      <c r="B84" s="9" t="s">
        <v>1156</v>
      </c>
      <c r="C84" s="299" t="s">
        <v>1151</v>
      </c>
      <c r="D84" s="9" t="s">
        <v>1153</v>
      </c>
      <c r="E84" s="267" t="s">
        <v>1994</v>
      </c>
      <c r="F84" s="267" t="s">
        <v>1521</v>
      </c>
    </row>
    <row r="85" spans="1:6" ht="62.1" hidden="1" customHeight="1" x14ac:dyDescent="0.25">
      <c r="A85" s="228" t="s">
        <v>175</v>
      </c>
      <c r="B85" s="9" t="s">
        <v>177</v>
      </c>
      <c r="C85" s="299" t="s">
        <v>171</v>
      </c>
      <c r="D85" s="9" t="s">
        <v>173</v>
      </c>
      <c r="E85" s="267" t="s">
        <v>1994</v>
      </c>
      <c r="F85" s="267" t="s">
        <v>1521</v>
      </c>
    </row>
    <row r="86" spans="1:6" ht="62.1" hidden="1" customHeight="1" x14ac:dyDescent="0.25">
      <c r="A86" s="228" t="s">
        <v>1166</v>
      </c>
      <c r="B86" s="9" t="s">
        <v>1167</v>
      </c>
      <c r="C86" s="299" t="s">
        <v>1163</v>
      </c>
      <c r="D86" s="9" t="s">
        <v>1164</v>
      </c>
      <c r="E86" s="267" t="s">
        <v>1994</v>
      </c>
      <c r="F86" s="300" t="s">
        <v>2009</v>
      </c>
    </row>
    <row r="87" spans="1:6" ht="45" hidden="1" x14ac:dyDescent="0.25">
      <c r="A87" s="228" t="s">
        <v>1732</v>
      </c>
      <c r="B87" s="9" t="s">
        <v>1186</v>
      </c>
      <c r="C87" s="299" t="s">
        <v>1731</v>
      </c>
      <c r="D87" s="220" t="s">
        <v>1183</v>
      </c>
      <c r="E87" s="267" t="s">
        <v>1994</v>
      </c>
      <c r="F87" s="267" t="s">
        <v>1521</v>
      </c>
    </row>
    <row r="88" spans="1:6" ht="15.75" hidden="1" x14ac:dyDescent="0.25">
      <c r="A88" s="228" t="s">
        <v>1737</v>
      </c>
      <c r="B88" s="9" t="s">
        <v>1195</v>
      </c>
      <c r="C88" s="299" t="s">
        <v>1734</v>
      </c>
      <c r="D88" s="9" t="s">
        <v>1190</v>
      </c>
      <c r="E88" s="267" t="s">
        <v>1994</v>
      </c>
      <c r="F88" s="267" t="s">
        <v>1521</v>
      </c>
    </row>
    <row r="89" spans="1:6" ht="15.75" hidden="1" x14ac:dyDescent="0.25">
      <c r="A89" s="228" t="s">
        <v>1738</v>
      </c>
      <c r="B89" s="9" t="s">
        <v>1197</v>
      </c>
      <c r="C89" s="299" t="s">
        <v>1734</v>
      </c>
      <c r="D89" s="9" t="s">
        <v>1190</v>
      </c>
      <c r="E89" s="267" t="s">
        <v>1994</v>
      </c>
      <c r="F89" s="267" t="s">
        <v>1521</v>
      </c>
    </row>
    <row r="90" spans="1:6" ht="15.75" hidden="1" x14ac:dyDescent="0.25">
      <c r="A90" s="228" t="s">
        <v>1741</v>
      </c>
      <c r="B90" s="9" t="s">
        <v>1201</v>
      </c>
      <c r="C90" s="299" t="s">
        <v>1734</v>
      </c>
      <c r="D90" s="9" t="s">
        <v>1190</v>
      </c>
      <c r="E90" s="267" t="s">
        <v>1994</v>
      </c>
      <c r="F90" s="267" t="s">
        <v>1521</v>
      </c>
    </row>
    <row r="91" spans="1:6" ht="15.75" hidden="1" x14ac:dyDescent="0.25">
      <c r="A91" s="228" t="s">
        <v>1733</v>
      </c>
      <c r="B91" s="9" t="s">
        <v>1188</v>
      </c>
      <c r="C91" s="299" t="s">
        <v>1731</v>
      </c>
      <c r="D91" s="9" t="s">
        <v>1183</v>
      </c>
      <c r="E91" s="267" t="s">
        <v>1994</v>
      </c>
      <c r="F91" s="267" t="s">
        <v>70</v>
      </c>
    </row>
    <row r="92" spans="1:6" ht="15.75" hidden="1" x14ac:dyDescent="0.25">
      <c r="A92" s="228" t="s">
        <v>833</v>
      </c>
      <c r="B92" s="9" t="s">
        <v>2010</v>
      </c>
      <c r="C92" s="299" t="s">
        <v>829</v>
      </c>
      <c r="D92" s="9" t="s">
        <v>2011</v>
      </c>
      <c r="E92" s="267" t="s">
        <v>1994</v>
      </c>
      <c r="F92" s="267" t="s">
        <v>1521</v>
      </c>
    </row>
    <row r="93" spans="1:6" ht="15.75" hidden="1" x14ac:dyDescent="0.25">
      <c r="A93" s="228" t="s">
        <v>838</v>
      </c>
      <c r="B93" s="9" t="s">
        <v>840</v>
      </c>
      <c r="C93" s="299" t="s">
        <v>835</v>
      </c>
      <c r="D93" s="9" t="s">
        <v>836</v>
      </c>
      <c r="E93" s="267" t="s">
        <v>1994</v>
      </c>
      <c r="F93" s="267" t="s">
        <v>1521</v>
      </c>
    </row>
    <row r="94" spans="1:6" ht="60" hidden="1" x14ac:dyDescent="0.25">
      <c r="A94" s="228" t="s">
        <v>848</v>
      </c>
      <c r="B94" s="220" t="s">
        <v>850</v>
      </c>
      <c r="C94" s="299" t="s">
        <v>844</v>
      </c>
      <c r="D94" s="9" t="s">
        <v>846</v>
      </c>
      <c r="E94" s="267" t="s">
        <v>1994</v>
      </c>
      <c r="F94" s="267" t="s">
        <v>1521</v>
      </c>
    </row>
    <row r="95" spans="1:6" ht="15.75" hidden="1" x14ac:dyDescent="0.25">
      <c r="A95" s="228" t="s">
        <v>180</v>
      </c>
      <c r="B95" s="9" t="s">
        <v>181</v>
      </c>
      <c r="C95" s="299" t="s">
        <v>171</v>
      </c>
      <c r="D95" s="9" t="s">
        <v>173</v>
      </c>
      <c r="E95" s="267" t="s">
        <v>1994</v>
      </c>
      <c r="F95" s="267" t="s">
        <v>70</v>
      </c>
    </row>
    <row r="96" spans="1:6" ht="15.75" hidden="1" x14ac:dyDescent="0.25">
      <c r="A96" s="228" t="s">
        <v>1076</v>
      </c>
      <c r="B96" s="9" t="s">
        <v>1077</v>
      </c>
      <c r="C96" s="299" t="s">
        <v>1051</v>
      </c>
      <c r="D96" s="9" t="s">
        <v>474</v>
      </c>
      <c r="E96" s="267" t="s">
        <v>1994</v>
      </c>
      <c r="F96" s="267" t="s">
        <v>1521</v>
      </c>
    </row>
    <row r="97" spans="1:6" ht="15.75" hidden="1" x14ac:dyDescent="0.25">
      <c r="A97" s="228" t="s">
        <v>1079</v>
      </c>
      <c r="B97" s="9" t="s">
        <v>1080</v>
      </c>
      <c r="C97" s="299" t="s">
        <v>1076</v>
      </c>
      <c r="D97" s="9" t="s">
        <v>1077</v>
      </c>
      <c r="E97" s="267" t="s">
        <v>1994</v>
      </c>
      <c r="F97" s="267" t="s">
        <v>1521</v>
      </c>
    </row>
    <row r="98" spans="1:6" ht="15.75" hidden="1" x14ac:dyDescent="0.25">
      <c r="A98" s="228" t="s">
        <v>1082</v>
      </c>
      <c r="B98" s="9" t="s">
        <v>1083</v>
      </c>
      <c r="C98" s="299" t="s">
        <v>1051</v>
      </c>
      <c r="D98" s="9" t="s">
        <v>474</v>
      </c>
      <c r="E98" s="267" t="s">
        <v>1994</v>
      </c>
      <c r="F98" s="267" t="s">
        <v>1521</v>
      </c>
    </row>
    <row r="99" spans="1:6" ht="15.6" hidden="1" customHeight="1" x14ac:dyDescent="0.25">
      <c r="A99" s="228" t="s">
        <v>1085</v>
      </c>
      <c r="B99" s="9" t="s">
        <v>1086</v>
      </c>
      <c r="C99" s="299" t="s">
        <v>1082</v>
      </c>
      <c r="D99" s="9" t="s">
        <v>1083</v>
      </c>
      <c r="E99" s="267" t="s">
        <v>1994</v>
      </c>
      <c r="F99" s="267" t="s">
        <v>1521</v>
      </c>
    </row>
    <row r="100" spans="1:6" ht="15.75" hidden="1" x14ac:dyDescent="0.25">
      <c r="A100" s="228" t="s">
        <v>1293</v>
      </c>
      <c r="B100" s="9" t="s">
        <v>1294</v>
      </c>
      <c r="C100" s="299" t="s">
        <v>1289</v>
      </c>
      <c r="D100" s="9" t="s">
        <v>1291</v>
      </c>
      <c r="E100" s="267" t="s">
        <v>1994</v>
      </c>
      <c r="F100" s="267" t="s">
        <v>1521</v>
      </c>
    </row>
    <row r="101" spans="1:6" ht="15.75" hidden="1" x14ac:dyDescent="0.25">
      <c r="A101" s="228" t="s">
        <v>1309</v>
      </c>
      <c r="B101" s="9" t="s">
        <v>1310</v>
      </c>
      <c r="C101" s="299" t="s">
        <v>1306</v>
      </c>
      <c r="D101" s="9" t="s">
        <v>1307</v>
      </c>
      <c r="E101" s="267" t="s">
        <v>1994</v>
      </c>
      <c r="F101" s="267" t="s">
        <v>1521</v>
      </c>
    </row>
    <row r="102" spans="1:6" ht="15.75" hidden="1" x14ac:dyDescent="0.25">
      <c r="A102" s="228" t="s">
        <v>65</v>
      </c>
      <c r="B102" s="9" t="s">
        <v>67</v>
      </c>
      <c r="C102" s="299" t="s">
        <v>61</v>
      </c>
      <c r="D102" s="9" t="s">
        <v>63</v>
      </c>
      <c r="E102" s="267" t="s">
        <v>1994</v>
      </c>
      <c r="F102" s="267" t="s">
        <v>2012</v>
      </c>
    </row>
    <row r="103" spans="1:6" ht="15.75" hidden="1" x14ac:dyDescent="0.25">
      <c r="A103" s="228" t="s">
        <v>80</v>
      </c>
      <c r="B103" s="9" t="s">
        <v>81</v>
      </c>
      <c r="C103" s="299" t="s">
        <v>76</v>
      </c>
      <c r="D103" s="9" t="s">
        <v>78</v>
      </c>
      <c r="E103" s="267" t="s">
        <v>1994</v>
      </c>
      <c r="F103" s="267" t="s">
        <v>1996</v>
      </c>
    </row>
    <row r="104" spans="1:6" ht="15.75" hidden="1" x14ac:dyDescent="0.25">
      <c r="A104" s="228" t="s">
        <v>96</v>
      </c>
      <c r="B104" s="9" t="s">
        <v>97</v>
      </c>
      <c r="C104" s="299" t="s">
        <v>92</v>
      </c>
      <c r="D104" s="9" t="s">
        <v>94</v>
      </c>
      <c r="E104" s="267" t="s">
        <v>1994</v>
      </c>
      <c r="F104" s="267" t="s">
        <v>70</v>
      </c>
    </row>
    <row r="105" spans="1:6" ht="15.75" hidden="1" x14ac:dyDescent="0.25">
      <c r="A105" s="228" t="s">
        <v>99</v>
      </c>
      <c r="B105" s="9" t="s">
        <v>100</v>
      </c>
      <c r="C105" s="228" t="s">
        <v>96</v>
      </c>
      <c r="D105" s="9" t="s">
        <v>97</v>
      </c>
      <c r="E105" s="267" t="s">
        <v>1994</v>
      </c>
      <c r="F105" s="267" t="s">
        <v>70</v>
      </c>
    </row>
    <row r="106" spans="1:6" ht="15.75" hidden="1" x14ac:dyDescent="0.25">
      <c r="A106" s="228" t="s">
        <v>868</v>
      </c>
      <c r="B106" s="9" t="s">
        <v>869</v>
      </c>
      <c r="C106" s="299" t="s">
        <v>864</v>
      </c>
      <c r="D106" s="220" t="s">
        <v>866</v>
      </c>
      <c r="E106" s="267" t="s">
        <v>1994</v>
      </c>
      <c r="F106" s="9" t="s">
        <v>865</v>
      </c>
    </row>
    <row r="107" spans="1:6" ht="15.75" hidden="1" x14ac:dyDescent="0.25">
      <c r="A107" s="228" t="s">
        <v>870</v>
      </c>
      <c r="B107" s="9" t="s">
        <v>871</v>
      </c>
      <c r="C107" s="299" t="s">
        <v>864</v>
      </c>
      <c r="D107" s="220" t="s">
        <v>866</v>
      </c>
      <c r="E107" s="267" t="s">
        <v>1994</v>
      </c>
      <c r="F107" s="9" t="s">
        <v>1684</v>
      </c>
    </row>
    <row r="108" spans="1:6" ht="15.75" hidden="1" x14ac:dyDescent="0.25">
      <c r="A108" s="228" t="s">
        <v>872</v>
      </c>
      <c r="B108" s="9" t="s">
        <v>873</v>
      </c>
      <c r="C108" s="299" t="s">
        <v>864</v>
      </c>
      <c r="D108" s="220" t="s">
        <v>866</v>
      </c>
      <c r="E108" s="267" t="s">
        <v>1994</v>
      </c>
      <c r="F108" s="9" t="s">
        <v>2003</v>
      </c>
    </row>
    <row r="109" spans="1:6" ht="15.75" hidden="1" x14ac:dyDescent="0.25">
      <c r="A109" s="228" t="s">
        <v>874</v>
      </c>
      <c r="B109" s="9" t="s">
        <v>875</v>
      </c>
      <c r="C109" s="299" t="s">
        <v>864</v>
      </c>
      <c r="D109" s="220" t="s">
        <v>866</v>
      </c>
      <c r="E109" s="267" t="s">
        <v>1994</v>
      </c>
      <c r="F109" s="9" t="s">
        <v>2013</v>
      </c>
    </row>
    <row r="110" spans="1:6" ht="15.75" hidden="1" x14ac:dyDescent="0.25">
      <c r="A110" s="228" t="s">
        <v>876</v>
      </c>
      <c r="B110" s="9" t="s">
        <v>877</v>
      </c>
      <c r="C110" s="299" t="s">
        <v>864</v>
      </c>
      <c r="D110" s="220" t="s">
        <v>866</v>
      </c>
      <c r="E110" s="267" t="s">
        <v>1994</v>
      </c>
      <c r="F110" s="9" t="s">
        <v>2003</v>
      </c>
    </row>
    <row r="111" spans="1:6" ht="15.75" hidden="1" x14ac:dyDescent="0.25">
      <c r="A111" s="228" t="s">
        <v>879</v>
      </c>
      <c r="B111" s="9" t="s">
        <v>880</v>
      </c>
      <c r="C111" s="299" t="s">
        <v>864</v>
      </c>
      <c r="D111" s="220" t="s">
        <v>866</v>
      </c>
      <c r="E111" s="267" t="s">
        <v>1994</v>
      </c>
      <c r="F111" s="9" t="s">
        <v>2004</v>
      </c>
    </row>
    <row r="112" spans="1:6" ht="15.75" hidden="1" x14ac:dyDescent="0.25">
      <c r="A112" s="228" t="s">
        <v>863</v>
      </c>
      <c r="B112" s="9" t="s">
        <v>318</v>
      </c>
      <c r="C112" s="299" t="s">
        <v>862</v>
      </c>
      <c r="D112" s="9" t="s">
        <v>315</v>
      </c>
      <c r="E112" s="267" t="s">
        <v>1994</v>
      </c>
      <c r="F112" s="267" t="s">
        <v>70</v>
      </c>
    </row>
    <row r="113" spans="1:6" ht="15.75" hidden="1" x14ac:dyDescent="0.25">
      <c r="A113" s="228" t="s">
        <v>909</v>
      </c>
      <c r="B113" s="9" t="s">
        <v>911</v>
      </c>
      <c r="C113" s="299" t="s">
        <v>61</v>
      </c>
      <c r="D113" s="9" t="s">
        <v>63</v>
      </c>
      <c r="E113" s="267" t="s">
        <v>1994</v>
      </c>
      <c r="F113" s="267" t="s">
        <v>2002</v>
      </c>
    </row>
    <row r="114" spans="1:6" ht="15.75" hidden="1" x14ac:dyDescent="0.25">
      <c r="A114" s="228" t="s">
        <v>913</v>
      </c>
      <c r="B114" s="9" t="s">
        <v>914</v>
      </c>
      <c r="C114" s="299" t="s">
        <v>909</v>
      </c>
      <c r="D114" s="9" t="s">
        <v>911</v>
      </c>
      <c r="E114" s="267" t="s">
        <v>1994</v>
      </c>
      <c r="F114" s="267" t="s">
        <v>1521</v>
      </c>
    </row>
    <row r="115" spans="1:6" ht="15.75" hidden="1" x14ac:dyDescent="0.25">
      <c r="A115" s="228" t="s">
        <v>922</v>
      </c>
      <c r="B115" s="9" t="s">
        <v>924</v>
      </c>
      <c r="C115" s="299" t="s">
        <v>918</v>
      </c>
      <c r="D115" s="9" t="s">
        <v>920</v>
      </c>
      <c r="E115" s="267" t="s">
        <v>1994</v>
      </c>
      <c r="F115" s="267" t="s">
        <v>1521</v>
      </c>
    </row>
    <row r="116" spans="1:6" ht="15.75" hidden="1" x14ac:dyDescent="0.25">
      <c r="A116" s="228" t="s">
        <v>936</v>
      </c>
      <c r="B116" s="9" t="s">
        <v>938</v>
      </c>
      <c r="C116" s="299" t="s">
        <v>932</v>
      </c>
      <c r="D116" s="9" t="s">
        <v>934</v>
      </c>
      <c r="E116" s="267" t="s">
        <v>1994</v>
      </c>
      <c r="F116" s="267" t="s">
        <v>1521</v>
      </c>
    </row>
    <row r="117" spans="1:6" ht="15.75" hidden="1" x14ac:dyDescent="0.25">
      <c r="A117" s="299" t="s">
        <v>946</v>
      </c>
      <c r="B117" s="9" t="s">
        <v>947</v>
      </c>
      <c r="C117" s="299" t="s">
        <v>942</v>
      </c>
      <c r="D117" s="9" t="s">
        <v>944</v>
      </c>
      <c r="E117" s="267" t="s">
        <v>1994</v>
      </c>
      <c r="F117" s="267" t="s">
        <v>2014</v>
      </c>
    </row>
    <row r="118" spans="1:6" ht="15.75" hidden="1" x14ac:dyDescent="0.25">
      <c r="A118" s="228" t="s">
        <v>949</v>
      </c>
      <c r="B118" s="9" t="s">
        <v>950</v>
      </c>
      <c r="C118" s="299" t="s">
        <v>942</v>
      </c>
      <c r="D118" s="9" t="s">
        <v>944</v>
      </c>
      <c r="E118" s="267" t="s">
        <v>1994</v>
      </c>
      <c r="F118" s="267" t="s">
        <v>2015</v>
      </c>
    </row>
    <row r="119" spans="1:6" ht="15.75" hidden="1" x14ac:dyDescent="0.25">
      <c r="A119" s="228" t="s">
        <v>952</v>
      </c>
      <c r="B119" s="9" t="s">
        <v>953</v>
      </c>
      <c r="C119" s="299" t="s">
        <v>942</v>
      </c>
      <c r="D119" s="9" t="s">
        <v>944</v>
      </c>
      <c r="E119" s="267" t="s">
        <v>1994</v>
      </c>
      <c r="F119" s="267" t="s">
        <v>2016</v>
      </c>
    </row>
    <row r="120" spans="1:6" ht="15.75" hidden="1" x14ac:dyDescent="0.25">
      <c r="A120" s="228" t="s">
        <v>954</v>
      </c>
      <c r="B120" s="9" t="s">
        <v>955</v>
      </c>
      <c r="C120" s="299" t="s">
        <v>942</v>
      </c>
      <c r="D120" s="9" t="s">
        <v>944</v>
      </c>
      <c r="E120" s="267" t="s">
        <v>1994</v>
      </c>
      <c r="F120" s="267" t="s">
        <v>2016</v>
      </c>
    </row>
    <row r="121" spans="1:6" ht="15.75" hidden="1" x14ac:dyDescent="0.25">
      <c r="A121" s="228" t="s">
        <v>956</v>
      </c>
      <c r="B121" s="9" t="s">
        <v>957</v>
      </c>
      <c r="C121" s="299" t="s">
        <v>942</v>
      </c>
      <c r="D121" s="9" t="s">
        <v>944</v>
      </c>
      <c r="E121" s="267" t="s">
        <v>1994</v>
      </c>
      <c r="F121" s="267" t="s">
        <v>2016</v>
      </c>
    </row>
    <row r="122" spans="1:6" ht="15.75" hidden="1" x14ac:dyDescent="0.25">
      <c r="A122" s="228" t="s">
        <v>959</v>
      </c>
      <c r="B122" s="9" t="s">
        <v>960</v>
      </c>
      <c r="C122" s="299" t="s">
        <v>942</v>
      </c>
      <c r="D122" s="9" t="s">
        <v>944</v>
      </c>
      <c r="E122" s="267" t="s">
        <v>1994</v>
      </c>
      <c r="F122" s="267" t="s">
        <v>2016</v>
      </c>
    </row>
    <row r="123" spans="1:6" ht="15.75" hidden="1" x14ac:dyDescent="0.25">
      <c r="A123" s="228" t="s">
        <v>962</v>
      </c>
      <c r="B123" s="9" t="s">
        <v>963</v>
      </c>
      <c r="C123" s="299" t="s">
        <v>959</v>
      </c>
      <c r="D123" s="9" t="s">
        <v>960</v>
      </c>
      <c r="E123" s="267" t="s">
        <v>1994</v>
      </c>
      <c r="F123" s="267" t="s">
        <v>2017</v>
      </c>
    </row>
    <row r="124" spans="1:6" ht="15.75" hidden="1" x14ac:dyDescent="0.25">
      <c r="A124" s="228" t="s">
        <v>964</v>
      </c>
      <c r="B124" s="9" t="s">
        <v>965</v>
      </c>
      <c r="C124" s="299" t="s">
        <v>942</v>
      </c>
      <c r="D124" s="9" t="s">
        <v>944</v>
      </c>
      <c r="E124" s="267" t="s">
        <v>1994</v>
      </c>
      <c r="F124" s="267" t="s">
        <v>2016</v>
      </c>
    </row>
    <row r="125" spans="1:6" ht="15.75" hidden="1" x14ac:dyDescent="0.25">
      <c r="A125" s="228" t="s">
        <v>967</v>
      </c>
      <c r="B125" s="9" t="s">
        <v>968</v>
      </c>
      <c r="C125" s="299" t="s">
        <v>942</v>
      </c>
      <c r="D125" s="9" t="s">
        <v>944</v>
      </c>
      <c r="E125" s="267" t="s">
        <v>1994</v>
      </c>
      <c r="F125" s="267" t="s">
        <v>2018</v>
      </c>
    </row>
    <row r="126" spans="1:6" ht="15.75" hidden="1" x14ac:dyDescent="0.25">
      <c r="A126" s="228" t="s">
        <v>969</v>
      </c>
      <c r="B126" s="9" t="s">
        <v>970</v>
      </c>
      <c r="C126" s="299" t="s">
        <v>942</v>
      </c>
      <c r="D126" s="9" t="s">
        <v>944</v>
      </c>
      <c r="E126" s="267" t="s">
        <v>1994</v>
      </c>
      <c r="F126" s="267" t="s">
        <v>2018</v>
      </c>
    </row>
    <row r="127" spans="1:6" ht="15.75" hidden="1" x14ac:dyDescent="0.25">
      <c r="A127" s="228" t="s">
        <v>971</v>
      </c>
      <c r="B127" s="9" t="s">
        <v>972</v>
      </c>
      <c r="C127" s="299" t="s">
        <v>942</v>
      </c>
      <c r="D127" s="9" t="s">
        <v>944</v>
      </c>
      <c r="E127" s="267" t="s">
        <v>1994</v>
      </c>
      <c r="F127" s="267" t="s">
        <v>2018</v>
      </c>
    </row>
    <row r="128" spans="1:6" ht="15.75" hidden="1" x14ac:dyDescent="0.25">
      <c r="A128" s="228" t="s">
        <v>974</v>
      </c>
      <c r="B128" s="9" t="s">
        <v>975</v>
      </c>
      <c r="C128" s="228" t="s">
        <v>971</v>
      </c>
      <c r="D128" s="9" t="s">
        <v>972</v>
      </c>
      <c r="E128" s="267" t="s">
        <v>1994</v>
      </c>
      <c r="F128" s="267" t="s">
        <v>2017</v>
      </c>
    </row>
    <row r="129" spans="1:6" ht="15.75" hidden="1" x14ac:dyDescent="0.25">
      <c r="A129" s="228" t="s">
        <v>977</v>
      </c>
      <c r="B129" s="9" t="s">
        <v>978</v>
      </c>
      <c r="C129" s="299" t="s">
        <v>942</v>
      </c>
      <c r="D129" s="9" t="s">
        <v>944</v>
      </c>
      <c r="E129" s="267" t="s">
        <v>1994</v>
      </c>
      <c r="F129" s="267" t="s">
        <v>2018</v>
      </c>
    </row>
    <row r="130" spans="1:6" ht="15.75" hidden="1" x14ac:dyDescent="0.25">
      <c r="A130" s="228" t="s">
        <v>980</v>
      </c>
      <c r="B130" s="9" t="s">
        <v>981</v>
      </c>
      <c r="C130" s="299" t="s">
        <v>942</v>
      </c>
      <c r="D130" s="9" t="s">
        <v>944</v>
      </c>
      <c r="E130" s="267" t="s">
        <v>1994</v>
      </c>
      <c r="F130" s="267" t="s">
        <v>2018</v>
      </c>
    </row>
    <row r="131" spans="1:6" ht="15.75" hidden="1" x14ac:dyDescent="0.25">
      <c r="A131" s="228" t="s">
        <v>983</v>
      </c>
      <c r="B131" s="9" t="s">
        <v>984</v>
      </c>
      <c r="C131" s="299" t="s">
        <v>980</v>
      </c>
      <c r="D131" s="9" t="s">
        <v>981</v>
      </c>
      <c r="E131" s="267" t="s">
        <v>1994</v>
      </c>
      <c r="F131" s="267" t="s">
        <v>2017</v>
      </c>
    </row>
    <row r="132" spans="1:6" ht="15.75" hidden="1" x14ac:dyDescent="0.25">
      <c r="A132" s="228" t="s">
        <v>991</v>
      </c>
      <c r="B132" s="9" t="s">
        <v>992</v>
      </c>
      <c r="C132" s="299" t="s">
        <v>985</v>
      </c>
      <c r="D132" s="9" t="s">
        <v>986</v>
      </c>
      <c r="E132" s="267" t="s">
        <v>1994</v>
      </c>
      <c r="F132" s="267" t="s">
        <v>1521</v>
      </c>
    </row>
    <row r="133" spans="1:6" ht="15.75" hidden="1" x14ac:dyDescent="0.25">
      <c r="A133" s="228" t="s">
        <v>994</v>
      </c>
      <c r="B133" s="9" t="s">
        <v>995</v>
      </c>
      <c r="C133" s="299" t="s">
        <v>985</v>
      </c>
      <c r="D133" s="9" t="s">
        <v>986</v>
      </c>
      <c r="E133" s="267" t="s">
        <v>1994</v>
      </c>
      <c r="F133" s="267" t="s">
        <v>1521</v>
      </c>
    </row>
    <row r="134" spans="1:6" ht="15.75" hidden="1" x14ac:dyDescent="0.25">
      <c r="A134" s="228" t="s">
        <v>997</v>
      </c>
      <c r="B134" s="9" t="s">
        <v>318</v>
      </c>
      <c r="C134" s="299" t="s">
        <v>994</v>
      </c>
      <c r="D134" s="9" t="s">
        <v>995</v>
      </c>
      <c r="E134" s="267" t="s">
        <v>1994</v>
      </c>
      <c r="F134" s="267" t="s">
        <v>70</v>
      </c>
    </row>
    <row r="135" spans="1:6" ht="15.75" hidden="1" x14ac:dyDescent="0.25">
      <c r="A135" s="228" t="s">
        <v>1004</v>
      </c>
      <c r="B135" s="9" t="s">
        <v>1006</v>
      </c>
      <c r="C135" s="299" t="s">
        <v>1000</v>
      </c>
      <c r="D135" s="9" t="s">
        <v>1002</v>
      </c>
      <c r="E135" s="267" t="s">
        <v>1994</v>
      </c>
      <c r="F135" s="267" t="s">
        <v>1521</v>
      </c>
    </row>
    <row r="136" spans="1:6" ht="15.75" hidden="1" x14ac:dyDescent="0.25">
      <c r="A136" s="228" t="s">
        <v>1008</v>
      </c>
      <c r="B136" s="9" t="s">
        <v>1009</v>
      </c>
      <c r="C136" s="299" t="s">
        <v>1004</v>
      </c>
      <c r="D136" s="9" t="s">
        <v>1006</v>
      </c>
      <c r="E136" s="267" t="s">
        <v>1994</v>
      </c>
      <c r="F136" s="267" t="s">
        <v>1700</v>
      </c>
    </row>
    <row r="137" spans="1:6" ht="15.75" hidden="1" x14ac:dyDescent="0.25">
      <c r="A137" s="228" t="s">
        <v>2019</v>
      </c>
      <c r="B137" s="9" t="s">
        <v>2020</v>
      </c>
      <c r="C137" s="299" t="s">
        <v>1000</v>
      </c>
      <c r="D137" s="9" t="s">
        <v>1002</v>
      </c>
      <c r="E137" s="267" t="s">
        <v>1994</v>
      </c>
      <c r="F137" s="267" t="s">
        <v>1521</v>
      </c>
    </row>
    <row r="138" spans="1:6" ht="15.75" hidden="1" x14ac:dyDescent="0.25">
      <c r="A138" s="228" t="s">
        <v>2021</v>
      </c>
      <c r="B138" s="9" t="s">
        <v>2022</v>
      </c>
      <c r="C138" s="299" t="s">
        <v>1000</v>
      </c>
      <c r="D138" s="9" t="s">
        <v>1002</v>
      </c>
      <c r="E138" s="267" t="s">
        <v>1994</v>
      </c>
      <c r="F138" s="267" t="s">
        <v>1521</v>
      </c>
    </row>
    <row r="139" spans="1:6" ht="15.75" hidden="1" x14ac:dyDescent="0.25">
      <c r="A139" s="228" t="s">
        <v>2023</v>
      </c>
      <c r="B139" s="9" t="s">
        <v>2024</v>
      </c>
      <c r="C139" s="299" t="s">
        <v>1000</v>
      </c>
      <c r="D139" s="9" t="s">
        <v>1002</v>
      </c>
      <c r="E139" s="267" t="s">
        <v>1994</v>
      </c>
      <c r="F139" s="267" t="s">
        <v>1521</v>
      </c>
    </row>
    <row r="140" spans="1:6" ht="15.75" hidden="1" x14ac:dyDescent="0.25">
      <c r="A140" s="228" t="s">
        <v>1022</v>
      </c>
      <c r="B140" s="9" t="s">
        <v>1024</v>
      </c>
      <c r="C140" s="299" t="s">
        <v>1012</v>
      </c>
      <c r="D140" s="9" t="s">
        <v>1013</v>
      </c>
      <c r="E140" s="267" t="s">
        <v>1994</v>
      </c>
      <c r="F140" s="267" t="s">
        <v>1521</v>
      </c>
    </row>
    <row r="141" spans="1:6" ht="15.75" hidden="1" x14ac:dyDescent="0.25">
      <c r="A141" s="228" t="s">
        <v>1015</v>
      </c>
      <c r="B141" s="9" t="s">
        <v>1017</v>
      </c>
      <c r="C141" s="299" t="s">
        <v>1012</v>
      </c>
      <c r="D141" s="9" t="s">
        <v>1013</v>
      </c>
      <c r="E141" s="267" t="s">
        <v>1994</v>
      </c>
      <c r="F141" s="267" t="s">
        <v>1521</v>
      </c>
    </row>
    <row r="142" spans="1:6" ht="15.75" hidden="1" x14ac:dyDescent="0.25">
      <c r="A142" s="228" t="s">
        <v>1019</v>
      </c>
      <c r="B142" s="9" t="s">
        <v>1020</v>
      </c>
      <c r="C142" s="299" t="s">
        <v>1012</v>
      </c>
      <c r="D142" s="9" t="s">
        <v>1013</v>
      </c>
      <c r="E142" s="267" t="s">
        <v>1994</v>
      </c>
      <c r="F142" s="267" t="s">
        <v>1521</v>
      </c>
    </row>
    <row r="143" spans="1:6" ht="15.75" hidden="1" x14ac:dyDescent="0.25">
      <c r="A143" s="228" t="s">
        <v>1032</v>
      </c>
      <c r="B143" s="220" t="s">
        <v>1034</v>
      </c>
      <c r="C143" s="299" t="s">
        <v>1028</v>
      </c>
      <c r="D143" s="9" t="s">
        <v>1030</v>
      </c>
      <c r="E143" s="267" t="s">
        <v>1994</v>
      </c>
      <c r="F143" s="267" t="s">
        <v>1521</v>
      </c>
    </row>
    <row r="144" spans="1:6" ht="15.75" hidden="1" x14ac:dyDescent="0.25">
      <c r="A144" s="228" t="s">
        <v>1036</v>
      </c>
      <c r="B144" s="220" t="s">
        <v>1037</v>
      </c>
      <c r="C144" s="299" t="s">
        <v>1032</v>
      </c>
      <c r="D144" s="9" t="s">
        <v>1034</v>
      </c>
      <c r="E144" s="267" t="s">
        <v>1994</v>
      </c>
      <c r="F144" s="267" t="s">
        <v>70</v>
      </c>
    </row>
    <row r="145" spans="1:6" ht="15.75" hidden="1" x14ac:dyDescent="0.25">
      <c r="A145" s="228" t="s">
        <v>1038</v>
      </c>
      <c r="B145" s="9" t="s">
        <v>1040</v>
      </c>
      <c r="C145" s="299" t="s">
        <v>1028</v>
      </c>
      <c r="D145" s="9" t="s">
        <v>1030</v>
      </c>
      <c r="E145" s="267" t="s">
        <v>1994</v>
      </c>
      <c r="F145" s="267" t="s">
        <v>1521</v>
      </c>
    </row>
    <row r="146" spans="1:6" ht="15.75" hidden="1" x14ac:dyDescent="0.25">
      <c r="A146" s="228" t="s">
        <v>1042</v>
      </c>
      <c r="B146" s="9" t="s">
        <v>1044</v>
      </c>
      <c r="C146" s="299" t="s">
        <v>1028</v>
      </c>
      <c r="D146" s="9" t="s">
        <v>1030</v>
      </c>
      <c r="E146" s="267" t="s">
        <v>1994</v>
      </c>
      <c r="F146" s="267" t="s">
        <v>1521</v>
      </c>
    </row>
    <row r="147" spans="1:6" ht="15.75" hidden="1" x14ac:dyDescent="0.25">
      <c r="A147" s="228" t="s">
        <v>1046</v>
      </c>
      <c r="B147" s="9" t="s">
        <v>422</v>
      </c>
      <c r="C147" s="299" t="s">
        <v>1042</v>
      </c>
      <c r="D147" s="9" t="s">
        <v>1044</v>
      </c>
      <c r="E147" s="267" t="s">
        <v>1994</v>
      </c>
      <c r="F147" s="267" t="s">
        <v>1575</v>
      </c>
    </row>
    <row r="148" spans="1:6" ht="15.75" hidden="1" x14ac:dyDescent="0.25">
      <c r="A148" s="228" t="s">
        <v>1114</v>
      </c>
      <c r="B148" s="9" t="s">
        <v>1115</v>
      </c>
      <c r="C148" s="299" t="s">
        <v>1108</v>
      </c>
      <c r="D148" s="9" t="s">
        <v>1110</v>
      </c>
      <c r="E148" s="267" t="s">
        <v>1994</v>
      </c>
      <c r="F148" s="267" t="s">
        <v>1521</v>
      </c>
    </row>
    <row r="149" spans="1:6" ht="15.75" hidden="1" x14ac:dyDescent="0.25">
      <c r="A149" s="228" t="s">
        <v>1120</v>
      </c>
      <c r="B149" s="9" t="s">
        <v>1121</v>
      </c>
      <c r="C149" s="299" t="s">
        <v>1116</v>
      </c>
      <c r="D149" s="9" t="s">
        <v>1118</v>
      </c>
      <c r="E149" s="267" t="s">
        <v>1994</v>
      </c>
      <c r="F149" s="267" t="s">
        <v>1521</v>
      </c>
    </row>
    <row r="150" spans="1:6" ht="15.75" hidden="1" x14ac:dyDescent="0.25">
      <c r="A150" s="228" t="s">
        <v>1431</v>
      </c>
      <c r="B150" s="9" t="s">
        <v>1432</v>
      </c>
      <c r="C150" s="299" t="s">
        <v>1425</v>
      </c>
      <c r="D150" s="9" t="s">
        <v>1427</v>
      </c>
      <c r="E150" s="267" t="s">
        <v>1994</v>
      </c>
      <c r="F150" s="267" t="s">
        <v>1575</v>
      </c>
    </row>
    <row r="151" spans="1:6" ht="15.75" hidden="1" x14ac:dyDescent="0.25">
      <c r="A151" s="228" t="s">
        <v>1209</v>
      </c>
      <c r="B151" s="9" t="s">
        <v>1210</v>
      </c>
      <c r="C151" s="299" t="s">
        <v>1205</v>
      </c>
      <c r="D151" s="9" t="s">
        <v>1207</v>
      </c>
      <c r="E151" s="267" t="s">
        <v>1994</v>
      </c>
      <c r="F151" s="267" t="s">
        <v>1521</v>
      </c>
    </row>
    <row r="152" spans="1:6" ht="15.75" hidden="1" x14ac:dyDescent="0.25">
      <c r="A152" s="228" t="s">
        <v>1211</v>
      </c>
      <c r="B152" s="9" t="s">
        <v>1212</v>
      </c>
      <c r="C152" s="299" t="s">
        <v>1205</v>
      </c>
      <c r="D152" s="9" t="s">
        <v>1207</v>
      </c>
      <c r="E152" s="267" t="s">
        <v>1994</v>
      </c>
      <c r="F152" s="267" t="s">
        <v>1521</v>
      </c>
    </row>
    <row r="153" spans="1:6" ht="15.75" hidden="1" x14ac:dyDescent="0.25">
      <c r="A153" s="228" t="s">
        <v>1214</v>
      </c>
      <c r="B153" s="9" t="s">
        <v>1215</v>
      </c>
      <c r="C153" s="299" t="s">
        <v>61</v>
      </c>
      <c r="D153" s="9" t="s">
        <v>63</v>
      </c>
      <c r="E153" s="267" t="s">
        <v>1994</v>
      </c>
      <c r="F153" s="267" t="s">
        <v>2002</v>
      </c>
    </row>
    <row r="154" spans="1:6" ht="15.75" hidden="1" x14ac:dyDescent="0.25">
      <c r="A154" s="228" t="s">
        <v>1131</v>
      </c>
      <c r="B154" s="9" t="s">
        <v>1132</v>
      </c>
      <c r="C154" s="299" t="s">
        <v>1127</v>
      </c>
      <c r="D154" s="9" t="s">
        <v>1129</v>
      </c>
      <c r="E154" s="267" t="s">
        <v>1994</v>
      </c>
      <c r="F154" s="267" t="s">
        <v>1521</v>
      </c>
    </row>
    <row r="155" spans="1:6" ht="15.75" hidden="1" x14ac:dyDescent="0.25">
      <c r="A155" s="228" t="s">
        <v>1134</v>
      </c>
      <c r="B155" s="9" t="s">
        <v>1135</v>
      </c>
      <c r="C155" s="299" t="s">
        <v>1127</v>
      </c>
      <c r="D155" s="9" t="s">
        <v>1129</v>
      </c>
      <c r="E155" s="267" t="s">
        <v>1994</v>
      </c>
      <c r="F155" s="267" t="s">
        <v>1521</v>
      </c>
    </row>
    <row r="156" spans="1:6" ht="15.75" hidden="1" x14ac:dyDescent="0.25">
      <c r="A156" s="228" t="s">
        <v>1137</v>
      </c>
      <c r="B156" s="9" t="s">
        <v>1139</v>
      </c>
      <c r="C156" s="299" t="s">
        <v>61</v>
      </c>
      <c r="D156" s="9" t="s">
        <v>63</v>
      </c>
      <c r="E156" s="267" t="s">
        <v>1994</v>
      </c>
      <c r="F156" s="267" t="s">
        <v>2002</v>
      </c>
    </row>
    <row r="157" spans="1:6" ht="15.75" hidden="1" x14ac:dyDescent="0.25">
      <c r="A157" s="228" t="s">
        <v>1141</v>
      </c>
      <c r="B157" s="9" t="s">
        <v>1142</v>
      </c>
      <c r="C157" s="299" t="s">
        <v>1137</v>
      </c>
      <c r="D157" s="9" t="s">
        <v>1139</v>
      </c>
      <c r="E157" s="267" t="s">
        <v>1994</v>
      </c>
      <c r="F157" s="267" t="s">
        <v>1521</v>
      </c>
    </row>
    <row r="158" spans="1:6" ht="15.75" hidden="1" x14ac:dyDescent="0.25">
      <c r="A158" s="228" t="s">
        <v>1147</v>
      </c>
      <c r="B158" s="9" t="s">
        <v>1148</v>
      </c>
      <c r="C158" s="299" t="s">
        <v>1143</v>
      </c>
      <c r="D158" s="9" t="s">
        <v>1145</v>
      </c>
      <c r="E158" s="267" t="s">
        <v>1994</v>
      </c>
      <c r="F158" s="267" t="s">
        <v>1521</v>
      </c>
    </row>
    <row r="159" spans="1:6" ht="15.75" hidden="1" x14ac:dyDescent="0.25">
      <c r="A159" s="228" t="s">
        <v>1239</v>
      </c>
      <c r="B159" s="9" t="s">
        <v>1240</v>
      </c>
      <c r="C159" s="299" t="s">
        <v>1235</v>
      </c>
      <c r="D159" s="9" t="s">
        <v>1237</v>
      </c>
      <c r="E159" s="267" t="s">
        <v>1994</v>
      </c>
      <c r="F159" s="267" t="s">
        <v>2025</v>
      </c>
    </row>
    <row r="160" spans="1:6" ht="15.75" hidden="1" x14ac:dyDescent="0.25">
      <c r="A160" s="228" t="s">
        <v>1261</v>
      </c>
      <c r="B160" s="9" t="s">
        <v>1262</v>
      </c>
      <c r="C160" s="299" t="s">
        <v>1257</v>
      </c>
      <c r="D160" s="9" t="s">
        <v>1259</v>
      </c>
      <c r="E160" s="267" t="s">
        <v>1994</v>
      </c>
      <c r="F160" s="267" t="s">
        <v>2026</v>
      </c>
    </row>
    <row r="161" spans="1:6" ht="15.75" hidden="1" x14ac:dyDescent="0.25">
      <c r="A161" s="228" t="s">
        <v>1269</v>
      </c>
      <c r="B161" s="9" t="s">
        <v>1270</v>
      </c>
      <c r="C161" s="299" t="s">
        <v>1265</v>
      </c>
      <c r="D161" s="9" t="s">
        <v>1267</v>
      </c>
      <c r="E161" s="267" t="s">
        <v>1994</v>
      </c>
      <c r="F161" s="267" t="s">
        <v>2027</v>
      </c>
    </row>
    <row r="162" spans="1:6" ht="15.75" hidden="1" x14ac:dyDescent="0.25">
      <c r="A162" s="228" t="s">
        <v>1277</v>
      </c>
      <c r="B162" s="9" t="s">
        <v>1278</v>
      </c>
      <c r="C162" s="299" t="s">
        <v>1274</v>
      </c>
      <c r="D162" s="9" t="s">
        <v>1275</v>
      </c>
      <c r="E162" s="267" t="s">
        <v>1994</v>
      </c>
      <c r="F162" s="267" t="s">
        <v>1521</v>
      </c>
    </row>
    <row r="163" spans="1:6" ht="15.75" hidden="1" x14ac:dyDescent="0.25">
      <c r="A163" s="228" t="s">
        <v>1393</v>
      </c>
      <c r="B163" s="9" t="s">
        <v>1394</v>
      </c>
      <c r="C163" s="299" t="s">
        <v>1389</v>
      </c>
      <c r="D163" s="9" t="s">
        <v>1391</v>
      </c>
      <c r="E163" s="267" t="s">
        <v>1994</v>
      </c>
      <c r="F163" s="267" t="s">
        <v>2028</v>
      </c>
    </row>
    <row r="164" spans="1:6" ht="15.75" hidden="1" x14ac:dyDescent="0.25">
      <c r="A164" s="228" t="s">
        <v>1321</v>
      </c>
      <c r="B164" s="9" t="s">
        <v>1322</v>
      </c>
      <c r="C164" s="299" t="s">
        <v>1317</v>
      </c>
      <c r="D164" s="9" t="s">
        <v>1319</v>
      </c>
      <c r="E164" s="267" t="s">
        <v>1994</v>
      </c>
      <c r="F164" s="267" t="s">
        <v>1521</v>
      </c>
    </row>
    <row r="165" spans="1:6" ht="15.75" hidden="1" x14ac:dyDescent="0.25">
      <c r="A165" s="228" t="s">
        <v>1415</v>
      </c>
      <c r="B165" s="9" t="s">
        <v>1416</v>
      </c>
      <c r="C165" s="299" t="s">
        <v>1411</v>
      </c>
      <c r="D165" s="9" t="s">
        <v>1413</v>
      </c>
      <c r="E165" s="267" t="s">
        <v>1994</v>
      </c>
      <c r="F165" s="267" t="s">
        <v>1521</v>
      </c>
    </row>
    <row r="166" spans="1:6" ht="15.75" hidden="1" x14ac:dyDescent="0.25">
      <c r="A166" s="228" t="s">
        <v>1327</v>
      </c>
      <c r="B166" s="9" t="s">
        <v>1322</v>
      </c>
      <c r="C166" s="299" t="s">
        <v>1323</v>
      </c>
      <c r="D166" s="9" t="s">
        <v>1325</v>
      </c>
      <c r="E166" s="267" t="s">
        <v>1994</v>
      </c>
      <c r="F166" s="267" t="s">
        <v>1521</v>
      </c>
    </row>
    <row r="167" spans="1:6" ht="15.75" hidden="1" x14ac:dyDescent="0.25">
      <c r="A167" s="228" t="s">
        <v>358</v>
      </c>
      <c r="B167" s="9" t="s">
        <v>359</v>
      </c>
      <c r="C167" s="228" t="s">
        <v>354</v>
      </c>
      <c r="D167" s="9" t="s">
        <v>356</v>
      </c>
      <c r="E167" s="267" t="s">
        <v>1994</v>
      </c>
      <c r="F167" s="267" t="s">
        <v>1521</v>
      </c>
    </row>
    <row r="168" spans="1:6" ht="15.75" hidden="1" x14ac:dyDescent="0.25">
      <c r="A168" s="228" t="s">
        <v>360</v>
      </c>
      <c r="B168" s="9" t="s">
        <v>362</v>
      </c>
      <c r="C168" s="228" t="s">
        <v>354</v>
      </c>
      <c r="D168" s="9" t="s">
        <v>356</v>
      </c>
      <c r="E168" s="267" t="s">
        <v>1994</v>
      </c>
      <c r="F168" s="267" t="s">
        <v>1521</v>
      </c>
    </row>
    <row r="169" spans="1:6" ht="15.75" hidden="1" x14ac:dyDescent="0.25">
      <c r="A169" s="301" t="s">
        <v>754</v>
      </c>
      <c r="B169" s="9" t="s">
        <v>755</v>
      </c>
      <c r="C169" s="301" t="s">
        <v>750</v>
      </c>
      <c r="D169" s="9" t="s">
        <v>752</v>
      </c>
      <c r="E169" s="267" t="s">
        <v>1994</v>
      </c>
      <c r="F169" s="267" t="s">
        <v>70</v>
      </c>
    </row>
    <row r="170" spans="1:6" ht="15.75" hidden="1" x14ac:dyDescent="0.25">
      <c r="A170" s="228" t="s">
        <v>73</v>
      </c>
      <c r="B170" s="9" t="s">
        <v>74</v>
      </c>
      <c r="C170" s="299" t="s">
        <v>69</v>
      </c>
      <c r="D170" s="9" t="s">
        <v>71</v>
      </c>
      <c r="E170" s="267" t="s">
        <v>1994</v>
      </c>
      <c r="F170" s="267" t="s">
        <v>1521</v>
      </c>
    </row>
    <row r="171" spans="1:6" ht="15.75" hidden="1" x14ac:dyDescent="0.25">
      <c r="A171" s="228" t="s">
        <v>809</v>
      </c>
      <c r="B171" s="9" t="s">
        <v>810</v>
      </c>
      <c r="C171" s="299" t="s">
        <v>805</v>
      </c>
      <c r="D171" s="9" t="s">
        <v>807</v>
      </c>
      <c r="E171" s="267" t="s">
        <v>1994</v>
      </c>
      <c r="F171" s="267" t="s">
        <v>1521</v>
      </c>
    </row>
    <row r="172" spans="1:6" ht="15.75" hidden="1" x14ac:dyDescent="0.25">
      <c r="A172" s="228" t="s">
        <v>1334</v>
      </c>
      <c r="B172" s="9" t="s">
        <v>1336</v>
      </c>
      <c r="C172" s="299" t="s">
        <v>1330</v>
      </c>
      <c r="D172" s="9" t="s">
        <v>1332</v>
      </c>
      <c r="E172" s="267" t="s">
        <v>1994</v>
      </c>
      <c r="F172" s="267" t="s">
        <v>1521</v>
      </c>
    </row>
    <row r="173" spans="1:6" ht="15.75" hidden="1" x14ac:dyDescent="0.25">
      <c r="A173" s="228" t="s">
        <v>1338</v>
      </c>
      <c r="B173" s="9" t="s">
        <v>1339</v>
      </c>
      <c r="C173" s="299" t="s">
        <v>1334</v>
      </c>
      <c r="D173" s="9" t="s">
        <v>1336</v>
      </c>
      <c r="E173" s="267" t="s">
        <v>1994</v>
      </c>
      <c r="F173" s="267" t="s">
        <v>1521</v>
      </c>
    </row>
    <row r="174" spans="1:6" ht="45" hidden="1" x14ac:dyDescent="0.25">
      <c r="A174" s="228" t="s">
        <v>615</v>
      </c>
      <c r="B174" s="220" t="s">
        <v>616</v>
      </c>
      <c r="C174" s="299" t="s">
        <v>611</v>
      </c>
      <c r="D174" s="9" t="s">
        <v>613</v>
      </c>
      <c r="E174" s="267" t="s">
        <v>1994</v>
      </c>
      <c r="F174" s="267" t="s">
        <v>1627</v>
      </c>
    </row>
    <row r="175" spans="1:6" ht="120" hidden="1" x14ac:dyDescent="0.25">
      <c r="A175" s="228" t="s">
        <v>153</v>
      </c>
      <c r="B175" s="220" t="s">
        <v>154</v>
      </c>
      <c r="C175" s="299" t="s">
        <v>149</v>
      </c>
      <c r="D175" s="9" t="s">
        <v>151</v>
      </c>
      <c r="E175" s="267" t="s">
        <v>1994</v>
      </c>
      <c r="F175" s="267" t="s">
        <v>1521</v>
      </c>
    </row>
    <row r="176" spans="1:6" ht="15.75" hidden="1" x14ac:dyDescent="0.25">
      <c r="A176" s="228" t="s">
        <v>1385</v>
      </c>
      <c r="B176" s="9" t="s">
        <v>1386</v>
      </c>
      <c r="C176" s="299" t="s">
        <v>1381</v>
      </c>
      <c r="D176" s="9" t="s">
        <v>1383</v>
      </c>
      <c r="E176" s="267" t="s">
        <v>1994</v>
      </c>
      <c r="F176" s="267" t="s">
        <v>1575</v>
      </c>
    </row>
    <row r="177" spans="1:6" ht="15.75" hidden="1" x14ac:dyDescent="0.25">
      <c r="A177" s="228" t="s">
        <v>202</v>
      </c>
      <c r="B177" s="9" t="s">
        <v>203</v>
      </c>
      <c r="C177" s="299" t="s">
        <v>198</v>
      </c>
      <c r="D177" s="9" t="s">
        <v>200</v>
      </c>
      <c r="E177" s="267" t="s">
        <v>1994</v>
      </c>
      <c r="F177" s="267" t="s">
        <v>70</v>
      </c>
    </row>
    <row r="178" spans="1:6" ht="15.75" hidden="1" x14ac:dyDescent="0.25">
      <c r="A178" s="228" t="s">
        <v>262</v>
      </c>
      <c r="B178" s="9" t="s">
        <v>264</v>
      </c>
      <c r="C178" s="299" t="s">
        <v>205</v>
      </c>
      <c r="D178" s="9" t="s">
        <v>207</v>
      </c>
      <c r="E178" s="267" t="s">
        <v>1994</v>
      </c>
      <c r="F178" s="267" t="s">
        <v>2029</v>
      </c>
    </row>
    <row r="179" spans="1:6" ht="15.75" hidden="1" x14ac:dyDescent="0.25">
      <c r="A179" s="228" t="s">
        <v>222</v>
      </c>
      <c r="B179" s="9" t="s">
        <v>223</v>
      </c>
      <c r="C179" s="299" t="s">
        <v>205</v>
      </c>
      <c r="D179" s="9" t="s">
        <v>207</v>
      </c>
      <c r="E179" s="267" t="s">
        <v>1994</v>
      </c>
      <c r="F179" s="267" t="s">
        <v>2030</v>
      </c>
    </row>
    <row r="180" spans="1:6" ht="15.75" hidden="1" x14ac:dyDescent="0.25">
      <c r="A180" s="228" t="s">
        <v>213</v>
      </c>
      <c r="B180" s="9" t="s">
        <v>214</v>
      </c>
      <c r="C180" s="299" t="s">
        <v>209</v>
      </c>
      <c r="D180" s="9" t="s">
        <v>211</v>
      </c>
      <c r="E180" s="267" t="s">
        <v>1994</v>
      </c>
      <c r="F180" s="267" t="s">
        <v>1549</v>
      </c>
    </row>
    <row r="181" spans="1:6" ht="15.75" hidden="1" x14ac:dyDescent="0.25">
      <c r="A181" s="228" t="s">
        <v>262</v>
      </c>
      <c r="B181" s="9" t="s">
        <v>264</v>
      </c>
      <c r="C181" s="299" t="s">
        <v>231</v>
      </c>
      <c r="D181" s="9" t="s">
        <v>233</v>
      </c>
      <c r="E181" s="267" t="s">
        <v>1994</v>
      </c>
      <c r="F181" s="267" t="s">
        <v>232</v>
      </c>
    </row>
    <row r="182" spans="1:6" ht="15.75" hidden="1" x14ac:dyDescent="0.25">
      <c r="A182" s="228" t="s">
        <v>266</v>
      </c>
      <c r="B182" s="9" t="s">
        <v>252</v>
      </c>
      <c r="C182" s="299" t="s">
        <v>205</v>
      </c>
      <c r="D182" s="9" t="s">
        <v>207</v>
      </c>
      <c r="E182" s="267" t="s">
        <v>1994</v>
      </c>
      <c r="F182" s="267" t="s">
        <v>2029</v>
      </c>
    </row>
    <row r="183" spans="1:6" ht="15.75" hidden="1" x14ac:dyDescent="0.25">
      <c r="A183" s="228" t="s">
        <v>266</v>
      </c>
      <c r="B183" s="9" t="s">
        <v>252</v>
      </c>
      <c r="C183" s="299" t="s">
        <v>231</v>
      </c>
      <c r="D183" s="9" t="s">
        <v>233</v>
      </c>
      <c r="E183" s="267" t="s">
        <v>1994</v>
      </c>
      <c r="F183" s="267" t="s">
        <v>232</v>
      </c>
    </row>
    <row r="184" spans="1:6" ht="15.75" hidden="1" x14ac:dyDescent="0.25">
      <c r="A184" s="228" t="s">
        <v>267</v>
      </c>
      <c r="B184" s="9" t="s">
        <v>268</v>
      </c>
      <c r="C184" s="299" t="s">
        <v>205</v>
      </c>
      <c r="D184" s="9" t="s">
        <v>207</v>
      </c>
      <c r="E184" s="267" t="s">
        <v>1994</v>
      </c>
      <c r="F184" s="267" t="s">
        <v>2029</v>
      </c>
    </row>
    <row r="185" spans="1:6" ht="15.75" hidden="1" x14ac:dyDescent="0.25">
      <c r="A185" s="228" t="s">
        <v>257</v>
      </c>
      <c r="B185" s="9" t="s">
        <v>258</v>
      </c>
      <c r="C185" s="299" t="s">
        <v>231</v>
      </c>
      <c r="D185" s="9" t="s">
        <v>233</v>
      </c>
      <c r="E185" s="267" t="s">
        <v>1994</v>
      </c>
      <c r="F185" s="267" t="s">
        <v>232</v>
      </c>
    </row>
    <row r="186" spans="1:6" ht="15.75" hidden="1" x14ac:dyDescent="0.25">
      <c r="A186" s="228" t="s">
        <v>259</v>
      </c>
      <c r="B186" s="9" t="s">
        <v>260</v>
      </c>
      <c r="C186" s="299" t="s">
        <v>231</v>
      </c>
      <c r="D186" s="9" t="s">
        <v>233</v>
      </c>
      <c r="E186" s="267" t="s">
        <v>1994</v>
      </c>
      <c r="F186" s="267" t="s">
        <v>232</v>
      </c>
    </row>
    <row r="187" spans="1:6" ht="15.75" hidden="1" x14ac:dyDescent="0.25">
      <c r="A187" s="228" t="s">
        <v>267</v>
      </c>
      <c r="B187" s="9" t="s">
        <v>268</v>
      </c>
      <c r="C187" s="299" t="s">
        <v>231</v>
      </c>
      <c r="D187" s="9" t="s">
        <v>233</v>
      </c>
      <c r="E187" s="267" t="s">
        <v>1994</v>
      </c>
      <c r="F187" s="267" t="s">
        <v>232</v>
      </c>
    </row>
    <row r="188" spans="1:6" ht="15.75" hidden="1" x14ac:dyDescent="0.25">
      <c r="A188" s="228" t="s">
        <v>270</v>
      </c>
      <c r="B188" s="9" t="s">
        <v>271</v>
      </c>
      <c r="C188" s="299" t="s">
        <v>231</v>
      </c>
      <c r="D188" s="9" t="s">
        <v>233</v>
      </c>
      <c r="E188" s="267" t="s">
        <v>1994</v>
      </c>
      <c r="F188" s="267" t="s">
        <v>232</v>
      </c>
    </row>
    <row r="189" spans="1:6" ht="15.75" hidden="1" x14ac:dyDescent="0.25">
      <c r="A189" s="228" t="s">
        <v>272</v>
      </c>
      <c r="B189" s="9" t="s">
        <v>274</v>
      </c>
      <c r="C189" s="299" t="s">
        <v>231</v>
      </c>
      <c r="D189" s="9" t="s">
        <v>233</v>
      </c>
      <c r="E189" s="267" t="s">
        <v>1994</v>
      </c>
      <c r="F189" s="267" t="s">
        <v>232</v>
      </c>
    </row>
    <row r="190" spans="1:6" ht="15.75" hidden="1" x14ac:dyDescent="0.25">
      <c r="A190" s="228" t="s">
        <v>276</v>
      </c>
      <c r="B190" s="9" t="s">
        <v>278</v>
      </c>
      <c r="C190" s="299" t="s">
        <v>231</v>
      </c>
      <c r="D190" s="9" t="s">
        <v>233</v>
      </c>
      <c r="E190" s="267" t="s">
        <v>1994</v>
      </c>
      <c r="F190" s="267" t="s">
        <v>232</v>
      </c>
    </row>
    <row r="191" spans="1:6" ht="15.75" hidden="1" x14ac:dyDescent="0.25">
      <c r="A191" s="228" t="s">
        <v>235</v>
      </c>
      <c r="B191" s="9" t="s">
        <v>236</v>
      </c>
      <c r="C191" s="299" t="s">
        <v>231</v>
      </c>
      <c r="D191" s="9" t="s">
        <v>233</v>
      </c>
      <c r="E191" s="267" t="s">
        <v>1994</v>
      </c>
      <c r="F191" s="267" t="s">
        <v>2031</v>
      </c>
    </row>
    <row r="192" spans="1:6" ht="15.75" hidden="1" x14ac:dyDescent="0.25">
      <c r="A192" s="228" t="s">
        <v>237</v>
      </c>
      <c r="B192" s="9" t="s">
        <v>238</v>
      </c>
      <c r="C192" s="299" t="s">
        <v>231</v>
      </c>
      <c r="D192" s="9" t="s">
        <v>233</v>
      </c>
      <c r="E192" s="267" t="s">
        <v>44</v>
      </c>
      <c r="F192" s="267" t="s">
        <v>2031</v>
      </c>
    </row>
    <row r="193" spans="1:6" ht="15.75" hidden="1" x14ac:dyDescent="0.25">
      <c r="A193" s="228" t="s">
        <v>239</v>
      </c>
      <c r="B193" s="9" t="s">
        <v>241</v>
      </c>
      <c r="C193" s="299" t="s">
        <v>231</v>
      </c>
      <c r="D193" s="9" t="s">
        <v>233</v>
      </c>
      <c r="E193" s="267" t="s">
        <v>1994</v>
      </c>
      <c r="F193" s="267" t="s">
        <v>2031</v>
      </c>
    </row>
    <row r="194" spans="1:6" ht="15.75" hidden="1" x14ac:dyDescent="0.25">
      <c r="A194" s="228" t="s">
        <v>243</v>
      </c>
      <c r="B194" s="9" t="s">
        <v>245</v>
      </c>
      <c r="C194" s="299" t="s">
        <v>231</v>
      </c>
      <c r="D194" s="9" t="s">
        <v>233</v>
      </c>
      <c r="E194" s="267" t="s">
        <v>1994</v>
      </c>
      <c r="F194" s="267" t="s">
        <v>2031</v>
      </c>
    </row>
    <row r="195" spans="1:6" ht="45" hidden="1" x14ac:dyDescent="0.25">
      <c r="A195" s="228" t="s">
        <v>247</v>
      </c>
      <c r="B195" s="220" t="s">
        <v>249</v>
      </c>
      <c r="C195" s="299" t="s">
        <v>205</v>
      </c>
      <c r="D195" s="9" t="s">
        <v>207</v>
      </c>
      <c r="E195" s="267" t="s">
        <v>1994</v>
      </c>
      <c r="F195" s="267" t="s">
        <v>2029</v>
      </c>
    </row>
    <row r="196" spans="1:6" ht="45" hidden="1" x14ac:dyDescent="0.25">
      <c r="A196" s="228" t="s">
        <v>247</v>
      </c>
      <c r="B196" s="220" t="s">
        <v>249</v>
      </c>
      <c r="C196" s="299" t="s">
        <v>231</v>
      </c>
      <c r="D196" s="9" t="s">
        <v>233</v>
      </c>
      <c r="E196" s="267" t="s">
        <v>1994</v>
      </c>
      <c r="F196" s="267" t="s">
        <v>2031</v>
      </c>
    </row>
    <row r="197" spans="1:6" ht="15.75" hidden="1" x14ac:dyDescent="0.25">
      <c r="A197" s="228" t="s">
        <v>251</v>
      </c>
      <c r="B197" s="9" t="s">
        <v>252</v>
      </c>
      <c r="C197" s="299" t="s">
        <v>231</v>
      </c>
      <c r="D197" s="9" t="s">
        <v>233</v>
      </c>
      <c r="E197" s="267" t="s">
        <v>1994</v>
      </c>
      <c r="F197" s="267" t="s">
        <v>2031</v>
      </c>
    </row>
    <row r="198" spans="1:6" ht="15.75" hidden="1" x14ac:dyDescent="0.25">
      <c r="A198" s="228" t="s">
        <v>253</v>
      </c>
      <c r="B198" s="9" t="s">
        <v>255</v>
      </c>
      <c r="C198" s="299" t="s">
        <v>205</v>
      </c>
      <c r="D198" s="9" t="s">
        <v>207</v>
      </c>
      <c r="E198" s="267" t="s">
        <v>1994</v>
      </c>
      <c r="F198" s="267" t="s">
        <v>2029</v>
      </c>
    </row>
    <row r="199" spans="1:6" ht="15.75" hidden="1" x14ac:dyDescent="0.25">
      <c r="A199" s="228" t="s">
        <v>253</v>
      </c>
      <c r="B199" s="9" t="s">
        <v>255</v>
      </c>
      <c r="C199" s="299" t="s">
        <v>231</v>
      </c>
      <c r="D199" s="9" t="s">
        <v>233</v>
      </c>
      <c r="E199" s="267" t="s">
        <v>1994</v>
      </c>
      <c r="F199" s="267" t="s">
        <v>2031</v>
      </c>
    </row>
    <row r="200" spans="1:6" ht="15.75" hidden="1" x14ac:dyDescent="0.25">
      <c r="A200" s="228" t="s">
        <v>280</v>
      </c>
      <c r="B200" s="9" t="s">
        <v>281</v>
      </c>
      <c r="C200" s="299" t="s">
        <v>276</v>
      </c>
      <c r="D200" s="9" t="s">
        <v>278</v>
      </c>
      <c r="E200" s="267" t="s">
        <v>1994</v>
      </c>
      <c r="F200" s="267" t="s">
        <v>1521</v>
      </c>
    </row>
    <row r="201" spans="1:6" ht="15.75" hidden="1" x14ac:dyDescent="0.25">
      <c r="A201" s="228" t="s">
        <v>56</v>
      </c>
      <c r="B201" s="9" t="s">
        <v>57</v>
      </c>
      <c r="C201" s="299" t="s">
        <v>50</v>
      </c>
      <c r="D201" s="9" t="s">
        <v>53</v>
      </c>
      <c r="E201" s="267" t="s">
        <v>1994</v>
      </c>
      <c r="F201" s="267" t="s">
        <v>2032</v>
      </c>
    </row>
    <row r="202" spans="1:6" ht="45" hidden="1" x14ac:dyDescent="0.25">
      <c r="A202" s="228" t="s">
        <v>288</v>
      </c>
      <c r="B202" s="220" t="s">
        <v>289</v>
      </c>
      <c r="C202" s="299" t="s">
        <v>284</v>
      </c>
      <c r="D202" s="9" t="s">
        <v>286</v>
      </c>
      <c r="E202" s="267" t="s">
        <v>1994</v>
      </c>
      <c r="F202" s="267" t="s">
        <v>70</v>
      </c>
    </row>
    <row r="203" spans="1:6" ht="15.75" hidden="1" x14ac:dyDescent="0.25">
      <c r="A203" s="228" t="s">
        <v>296</v>
      </c>
      <c r="B203" s="9" t="s">
        <v>297</v>
      </c>
      <c r="C203" s="299" t="s">
        <v>292</v>
      </c>
      <c r="D203" s="9" t="s">
        <v>294</v>
      </c>
      <c r="E203" s="267" t="s">
        <v>1994</v>
      </c>
      <c r="F203" s="267" t="s">
        <v>1575</v>
      </c>
    </row>
    <row r="204" spans="1:6" ht="15.75" hidden="1" x14ac:dyDescent="0.25">
      <c r="A204" s="228" t="s">
        <v>302</v>
      </c>
      <c r="B204" s="9" t="s">
        <v>304</v>
      </c>
      <c r="C204" s="299" t="s">
        <v>298</v>
      </c>
      <c r="D204" s="9" t="s">
        <v>300</v>
      </c>
      <c r="E204" s="267" t="s">
        <v>1994</v>
      </c>
      <c r="F204" s="267" t="s">
        <v>1521</v>
      </c>
    </row>
    <row r="205" spans="1:6" ht="15.75" hidden="1" x14ac:dyDescent="0.25">
      <c r="A205" s="228" t="s">
        <v>306</v>
      </c>
      <c r="B205" s="9" t="s">
        <v>308</v>
      </c>
      <c r="C205" s="299" t="s">
        <v>298</v>
      </c>
      <c r="D205" s="9" t="s">
        <v>300</v>
      </c>
      <c r="E205" s="267" t="s">
        <v>1994</v>
      </c>
      <c r="F205" s="267" t="s">
        <v>1521</v>
      </c>
    </row>
    <row r="206" spans="1:6" ht="15.75" hidden="1" x14ac:dyDescent="0.25">
      <c r="A206" s="228" t="s">
        <v>310</v>
      </c>
      <c r="B206" s="9" t="s">
        <v>312</v>
      </c>
      <c r="C206" s="299" t="s">
        <v>298</v>
      </c>
      <c r="D206" s="9" t="s">
        <v>300</v>
      </c>
      <c r="E206" s="267" t="s">
        <v>1994</v>
      </c>
      <c r="F206" s="267" t="s">
        <v>1521</v>
      </c>
    </row>
    <row r="207" spans="1:6" ht="15.75" hidden="1" x14ac:dyDescent="0.25">
      <c r="A207" s="228" t="s">
        <v>314</v>
      </c>
      <c r="B207" s="9" t="s">
        <v>315</v>
      </c>
      <c r="C207" s="299" t="s">
        <v>298</v>
      </c>
      <c r="D207" s="9" t="s">
        <v>300</v>
      </c>
      <c r="E207" s="267" t="s">
        <v>1994</v>
      </c>
      <c r="F207" s="267" t="s">
        <v>1521</v>
      </c>
    </row>
    <row r="208" spans="1:6" ht="15.75" hidden="1" x14ac:dyDescent="0.25">
      <c r="A208" s="228" t="s">
        <v>317</v>
      </c>
      <c r="B208" s="9" t="s">
        <v>318</v>
      </c>
      <c r="C208" s="228" t="s">
        <v>314</v>
      </c>
      <c r="D208" s="9" t="s">
        <v>315</v>
      </c>
      <c r="E208" s="267" t="s">
        <v>1994</v>
      </c>
      <c r="F208" s="267" t="s">
        <v>70</v>
      </c>
    </row>
    <row r="209" spans="1:6" ht="15.75" hidden="1" x14ac:dyDescent="0.25">
      <c r="A209" s="228" t="s">
        <v>323</v>
      </c>
      <c r="B209" s="9" t="s">
        <v>324</v>
      </c>
      <c r="C209" s="299" t="s">
        <v>319</v>
      </c>
      <c r="D209" s="9" t="s">
        <v>321</v>
      </c>
      <c r="E209" s="267" t="s">
        <v>1994</v>
      </c>
      <c r="F209" s="267" t="s">
        <v>1521</v>
      </c>
    </row>
    <row r="210" spans="1:6" ht="15.75" hidden="1" x14ac:dyDescent="0.25">
      <c r="A210" s="228" t="s">
        <v>325</v>
      </c>
      <c r="B210" s="9" t="s">
        <v>326</v>
      </c>
      <c r="C210" s="299" t="s">
        <v>319</v>
      </c>
      <c r="D210" s="9" t="s">
        <v>321</v>
      </c>
      <c r="E210" s="267" t="s">
        <v>1994</v>
      </c>
      <c r="F210" s="267" t="s">
        <v>1521</v>
      </c>
    </row>
    <row r="211" spans="1:6" ht="15.75" hidden="1" x14ac:dyDescent="0.25">
      <c r="A211" s="228" t="s">
        <v>327</v>
      </c>
      <c r="B211" s="9" t="s">
        <v>318</v>
      </c>
      <c r="C211" s="228" t="s">
        <v>325</v>
      </c>
      <c r="D211" s="9" t="s">
        <v>326</v>
      </c>
      <c r="E211" s="267" t="s">
        <v>1994</v>
      </c>
      <c r="F211" s="267" t="s">
        <v>70</v>
      </c>
    </row>
    <row r="212" spans="1:6" ht="15.75" hidden="1" x14ac:dyDescent="0.25">
      <c r="A212" s="228" t="s">
        <v>109</v>
      </c>
      <c r="B212" s="9" t="s">
        <v>1819</v>
      </c>
      <c r="C212" s="299" t="s">
        <v>105</v>
      </c>
      <c r="D212" s="9" t="s">
        <v>107</v>
      </c>
      <c r="E212" s="267" t="s">
        <v>1994</v>
      </c>
      <c r="F212" s="267" t="s">
        <v>1521</v>
      </c>
    </row>
    <row r="213" spans="1:6" ht="15.75" hidden="1" x14ac:dyDescent="0.25">
      <c r="A213" s="228" t="s">
        <v>121</v>
      </c>
      <c r="B213" s="9" t="s">
        <v>122</v>
      </c>
      <c r="C213" s="299" t="s">
        <v>118</v>
      </c>
      <c r="D213" s="9" t="s">
        <v>119</v>
      </c>
      <c r="E213" s="267" t="s">
        <v>1994</v>
      </c>
      <c r="F213" s="267" t="s">
        <v>1521</v>
      </c>
    </row>
    <row r="214" spans="1:6" ht="15.75" hidden="1" x14ac:dyDescent="0.25">
      <c r="A214" s="228" t="s">
        <v>124</v>
      </c>
      <c r="B214" s="9" t="s">
        <v>125</v>
      </c>
      <c r="C214" s="299" t="s">
        <v>118</v>
      </c>
      <c r="D214" s="9" t="s">
        <v>119</v>
      </c>
      <c r="E214" s="267" t="s">
        <v>1994</v>
      </c>
      <c r="F214" s="267" t="s">
        <v>1521</v>
      </c>
    </row>
    <row r="215" spans="1:6" ht="15.75" hidden="1" x14ac:dyDescent="0.25">
      <c r="A215" s="228" t="s">
        <v>130</v>
      </c>
      <c r="B215" s="9" t="s">
        <v>131</v>
      </c>
      <c r="C215" s="299" t="s">
        <v>126</v>
      </c>
      <c r="D215" s="9" t="s">
        <v>128</v>
      </c>
      <c r="E215" s="267" t="s">
        <v>1994</v>
      </c>
      <c r="F215" s="267" t="s">
        <v>1521</v>
      </c>
    </row>
    <row r="216" spans="1:6" ht="15.75" hidden="1" x14ac:dyDescent="0.25">
      <c r="A216" s="228" t="s">
        <v>133</v>
      </c>
      <c r="B216" s="9" t="s">
        <v>134</v>
      </c>
      <c r="C216" s="299" t="s">
        <v>126</v>
      </c>
      <c r="D216" s="9" t="s">
        <v>128</v>
      </c>
      <c r="E216" s="267" t="s">
        <v>1994</v>
      </c>
      <c r="F216" s="267" t="s">
        <v>1521</v>
      </c>
    </row>
    <row r="217" spans="1:6" ht="15.75" hidden="1" x14ac:dyDescent="0.25">
      <c r="A217" s="228" t="s">
        <v>626</v>
      </c>
      <c r="B217" s="9" t="s">
        <v>627</v>
      </c>
      <c r="C217" s="299" t="s">
        <v>622</v>
      </c>
      <c r="D217" s="9" t="s">
        <v>624</v>
      </c>
      <c r="E217" s="267" t="s">
        <v>1994</v>
      </c>
      <c r="F217" s="267" t="s">
        <v>70</v>
      </c>
    </row>
    <row r="218" spans="1:6" ht="15.75" hidden="1" x14ac:dyDescent="0.25">
      <c r="A218" s="228" t="s">
        <v>408</v>
      </c>
      <c r="B218" s="9" t="s">
        <v>409</v>
      </c>
      <c r="C218" s="299" t="s">
        <v>404</v>
      </c>
      <c r="D218" s="9" t="s">
        <v>406</v>
      </c>
      <c r="E218" s="267" t="s">
        <v>1994</v>
      </c>
      <c r="F218" s="267" t="s">
        <v>1521</v>
      </c>
    </row>
    <row r="219" spans="1:6" ht="15.75" hidden="1" x14ac:dyDescent="0.25">
      <c r="A219" s="228" t="s">
        <v>411</v>
      </c>
      <c r="B219" s="9" t="s">
        <v>412</v>
      </c>
      <c r="C219" s="299" t="s">
        <v>404</v>
      </c>
      <c r="D219" s="9" t="s">
        <v>406</v>
      </c>
      <c r="E219" s="267" t="s">
        <v>1994</v>
      </c>
      <c r="F219" s="267" t="s">
        <v>1521</v>
      </c>
    </row>
    <row r="220" spans="1:6" ht="15.75" hidden="1" x14ac:dyDescent="0.25">
      <c r="A220" s="302" t="s">
        <v>524</v>
      </c>
      <c r="B220" s="9" t="s">
        <v>525</v>
      </c>
      <c r="C220" s="299" t="s">
        <v>61</v>
      </c>
      <c r="D220" s="9" t="s">
        <v>63</v>
      </c>
      <c r="E220" s="267" t="s">
        <v>1994</v>
      </c>
      <c r="F220" s="267" t="s">
        <v>2002</v>
      </c>
    </row>
    <row r="221" spans="1:6" ht="15.75" hidden="1" x14ac:dyDescent="0.25">
      <c r="A221" s="302" t="s">
        <v>554</v>
      </c>
      <c r="B221" s="9" t="s">
        <v>555</v>
      </c>
      <c r="C221" s="299" t="s">
        <v>551</v>
      </c>
      <c r="D221" s="9" t="s">
        <v>552</v>
      </c>
      <c r="E221" s="267" t="s">
        <v>1994</v>
      </c>
      <c r="F221" s="267" t="s">
        <v>1575</v>
      </c>
    </row>
    <row r="222" spans="1:6" ht="15.75" hidden="1" x14ac:dyDescent="0.25">
      <c r="A222" s="299" t="s">
        <v>1446</v>
      </c>
      <c r="B222" s="9" t="s">
        <v>1447</v>
      </c>
      <c r="C222" s="299" t="s">
        <v>2033</v>
      </c>
      <c r="D222" s="9" t="s">
        <v>2034</v>
      </c>
      <c r="E222" s="267" t="s">
        <v>1994</v>
      </c>
      <c r="F222" s="267" t="s">
        <v>1521</v>
      </c>
    </row>
    <row r="223" spans="1:6" ht="15.75" hidden="1" x14ac:dyDescent="0.25">
      <c r="A223" s="228" t="s">
        <v>575</v>
      </c>
      <c r="B223" s="9" t="s">
        <v>576</v>
      </c>
      <c r="C223" s="299" t="s">
        <v>571</v>
      </c>
      <c r="D223" s="9" t="s">
        <v>573</v>
      </c>
      <c r="E223" s="267" t="s">
        <v>1994</v>
      </c>
      <c r="F223" s="267" t="s">
        <v>1521</v>
      </c>
    </row>
    <row r="224" spans="1:6" ht="15.75" hidden="1" x14ac:dyDescent="0.25">
      <c r="A224" s="13" t="s">
        <v>577</v>
      </c>
      <c r="B224" s="9" t="s">
        <v>579</v>
      </c>
      <c r="C224" s="299" t="s">
        <v>571</v>
      </c>
      <c r="D224" s="9" t="s">
        <v>573</v>
      </c>
      <c r="E224" s="267" t="s">
        <v>1994</v>
      </c>
      <c r="F224" s="267" t="s">
        <v>1521</v>
      </c>
    </row>
    <row r="225" spans="1:6" ht="15.75" hidden="1" x14ac:dyDescent="0.25">
      <c r="A225" s="13" t="s">
        <v>601</v>
      </c>
      <c r="B225" s="9" t="s">
        <v>602</v>
      </c>
      <c r="C225" s="13" t="s">
        <v>577</v>
      </c>
      <c r="D225" s="9" t="s">
        <v>579</v>
      </c>
      <c r="E225" s="267" t="s">
        <v>1994</v>
      </c>
      <c r="F225" s="267" t="s">
        <v>2035</v>
      </c>
    </row>
    <row r="226" spans="1:6" ht="15.75" hidden="1" x14ac:dyDescent="0.25">
      <c r="A226" s="228" t="s">
        <v>604</v>
      </c>
      <c r="B226" s="9" t="s">
        <v>605</v>
      </c>
      <c r="C226" s="299" t="s">
        <v>571</v>
      </c>
      <c r="D226" s="9" t="s">
        <v>573</v>
      </c>
      <c r="E226" s="267" t="s">
        <v>1994</v>
      </c>
      <c r="F226" s="267" t="s">
        <v>1521</v>
      </c>
    </row>
    <row r="227" spans="1:6" ht="60" hidden="1" x14ac:dyDescent="0.25">
      <c r="A227" s="228" t="s">
        <v>606</v>
      </c>
      <c r="B227" s="220" t="s">
        <v>607</v>
      </c>
      <c r="C227" s="299" t="s">
        <v>577</v>
      </c>
      <c r="D227" s="9" t="s">
        <v>579</v>
      </c>
      <c r="E227" s="267" t="s">
        <v>1994</v>
      </c>
      <c r="F227" s="267" t="s">
        <v>2035</v>
      </c>
    </row>
    <row r="228" spans="1:6" ht="15.75" hidden="1" x14ac:dyDescent="0.25">
      <c r="A228" s="301" t="s">
        <v>609</v>
      </c>
      <c r="B228" s="9" t="s">
        <v>610</v>
      </c>
      <c r="C228" s="301" t="s">
        <v>606</v>
      </c>
      <c r="D228" s="9" t="s">
        <v>607</v>
      </c>
      <c r="E228" s="267" t="s">
        <v>1994</v>
      </c>
      <c r="F228" s="267" t="s">
        <v>1575</v>
      </c>
    </row>
    <row r="229" spans="1:6" ht="15.75" hidden="1" x14ac:dyDescent="0.25">
      <c r="A229" s="13" t="s">
        <v>611</v>
      </c>
      <c r="B229" s="9" t="s">
        <v>613</v>
      </c>
      <c r="C229" s="299" t="s">
        <v>577</v>
      </c>
      <c r="D229" s="9" t="s">
        <v>579</v>
      </c>
      <c r="E229" s="267" t="s">
        <v>1994</v>
      </c>
      <c r="F229" s="267" t="s">
        <v>2035</v>
      </c>
    </row>
    <row r="230" spans="1:6" ht="15.75" hidden="1" x14ac:dyDescent="0.25">
      <c r="A230" s="13" t="s">
        <v>486</v>
      </c>
      <c r="B230" s="220" t="s">
        <v>487</v>
      </c>
      <c r="C230" s="299" t="s">
        <v>482</v>
      </c>
      <c r="D230" s="9" t="s">
        <v>484</v>
      </c>
      <c r="E230" s="267" t="s">
        <v>1994</v>
      </c>
      <c r="F230" s="267" t="s">
        <v>2036</v>
      </c>
    </row>
    <row r="231" spans="1:6" ht="15.75" hidden="1" x14ac:dyDescent="0.25">
      <c r="A231" s="13" t="s">
        <v>488</v>
      </c>
      <c r="B231" s="220" t="s">
        <v>490</v>
      </c>
      <c r="C231" s="299" t="s">
        <v>482</v>
      </c>
      <c r="D231" s="9" t="s">
        <v>484</v>
      </c>
      <c r="E231" s="267" t="s">
        <v>1994</v>
      </c>
      <c r="F231" s="267" t="s">
        <v>2037</v>
      </c>
    </row>
    <row r="232" spans="1:6" ht="120" hidden="1" x14ac:dyDescent="0.25">
      <c r="A232" s="13" t="s">
        <v>147</v>
      </c>
      <c r="B232" s="220" t="s">
        <v>148</v>
      </c>
      <c r="C232" s="299" t="s">
        <v>140</v>
      </c>
      <c r="D232" s="220" t="s">
        <v>142</v>
      </c>
      <c r="E232" s="267" t="s">
        <v>1994</v>
      </c>
      <c r="F232" s="267" t="s">
        <v>1996</v>
      </c>
    </row>
    <row r="233" spans="1:6" ht="120" hidden="1" x14ac:dyDescent="0.25">
      <c r="A233" s="13" t="s">
        <v>144</v>
      </c>
      <c r="B233" s="220" t="s">
        <v>145</v>
      </c>
      <c r="C233" s="299" t="s">
        <v>140</v>
      </c>
      <c r="D233" s="220" t="s">
        <v>142</v>
      </c>
      <c r="E233" s="267" t="s">
        <v>1994</v>
      </c>
      <c r="F233" s="267" t="s">
        <v>2038</v>
      </c>
    </row>
    <row r="234" spans="1:6" ht="120" hidden="1" x14ac:dyDescent="0.25">
      <c r="A234" s="13" t="s">
        <v>881</v>
      </c>
      <c r="B234" s="220" t="s">
        <v>883</v>
      </c>
      <c r="C234" s="299" t="s">
        <v>140</v>
      </c>
      <c r="D234" s="220" t="s">
        <v>142</v>
      </c>
      <c r="E234" s="267" t="s">
        <v>1994</v>
      </c>
      <c r="F234" s="267" t="s">
        <v>2039</v>
      </c>
    </row>
    <row r="235" spans="1:6" ht="15.75" hidden="1" x14ac:dyDescent="0.25">
      <c r="A235" s="13" t="s">
        <v>147</v>
      </c>
      <c r="B235" s="220" t="s">
        <v>148</v>
      </c>
      <c r="C235" s="13" t="s">
        <v>144</v>
      </c>
      <c r="D235" s="220" t="s">
        <v>145</v>
      </c>
      <c r="E235" s="267" t="s">
        <v>1994</v>
      </c>
      <c r="F235" s="267" t="s">
        <v>1996</v>
      </c>
    </row>
    <row r="236" spans="1:6" ht="120" hidden="1" x14ac:dyDescent="0.25">
      <c r="A236" s="13" t="s">
        <v>157</v>
      </c>
      <c r="B236" s="220" t="s">
        <v>148</v>
      </c>
      <c r="C236" s="13" t="s">
        <v>153</v>
      </c>
      <c r="D236" s="220" t="s">
        <v>154</v>
      </c>
      <c r="E236" s="267" t="s">
        <v>1994</v>
      </c>
      <c r="F236" s="267" t="s">
        <v>1996</v>
      </c>
    </row>
    <row r="237" spans="1:6" ht="120" hidden="1" x14ac:dyDescent="0.25">
      <c r="A237" s="13" t="s">
        <v>155</v>
      </c>
      <c r="B237" s="220" t="s">
        <v>156</v>
      </c>
      <c r="C237" s="13" t="s">
        <v>153</v>
      </c>
      <c r="D237" s="220" t="s">
        <v>154</v>
      </c>
      <c r="E237" s="267" t="s">
        <v>1994</v>
      </c>
      <c r="F237" s="267" t="s">
        <v>2038</v>
      </c>
    </row>
    <row r="238" spans="1:6" ht="120" hidden="1" x14ac:dyDescent="0.25">
      <c r="A238" s="13" t="s">
        <v>881</v>
      </c>
      <c r="B238" s="220" t="s">
        <v>883</v>
      </c>
      <c r="C238" s="13" t="s">
        <v>153</v>
      </c>
      <c r="D238" s="220" t="s">
        <v>154</v>
      </c>
      <c r="E238" s="267" t="s">
        <v>1994</v>
      </c>
      <c r="F238" s="267" t="s">
        <v>2039</v>
      </c>
    </row>
    <row r="239" spans="1:6" ht="15.75" hidden="1" x14ac:dyDescent="0.25">
      <c r="A239" s="13" t="s">
        <v>157</v>
      </c>
      <c r="B239" s="220" t="s">
        <v>148</v>
      </c>
      <c r="C239" s="13" t="s">
        <v>155</v>
      </c>
      <c r="D239" s="220" t="s">
        <v>156</v>
      </c>
      <c r="E239" s="267" t="s">
        <v>1994</v>
      </c>
      <c r="F239" s="267" t="s">
        <v>1996</v>
      </c>
    </row>
    <row r="240" spans="1:6" ht="15.75" hidden="1" x14ac:dyDescent="0.25">
      <c r="A240" s="228" t="s">
        <v>661</v>
      </c>
      <c r="B240" s="9" t="s">
        <v>662</v>
      </c>
      <c r="C240" s="299" t="s">
        <v>651</v>
      </c>
      <c r="D240" s="9" t="s">
        <v>652</v>
      </c>
      <c r="E240" s="267" t="s">
        <v>1994</v>
      </c>
      <c r="F240" s="267" t="s">
        <v>1521</v>
      </c>
    </row>
    <row r="241" spans="1:6" ht="15.75" hidden="1" x14ac:dyDescent="0.25">
      <c r="A241" s="13" t="s">
        <v>581</v>
      </c>
      <c r="B241" s="9" t="s">
        <v>583</v>
      </c>
      <c r="C241" s="13" t="s">
        <v>577</v>
      </c>
      <c r="D241" s="9" t="s">
        <v>579</v>
      </c>
      <c r="E241" s="267" t="s">
        <v>1994</v>
      </c>
      <c r="F241" s="267" t="s">
        <v>2035</v>
      </c>
    </row>
    <row r="242" spans="1:6" ht="15.75" hidden="1" x14ac:dyDescent="0.25">
      <c r="A242" s="13" t="s">
        <v>585</v>
      </c>
      <c r="B242" s="9" t="s">
        <v>586</v>
      </c>
      <c r="C242" s="13" t="s">
        <v>581</v>
      </c>
      <c r="D242" s="9" t="s">
        <v>583</v>
      </c>
      <c r="E242" s="267" t="s">
        <v>1994</v>
      </c>
      <c r="F242" s="267" t="s">
        <v>2035</v>
      </c>
    </row>
    <row r="243" spans="1:6" ht="15.75" hidden="1" x14ac:dyDescent="0.25">
      <c r="A243" s="13" t="s">
        <v>594</v>
      </c>
      <c r="B243" s="9" t="s">
        <v>595</v>
      </c>
      <c r="C243" s="13" t="s">
        <v>577</v>
      </c>
      <c r="D243" s="9" t="s">
        <v>579</v>
      </c>
      <c r="E243" s="267" t="s">
        <v>1994</v>
      </c>
      <c r="F243" s="267" t="s">
        <v>2035</v>
      </c>
    </row>
    <row r="244" spans="1:6" ht="15.75" hidden="1" x14ac:dyDescent="0.25">
      <c r="A244" s="13" t="s">
        <v>596</v>
      </c>
      <c r="B244" s="9" t="s">
        <v>597</v>
      </c>
      <c r="C244" s="13" t="s">
        <v>577</v>
      </c>
      <c r="D244" s="9" t="s">
        <v>579</v>
      </c>
      <c r="E244" s="267" t="s">
        <v>1994</v>
      </c>
      <c r="F244" s="267" t="s">
        <v>2035</v>
      </c>
    </row>
    <row r="245" spans="1:6" ht="15.75" hidden="1" x14ac:dyDescent="0.25">
      <c r="A245" s="13" t="s">
        <v>598</v>
      </c>
      <c r="B245" s="9" t="s">
        <v>599</v>
      </c>
      <c r="C245" s="13" t="s">
        <v>577</v>
      </c>
      <c r="D245" s="9" t="s">
        <v>579</v>
      </c>
      <c r="E245" s="267" t="s">
        <v>1994</v>
      </c>
      <c r="F245" s="267" t="s">
        <v>2035</v>
      </c>
    </row>
    <row r="246" spans="1:6" ht="15.75" hidden="1" x14ac:dyDescent="0.25">
      <c r="A246" s="13" t="s">
        <v>587</v>
      </c>
      <c r="B246" s="9" t="s">
        <v>589</v>
      </c>
      <c r="C246" s="13" t="s">
        <v>581</v>
      </c>
      <c r="D246" s="9" t="s">
        <v>583</v>
      </c>
      <c r="E246" s="267" t="s">
        <v>1994</v>
      </c>
      <c r="F246" s="267" t="s">
        <v>2040</v>
      </c>
    </row>
    <row r="247" spans="1:6" ht="15.75" hidden="1" x14ac:dyDescent="0.25">
      <c r="A247" s="13" t="s">
        <v>591</v>
      </c>
      <c r="B247" s="9" t="s">
        <v>592</v>
      </c>
      <c r="C247" s="13" t="s">
        <v>581</v>
      </c>
      <c r="D247" s="9" t="s">
        <v>583</v>
      </c>
      <c r="E247" s="267" t="s">
        <v>1994</v>
      </c>
      <c r="F247" s="267" t="s">
        <v>2040</v>
      </c>
    </row>
    <row r="248" spans="1:6" ht="15.75" hidden="1" x14ac:dyDescent="0.25">
      <c r="A248" s="13" t="s">
        <v>83</v>
      </c>
      <c r="B248" s="9" t="s">
        <v>84</v>
      </c>
      <c r="C248" s="13" t="s">
        <v>80</v>
      </c>
      <c r="D248" s="9" t="s">
        <v>81</v>
      </c>
      <c r="E248" s="267" t="s">
        <v>1994</v>
      </c>
      <c r="F248" s="267" t="s">
        <v>1575</v>
      </c>
    </row>
    <row r="249" spans="1:6" ht="15.75" hidden="1" x14ac:dyDescent="0.25">
      <c r="A249" s="228" t="s">
        <v>1123</v>
      </c>
      <c r="B249" s="9" t="s">
        <v>1124</v>
      </c>
      <c r="C249" s="228" t="s">
        <v>1120</v>
      </c>
      <c r="D249" s="9" t="s">
        <v>1121</v>
      </c>
      <c r="E249" s="267" t="s">
        <v>1994</v>
      </c>
      <c r="F249" s="267" t="s">
        <v>1575</v>
      </c>
    </row>
    <row r="250" spans="1:6" ht="15.75" hidden="1" x14ac:dyDescent="0.25">
      <c r="A250" s="13" t="s">
        <v>429</v>
      </c>
      <c r="B250" s="9" t="s">
        <v>409</v>
      </c>
      <c r="C250" s="13" t="s">
        <v>425</v>
      </c>
      <c r="D250" s="9" t="s">
        <v>427</v>
      </c>
      <c r="E250" s="267" t="s">
        <v>1994</v>
      </c>
      <c r="F250" s="267" t="s">
        <v>1521</v>
      </c>
    </row>
    <row r="251" spans="1:6" ht="15.75" hidden="1" x14ac:dyDescent="0.25">
      <c r="A251" s="13" t="s">
        <v>430</v>
      </c>
      <c r="B251" s="9" t="s">
        <v>412</v>
      </c>
      <c r="C251" s="13" t="s">
        <v>425</v>
      </c>
      <c r="D251" s="9" t="s">
        <v>427</v>
      </c>
      <c r="E251" s="267" t="s">
        <v>1994</v>
      </c>
      <c r="F251" s="267" t="s">
        <v>1521</v>
      </c>
    </row>
    <row r="252" spans="1:6" ht="15.75" hidden="1" x14ac:dyDescent="0.25">
      <c r="A252" s="13" t="s">
        <v>1423</v>
      </c>
      <c r="B252" s="9" t="s">
        <v>1424</v>
      </c>
      <c r="C252" s="13" t="s">
        <v>1419</v>
      </c>
      <c r="D252" s="9" t="s">
        <v>1421</v>
      </c>
      <c r="E252" s="267" t="s">
        <v>1994</v>
      </c>
      <c r="F252" s="267" t="s">
        <v>1575</v>
      </c>
    </row>
    <row r="253" spans="1:6" ht="15.75" hidden="1" x14ac:dyDescent="0.25">
      <c r="A253" s="13" t="s">
        <v>1429</v>
      </c>
      <c r="B253" s="9" t="s">
        <v>1430</v>
      </c>
      <c r="C253" s="13" t="s">
        <v>1425</v>
      </c>
      <c r="D253" s="9" t="s">
        <v>1427</v>
      </c>
      <c r="E253" s="267" t="s">
        <v>1994</v>
      </c>
      <c r="F253" s="267" t="s">
        <v>1575</v>
      </c>
    </row>
    <row r="254" spans="1:6" ht="15.75" hidden="1" x14ac:dyDescent="0.25">
      <c r="A254" s="13" t="s">
        <v>1361</v>
      </c>
      <c r="B254" s="9" t="s">
        <v>1362</v>
      </c>
      <c r="C254" s="13" t="s">
        <v>1357</v>
      </c>
      <c r="D254" s="9" t="s">
        <v>1359</v>
      </c>
      <c r="E254" s="267" t="s">
        <v>1994</v>
      </c>
      <c r="F254" s="267" t="s">
        <v>1575</v>
      </c>
    </row>
    <row r="255" spans="1:6" ht="15.75" hidden="1" x14ac:dyDescent="0.25">
      <c r="A255" s="13" t="s">
        <v>136</v>
      </c>
      <c r="B255" s="9" t="s">
        <v>137</v>
      </c>
      <c r="C255" s="13" t="s">
        <v>133</v>
      </c>
      <c r="D255" s="9" t="s">
        <v>134</v>
      </c>
      <c r="E255" s="267" t="s">
        <v>1994</v>
      </c>
      <c r="F255" s="267" t="s">
        <v>1575</v>
      </c>
    </row>
    <row r="256" spans="1:6" ht="15.75" hidden="1" x14ac:dyDescent="0.25">
      <c r="A256" s="13" t="s">
        <v>641</v>
      </c>
      <c r="B256" s="9" t="s">
        <v>642</v>
      </c>
      <c r="C256" s="13" t="s">
        <v>638</v>
      </c>
      <c r="D256" s="9" t="s">
        <v>639</v>
      </c>
      <c r="E256" s="267" t="s">
        <v>1994</v>
      </c>
      <c r="F256" s="267" t="s">
        <v>1575</v>
      </c>
    </row>
    <row r="257" spans="1:6" ht="60" hidden="1" x14ac:dyDescent="0.25">
      <c r="A257" s="13" t="s">
        <v>726</v>
      </c>
      <c r="B257" s="9" t="s">
        <v>727</v>
      </c>
      <c r="C257" s="13" t="s">
        <v>722</v>
      </c>
      <c r="D257" s="220" t="s">
        <v>724</v>
      </c>
      <c r="E257" s="267" t="s">
        <v>1994</v>
      </c>
      <c r="F257" s="267" t="s">
        <v>70</v>
      </c>
    </row>
    <row r="258" spans="1:6" ht="15.75" hidden="1" x14ac:dyDescent="0.25">
      <c r="A258" s="13" t="s">
        <v>506</v>
      </c>
      <c r="B258" s="9" t="s">
        <v>507</v>
      </c>
      <c r="C258" s="13" t="s">
        <v>503</v>
      </c>
      <c r="D258" s="9" t="s">
        <v>504</v>
      </c>
      <c r="E258" s="267" t="s">
        <v>1994</v>
      </c>
      <c r="F258" s="267" t="s">
        <v>2041</v>
      </c>
    </row>
    <row r="259" spans="1:6" ht="15.75" hidden="1" x14ac:dyDescent="0.25">
      <c r="A259" s="13" t="s">
        <v>488</v>
      </c>
      <c r="B259" s="9" t="s">
        <v>490</v>
      </c>
      <c r="C259" s="299" t="s">
        <v>478</v>
      </c>
      <c r="D259" s="9" t="s">
        <v>480</v>
      </c>
      <c r="E259" s="267" t="s">
        <v>1994</v>
      </c>
      <c r="F259" s="267" t="s">
        <v>1521</v>
      </c>
    </row>
    <row r="260" spans="1:6" ht="15.75" hidden="1" x14ac:dyDescent="0.25">
      <c r="A260" s="13" t="s">
        <v>486</v>
      </c>
      <c r="B260" s="9" t="s">
        <v>487</v>
      </c>
      <c r="C260" s="299" t="s">
        <v>478</v>
      </c>
      <c r="D260" s="9" t="s">
        <v>480</v>
      </c>
      <c r="E260" s="267" t="s">
        <v>1994</v>
      </c>
      <c r="F260" s="267" t="s">
        <v>70</v>
      </c>
    </row>
    <row r="261" spans="1:6" ht="15.75" hidden="1" x14ac:dyDescent="0.25">
      <c r="A261" s="13" t="s">
        <v>1171</v>
      </c>
      <c r="B261" s="9" t="s">
        <v>1167</v>
      </c>
      <c r="C261" s="13" t="s">
        <v>1168</v>
      </c>
      <c r="D261" s="9" t="s">
        <v>1169</v>
      </c>
      <c r="E261" s="267" t="s">
        <v>1994</v>
      </c>
      <c r="F261" s="267" t="s">
        <v>2009</v>
      </c>
    </row>
    <row r="262" spans="1:6" ht="15.75" hidden="1" x14ac:dyDescent="0.25">
      <c r="A262" s="13" t="s">
        <v>1192</v>
      </c>
      <c r="B262" s="9" t="s">
        <v>1193</v>
      </c>
      <c r="C262" s="13" t="s">
        <v>1189</v>
      </c>
      <c r="D262" s="9" t="s">
        <v>1190</v>
      </c>
      <c r="E262" s="267" t="s">
        <v>1994</v>
      </c>
      <c r="F262" s="267" t="s">
        <v>1521</v>
      </c>
    </row>
    <row r="263" spans="1:6" ht="15.75" hidden="1" x14ac:dyDescent="0.25">
      <c r="A263" s="13" t="s">
        <v>1176</v>
      </c>
      <c r="B263" s="9" t="s">
        <v>1167</v>
      </c>
      <c r="C263" s="13" t="s">
        <v>1172</v>
      </c>
      <c r="D263" s="9" t="s">
        <v>1174</v>
      </c>
      <c r="E263" s="267" t="s">
        <v>1994</v>
      </c>
      <c r="F263" s="267" t="s">
        <v>1521</v>
      </c>
    </row>
    <row r="264" spans="1:6" ht="15.75" hidden="1" x14ac:dyDescent="0.25">
      <c r="A264" s="13" t="s">
        <v>1301</v>
      </c>
      <c r="B264" s="9" t="s">
        <v>1302</v>
      </c>
      <c r="C264" s="13" t="s">
        <v>101</v>
      </c>
      <c r="D264" s="9" t="s">
        <v>1299</v>
      </c>
      <c r="E264" s="267" t="s">
        <v>1994</v>
      </c>
      <c r="F264" s="267" t="s">
        <v>1521</v>
      </c>
    </row>
    <row r="265" spans="1:6" ht="15.75" x14ac:dyDescent="0.25">
      <c r="A265" s="13" t="s">
        <v>1348</v>
      </c>
      <c r="B265" s="9" t="s">
        <v>1349</v>
      </c>
      <c r="C265" s="13" t="s">
        <v>1330</v>
      </c>
      <c r="D265" s="9" t="s">
        <v>1332</v>
      </c>
      <c r="E265" s="267" t="s">
        <v>1994</v>
      </c>
      <c r="F265" s="267" t="s">
        <v>1521</v>
      </c>
    </row>
    <row r="266" spans="1:6" ht="15.75" hidden="1" x14ac:dyDescent="0.25">
      <c r="A266" s="13" t="s">
        <v>1351</v>
      </c>
      <c r="B266" s="9" t="s">
        <v>1352</v>
      </c>
      <c r="C266" s="13" t="s">
        <v>1330</v>
      </c>
      <c r="D266" s="9" t="s">
        <v>1332</v>
      </c>
      <c r="E266" s="267" t="s">
        <v>1994</v>
      </c>
      <c r="F266" s="267" t="s">
        <v>1521</v>
      </c>
    </row>
    <row r="267" spans="1:6" ht="15.75" hidden="1" x14ac:dyDescent="0.25">
      <c r="A267" s="13" t="s">
        <v>216</v>
      </c>
      <c r="B267" s="9" t="s">
        <v>217</v>
      </c>
      <c r="C267" s="13" t="s">
        <v>213</v>
      </c>
      <c r="D267" s="9" t="s">
        <v>214</v>
      </c>
      <c r="E267" s="267" t="s">
        <v>1994</v>
      </c>
      <c r="F267" s="267" t="s">
        <v>2017</v>
      </c>
    </row>
    <row r="268" spans="1:6" ht="15.75" hidden="1" x14ac:dyDescent="0.25">
      <c r="A268" s="13" t="s">
        <v>218</v>
      </c>
      <c r="B268" s="9" t="s">
        <v>219</v>
      </c>
      <c r="C268" s="13" t="s">
        <v>213</v>
      </c>
      <c r="D268" s="9" t="s">
        <v>214</v>
      </c>
      <c r="E268" s="267" t="s">
        <v>1994</v>
      </c>
      <c r="F268" s="267" t="s">
        <v>2042</v>
      </c>
    </row>
    <row r="269" spans="1:6" ht="15.75" hidden="1" x14ac:dyDescent="0.25">
      <c r="A269" s="13" t="s">
        <v>224</v>
      </c>
      <c r="B269" s="9" t="s">
        <v>225</v>
      </c>
      <c r="C269" s="13" t="s">
        <v>209</v>
      </c>
      <c r="D269" s="9" t="s">
        <v>211</v>
      </c>
      <c r="E269" s="267" t="s">
        <v>1994</v>
      </c>
      <c r="F269" s="267" t="s">
        <v>1549</v>
      </c>
    </row>
    <row r="270" spans="1:6" ht="15.75" hidden="1" x14ac:dyDescent="0.25">
      <c r="A270" s="13" t="s">
        <v>227</v>
      </c>
      <c r="B270" s="9" t="s">
        <v>228</v>
      </c>
      <c r="C270" s="13" t="s">
        <v>224</v>
      </c>
      <c r="D270" s="9" t="s">
        <v>225</v>
      </c>
      <c r="E270" s="267" t="s">
        <v>1994</v>
      </c>
      <c r="F270" s="267" t="s">
        <v>2036</v>
      </c>
    </row>
    <row r="271" spans="1:6" ht="15.75" hidden="1" x14ac:dyDescent="0.25">
      <c r="A271" s="13" t="s">
        <v>220</v>
      </c>
      <c r="B271" s="9" t="s">
        <v>221</v>
      </c>
      <c r="C271" s="13" t="s">
        <v>209</v>
      </c>
      <c r="D271" s="9" t="s">
        <v>211</v>
      </c>
      <c r="E271" s="267" t="s">
        <v>1994</v>
      </c>
      <c r="F271" s="267" t="s">
        <v>1549</v>
      </c>
    </row>
    <row r="272" spans="1:6" ht="15.75" hidden="1" x14ac:dyDescent="0.25">
      <c r="A272" s="13" t="s">
        <v>266</v>
      </c>
      <c r="B272" s="9" t="s">
        <v>252</v>
      </c>
      <c r="C272" s="13" t="s">
        <v>262</v>
      </c>
      <c r="D272" s="9" t="s">
        <v>264</v>
      </c>
      <c r="E272" s="267" t="s">
        <v>1994</v>
      </c>
      <c r="F272" s="267" t="s">
        <v>2029</v>
      </c>
    </row>
    <row r="273" spans="1:6" ht="15.75" hidden="1" x14ac:dyDescent="0.25">
      <c r="A273" s="13" t="s">
        <v>267</v>
      </c>
      <c r="B273" s="9" t="s">
        <v>268</v>
      </c>
      <c r="C273" s="13" t="s">
        <v>262</v>
      </c>
      <c r="D273" s="9" t="s">
        <v>264</v>
      </c>
      <c r="E273" s="267" t="s">
        <v>1994</v>
      </c>
      <c r="F273" s="267" t="s">
        <v>2029</v>
      </c>
    </row>
    <row r="274" spans="1:6" ht="15.75" hidden="1" x14ac:dyDescent="0.25">
      <c r="A274" s="13" t="s">
        <v>1439</v>
      </c>
      <c r="B274" s="9" t="s">
        <v>1440</v>
      </c>
      <c r="C274" s="13" t="s">
        <v>1433</v>
      </c>
      <c r="D274" s="9" t="s">
        <v>1435</v>
      </c>
      <c r="E274" s="267" t="s">
        <v>1994</v>
      </c>
      <c r="F274" s="267" t="s">
        <v>2036</v>
      </c>
    </row>
    <row r="275" spans="1:6" ht="15.75" hidden="1" x14ac:dyDescent="0.25">
      <c r="A275" s="228" t="s">
        <v>532</v>
      </c>
      <c r="B275" s="9" t="s">
        <v>533</v>
      </c>
      <c r="C275" s="299" t="s">
        <v>18</v>
      </c>
      <c r="D275" s="9" t="s">
        <v>21</v>
      </c>
      <c r="E275" s="267" t="s">
        <v>1994</v>
      </c>
      <c r="F275" s="267" t="s">
        <v>1466</v>
      </c>
    </row>
    <row r="276" spans="1:6" ht="15.75" hidden="1" x14ac:dyDescent="0.25">
      <c r="A276" s="228" t="s">
        <v>537</v>
      </c>
      <c r="B276" s="9" t="s">
        <v>538</v>
      </c>
      <c r="C276" s="299" t="s">
        <v>18</v>
      </c>
      <c r="D276" s="9" t="s">
        <v>21</v>
      </c>
      <c r="E276" s="267" t="s">
        <v>1994</v>
      </c>
      <c r="F276" s="267" t="s">
        <v>1466</v>
      </c>
    </row>
    <row r="277" spans="1:6" ht="15.75" hidden="1" x14ac:dyDescent="0.25">
      <c r="A277" s="228" t="s">
        <v>1449</v>
      </c>
      <c r="B277" s="9" t="s">
        <v>1450</v>
      </c>
      <c r="C277" s="299" t="s">
        <v>1446</v>
      </c>
      <c r="D277" s="9" t="s">
        <v>1447</v>
      </c>
      <c r="E277" s="267" t="s">
        <v>1994</v>
      </c>
      <c r="F277" s="267" t="s">
        <v>2043</v>
      </c>
    </row>
    <row r="278" spans="1:6" ht="15.75" hidden="1" x14ac:dyDescent="0.25">
      <c r="A278" s="228" t="s">
        <v>985</v>
      </c>
      <c r="B278" s="9" t="s">
        <v>986</v>
      </c>
      <c r="C278" s="299" t="s">
        <v>942</v>
      </c>
      <c r="D278" s="9" t="s">
        <v>944</v>
      </c>
      <c r="E278" s="267" t="s">
        <v>1994</v>
      </c>
      <c r="F278" s="267" t="s">
        <v>2044</v>
      </c>
    </row>
    <row r="279" spans="1:6" ht="15.75" hidden="1" x14ac:dyDescent="0.25">
      <c r="A279" s="228" t="s">
        <v>1157</v>
      </c>
      <c r="B279" s="9" t="s">
        <v>1158</v>
      </c>
      <c r="C279" s="299" t="s">
        <v>1151</v>
      </c>
      <c r="D279" s="9" t="s">
        <v>1153</v>
      </c>
      <c r="E279" s="267" t="s">
        <v>1994</v>
      </c>
      <c r="F279" s="267" t="s">
        <v>1521</v>
      </c>
    </row>
    <row r="280" spans="1:6" ht="15.75" hidden="1" x14ac:dyDescent="0.25">
      <c r="A280" s="228" t="s">
        <v>1160</v>
      </c>
      <c r="B280" s="9" t="s">
        <v>1161</v>
      </c>
      <c r="C280" s="299" t="s">
        <v>1151</v>
      </c>
      <c r="D280" s="9" t="s">
        <v>1153</v>
      </c>
      <c r="E280" s="267" t="s">
        <v>1994</v>
      </c>
      <c r="F280" s="267" t="s">
        <v>1521</v>
      </c>
    </row>
    <row r="281" spans="1:6" ht="15.75" hidden="1" x14ac:dyDescent="0.25">
      <c r="A281" s="13" t="s">
        <v>819</v>
      </c>
      <c r="B281" s="9" t="s">
        <v>820</v>
      </c>
      <c r="C281" s="13" t="s">
        <v>815</v>
      </c>
      <c r="D281" s="9" t="s">
        <v>817</v>
      </c>
      <c r="E281" s="267" t="s">
        <v>1994</v>
      </c>
      <c r="F281" s="267" t="s">
        <v>70</v>
      </c>
    </row>
    <row r="282" spans="1:6" ht="15.75" hidden="1" x14ac:dyDescent="0.25">
      <c r="A282" s="13" t="s">
        <v>476</v>
      </c>
      <c r="B282" s="310" t="s">
        <v>477</v>
      </c>
      <c r="C282" s="13" t="s">
        <v>472</v>
      </c>
      <c r="D282" s="9" t="s">
        <v>474</v>
      </c>
      <c r="E282" s="267" t="s">
        <v>1994</v>
      </c>
      <c r="F282" s="267" t="s">
        <v>1521</v>
      </c>
    </row>
    <row r="283" spans="1:6" ht="15.75" hidden="1" x14ac:dyDescent="0.25">
      <c r="A283" s="13" t="s">
        <v>478</v>
      </c>
      <c r="B283" s="9" t="s">
        <v>480</v>
      </c>
      <c r="C283" s="13" t="s">
        <v>472</v>
      </c>
      <c r="D283" s="9" t="s">
        <v>474</v>
      </c>
      <c r="E283" s="267" t="s">
        <v>1994</v>
      </c>
      <c r="F283" s="267" t="s">
        <v>1521</v>
      </c>
    </row>
    <row r="284" spans="1:6" ht="15.75" hidden="1" x14ac:dyDescent="0.25">
      <c r="A284" s="13" t="s">
        <v>492</v>
      </c>
      <c r="B284" s="9" t="s">
        <v>493</v>
      </c>
      <c r="C284" s="13" t="s">
        <v>472</v>
      </c>
      <c r="D284" s="9" t="s">
        <v>474</v>
      </c>
      <c r="E284" s="267" t="s">
        <v>1994</v>
      </c>
      <c r="F284" s="267" t="s">
        <v>1521</v>
      </c>
    </row>
    <row r="285" spans="1:6" ht="15.75" hidden="1" x14ac:dyDescent="0.25">
      <c r="A285" s="13" t="s">
        <v>497</v>
      </c>
      <c r="B285" s="9" t="s">
        <v>498</v>
      </c>
      <c r="C285" s="13" t="s">
        <v>472</v>
      </c>
      <c r="D285" s="9" t="s">
        <v>474</v>
      </c>
      <c r="E285" s="267" t="s">
        <v>1994</v>
      </c>
      <c r="F285" s="267" t="s">
        <v>1521</v>
      </c>
    </row>
    <row r="286" spans="1:6" ht="15.75" hidden="1" x14ac:dyDescent="0.25">
      <c r="A286" s="13" t="s">
        <v>499</v>
      </c>
      <c r="B286" s="9" t="s">
        <v>501</v>
      </c>
      <c r="C286" s="13" t="s">
        <v>472</v>
      </c>
      <c r="D286" s="9" t="s">
        <v>474</v>
      </c>
      <c r="E286" s="267" t="s">
        <v>1994</v>
      </c>
      <c r="F286" s="267" t="s">
        <v>1521</v>
      </c>
    </row>
    <row r="287" spans="1:6" ht="15.75" hidden="1" x14ac:dyDescent="0.25">
      <c r="A287" s="13" t="s">
        <v>503</v>
      </c>
      <c r="B287" s="9" t="s">
        <v>504</v>
      </c>
      <c r="C287" s="13" t="s">
        <v>472</v>
      </c>
      <c r="D287" s="9" t="s">
        <v>474</v>
      </c>
      <c r="E287" s="267" t="s">
        <v>1994</v>
      </c>
      <c r="F287" s="267" t="s">
        <v>1521</v>
      </c>
    </row>
    <row r="288" spans="1:6" ht="15.75" hidden="1" x14ac:dyDescent="0.25">
      <c r="A288" s="13" t="s">
        <v>508</v>
      </c>
      <c r="B288" s="310" t="s">
        <v>509</v>
      </c>
      <c r="C288" s="13" t="s">
        <v>472</v>
      </c>
      <c r="D288" s="9" t="s">
        <v>474</v>
      </c>
      <c r="E288" s="267" t="s">
        <v>1994</v>
      </c>
      <c r="F288" s="267" t="s">
        <v>1521</v>
      </c>
    </row>
    <row r="289" spans="1:6" ht="15.75" hidden="1" x14ac:dyDescent="0.25">
      <c r="A289" s="13" t="s">
        <v>510</v>
      </c>
      <c r="B289" s="9" t="s">
        <v>512</v>
      </c>
      <c r="C289" s="13" t="s">
        <v>472</v>
      </c>
      <c r="D289" s="9" t="s">
        <v>474</v>
      </c>
      <c r="E289" s="267" t="s">
        <v>1994</v>
      </c>
      <c r="F289" s="267" t="s">
        <v>1521</v>
      </c>
    </row>
    <row r="290" spans="1:6" ht="15.75" hidden="1" x14ac:dyDescent="0.25">
      <c r="A290" s="13" t="s">
        <v>516</v>
      </c>
      <c r="B290" s="9" t="s">
        <v>518</v>
      </c>
      <c r="C290" s="13" t="s">
        <v>472</v>
      </c>
      <c r="D290" s="9" t="s">
        <v>474</v>
      </c>
      <c r="E290" s="267" t="s">
        <v>1994</v>
      </c>
      <c r="F290" s="267" t="s">
        <v>1521</v>
      </c>
    </row>
    <row r="291" spans="1:6" ht="15.75" hidden="1" x14ac:dyDescent="0.25">
      <c r="A291" s="13" t="s">
        <v>520</v>
      </c>
      <c r="B291" s="9" t="s">
        <v>522</v>
      </c>
      <c r="C291" s="13" t="s">
        <v>472</v>
      </c>
      <c r="D291" s="9" t="s">
        <v>474</v>
      </c>
      <c r="E291" s="267" t="s">
        <v>1994</v>
      </c>
      <c r="F291" s="267" t="s">
        <v>1521</v>
      </c>
    </row>
    <row r="292" spans="1:6" ht="15.75" hidden="1" x14ac:dyDescent="0.25">
      <c r="A292" s="13" t="s">
        <v>524</v>
      </c>
      <c r="B292" s="9" t="s">
        <v>525</v>
      </c>
      <c r="C292" s="13" t="s">
        <v>472</v>
      </c>
      <c r="D292" s="9" t="s">
        <v>474</v>
      </c>
      <c r="E292" s="267" t="s">
        <v>1994</v>
      </c>
      <c r="F292" s="267" t="s">
        <v>1521</v>
      </c>
    </row>
    <row r="293" spans="1:6" ht="15.75" hidden="1" x14ac:dyDescent="0.25">
      <c r="A293" s="13" t="s">
        <v>537</v>
      </c>
      <c r="B293" s="9" t="s">
        <v>538</v>
      </c>
      <c r="C293" s="13" t="s">
        <v>472</v>
      </c>
      <c r="D293" s="9" t="s">
        <v>474</v>
      </c>
      <c r="E293" s="267" t="s">
        <v>1994</v>
      </c>
      <c r="F293" s="267" t="s">
        <v>1521</v>
      </c>
    </row>
    <row r="294" spans="1:6" ht="15.75" hidden="1" x14ac:dyDescent="0.25">
      <c r="A294" s="13" t="s">
        <v>542</v>
      </c>
      <c r="B294" s="9" t="s">
        <v>543</v>
      </c>
      <c r="C294" s="13" t="s">
        <v>472</v>
      </c>
      <c r="D294" s="9" t="s">
        <v>474</v>
      </c>
      <c r="E294" s="267" t="s">
        <v>1994</v>
      </c>
      <c r="F294" s="267" t="s">
        <v>1521</v>
      </c>
    </row>
    <row r="295" spans="1:6" ht="15.75" hidden="1" x14ac:dyDescent="0.25">
      <c r="A295" s="13" t="s">
        <v>547</v>
      </c>
      <c r="B295" s="9" t="s">
        <v>549</v>
      </c>
      <c r="C295" s="13" t="s">
        <v>472</v>
      </c>
      <c r="D295" s="9" t="s">
        <v>474</v>
      </c>
      <c r="E295" s="267" t="s">
        <v>1994</v>
      </c>
      <c r="F295" s="267" t="s">
        <v>1521</v>
      </c>
    </row>
    <row r="296" spans="1:6" ht="15.75" hidden="1" x14ac:dyDescent="0.25">
      <c r="A296" s="13" t="s">
        <v>556</v>
      </c>
      <c r="B296" s="310" t="s">
        <v>557</v>
      </c>
      <c r="C296" s="13" t="s">
        <v>472</v>
      </c>
      <c r="D296" s="9" t="s">
        <v>474</v>
      </c>
      <c r="E296" s="267" t="s">
        <v>1994</v>
      </c>
      <c r="F296" s="267" t="s">
        <v>1521</v>
      </c>
    </row>
    <row r="297" spans="1:6" ht="15.75" hidden="1" x14ac:dyDescent="0.25">
      <c r="A297" s="13" t="s">
        <v>558</v>
      </c>
      <c r="B297" s="9" t="s">
        <v>559</v>
      </c>
      <c r="C297" s="13" t="s">
        <v>472</v>
      </c>
      <c r="D297" s="9" t="s">
        <v>474</v>
      </c>
      <c r="E297" s="267" t="s">
        <v>1994</v>
      </c>
      <c r="F297" s="267" t="s">
        <v>1521</v>
      </c>
    </row>
    <row r="298" spans="1:6" ht="15.75" hidden="1" x14ac:dyDescent="0.25">
      <c r="A298" s="13" t="s">
        <v>569</v>
      </c>
      <c r="B298" s="310" t="s">
        <v>570</v>
      </c>
      <c r="C298" s="13" t="s">
        <v>472</v>
      </c>
      <c r="D298" s="9" t="s">
        <v>474</v>
      </c>
      <c r="E298" s="267" t="s">
        <v>1994</v>
      </c>
      <c r="F298" s="267" t="s">
        <v>1521</v>
      </c>
    </row>
    <row r="299" spans="1:6" ht="15.75" hidden="1" x14ac:dyDescent="0.25">
      <c r="A299" s="13" t="s">
        <v>571</v>
      </c>
      <c r="B299" s="9" t="s">
        <v>573</v>
      </c>
      <c r="C299" s="13" t="s">
        <v>472</v>
      </c>
      <c r="D299" s="9" t="s">
        <v>474</v>
      </c>
      <c r="E299" s="267" t="s">
        <v>1994</v>
      </c>
      <c r="F299" s="267" t="s">
        <v>1521</v>
      </c>
    </row>
    <row r="300" spans="1:6" ht="15.75" hidden="1" x14ac:dyDescent="0.25">
      <c r="A300" s="13" t="s">
        <v>575</v>
      </c>
      <c r="B300" s="310" t="s">
        <v>576</v>
      </c>
      <c r="C300" s="13" t="s">
        <v>472</v>
      </c>
      <c r="D300" s="9" t="s">
        <v>474</v>
      </c>
      <c r="E300" s="267" t="s">
        <v>1994</v>
      </c>
      <c r="F300" s="267" t="s">
        <v>1521</v>
      </c>
    </row>
    <row r="301" spans="1:6" ht="15.75" hidden="1" x14ac:dyDescent="0.25">
      <c r="A301" s="13" t="s">
        <v>581</v>
      </c>
      <c r="B301" s="9" t="s">
        <v>583</v>
      </c>
      <c r="C301" s="13" t="s">
        <v>472</v>
      </c>
      <c r="D301" s="9" t="s">
        <v>474</v>
      </c>
      <c r="E301" s="267" t="s">
        <v>1994</v>
      </c>
      <c r="F301" s="267" t="s">
        <v>1521</v>
      </c>
    </row>
    <row r="302" spans="1:6" ht="15.75" hidden="1" x14ac:dyDescent="0.25">
      <c r="A302" s="13" t="s">
        <v>604</v>
      </c>
      <c r="B302" s="310" t="s">
        <v>605</v>
      </c>
      <c r="C302" s="13" t="s">
        <v>472</v>
      </c>
      <c r="D302" s="9" t="s">
        <v>474</v>
      </c>
      <c r="E302" s="267" t="s">
        <v>1994</v>
      </c>
      <c r="F302" s="267" t="s">
        <v>1521</v>
      </c>
    </row>
    <row r="303" spans="1:6" ht="15.75" hidden="1" x14ac:dyDescent="0.25">
      <c r="A303" s="13" t="s">
        <v>1437</v>
      </c>
      <c r="B303" s="9" t="s">
        <v>1438</v>
      </c>
      <c r="C303" s="13" t="s">
        <v>1433</v>
      </c>
      <c r="D303" s="9" t="s">
        <v>1435</v>
      </c>
      <c r="E303" s="267" t="s">
        <v>1994</v>
      </c>
      <c r="F303" s="267" t="s">
        <v>2037</v>
      </c>
    </row>
    <row r="304" spans="1:6" ht="15.75" hidden="1" x14ac:dyDescent="0.25">
      <c r="A304" s="228" t="s">
        <v>1354</v>
      </c>
      <c r="B304" s="9" t="s">
        <v>1355</v>
      </c>
      <c r="C304" s="299" t="s">
        <v>1330</v>
      </c>
      <c r="D304" s="9" t="s">
        <v>1332</v>
      </c>
      <c r="E304" s="267" t="s">
        <v>1994</v>
      </c>
      <c r="F304" s="267" t="s">
        <v>1521</v>
      </c>
    </row>
    <row r="305" spans="1:6" ht="15.75" hidden="1" x14ac:dyDescent="0.25">
      <c r="A305" s="228" t="s">
        <v>1345</v>
      </c>
      <c r="B305" s="9" t="s">
        <v>1346</v>
      </c>
      <c r="C305" s="299" t="s">
        <v>1341</v>
      </c>
      <c r="D305" s="9" t="s">
        <v>1343</v>
      </c>
      <c r="E305" s="267" t="s">
        <v>1994</v>
      </c>
      <c r="F305" s="267" t="s">
        <v>1521</v>
      </c>
    </row>
  </sheetData>
  <sheetProtection formatCells="0" formatColumns="0" formatRows="0" autoFilter="0"/>
  <autoFilter ref="A1:F305" xr:uid="{8D9FF982-8358-4192-959E-BA572F9DA4C7}">
    <filterColumn colId="0">
      <filters>
        <filter val="El44"/>
      </filters>
    </filterColumn>
  </autoFilter>
  <pageMargins left="0.7" right="0.7" top="0.75" bottom="0.75" header="0.3" footer="0.3"/>
  <pageSetup paperSize="9" orientation="portrait" r:id="rId1"/>
  <headerFooter>
    <oddFooter>&amp;C02_PhaseElaborationOffre_DossierConception_V4_17042026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1]!MettreAJourParametres">
                <anchor moveWithCells="1" sizeWithCells="1">
                  <from>
                    <xdr:col>3</xdr:col>
                    <xdr:colOff>371475</xdr:colOff>
                    <xdr:row>0</xdr:row>
                    <xdr:rowOff>76200</xdr:rowOff>
                  </from>
                  <to>
                    <xdr:col>3</xdr:col>
                    <xdr:colOff>3038475</xdr:colOff>
                    <xdr:row>0</xdr:row>
                    <xdr:rowOff>447675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2B49A-FB37-44D8-BB2A-BC912F5CFEE7}">
  <sheetPr codeName="Feuil8"/>
  <dimension ref="A1:D2"/>
  <sheetViews>
    <sheetView workbookViewId="0"/>
  </sheetViews>
  <sheetFormatPr baseColWidth="10" defaultRowHeight="15" x14ac:dyDescent="0.25"/>
  <sheetData>
    <row r="1" spans="1:4" x14ac:dyDescent="0.25">
      <c r="A1" s="313" t="s">
        <v>2071</v>
      </c>
      <c r="B1" s="313" t="s">
        <v>2072</v>
      </c>
      <c r="C1" s="313" t="s">
        <v>2073</v>
      </c>
      <c r="D1" s="313" t="s">
        <v>2074</v>
      </c>
    </row>
    <row r="2" spans="1:4" x14ac:dyDescent="0.25">
      <c r="A2" s="313" t="s">
        <v>2075</v>
      </c>
      <c r="B2" s="313" t="s">
        <v>2076</v>
      </c>
      <c r="C2" s="313" t="s">
        <v>2077</v>
      </c>
      <c r="D2" s="313" t="s">
        <v>2078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D9292-1ED1-47E7-AB23-E7AA1965CE9F}">
  <sheetPr codeName="Feuil9"/>
  <dimension ref="A1:E137"/>
  <sheetViews>
    <sheetView workbookViewId="0"/>
  </sheetViews>
  <sheetFormatPr baseColWidth="10" defaultRowHeight="15" x14ac:dyDescent="0.25"/>
  <sheetData>
    <row r="1" spans="1:5" x14ac:dyDescent="0.25">
      <c r="A1" s="313" t="s">
        <v>2079</v>
      </c>
      <c r="B1" s="313" t="s">
        <v>2080</v>
      </c>
      <c r="C1" s="313" t="s">
        <v>2081</v>
      </c>
      <c r="D1" s="313" t="s">
        <v>2082</v>
      </c>
      <c r="E1" s="313" t="s">
        <v>2083</v>
      </c>
    </row>
    <row r="2" spans="1:5" x14ac:dyDescent="0.25">
      <c r="A2" s="313" t="s">
        <v>29</v>
      </c>
      <c r="B2" s="313" t="s">
        <v>2084</v>
      </c>
      <c r="C2" s="313" t="s">
        <v>31</v>
      </c>
      <c r="D2" s="313" t="s">
        <v>24</v>
      </c>
      <c r="E2" s="313" t="s">
        <v>2075</v>
      </c>
    </row>
    <row r="3" spans="1:5" x14ac:dyDescent="0.25">
      <c r="A3" s="313" t="s">
        <v>32</v>
      </c>
      <c r="B3" s="313" t="s">
        <v>2085</v>
      </c>
      <c r="C3" s="313" t="s">
        <v>33</v>
      </c>
      <c r="D3" s="313" t="s">
        <v>29</v>
      </c>
      <c r="E3" s="313" t="s">
        <v>2086</v>
      </c>
    </row>
    <row r="4" spans="1:5" x14ac:dyDescent="0.25">
      <c r="A4" s="313" t="s">
        <v>2087</v>
      </c>
      <c r="B4" s="313" t="s">
        <v>2088</v>
      </c>
      <c r="C4" s="313" t="s">
        <v>1809</v>
      </c>
      <c r="D4" s="313" t="s">
        <v>32</v>
      </c>
      <c r="E4" s="313" t="s">
        <v>2089</v>
      </c>
    </row>
    <row r="5" spans="1:5" x14ac:dyDescent="0.25">
      <c r="A5" s="313" t="s">
        <v>59</v>
      </c>
      <c r="B5" s="313" t="s">
        <v>2085</v>
      </c>
      <c r="C5" s="313" t="s">
        <v>60</v>
      </c>
      <c r="D5" s="313" t="s">
        <v>29</v>
      </c>
      <c r="E5" s="313" t="s">
        <v>2090</v>
      </c>
    </row>
    <row r="6" spans="1:5" x14ac:dyDescent="0.25">
      <c r="A6" s="313" t="s">
        <v>2091</v>
      </c>
      <c r="B6" s="313" t="s">
        <v>2088</v>
      </c>
      <c r="C6" s="313" t="s">
        <v>1812</v>
      </c>
      <c r="D6" s="313" t="s">
        <v>59</v>
      </c>
      <c r="E6" s="313" t="s">
        <v>2092</v>
      </c>
    </row>
    <row r="7" spans="1:5" x14ac:dyDescent="0.25">
      <c r="A7" s="313" t="s">
        <v>90</v>
      </c>
      <c r="B7" s="313" t="s">
        <v>2085</v>
      </c>
      <c r="C7" s="313" t="s">
        <v>91</v>
      </c>
      <c r="D7" s="313" t="s">
        <v>29</v>
      </c>
      <c r="E7" s="313" t="s">
        <v>2093</v>
      </c>
    </row>
    <row r="8" spans="1:5" x14ac:dyDescent="0.25">
      <c r="A8" s="313" t="s">
        <v>2094</v>
      </c>
      <c r="B8" s="313" t="s">
        <v>2088</v>
      </c>
      <c r="C8" s="313" t="s">
        <v>1815</v>
      </c>
      <c r="D8" s="313" t="s">
        <v>90</v>
      </c>
      <c r="E8" s="313" t="s">
        <v>2095</v>
      </c>
    </row>
    <row r="9" spans="1:5" x14ac:dyDescent="0.25">
      <c r="A9" s="313" t="s">
        <v>103</v>
      </c>
      <c r="B9" s="313" t="s">
        <v>2085</v>
      </c>
      <c r="C9" s="313" t="s">
        <v>104</v>
      </c>
      <c r="D9" s="313" t="s">
        <v>29</v>
      </c>
      <c r="E9" s="313" t="s">
        <v>2096</v>
      </c>
    </row>
    <row r="10" spans="1:5" x14ac:dyDescent="0.25">
      <c r="A10" s="313" t="s">
        <v>2097</v>
      </c>
      <c r="B10" s="313" t="s">
        <v>2088</v>
      </c>
      <c r="C10" s="313" t="s">
        <v>1818</v>
      </c>
      <c r="D10" s="313" t="s">
        <v>103</v>
      </c>
      <c r="E10" s="313" t="s">
        <v>2098</v>
      </c>
    </row>
    <row r="11" spans="1:5" x14ac:dyDescent="0.25">
      <c r="A11" s="313" t="s">
        <v>138</v>
      </c>
      <c r="B11" s="313" t="s">
        <v>2085</v>
      </c>
      <c r="C11" s="313" t="s">
        <v>139</v>
      </c>
      <c r="D11" s="313" t="s">
        <v>29</v>
      </c>
      <c r="E11" s="313" t="s">
        <v>2099</v>
      </c>
    </row>
    <row r="12" spans="1:5" x14ac:dyDescent="0.25">
      <c r="A12" s="313" t="s">
        <v>2100</v>
      </c>
      <c r="B12" s="313" t="s">
        <v>2088</v>
      </c>
      <c r="C12" s="313" t="s">
        <v>1822</v>
      </c>
      <c r="D12" s="313" t="s">
        <v>138</v>
      </c>
      <c r="E12" s="313" t="s">
        <v>2101</v>
      </c>
    </row>
    <row r="13" spans="1:5" x14ac:dyDescent="0.25">
      <c r="A13" s="313" t="s">
        <v>163</v>
      </c>
      <c r="B13" s="313" t="s">
        <v>2084</v>
      </c>
      <c r="C13" s="313" t="s">
        <v>164</v>
      </c>
      <c r="D13" s="313" t="s">
        <v>24</v>
      </c>
      <c r="E13" s="313" t="s">
        <v>2102</v>
      </c>
    </row>
    <row r="14" spans="1:5" x14ac:dyDescent="0.25">
      <c r="A14" s="313" t="s">
        <v>165</v>
      </c>
      <c r="B14" s="313" t="s">
        <v>2085</v>
      </c>
      <c r="C14" s="313" t="s">
        <v>166</v>
      </c>
      <c r="D14" s="313" t="s">
        <v>163</v>
      </c>
      <c r="E14" s="313" t="s">
        <v>2103</v>
      </c>
    </row>
    <row r="15" spans="1:5" x14ac:dyDescent="0.25">
      <c r="A15" s="313" t="s">
        <v>2104</v>
      </c>
      <c r="B15" s="313" t="s">
        <v>2088</v>
      </c>
      <c r="C15" s="313" t="s">
        <v>1826</v>
      </c>
      <c r="D15" s="313" t="s">
        <v>165</v>
      </c>
      <c r="E15" s="313" t="s">
        <v>2105</v>
      </c>
    </row>
    <row r="16" spans="1:5" x14ac:dyDescent="0.25">
      <c r="A16" s="313" t="s">
        <v>184</v>
      </c>
      <c r="B16" s="313" t="s">
        <v>2085</v>
      </c>
      <c r="C16" s="313" t="s">
        <v>185</v>
      </c>
      <c r="D16" s="313" t="s">
        <v>163</v>
      </c>
      <c r="E16" s="313" t="s">
        <v>2106</v>
      </c>
    </row>
    <row r="17" spans="1:5" x14ac:dyDescent="0.25">
      <c r="A17" s="313" t="s">
        <v>2107</v>
      </c>
      <c r="B17" s="313" t="s">
        <v>2088</v>
      </c>
      <c r="C17" s="313" t="s">
        <v>1829</v>
      </c>
      <c r="D17" s="313" t="s">
        <v>184</v>
      </c>
      <c r="E17" s="313" t="s">
        <v>2108</v>
      </c>
    </row>
    <row r="18" spans="1:5" x14ac:dyDescent="0.25">
      <c r="A18" s="313" t="s">
        <v>194</v>
      </c>
      <c r="B18" s="313" t="s">
        <v>2084</v>
      </c>
      <c r="C18" s="313" t="s">
        <v>195</v>
      </c>
      <c r="D18" s="313" t="s">
        <v>24</v>
      </c>
      <c r="E18" s="313" t="s">
        <v>2109</v>
      </c>
    </row>
    <row r="19" spans="1:5" x14ac:dyDescent="0.25">
      <c r="A19" s="313" t="s">
        <v>196</v>
      </c>
      <c r="B19" s="313" t="s">
        <v>2085</v>
      </c>
      <c r="C19" s="313" t="s">
        <v>197</v>
      </c>
      <c r="D19" s="313" t="s">
        <v>194</v>
      </c>
      <c r="E19" s="313" t="s">
        <v>2110</v>
      </c>
    </row>
    <row r="20" spans="1:5" x14ac:dyDescent="0.25">
      <c r="A20" s="313" t="s">
        <v>2111</v>
      </c>
      <c r="B20" s="313" t="s">
        <v>2088</v>
      </c>
      <c r="C20" s="313" t="s">
        <v>1833</v>
      </c>
      <c r="D20" s="313" t="s">
        <v>196</v>
      </c>
      <c r="E20" s="313" t="s">
        <v>2112</v>
      </c>
    </row>
    <row r="21" spans="1:5" x14ac:dyDescent="0.25">
      <c r="A21" s="313" t="s">
        <v>229</v>
      </c>
      <c r="B21" s="313" t="s">
        <v>2085</v>
      </c>
      <c r="C21" s="313" t="s">
        <v>230</v>
      </c>
      <c r="D21" s="313" t="s">
        <v>194</v>
      </c>
      <c r="E21" s="313" t="s">
        <v>2113</v>
      </c>
    </row>
    <row r="22" spans="1:5" x14ac:dyDescent="0.25">
      <c r="A22" s="313" t="s">
        <v>2114</v>
      </c>
      <c r="B22" s="313" t="s">
        <v>2088</v>
      </c>
      <c r="C22" s="313" t="s">
        <v>2115</v>
      </c>
      <c r="D22" s="313" t="s">
        <v>229</v>
      </c>
      <c r="E22" s="313" t="s">
        <v>2116</v>
      </c>
    </row>
    <row r="23" spans="1:5" x14ac:dyDescent="0.25">
      <c r="A23" s="313" t="s">
        <v>235</v>
      </c>
      <c r="B23" s="313" t="s">
        <v>2088</v>
      </c>
      <c r="C23" s="313" t="s">
        <v>236</v>
      </c>
      <c r="D23" s="313" t="s">
        <v>229</v>
      </c>
      <c r="E23" s="313" t="s">
        <v>2117</v>
      </c>
    </row>
    <row r="24" spans="1:5" x14ac:dyDescent="0.25">
      <c r="A24" s="313" t="s">
        <v>257</v>
      </c>
      <c r="B24" s="313" t="s">
        <v>2088</v>
      </c>
      <c r="C24" s="313" t="s">
        <v>258</v>
      </c>
      <c r="D24" s="313" t="s">
        <v>229</v>
      </c>
      <c r="E24" s="313" t="s">
        <v>2118</v>
      </c>
    </row>
    <row r="25" spans="1:5" x14ac:dyDescent="0.25">
      <c r="A25" s="313" t="s">
        <v>282</v>
      </c>
      <c r="B25" s="313" t="s">
        <v>2085</v>
      </c>
      <c r="C25" s="313" t="s">
        <v>283</v>
      </c>
      <c r="D25" s="313" t="s">
        <v>194</v>
      </c>
      <c r="E25" s="313" t="s">
        <v>2119</v>
      </c>
    </row>
    <row r="26" spans="1:5" x14ac:dyDescent="0.25">
      <c r="A26" s="313" t="s">
        <v>2120</v>
      </c>
      <c r="B26" s="313" t="s">
        <v>2088</v>
      </c>
      <c r="C26" s="313" t="s">
        <v>1841</v>
      </c>
      <c r="D26" s="313" t="s">
        <v>282</v>
      </c>
      <c r="E26" s="313" t="s">
        <v>2121</v>
      </c>
    </row>
    <row r="27" spans="1:5" x14ac:dyDescent="0.25">
      <c r="A27" s="313" t="s">
        <v>332</v>
      </c>
      <c r="B27" s="313" t="s">
        <v>2085</v>
      </c>
      <c r="C27" s="313" t="s">
        <v>333</v>
      </c>
      <c r="D27" s="313" t="s">
        <v>194</v>
      </c>
      <c r="E27" s="313" t="s">
        <v>2122</v>
      </c>
    </row>
    <row r="28" spans="1:5" x14ac:dyDescent="0.25">
      <c r="A28" s="313" t="s">
        <v>2123</v>
      </c>
      <c r="B28" s="313" t="s">
        <v>2088</v>
      </c>
      <c r="C28" s="313" t="s">
        <v>1844</v>
      </c>
      <c r="D28" s="313" t="s">
        <v>332</v>
      </c>
      <c r="E28" s="313" t="s">
        <v>2124</v>
      </c>
    </row>
    <row r="29" spans="1:5" x14ac:dyDescent="0.25">
      <c r="A29" s="313" t="s">
        <v>338</v>
      </c>
      <c r="B29" s="313" t="s">
        <v>2088</v>
      </c>
      <c r="C29" s="313" t="s">
        <v>339</v>
      </c>
      <c r="D29" s="313" t="s">
        <v>332</v>
      </c>
      <c r="E29" s="313" t="s">
        <v>2125</v>
      </c>
    </row>
    <row r="30" spans="1:5" x14ac:dyDescent="0.25">
      <c r="A30" s="313" t="s">
        <v>346</v>
      </c>
      <c r="B30" s="313" t="s">
        <v>2088</v>
      </c>
      <c r="C30" s="313" t="s">
        <v>347</v>
      </c>
      <c r="D30" s="313" t="s">
        <v>332</v>
      </c>
      <c r="E30" s="313" t="s">
        <v>2126</v>
      </c>
    </row>
    <row r="31" spans="1:5" x14ac:dyDescent="0.25">
      <c r="A31" s="313" t="s">
        <v>352</v>
      </c>
      <c r="B31" s="313" t="s">
        <v>2085</v>
      </c>
      <c r="C31" s="313" t="s">
        <v>353</v>
      </c>
      <c r="D31" s="313" t="s">
        <v>194</v>
      </c>
      <c r="E31" s="313" t="s">
        <v>2127</v>
      </c>
    </row>
    <row r="32" spans="1:5" x14ac:dyDescent="0.25">
      <c r="A32" s="313" t="s">
        <v>2128</v>
      </c>
      <c r="B32" s="313" t="s">
        <v>2088</v>
      </c>
      <c r="C32" s="313" t="s">
        <v>1849</v>
      </c>
      <c r="D32" s="313" t="s">
        <v>352</v>
      </c>
      <c r="E32" s="313" t="s">
        <v>2129</v>
      </c>
    </row>
    <row r="33" spans="1:5" x14ac:dyDescent="0.25">
      <c r="A33" s="313" t="s">
        <v>364</v>
      </c>
      <c r="B33" s="313" t="s">
        <v>2084</v>
      </c>
      <c r="C33" s="313" t="s">
        <v>365</v>
      </c>
      <c r="D33" s="313" t="s">
        <v>24</v>
      </c>
      <c r="E33" s="313" t="s">
        <v>2130</v>
      </c>
    </row>
    <row r="34" spans="1:5" x14ac:dyDescent="0.25">
      <c r="A34" s="313" t="s">
        <v>366</v>
      </c>
      <c r="B34" s="313" t="s">
        <v>2085</v>
      </c>
      <c r="C34" s="313" t="s">
        <v>367</v>
      </c>
      <c r="D34" s="313" t="s">
        <v>364</v>
      </c>
      <c r="E34" s="313" t="s">
        <v>2131</v>
      </c>
    </row>
    <row r="35" spans="1:5" x14ac:dyDescent="0.25">
      <c r="A35" s="313" t="s">
        <v>2132</v>
      </c>
      <c r="B35" s="313" t="s">
        <v>2088</v>
      </c>
      <c r="C35" s="313" t="s">
        <v>1853</v>
      </c>
      <c r="D35" s="313" t="s">
        <v>366</v>
      </c>
      <c r="E35" s="313" t="s">
        <v>2133</v>
      </c>
    </row>
    <row r="36" spans="1:5" x14ac:dyDescent="0.25">
      <c r="A36" s="313" t="s">
        <v>385</v>
      </c>
      <c r="B36" s="313" t="s">
        <v>2085</v>
      </c>
      <c r="C36" s="313" t="s">
        <v>386</v>
      </c>
      <c r="D36" s="313" t="s">
        <v>364</v>
      </c>
      <c r="E36" s="313" t="s">
        <v>2134</v>
      </c>
    </row>
    <row r="37" spans="1:5" x14ac:dyDescent="0.25">
      <c r="A37" s="313" t="s">
        <v>2135</v>
      </c>
      <c r="B37" s="313" t="s">
        <v>2088</v>
      </c>
      <c r="C37" s="313" t="s">
        <v>2136</v>
      </c>
      <c r="D37" s="313" t="s">
        <v>385</v>
      </c>
      <c r="E37" s="313" t="s">
        <v>2137</v>
      </c>
    </row>
    <row r="38" spans="1:5" x14ac:dyDescent="0.25">
      <c r="A38" s="313" t="s">
        <v>400</v>
      </c>
      <c r="B38" s="313" t="s">
        <v>2085</v>
      </c>
      <c r="C38" s="313" t="s">
        <v>2138</v>
      </c>
      <c r="D38" s="313" t="s">
        <v>364</v>
      </c>
      <c r="E38" s="313" t="s">
        <v>2139</v>
      </c>
    </row>
    <row r="39" spans="1:5" x14ac:dyDescent="0.25">
      <c r="A39" s="313" t="s">
        <v>402</v>
      </c>
      <c r="B39" s="313" t="s">
        <v>2088</v>
      </c>
      <c r="C39" s="313" t="s">
        <v>403</v>
      </c>
      <c r="D39" s="313" t="s">
        <v>400</v>
      </c>
      <c r="E39" s="313" t="s">
        <v>2140</v>
      </c>
    </row>
    <row r="40" spans="1:5" x14ac:dyDescent="0.25">
      <c r="A40" s="313" t="s">
        <v>423</v>
      </c>
      <c r="B40" s="313" t="s">
        <v>2088</v>
      </c>
      <c r="C40" s="313" t="s">
        <v>424</v>
      </c>
      <c r="D40" s="313" t="s">
        <v>400</v>
      </c>
      <c r="E40" s="313" t="s">
        <v>2141</v>
      </c>
    </row>
    <row r="41" spans="1:5" x14ac:dyDescent="0.25">
      <c r="A41" s="313" t="s">
        <v>435</v>
      </c>
      <c r="B41" s="313" t="s">
        <v>2085</v>
      </c>
      <c r="C41" s="313" t="s">
        <v>436</v>
      </c>
      <c r="D41" s="313" t="s">
        <v>364</v>
      </c>
      <c r="E41" s="313" t="s">
        <v>2142</v>
      </c>
    </row>
    <row r="42" spans="1:5" x14ac:dyDescent="0.25">
      <c r="A42" s="313" t="s">
        <v>2143</v>
      </c>
      <c r="B42" s="313" t="s">
        <v>2088</v>
      </c>
      <c r="C42" s="313" t="s">
        <v>1862</v>
      </c>
      <c r="D42" s="313" t="s">
        <v>435</v>
      </c>
      <c r="E42" s="313" t="s">
        <v>2144</v>
      </c>
    </row>
    <row r="43" spans="1:5" x14ac:dyDescent="0.25">
      <c r="A43" s="313" t="s">
        <v>456</v>
      </c>
      <c r="B43" s="313" t="s">
        <v>2085</v>
      </c>
      <c r="C43" s="313" t="s">
        <v>457</v>
      </c>
      <c r="D43" s="313" t="s">
        <v>364</v>
      </c>
      <c r="E43" s="313" t="s">
        <v>2145</v>
      </c>
    </row>
    <row r="44" spans="1:5" x14ac:dyDescent="0.25">
      <c r="A44" s="313" t="s">
        <v>2146</v>
      </c>
      <c r="B44" s="313" t="s">
        <v>2088</v>
      </c>
      <c r="C44" s="313" t="s">
        <v>1865</v>
      </c>
      <c r="D44" s="313" t="s">
        <v>456</v>
      </c>
      <c r="E44" s="313" t="s">
        <v>2147</v>
      </c>
    </row>
    <row r="45" spans="1:5" x14ac:dyDescent="0.25">
      <c r="A45" s="313" t="s">
        <v>470</v>
      </c>
      <c r="B45" s="313" t="s">
        <v>2084</v>
      </c>
      <c r="C45" s="313" t="s">
        <v>471</v>
      </c>
      <c r="D45" s="313" t="s">
        <v>24</v>
      </c>
      <c r="E45" s="313" t="s">
        <v>2148</v>
      </c>
    </row>
    <row r="46" spans="1:5" x14ac:dyDescent="0.25">
      <c r="A46" s="313" t="s">
        <v>2149</v>
      </c>
      <c r="B46" s="313" t="s">
        <v>2085</v>
      </c>
      <c r="C46" s="313" t="s">
        <v>2150</v>
      </c>
      <c r="D46" s="313" t="s">
        <v>470</v>
      </c>
      <c r="E46" s="313" t="s">
        <v>2151</v>
      </c>
    </row>
    <row r="47" spans="1:5" x14ac:dyDescent="0.25">
      <c r="A47" s="313" t="s">
        <v>2152</v>
      </c>
      <c r="B47" s="313" t="s">
        <v>2088</v>
      </c>
      <c r="C47" s="313" t="s">
        <v>2150</v>
      </c>
      <c r="D47" s="313" t="s">
        <v>2149</v>
      </c>
      <c r="E47" s="313" t="s">
        <v>2153</v>
      </c>
    </row>
    <row r="48" spans="1:5" x14ac:dyDescent="0.25">
      <c r="A48" s="313" t="s">
        <v>476</v>
      </c>
      <c r="B48" s="313" t="s">
        <v>2085</v>
      </c>
      <c r="C48" s="313" t="s">
        <v>477</v>
      </c>
      <c r="D48" s="313" t="s">
        <v>470</v>
      </c>
      <c r="E48" s="313" t="s">
        <v>2154</v>
      </c>
    </row>
    <row r="49" spans="1:5" x14ac:dyDescent="0.25">
      <c r="A49" s="313" t="s">
        <v>2155</v>
      </c>
      <c r="B49" s="313" t="s">
        <v>2088</v>
      </c>
      <c r="C49" s="313" t="s">
        <v>1872</v>
      </c>
      <c r="D49" s="313" t="s">
        <v>476</v>
      </c>
      <c r="E49" s="313" t="s">
        <v>2156</v>
      </c>
    </row>
    <row r="50" spans="1:5" x14ac:dyDescent="0.25">
      <c r="A50" s="313" t="s">
        <v>508</v>
      </c>
      <c r="B50" s="313" t="s">
        <v>2085</v>
      </c>
      <c r="C50" s="313" t="s">
        <v>509</v>
      </c>
      <c r="D50" s="313" t="s">
        <v>470</v>
      </c>
      <c r="E50" s="313" t="s">
        <v>2157</v>
      </c>
    </row>
    <row r="51" spans="1:5" x14ac:dyDescent="0.25">
      <c r="A51" s="313" t="s">
        <v>2158</v>
      </c>
      <c r="B51" s="313" t="s">
        <v>2088</v>
      </c>
      <c r="C51" s="313" t="s">
        <v>1875</v>
      </c>
      <c r="D51" s="313" t="s">
        <v>508</v>
      </c>
      <c r="E51" s="313" t="s">
        <v>2159</v>
      </c>
    </row>
    <row r="52" spans="1:5" x14ac:dyDescent="0.25">
      <c r="A52" s="313" t="s">
        <v>556</v>
      </c>
      <c r="B52" s="313" t="s">
        <v>2085</v>
      </c>
      <c r="C52" s="313" t="s">
        <v>557</v>
      </c>
      <c r="D52" s="313" t="s">
        <v>470</v>
      </c>
      <c r="E52" s="313" t="s">
        <v>2160</v>
      </c>
    </row>
    <row r="53" spans="1:5" x14ac:dyDescent="0.25">
      <c r="A53" s="313" t="s">
        <v>2161</v>
      </c>
      <c r="B53" s="313" t="s">
        <v>2088</v>
      </c>
      <c r="C53" s="313" t="s">
        <v>2162</v>
      </c>
      <c r="D53" s="313" t="s">
        <v>556</v>
      </c>
      <c r="E53" s="313" t="s">
        <v>2163</v>
      </c>
    </row>
    <row r="54" spans="1:5" x14ac:dyDescent="0.25">
      <c r="A54" s="313" t="s">
        <v>569</v>
      </c>
      <c r="B54" s="313" t="s">
        <v>2085</v>
      </c>
      <c r="C54" s="313" t="s">
        <v>570</v>
      </c>
      <c r="D54" s="313" t="s">
        <v>470</v>
      </c>
      <c r="E54" s="313" t="s">
        <v>2164</v>
      </c>
    </row>
    <row r="55" spans="1:5" x14ac:dyDescent="0.25">
      <c r="A55" s="313" t="s">
        <v>2165</v>
      </c>
      <c r="B55" s="313" t="s">
        <v>2088</v>
      </c>
      <c r="C55" s="313" t="s">
        <v>1880</v>
      </c>
      <c r="D55" s="313" t="s">
        <v>569</v>
      </c>
      <c r="E55" s="313" t="s">
        <v>2166</v>
      </c>
    </row>
    <row r="56" spans="1:5" x14ac:dyDescent="0.25">
      <c r="A56" s="313" t="s">
        <v>575</v>
      </c>
      <c r="B56" s="313" t="s">
        <v>2085</v>
      </c>
      <c r="C56" s="313" t="s">
        <v>576</v>
      </c>
      <c r="D56" s="313" t="s">
        <v>470</v>
      </c>
      <c r="E56" s="313" t="s">
        <v>2167</v>
      </c>
    </row>
    <row r="57" spans="1:5" x14ac:dyDescent="0.25">
      <c r="A57" s="313" t="s">
        <v>2168</v>
      </c>
      <c r="B57" s="313" t="s">
        <v>2088</v>
      </c>
      <c r="C57" s="313" t="s">
        <v>2169</v>
      </c>
      <c r="D57" s="313" t="s">
        <v>575</v>
      </c>
      <c r="E57" s="313" t="s">
        <v>2170</v>
      </c>
    </row>
    <row r="58" spans="1:5" x14ac:dyDescent="0.25">
      <c r="A58" s="313" t="s">
        <v>604</v>
      </c>
      <c r="B58" s="313" t="s">
        <v>2085</v>
      </c>
      <c r="C58" s="313" t="s">
        <v>605</v>
      </c>
      <c r="D58" s="313" t="s">
        <v>470</v>
      </c>
      <c r="E58" s="313" t="s">
        <v>2171</v>
      </c>
    </row>
    <row r="59" spans="1:5" x14ac:dyDescent="0.25">
      <c r="A59" s="313" t="s">
        <v>2172</v>
      </c>
      <c r="B59" s="313" t="s">
        <v>2088</v>
      </c>
      <c r="C59" s="313" t="s">
        <v>2173</v>
      </c>
      <c r="D59" s="313" t="s">
        <v>604</v>
      </c>
      <c r="E59" s="313" t="s">
        <v>2174</v>
      </c>
    </row>
    <row r="60" spans="1:5" x14ac:dyDescent="0.25">
      <c r="A60" s="313" t="s">
        <v>618</v>
      </c>
      <c r="B60" s="313" t="s">
        <v>2084</v>
      </c>
      <c r="C60" s="313" t="s">
        <v>619</v>
      </c>
      <c r="D60" s="313" t="s">
        <v>24</v>
      </c>
      <c r="E60" s="313" t="s">
        <v>2175</v>
      </c>
    </row>
    <row r="61" spans="1:5" x14ac:dyDescent="0.25">
      <c r="A61" s="313" t="s">
        <v>620</v>
      </c>
      <c r="B61" s="313" t="s">
        <v>2085</v>
      </c>
      <c r="C61" s="313" t="s">
        <v>621</v>
      </c>
      <c r="D61" s="313" t="s">
        <v>618</v>
      </c>
      <c r="E61" s="313" t="s">
        <v>2176</v>
      </c>
    </row>
    <row r="62" spans="1:5" x14ac:dyDescent="0.25">
      <c r="A62" s="313" t="s">
        <v>2177</v>
      </c>
      <c r="B62" s="313" t="s">
        <v>2088</v>
      </c>
      <c r="C62" s="313" t="s">
        <v>1886</v>
      </c>
      <c r="D62" s="313" t="s">
        <v>620</v>
      </c>
      <c r="E62" s="313" t="s">
        <v>2178</v>
      </c>
    </row>
    <row r="63" spans="1:5" x14ac:dyDescent="0.25">
      <c r="A63" s="313" t="s">
        <v>643</v>
      </c>
      <c r="B63" s="313" t="s">
        <v>2085</v>
      </c>
      <c r="C63" s="313" t="s">
        <v>644</v>
      </c>
      <c r="D63" s="313" t="s">
        <v>618</v>
      </c>
      <c r="E63" s="313" t="s">
        <v>2179</v>
      </c>
    </row>
    <row r="64" spans="1:5" x14ac:dyDescent="0.25">
      <c r="A64" s="313" t="s">
        <v>2180</v>
      </c>
      <c r="B64" s="313" t="s">
        <v>2088</v>
      </c>
      <c r="C64" s="313" t="s">
        <v>1889</v>
      </c>
      <c r="D64" s="313" t="s">
        <v>643</v>
      </c>
      <c r="E64" s="313" t="s">
        <v>2181</v>
      </c>
    </row>
    <row r="65" spans="1:5" x14ac:dyDescent="0.25">
      <c r="A65" s="313" t="s">
        <v>664</v>
      </c>
      <c r="B65" s="313" t="s">
        <v>2085</v>
      </c>
      <c r="C65" s="313" t="s">
        <v>665</v>
      </c>
      <c r="D65" s="313" t="s">
        <v>618</v>
      </c>
      <c r="E65" s="313" t="s">
        <v>2182</v>
      </c>
    </row>
    <row r="66" spans="1:5" x14ac:dyDescent="0.25">
      <c r="A66" s="313" t="s">
        <v>2183</v>
      </c>
      <c r="B66" s="313" t="s">
        <v>2088</v>
      </c>
      <c r="C66" s="313" t="s">
        <v>1892</v>
      </c>
      <c r="D66" s="313" t="s">
        <v>664</v>
      </c>
      <c r="E66" s="313" t="s">
        <v>2184</v>
      </c>
    </row>
    <row r="67" spans="1:5" x14ac:dyDescent="0.25">
      <c r="A67" s="313" t="s">
        <v>704</v>
      </c>
      <c r="B67" s="313" t="s">
        <v>2085</v>
      </c>
      <c r="C67" s="313" t="s">
        <v>2185</v>
      </c>
      <c r="D67" s="313" t="s">
        <v>618</v>
      </c>
      <c r="E67" s="313" t="s">
        <v>2186</v>
      </c>
    </row>
    <row r="68" spans="1:5" x14ac:dyDescent="0.25">
      <c r="A68" s="313" t="s">
        <v>2187</v>
      </c>
      <c r="B68" s="313" t="s">
        <v>2088</v>
      </c>
      <c r="C68" s="313" t="s">
        <v>2188</v>
      </c>
      <c r="D68" s="313" t="s">
        <v>704</v>
      </c>
      <c r="E68" s="313" t="s">
        <v>2189</v>
      </c>
    </row>
    <row r="69" spans="1:5" x14ac:dyDescent="0.25">
      <c r="A69" s="313" t="s">
        <v>720</v>
      </c>
      <c r="B69" s="313" t="s">
        <v>2085</v>
      </c>
      <c r="C69" s="313" t="s">
        <v>721</v>
      </c>
      <c r="D69" s="313" t="s">
        <v>618</v>
      </c>
      <c r="E69" s="313" t="s">
        <v>2190</v>
      </c>
    </row>
    <row r="70" spans="1:5" x14ac:dyDescent="0.25">
      <c r="A70" s="313" t="s">
        <v>2191</v>
      </c>
      <c r="B70" s="313" t="s">
        <v>2088</v>
      </c>
      <c r="C70" s="313" t="s">
        <v>1898</v>
      </c>
      <c r="D70" s="313" t="s">
        <v>720</v>
      </c>
      <c r="E70" s="313" t="s">
        <v>2192</v>
      </c>
    </row>
    <row r="71" spans="1:5" x14ac:dyDescent="0.25">
      <c r="A71" s="313" t="s">
        <v>762</v>
      </c>
      <c r="B71" s="313" t="s">
        <v>2084</v>
      </c>
      <c r="C71" s="313" t="s">
        <v>763</v>
      </c>
      <c r="D71" s="313" t="s">
        <v>24</v>
      </c>
      <c r="E71" s="313" t="s">
        <v>2193</v>
      </c>
    </row>
    <row r="72" spans="1:5" x14ac:dyDescent="0.25">
      <c r="A72" s="313" t="s">
        <v>764</v>
      </c>
      <c r="B72" s="313" t="s">
        <v>2085</v>
      </c>
      <c r="C72" s="313" t="s">
        <v>765</v>
      </c>
      <c r="D72" s="313" t="s">
        <v>762</v>
      </c>
      <c r="E72" s="313" t="s">
        <v>2194</v>
      </c>
    </row>
    <row r="73" spans="1:5" x14ac:dyDescent="0.25">
      <c r="A73" s="313" t="s">
        <v>2195</v>
      </c>
      <c r="B73" s="313" t="s">
        <v>2088</v>
      </c>
      <c r="C73" s="313" t="s">
        <v>1902</v>
      </c>
      <c r="D73" s="313" t="s">
        <v>764</v>
      </c>
      <c r="E73" s="313" t="s">
        <v>2196</v>
      </c>
    </row>
    <row r="74" spans="1:5" x14ac:dyDescent="0.25">
      <c r="A74" s="313" t="s">
        <v>787</v>
      </c>
      <c r="B74" s="313" t="s">
        <v>2085</v>
      </c>
      <c r="C74" s="313" t="s">
        <v>788</v>
      </c>
      <c r="D74" s="313" t="s">
        <v>762</v>
      </c>
      <c r="E74" s="313" t="s">
        <v>2197</v>
      </c>
    </row>
    <row r="75" spans="1:5" x14ac:dyDescent="0.25">
      <c r="A75" s="313" t="s">
        <v>2198</v>
      </c>
      <c r="B75" s="313" t="s">
        <v>2088</v>
      </c>
      <c r="C75" s="313" t="s">
        <v>1905</v>
      </c>
      <c r="D75" s="313" t="s">
        <v>787</v>
      </c>
      <c r="E75" s="313" t="s">
        <v>2199</v>
      </c>
    </row>
    <row r="76" spans="1:5" x14ac:dyDescent="0.25">
      <c r="A76" s="313" t="s">
        <v>821</v>
      </c>
      <c r="B76" s="313" t="s">
        <v>2085</v>
      </c>
      <c r="C76" s="313" t="s">
        <v>822</v>
      </c>
      <c r="D76" s="313" t="s">
        <v>762</v>
      </c>
      <c r="E76" s="313" t="s">
        <v>2200</v>
      </c>
    </row>
    <row r="77" spans="1:5" x14ac:dyDescent="0.25">
      <c r="A77" s="313" t="s">
        <v>2201</v>
      </c>
      <c r="B77" s="313" t="s">
        <v>2088</v>
      </c>
      <c r="C77" s="313" t="s">
        <v>2202</v>
      </c>
      <c r="D77" s="313" t="s">
        <v>821</v>
      </c>
      <c r="E77" s="313" t="s">
        <v>2203</v>
      </c>
    </row>
    <row r="78" spans="1:5" x14ac:dyDescent="0.25">
      <c r="A78" s="313" t="s">
        <v>827</v>
      </c>
      <c r="B78" s="313" t="s">
        <v>2084</v>
      </c>
      <c r="C78" s="313" t="s">
        <v>2204</v>
      </c>
      <c r="D78" s="313" t="s">
        <v>24</v>
      </c>
      <c r="E78" s="313" t="s">
        <v>2205</v>
      </c>
    </row>
    <row r="79" spans="1:5" x14ac:dyDescent="0.25">
      <c r="A79" s="313" t="s">
        <v>2206</v>
      </c>
      <c r="B79" s="313" t="s">
        <v>2085</v>
      </c>
      <c r="C79" s="313" t="s">
        <v>2207</v>
      </c>
      <c r="D79" s="313" t="s">
        <v>827</v>
      </c>
      <c r="E79" s="313" t="s">
        <v>2208</v>
      </c>
    </row>
    <row r="80" spans="1:5" x14ac:dyDescent="0.25">
      <c r="A80" s="313" t="s">
        <v>2209</v>
      </c>
      <c r="B80" s="313" t="s">
        <v>2088</v>
      </c>
      <c r="C80" s="313" t="s">
        <v>2207</v>
      </c>
      <c r="D80" s="313" t="s">
        <v>2206</v>
      </c>
      <c r="E80" s="313" t="s">
        <v>2210</v>
      </c>
    </row>
    <row r="81" spans="1:5" x14ac:dyDescent="0.25">
      <c r="A81" s="313" t="s">
        <v>842</v>
      </c>
      <c r="B81" s="313" t="s">
        <v>2084</v>
      </c>
      <c r="C81" s="313" t="s">
        <v>843</v>
      </c>
      <c r="D81" s="313" t="s">
        <v>24</v>
      </c>
      <c r="E81" s="313" t="s">
        <v>2211</v>
      </c>
    </row>
    <row r="82" spans="1:5" x14ac:dyDescent="0.25">
      <c r="A82" s="313" t="s">
        <v>2212</v>
      </c>
      <c r="B82" s="313" t="s">
        <v>2085</v>
      </c>
      <c r="C82" s="313" t="s">
        <v>1915</v>
      </c>
      <c r="D82" s="313" t="s">
        <v>842</v>
      </c>
      <c r="E82" s="313" t="s">
        <v>2213</v>
      </c>
    </row>
    <row r="83" spans="1:5" x14ac:dyDescent="0.25">
      <c r="A83" s="313" t="s">
        <v>2214</v>
      </c>
      <c r="B83" s="313" t="s">
        <v>2088</v>
      </c>
      <c r="C83" s="313" t="s">
        <v>1915</v>
      </c>
      <c r="D83" s="313" t="s">
        <v>2212</v>
      </c>
      <c r="E83" s="313" t="s">
        <v>2215</v>
      </c>
    </row>
    <row r="84" spans="1:5" x14ac:dyDescent="0.25">
      <c r="A84" s="313" t="s">
        <v>851</v>
      </c>
      <c r="B84" s="313" t="s">
        <v>2084</v>
      </c>
      <c r="C84" s="313" t="s">
        <v>852</v>
      </c>
      <c r="D84" s="313" t="s">
        <v>24</v>
      </c>
      <c r="E84" s="313" t="s">
        <v>2216</v>
      </c>
    </row>
    <row r="85" spans="1:5" x14ac:dyDescent="0.25">
      <c r="A85" s="313" t="s">
        <v>853</v>
      </c>
      <c r="B85" s="313" t="s">
        <v>2085</v>
      </c>
      <c r="C85" s="313" t="s">
        <v>854</v>
      </c>
      <c r="D85" s="313" t="s">
        <v>851</v>
      </c>
      <c r="E85" s="313" t="s">
        <v>2217</v>
      </c>
    </row>
    <row r="86" spans="1:5" x14ac:dyDescent="0.25">
      <c r="A86" s="313" t="s">
        <v>2218</v>
      </c>
      <c r="B86" s="313" t="s">
        <v>2088</v>
      </c>
      <c r="C86" s="313" t="s">
        <v>1919</v>
      </c>
      <c r="D86" s="313" t="s">
        <v>853</v>
      </c>
      <c r="E86" s="313" t="s">
        <v>2219</v>
      </c>
    </row>
    <row r="87" spans="1:5" x14ac:dyDescent="0.25">
      <c r="A87" s="313" t="s">
        <v>907</v>
      </c>
      <c r="B87" s="313" t="s">
        <v>2088</v>
      </c>
      <c r="C87" s="313" t="s">
        <v>908</v>
      </c>
      <c r="D87" s="313" t="s">
        <v>853</v>
      </c>
      <c r="E87" s="313" t="s">
        <v>2220</v>
      </c>
    </row>
    <row r="88" spans="1:5" x14ac:dyDescent="0.25">
      <c r="A88" s="313" t="s">
        <v>916</v>
      </c>
      <c r="B88" s="313" t="s">
        <v>2088</v>
      </c>
      <c r="C88" s="313" t="s">
        <v>2221</v>
      </c>
      <c r="D88" s="313" t="s">
        <v>853</v>
      </c>
      <c r="E88" s="313" t="s">
        <v>2222</v>
      </c>
    </row>
    <row r="89" spans="1:5" x14ac:dyDescent="0.25">
      <c r="A89" s="313" t="s">
        <v>930</v>
      </c>
      <c r="B89" s="313" t="s">
        <v>2088</v>
      </c>
      <c r="C89" s="313" t="s">
        <v>2223</v>
      </c>
      <c r="D89" s="313" t="s">
        <v>853</v>
      </c>
      <c r="E89" s="313" t="s">
        <v>2224</v>
      </c>
    </row>
    <row r="90" spans="1:5" x14ac:dyDescent="0.25">
      <c r="A90" s="313" t="s">
        <v>940</v>
      </c>
      <c r="B90" s="313" t="s">
        <v>2085</v>
      </c>
      <c r="C90" s="313" t="s">
        <v>941</v>
      </c>
      <c r="D90" s="313" t="s">
        <v>851</v>
      </c>
      <c r="E90" s="313" t="s">
        <v>2225</v>
      </c>
    </row>
    <row r="91" spans="1:5" x14ac:dyDescent="0.25">
      <c r="A91" s="313" t="s">
        <v>2226</v>
      </c>
      <c r="B91" s="313" t="s">
        <v>2088</v>
      </c>
      <c r="C91" s="313" t="s">
        <v>1925</v>
      </c>
      <c r="D91" s="313" t="s">
        <v>940</v>
      </c>
      <c r="E91" s="313" t="s">
        <v>2227</v>
      </c>
    </row>
    <row r="92" spans="1:5" x14ac:dyDescent="0.25">
      <c r="A92" s="313" t="s">
        <v>998</v>
      </c>
      <c r="B92" s="313" t="s">
        <v>2088</v>
      </c>
      <c r="C92" s="313" t="s">
        <v>999</v>
      </c>
      <c r="D92" s="313" t="s">
        <v>940</v>
      </c>
      <c r="E92" s="313" t="s">
        <v>2228</v>
      </c>
    </row>
    <row r="93" spans="1:5" x14ac:dyDescent="0.25">
      <c r="A93" s="313" t="s">
        <v>1010</v>
      </c>
      <c r="B93" s="313" t="s">
        <v>2088</v>
      </c>
      <c r="C93" s="313" t="s">
        <v>1011</v>
      </c>
      <c r="D93" s="313" t="s">
        <v>940</v>
      </c>
      <c r="E93" s="313" t="s">
        <v>2229</v>
      </c>
    </row>
    <row r="94" spans="1:5" x14ac:dyDescent="0.25">
      <c r="A94" s="313" t="s">
        <v>1026</v>
      </c>
      <c r="B94" s="313" t="s">
        <v>2088</v>
      </c>
      <c r="C94" s="313" t="s">
        <v>1027</v>
      </c>
      <c r="D94" s="313" t="s">
        <v>940</v>
      </c>
      <c r="E94" s="313" t="s">
        <v>2230</v>
      </c>
    </row>
    <row r="95" spans="1:5" x14ac:dyDescent="0.25">
      <c r="A95" s="313" t="s">
        <v>1047</v>
      </c>
      <c r="B95" s="313" t="s">
        <v>2084</v>
      </c>
      <c r="C95" s="313" t="s">
        <v>1048</v>
      </c>
      <c r="D95" s="313" t="s">
        <v>24</v>
      </c>
      <c r="E95" s="313" t="s">
        <v>2231</v>
      </c>
    </row>
    <row r="96" spans="1:5" x14ac:dyDescent="0.25">
      <c r="A96" s="313" t="s">
        <v>1049</v>
      </c>
      <c r="B96" s="313" t="s">
        <v>2085</v>
      </c>
      <c r="C96" s="313" t="s">
        <v>1050</v>
      </c>
      <c r="D96" s="313" t="s">
        <v>1047</v>
      </c>
      <c r="E96" s="313" t="s">
        <v>2232</v>
      </c>
    </row>
    <row r="97" spans="1:5" x14ac:dyDescent="0.25">
      <c r="A97" s="313" t="s">
        <v>2233</v>
      </c>
      <c r="B97" s="313" t="s">
        <v>2088</v>
      </c>
      <c r="C97" s="313" t="s">
        <v>1932</v>
      </c>
      <c r="D97" s="313" t="s">
        <v>1049</v>
      </c>
      <c r="E97" s="313" t="s">
        <v>2234</v>
      </c>
    </row>
    <row r="98" spans="1:5" x14ac:dyDescent="0.25">
      <c r="A98" s="313" t="s">
        <v>1088</v>
      </c>
      <c r="B98" s="313" t="s">
        <v>2085</v>
      </c>
      <c r="C98" s="313" t="s">
        <v>1089</v>
      </c>
      <c r="D98" s="313" t="s">
        <v>1047</v>
      </c>
      <c r="E98" s="313" t="s">
        <v>2235</v>
      </c>
    </row>
    <row r="99" spans="1:5" x14ac:dyDescent="0.25">
      <c r="A99" s="313" t="s">
        <v>2236</v>
      </c>
      <c r="B99" s="313" t="s">
        <v>2088</v>
      </c>
      <c r="C99" s="313" t="s">
        <v>1935</v>
      </c>
      <c r="D99" s="313" t="s">
        <v>1088</v>
      </c>
      <c r="E99" s="313" t="s">
        <v>2237</v>
      </c>
    </row>
    <row r="100" spans="1:5" x14ac:dyDescent="0.25">
      <c r="A100" s="313" t="s">
        <v>1098</v>
      </c>
      <c r="B100" s="313" t="s">
        <v>2085</v>
      </c>
      <c r="C100" s="313" t="s">
        <v>1099</v>
      </c>
      <c r="D100" s="313" t="s">
        <v>1047</v>
      </c>
      <c r="E100" s="313" t="s">
        <v>2238</v>
      </c>
    </row>
    <row r="101" spans="1:5" x14ac:dyDescent="0.25">
      <c r="A101" s="313" t="s">
        <v>2239</v>
      </c>
      <c r="B101" s="313" t="s">
        <v>2088</v>
      </c>
      <c r="C101" s="313" t="s">
        <v>1938</v>
      </c>
      <c r="D101" s="313" t="s">
        <v>1098</v>
      </c>
      <c r="E101" s="313" t="s">
        <v>2240</v>
      </c>
    </row>
    <row r="102" spans="1:5" x14ac:dyDescent="0.25">
      <c r="A102" s="313" t="s">
        <v>1106</v>
      </c>
      <c r="B102" s="313" t="s">
        <v>2085</v>
      </c>
      <c r="C102" s="313" t="s">
        <v>1107</v>
      </c>
      <c r="D102" s="313" t="s">
        <v>1047</v>
      </c>
      <c r="E102" s="313" t="s">
        <v>2241</v>
      </c>
    </row>
    <row r="103" spans="1:5" x14ac:dyDescent="0.25">
      <c r="A103" s="313" t="s">
        <v>2242</v>
      </c>
      <c r="B103" s="313" t="s">
        <v>2088</v>
      </c>
      <c r="C103" s="313" t="s">
        <v>1941</v>
      </c>
      <c r="D103" s="313" t="s">
        <v>1106</v>
      </c>
      <c r="E103" s="313" t="s">
        <v>2243</v>
      </c>
    </row>
    <row r="104" spans="1:5" x14ac:dyDescent="0.25">
      <c r="A104" s="313" t="s">
        <v>1125</v>
      </c>
      <c r="B104" s="313" t="s">
        <v>2085</v>
      </c>
      <c r="C104" s="313" t="s">
        <v>1126</v>
      </c>
      <c r="D104" s="313" t="s">
        <v>1047</v>
      </c>
      <c r="E104" s="313" t="s">
        <v>2244</v>
      </c>
    </row>
    <row r="105" spans="1:5" x14ac:dyDescent="0.25">
      <c r="A105" s="313" t="s">
        <v>2245</v>
      </c>
      <c r="B105" s="313" t="s">
        <v>2088</v>
      </c>
      <c r="C105" s="313" t="s">
        <v>1944</v>
      </c>
      <c r="D105" s="313" t="s">
        <v>1125</v>
      </c>
      <c r="E105" s="313" t="s">
        <v>2246</v>
      </c>
    </row>
    <row r="106" spans="1:5" x14ac:dyDescent="0.25">
      <c r="A106" s="313" t="s">
        <v>1149</v>
      </c>
      <c r="B106" s="313" t="s">
        <v>2085</v>
      </c>
      <c r="C106" s="313" t="s">
        <v>1150</v>
      </c>
      <c r="D106" s="313" t="s">
        <v>1047</v>
      </c>
      <c r="E106" s="313" t="s">
        <v>2247</v>
      </c>
    </row>
    <row r="107" spans="1:5" x14ac:dyDescent="0.25">
      <c r="A107" s="313" t="s">
        <v>2248</v>
      </c>
      <c r="B107" s="313" t="s">
        <v>2088</v>
      </c>
      <c r="C107" s="313" t="s">
        <v>1947</v>
      </c>
      <c r="D107" s="313" t="s">
        <v>1149</v>
      </c>
      <c r="E107" s="313" t="s">
        <v>2249</v>
      </c>
    </row>
    <row r="108" spans="1:5" x14ac:dyDescent="0.25">
      <c r="A108" s="313" t="s">
        <v>1203</v>
      </c>
      <c r="B108" s="313" t="s">
        <v>2085</v>
      </c>
      <c r="C108" s="313" t="s">
        <v>1204</v>
      </c>
      <c r="D108" s="313" t="s">
        <v>1047</v>
      </c>
      <c r="E108" s="313" t="s">
        <v>2250</v>
      </c>
    </row>
    <row r="109" spans="1:5" x14ac:dyDescent="0.25">
      <c r="A109" s="313" t="s">
        <v>2251</v>
      </c>
      <c r="B109" s="313" t="s">
        <v>2088</v>
      </c>
      <c r="C109" s="313" t="s">
        <v>1950</v>
      </c>
      <c r="D109" s="313" t="s">
        <v>1203</v>
      </c>
      <c r="E109" s="313" t="s">
        <v>2252</v>
      </c>
    </row>
    <row r="110" spans="1:5" x14ac:dyDescent="0.25">
      <c r="A110" s="313" t="s">
        <v>1229</v>
      </c>
      <c r="B110" s="313" t="s">
        <v>2084</v>
      </c>
      <c r="C110" s="313" t="s">
        <v>1230</v>
      </c>
      <c r="D110" s="313" t="s">
        <v>24</v>
      </c>
      <c r="E110" s="313" t="s">
        <v>2253</v>
      </c>
    </row>
    <row r="111" spans="1:5" x14ac:dyDescent="0.25">
      <c r="A111" s="313" t="s">
        <v>1231</v>
      </c>
      <c r="B111" s="313" t="s">
        <v>2085</v>
      </c>
      <c r="C111" s="313" t="s">
        <v>1232</v>
      </c>
      <c r="D111" s="313" t="s">
        <v>1229</v>
      </c>
      <c r="E111" s="313" t="s">
        <v>2254</v>
      </c>
    </row>
    <row r="112" spans="1:5" x14ac:dyDescent="0.25">
      <c r="A112" s="313" t="s">
        <v>1233</v>
      </c>
      <c r="B112" s="313" t="s">
        <v>2088</v>
      </c>
      <c r="C112" s="313" t="s">
        <v>1234</v>
      </c>
      <c r="D112" s="313" t="s">
        <v>1231</v>
      </c>
      <c r="E112" s="313" t="s">
        <v>2255</v>
      </c>
    </row>
    <row r="113" spans="1:5" x14ac:dyDescent="0.25">
      <c r="A113" s="313" t="s">
        <v>1241</v>
      </c>
      <c r="B113" s="313" t="s">
        <v>2088</v>
      </c>
      <c r="C113" s="313" t="s">
        <v>1242</v>
      </c>
      <c r="D113" s="313" t="s">
        <v>1231</v>
      </c>
      <c r="E113" s="313" t="s">
        <v>2256</v>
      </c>
    </row>
    <row r="114" spans="1:5" x14ac:dyDescent="0.25">
      <c r="A114" s="313" t="s">
        <v>1251</v>
      </c>
      <c r="B114" s="313" t="s">
        <v>2088</v>
      </c>
      <c r="C114" s="313" t="s">
        <v>1252</v>
      </c>
      <c r="D114" s="313" t="s">
        <v>1231</v>
      </c>
      <c r="E114" s="313" t="s">
        <v>2257</v>
      </c>
    </row>
    <row r="115" spans="1:5" x14ac:dyDescent="0.25">
      <c r="A115" s="313" t="s">
        <v>1263</v>
      </c>
      <c r="B115" s="313" t="s">
        <v>2088</v>
      </c>
      <c r="C115" s="313" t="s">
        <v>1264</v>
      </c>
      <c r="D115" s="313" t="s">
        <v>1231</v>
      </c>
      <c r="E115" s="313" t="s">
        <v>2258</v>
      </c>
    </row>
    <row r="116" spans="1:5" x14ac:dyDescent="0.25">
      <c r="A116" s="313" t="s">
        <v>1272</v>
      </c>
      <c r="B116" s="313" t="s">
        <v>2088</v>
      </c>
      <c r="C116" s="313" t="s">
        <v>1273</v>
      </c>
      <c r="D116" s="313" t="s">
        <v>1231</v>
      </c>
      <c r="E116" s="313" t="s">
        <v>2259</v>
      </c>
    </row>
    <row r="117" spans="1:5" x14ac:dyDescent="0.25">
      <c r="A117" s="313" t="s">
        <v>1280</v>
      </c>
      <c r="B117" s="313" t="s">
        <v>2085</v>
      </c>
      <c r="C117" s="313" t="s">
        <v>1281</v>
      </c>
      <c r="D117" s="313" t="s">
        <v>1229</v>
      </c>
      <c r="E117" s="313" t="s">
        <v>2260</v>
      </c>
    </row>
    <row r="118" spans="1:5" x14ac:dyDescent="0.25">
      <c r="A118" s="313" t="s">
        <v>2261</v>
      </c>
      <c r="B118" s="313" t="s">
        <v>2088</v>
      </c>
      <c r="C118" s="313" t="s">
        <v>1960</v>
      </c>
      <c r="D118" s="313" t="s">
        <v>1280</v>
      </c>
      <c r="E118" s="313" t="s">
        <v>2262</v>
      </c>
    </row>
    <row r="119" spans="1:5" x14ac:dyDescent="0.25">
      <c r="A119" s="313" t="s">
        <v>1287</v>
      </c>
      <c r="B119" s="313" t="s">
        <v>2085</v>
      </c>
      <c r="C119" s="313" t="s">
        <v>1288</v>
      </c>
      <c r="D119" s="313" t="s">
        <v>1229</v>
      </c>
      <c r="E119" s="313" t="s">
        <v>2263</v>
      </c>
    </row>
    <row r="120" spans="1:5" x14ac:dyDescent="0.25">
      <c r="A120" s="313" t="s">
        <v>2264</v>
      </c>
      <c r="B120" s="313" t="s">
        <v>2088</v>
      </c>
      <c r="C120" s="313" t="s">
        <v>1963</v>
      </c>
      <c r="D120" s="313" t="s">
        <v>1287</v>
      </c>
      <c r="E120" s="313" t="s">
        <v>2265</v>
      </c>
    </row>
    <row r="121" spans="1:5" x14ac:dyDescent="0.25">
      <c r="A121" s="313" t="s">
        <v>1295</v>
      </c>
      <c r="B121" s="313" t="s">
        <v>2084</v>
      </c>
      <c r="C121" s="313" t="s">
        <v>1296</v>
      </c>
      <c r="D121" s="313" t="s">
        <v>24</v>
      </c>
      <c r="E121" s="313" t="s">
        <v>2266</v>
      </c>
    </row>
    <row r="122" spans="1:5" x14ac:dyDescent="0.25">
      <c r="A122" s="313" t="s">
        <v>1297</v>
      </c>
      <c r="B122" s="313" t="s">
        <v>2085</v>
      </c>
      <c r="C122" s="313" t="s">
        <v>1298</v>
      </c>
      <c r="D122" s="313" t="s">
        <v>1295</v>
      </c>
      <c r="E122" s="313" t="s">
        <v>2267</v>
      </c>
    </row>
    <row r="123" spans="1:5" x14ac:dyDescent="0.25">
      <c r="A123" s="313" t="s">
        <v>2268</v>
      </c>
      <c r="B123" s="313" t="s">
        <v>2088</v>
      </c>
      <c r="C123" s="313" t="s">
        <v>1967</v>
      </c>
      <c r="D123" s="313" t="s">
        <v>1297</v>
      </c>
      <c r="E123" s="313" t="s">
        <v>2269</v>
      </c>
    </row>
    <row r="124" spans="1:5" x14ac:dyDescent="0.25">
      <c r="A124" s="313" t="s">
        <v>1311</v>
      </c>
      <c r="B124" s="313" t="s">
        <v>2085</v>
      </c>
      <c r="C124" s="313" t="s">
        <v>1312</v>
      </c>
      <c r="D124" s="313" t="s">
        <v>1295</v>
      </c>
      <c r="E124" s="313" t="s">
        <v>2270</v>
      </c>
    </row>
    <row r="125" spans="1:5" x14ac:dyDescent="0.25">
      <c r="A125" s="313" t="s">
        <v>2271</v>
      </c>
      <c r="B125" s="313" t="s">
        <v>2088</v>
      </c>
      <c r="C125" s="313" t="s">
        <v>1970</v>
      </c>
      <c r="D125" s="313" t="s">
        <v>1311</v>
      </c>
      <c r="E125" s="313" t="s">
        <v>2272</v>
      </c>
    </row>
    <row r="126" spans="1:5" x14ac:dyDescent="0.25">
      <c r="A126" s="313" t="s">
        <v>1328</v>
      </c>
      <c r="B126" s="313" t="s">
        <v>2085</v>
      </c>
      <c r="C126" s="313" t="s">
        <v>1329</v>
      </c>
      <c r="D126" s="313" t="s">
        <v>1295</v>
      </c>
      <c r="E126" s="313" t="s">
        <v>2273</v>
      </c>
    </row>
    <row r="127" spans="1:5" x14ac:dyDescent="0.25">
      <c r="A127" s="313" t="s">
        <v>2274</v>
      </c>
      <c r="B127" s="313" t="s">
        <v>2088</v>
      </c>
      <c r="C127" s="313" t="s">
        <v>1973</v>
      </c>
      <c r="D127" s="313" t="s">
        <v>1328</v>
      </c>
      <c r="E127" s="313" t="s">
        <v>2275</v>
      </c>
    </row>
    <row r="128" spans="1:5" x14ac:dyDescent="0.25">
      <c r="A128" s="313" t="s">
        <v>1375</v>
      </c>
      <c r="B128" s="313" t="s">
        <v>2085</v>
      </c>
      <c r="C128" s="313" t="s">
        <v>1376</v>
      </c>
      <c r="D128" s="313" t="s">
        <v>1295</v>
      </c>
      <c r="E128" s="313" t="s">
        <v>2276</v>
      </c>
    </row>
    <row r="129" spans="1:5" x14ac:dyDescent="0.25">
      <c r="A129" s="313" t="s">
        <v>2277</v>
      </c>
      <c r="B129" s="313" t="s">
        <v>2088</v>
      </c>
      <c r="C129" s="313" t="s">
        <v>1976</v>
      </c>
      <c r="D129" s="313" t="s">
        <v>1375</v>
      </c>
      <c r="E129" s="313" t="s">
        <v>2278</v>
      </c>
    </row>
    <row r="130" spans="1:5" x14ac:dyDescent="0.25">
      <c r="A130" s="313" t="s">
        <v>1387</v>
      </c>
      <c r="B130" s="313" t="s">
        <v>2085</v>
      </c>
      <c r="C130" s="313" t="s">
        <v>1388</v>
      </c>
      <c r="D130" s="313" t="s">
        <v>1295</v>
      </c>
      <c r="E130" s="313" t="s">
        <v>2279</v>
      </c>
    </row>
    <row r="131" spans="1:5" x14ac:dyDescent="0.25">
      <c r="A131" s="313" t="s">
        <v>2280</v>
      </c>
      <c r="B131" s="313" t="s">
        <v>2088</v>
      </c>
      <c r="C131" s="313" t="s">
        <v>1979</v>
      </c>
      <c r="D131" s="313" t="s">
        <v>1387</v>
      </c>
      <c r="E131" s="313" t="s">
        <v>2281</v>
      </c>
    </row>
    <row r="132" spans="1:5" x14ac:dyDescent="0.25">
      <c r="A132" s="313" t="s">
        <v>1395</v>
      </c>
      <c r="B132" s="313" t="s">
        <v>2085</v>
      </c>
      <c r="C132" s="313" t="s">
        <v>1396</v>
      </c>
      <c r="D132" s="313" t="s">
        <v>1295</v>
      </c>
      <c r="E132" s="313" t="s">
        <v>2282</v>
      </c>
    </row>
    <row r="133" spans="1:5" x14ac:dyDescent="0.25">
      <c r="A133" s="313" t="s">
        <v>2283</v>
      </c>
      <c r="B133" s="313" t="s">
        <v>2088</v>
      </c>
      <c r="C133" s="313" t="s">
        <v>1982</v>
      </c>
      <c r="D133" s="313" t="s">
        <v>1395</v>
      </c>
      <c r="E133" s="313" t="s">
        <v>2284</v>
      </c>
    </row>
    <row r="134" spans="1:5" x14ac:dyDescent="0.25">
      <c r="A134" s="313" t="s">
        <v>1417</v>
      </c>
      <c r="B134" s="313" t="s">
        <v>2085</v>
      </c>
      <c r="C134" s="313" t="s">
        <v>1418</v>
      </c>
      <c r="D134" s="313" t="s">
        <v>1295</v>
      </c>
      <c r="E134" s="313" t="s">
        <v>2285</v>
      </c>
    </row>
    <row r="135" spans="1:5" x14ac:dyDescent="0.25">
      <c r="A135" s="313" t="s">
        <v>2286</v>
      </c>
      <c r="B135" s="313" t="s">
        <v>2088</v>
      </c>
      <c r="C135" s="313" t="s">
        <v>1985</v>
      </c>
      <c r="D135" s="313" t="s">
        <v>1417</v>
      </c>
      <c r="E135" s="313" t="s">
        <v>2287</v>
      </c>
    </row>
    <row r="136" spans="1:5" x14ac:dyDescent="0.25">
      <c r="A136" s="313" t="s">
        <v>1452</v>
      </c>
      <c r="B136" s="313" t="s">
        <v>2085</v>
      </c>
      <c r="C136" s="313" t="s">
        <v>1453</v>
      </c>
      <c r="D136" s="313" t="s">
        <v>1295</v>
      </c>
      <c r="E136" s="313" t="s">
        <v>2288</v>
      </c>
    </row>
    <row r="137" spans="1:5" x14ac:dyDescent="0.25">
      <c r="A137" s="313" t="s">
        <v>2289</v>
      </c>
      <c r="B137" s="313" t="s">
        <v>2088</v>
      </c>
      <c r="C137" s="313" t="s">
        <v>2290</v>
      </c>
      <c r="D137" s="313" t="s">
        <v>1452</v>
      </c>
      <c r="E137" s="313" t="s">
        <v>2291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28074-882B-48E8-BB18-C4CEFA08777A}">
  <sheetPr codeName="Feuil11"/>
  <dimension ref="A1:J416"/>
  <sheetViews>
    <sheetView workbookViewId="0"/>
  </sheetViews>
  <sheetFormatPr baseColWidth="10" defaultRowHeight="15" x14ac:dyDescent="0.25"/>
  <sheetData>
    <row r="1" spans="1:10" x14ac:dyDescent="0.25">
      <c r="A1" s="313" t="s">
        <v>2079</v>
      </c>
      <c r="B1" s="313" t="s">
        <v>2081</v>
      </c>
      <c r="C1" s="313" t="s">
        <v>2292</v>
      </c>
      <c r="D1" s="313" t="s">
        <v>2083</v>
      </c>
      <c r="E1" s="313" t="s">
        <v>2293</v>
      </c>
      <c r="F1" s="313" t="s">
        <v>2294</v>
      </c>
      <c r="G1" s="313" t="s">
        <v>2295</v>
      </c>
      <c r="H1" s="313" t="s">
        <v>2296</v>
      </c>
      <c r="I1" s="313" t="s">
        <v>2297</v>
      </c>
      <c r="J1" s="313" t="s">
        <v>2298</v>
      </c>
    </row>
    <row r="2" spans="1:10" x14ac:dyDescent="0.25">
      <c r="A2" s="313" t="s">
        <v>18</v>
      </c>
      <c r="B2" s="313" t="s">
        <v>2299</v>
      </c>
      <c r="C2" s="313" t="s">
        <v>24</v>
      </c>
      <c r="D2" s="313" t="s">
        <v>2075</v>
      </c>
      <c r="E2" s="313" t="s">
        <v>24</v>
      </c>
      <c r="F2" s="313" t="s">
        <v>24</v>
      </c>
      <c r="G2" s="313" t="s">
        <v>24</v>
      </c>
      <c r="H2" s="313" t="s">
        <v>70</v>
      </c>
      <c r="I2" s="313" t="s">
        <v>1521</v>
      </c>
      <c r="J2" s="313" t="s">
        <v>1521</v>
      </c>
    </row>
    <row r="3" spans="1:10" x14ac:dyDescent="0.25">
      <c r="A3" s="313" t="s">
        <v>25</v>
      </c>
      <c r="B3" s="313" t="s">
        <v>2300</v>
      </c>
      <c r="C3" s="313" t="s">
        <v>24</v>
      </c>
      <c r="D3" s="313" t="s">
        <v>2086</v>
      </c>
      <c r="E3" s="313" t="s">
        <v>24</v>
      </c>
      <c r="F3" s="313" t="s">
        <v>24</v>
      </c>
      <c r="G3" s="313" t="s">
        <v>24</v>
      </c>
      <c r="H3" s="313" t="s">
        <v>70</v>
      </c>
      <c r="I3" s="313" t="s">
        <v>1521</v>
      </c>
      <c r="J3" s="313" t="s">
        <v>1521</v>
      </c>
    </row>
    <row r="4" spans="1:10" x14ac:dyDescent="0.25">
      <c r="A4" s="313" t="s">
        <v>34</v>
      </c>
      <c r="B4" s="313" t="s">
        <v>2301</v>
      </c>
      <c r="C4" s="313" t="s">
        <v>2087</v>
      </c>
      <c r="D4" s="313" t="s">
        <v>2089</v>
      </c>
      <c r="E4" s="313" t="s">
        <v>37</v>
      </c>
      <c r="F4" s="313" t="s">
        <v>24</v>
      </c>
      <c r="G4" s="313" t="s">
        <v>24</v>
      </c>
      <c r="H4" s="313" t="s">
        <v>1521</v>
      </c>
      <c r="I4" s="313" t="s">
        <v>1521</v>
      </c>
      <c r="J4" s="313" t="s">
        <v>70</v>
      </c>
    </row>
    <row r="5" spans="1:10" x14ac:dyDescent="0.25">
      <c r="A5" s="313" t="s">
        <v>40</v>
      </c>
      <c r="B5" s="313" t="s">
        <v>41</v>
      </c>
      <c r="C5" s="313" t="s">
        <v>2087</v>
      </c>
      <c r="D5" s="313" t="s">
        <v>2090</v>
      </c>
      <c r="E5" s="313" t="s">
        <v>42</v>
      </c>
      <c r="F5" s="313" t="s">
        <v>24</v>
      </c>
      <c r="G5" s="314" t="s">
        <v>44</v>
      </c>
      <c r="H5" s="313" t="s">
        <v>70</v>
      </c>
      <c r="I5" s="313" t="s">
        <v>1521</v>
      </c>
      <c r="J5" s="313" t="s">
        <v>70</v>
      </c>
    </row>
    <row r="6" spans="1:10" x14ac:dyDescent="0.25">
      <c r="A6" s="313" t="s">
        <v>45</v>
      </c>
      <c r="B6" s="313" t="s">
        <v>2302</v>
      </c>
      <c r="C6" s="313" t="s">
        <v>2087</v>
      </c>
      <c r="D6" s="313" t="s">
        <v>2092</v>
      </c>
      <c r="E6" s="313" t="s">
        <v>48</v>
      </c>
      <c r="F6" s="313" t="s">
        <v>2303</v>
      </c>
      <c r="G6" s="314" t="s">
        <v>44</v>
      </c>
      <c r="H6" s="313" t="s">
        <v>1521</v>
      </c>
      <c r="I6" s="313" t="s">
        <v>1521</v>
      </c>
      <c r="J6" s="313" t="s">
        <v>70</v>
      </c>
    </row>
    <row r="7" spans="1:10" x14ac:dyDescent="0.25">
      <c r="A7" s="313" t="s">
        <v>50</v>
      </c>
      <c r="B7" s="313" t="s">
        <v>53</v>
      </c>
      <c r="C7" s="313" t="s">
        <v>2087</v>
      </c>
      <c r="D7" s="313" t="s">
        <v>2093</v>
      </c>
      <c r="E7" s="313" t="s">
        <v>54</v>
      </c>
      <c r="F7" s="313" t="s">
        <v>2304</v>
      </c>
      <c r="G7" s="314" t="s">
        <v>44</v>
      </c>
      <c r="H7" s="313" t="s">
        <v>70</v>
      </c>
      <c r="I7" s="313" t="s">
        <v>1521</v>
      </c>
      <c r="J7" s="313" t="s">
        <v>70</v>
      </c>
    </row>
    <row r="8" spans="1:10" x14ac:dyDescent="0.25">
      <c r="A8" s="313" t="s">
        <v>56</v>
      </c>
      <c r="B8" s="313" t="s">
        <v>57</v>
      </c>
      <c r="C8" s="313" t="s">
        <v>2087</v>
      </c>
      <c r="D8" s="313" t="s">
        <v>2095</v>
      </c>
      <c r="E8" s="313" t="s">
        <v>37</v>
      </c>
      <c r="F8" s="313" t="s">
        <v>24</v>
      </c>
      <c r="G8" s="314" t="s">
        <v>44</v>
      </c>
      <c r="H8" s="313" t="s">
        <v>70</v>
      </c>
      <c r="I8" s="313" t="s">
        <v>1521</v>
      </c>
      <c r="J8" s="313" t="s">
        <v>70</v>
      </c>
    </row>
    <row r="9" spans="1:10" x14ac:dyDescent="0.25">
      <c r="A9" s="313" t="s">
        <v>61</v>
      </c>
      <c r="B9" s="313" t="s">
        <v>63</v>
      </c>
      <c r="C9" s="313" t="s">
        <v>2091</v>
      </c>
      <c r="D9" s="313" t="s">
        <v>2096</v>
      </c>
      <c r="E9" s="313" t="s">
        <v>54</v>
      </c>
      <c r="F9" s="313" t="s">
        <v>2305</v>
      </c>
      <c r="G9" s="313" t="s">
        <v>24</v>
      </c>
      <c r="H9" s="313" t="s">
        <v>1521</v>
      </c>
      <c r="I9" s="313" t="s">
        <v>1521</v>
      </c>
      <c r="J9" s="313" t="s">
        <v>70</v>
      </c>
    </row>
    <row r="10" spans="1:10" x14ac:dyDescent="0.25">
      <c r="A10" s="313" t="s">
        <v>65</v>
      </c>
      <c r="B10" s="313" t="s">
        <v>67</v>
      </c>
      <c r="C10" s="313" t="s">
        <v>2091</v>
      </c>
      <c r="D10" s="313" t="s">
        <v>2098</v>
      </c>
      <c r="E10" s="313" t="s">
        <v>54</v>
      </c>
      <c r="F10" s="313" t="s">
        <v>2306</v>
      </c>
      <c r="G10" s="313" t="s">
        <v>24</v>
      </c>
      <c r="H10" s="313" t="s">
        <v>1521</v>
      </c>
      <c r="I10" s="313" t="s">
        <v>1521</v>
      </c>
      <c r="J10" s="313" t="s">
        <v>70</v>
      </c>
    </row>
    <row r="11" spans="1:10" x14ac:dyDescent="0.25">
      <c r="A11" s="313" t="s">
        <v>69</v>
      </c>
      <c r="B11" s="313" t="s">
        <v>71</v>
      </c>
      <c r="C11" s="313" t="s">
        <v>2091</v>
      </c>
      <c r="D11" s="313" t="s">
        <v>2099</v>
      </c>
      <c r="E11" s="313" t="s">
        <v>54</v>
      </c>
      <c r="F11" s="313" t="s">
        <v>2307</v>
      </c>
      <c r="G11" s="313" t="s">
        <v>24</v>
      </c>
      <c r="H11" s="313" t="s">
        <v>70</v>
      </c>
      <c r="I11" s="313" t="s">
        <v>1521</v>
      </c>
      <c r="J11" s="313" t="s">
        <v>70</v>
      </c>
    </row>
    <row r="12" spans="1:10" x14ac:dyDescent="0.25">
      <c r="A12" s="313" t="s">
        <v>73</v>
      </c>
      <c r="B12" s="313" t="s">
        <v>74</v>
      </c>
      <c r="C12" s="313" t="s">
        <v>2091</v>
      </c>
      <c r="D12" s="313" t="s">
        <v>2101</v>
      </c>
      <c r="E12" s="313" t="s">
        <v>37</v>
      </c>
      <c r="F12" s="313" t="s">
        <v>24</v>
      </c>
      <c r="G12" s="313" t="s">
        <v>24</v>
      </c>
      <c r="H12" s="313" t="s">
        <v>70</v>
      </c>
      <c r="I12" s="313" t="s">
        <v>1521</v>
      </c>
      <c r="J12" s="313" t="s">
        <v>70</v>
      </c>
    </row>
    <row r="13" spans="1:10" x14ac:dyDescent="0.25">
      <c r="A13" s="313" t="s">
        <v>76</v>
      </c>
      <c r="B13" s="313" t="s">
        <v>78</v>
      </c>
      <c r="C13" s="313" t="s">
        <v>2091</v>
      </c>
      <c r="D13" s="313" t="s">
        <v>2102</v>
      </c>
      <c r="E13" s="313" t="s">
        <v>48</v>
      </c>
      <c r="F13" s="313" t="s">
        <v>2308</v>
      </c>
      <c r="G13" s="314" t="s">
        <v>44</v>
      </c>
      <c r="H13" s="313" t="s">
        <v>70</v>
      </c>
      <c r="I13" s="313" t="s">
        <v>1521</v>
      </c>
      <c r="J13" s="313" t="s">
        <v>70</v>
      </c>
    </row>
    <row r="14" spans="1:10" x14ac:dyDescent="0.25">
      <c r="A14" s="313" t="s">
        <v>80</v>
      </c>
      <c r="B14" s="313" t="s">
        <v>81</v>
      </c>
      <c r="C14" s="313" t="s">
        <v>2091</v>
      </c>
      <c r="D14" s="313" t="s">
        <v>2103</v>
      </c>
      <c r="E14" s="313" t="s">
        <v>48</v>
      </c>
      <c r="F14" s="313" t="s">
        <v>2309</v>
      </c>
      <c r="G14" s="314" t="s">
        <v>44</v>
      </c>
      <c r="H14" s="313" t="s">
        <v>70</v>
      </c>
      <c r="I14" s="313" t="s">
        <v>1521</v>
      </c>
      <c r="J14" s="313" t="s">
        <v>70</v>
      </c>
    </row>
    <row r="15" spans="1:10" x14ac:dyDescent="0.25">
      <c r="A15" s="313" t="s">
        <v>83</v>
      </c>
      <c r="B15" s="313" t="s">
        <v>84</v>
      </c>
      <c r="C15" s="313" t="s">
        <v>2091</v>
      </c>
      <c r="D15" s="313" t="s">
        <v>2105</v>
      </c>
      <c r="E15" s="313" t="s">
        <v>37</v>
      </c>
      <c r="F15" s="313" t="s">
        <v>24</v>
      </c>
      <c r="G15" s="313" t="s">
        <v>24</v>
      </c>
      <c r="H15" s="313" t="s">
        <v>70</v>
      </c>
      <c r="I15" s="313" t="s">
        <v>1521</v>
      </c>
      <c r="J15" s="313" t="s">
        <v>70</v>
      </c>
    </row>
    <row r="16" spans="1:10" x14ac:dyDescent="0.25">
      <c r="A16" s="313" t="s">
        <v>85</v>
      </c>
      <c r="B16" s="313" t="s">
        <v>2310</v>
      </c>
      <c r="C16" s="313" t="s">
        <v>2091</v>
      </c>
      <c r="D16" s="313" t="s">
        <v>2106</v>
      </c>
      <c r="E16" s="313" t="s">
        <v>54</v>
      </c>
      <c r="F16" s="313" t="s">
        <v>2311</v>
      </c>
      <c r="G16" s="313" t="s">
        <v>24</v>
      </c>
      <c r="H16" s="313" t="s">
        <v>1521</v>
      </c>
      <c r="I16" s="313" t="s">
        <v>1521</v>
      </c>
      <c r="J16" s="313" t="s">
        <v>70</v>
      </c>
    </row>
    <row r="17" spans="1:10" x14ac:dyDescent="0.25">
      <c r="A17" s="313" t="s">
        <v>92</v>
      </c>
      <c r="B17" s="313" t="s">
        <v>94</v>
      </c>
      <c r="C17" s="313" t="s">
        <v>2094</v>
      </c>
      <c r="D17" s="313" t="s">
        <v>2108</v>
      </c>
      <c r="E17" s="313" t="s">
        <v>54</v>
      </c>
      <c r="F17" s="313" t="s">
        <v>2312</v>
      </c>
      <c r="G17" s="313" t="s">
        <v>24</v>
      </c>
      <c r="H17" s="313" t="s">
        <v>70</v>
      </c>
      <c r="I17" s="313" t="s">
        <v>1521</v>
      </c>
      <c r="J17" s="313" t="s">
        <v>70</v>
      </c>
    </row>
    <row r="18" spans="1:10" x14ac:dyDescent="0.25">
      <c r="A18" s="313" t="s">
        <v>96</v>
      </c>
      <c r="B18" s="313" t="s">
        <v>97</v>
      </c>
      <c r="C18" s="313" t="s">
        <v>2094</v>
      </c>
      <c r="D18" s="313" t="s">
        <v>2109</v>
      </c>
      <c r="E18" s="313" t="s">
        <v>54</v>
      </c>
      <c r="F18" s="313" t="s">
        <v>2313</v>
      </c>
      <c r="G18" s="313" t="s">
        <v>24</v>
      </c>
      <c r="H18" s="313" t="s">
        <v>70</v>
      </c>
      <c r="I18" s="313" t="s">
        <v>1521</v>
      </c>
      <c r="J18" s="313" t="s">
        <v>70</v>
      </c>
    </row>
    <row r="19" spans="1:10" x14ac:dyDescent="0.25">
      <c r="A19" s="313" t="s">
        <v>99</v>
      </c>
      <c r="B19" s="313" t="s">
        <v>100</v>
      </c>
      <c r="C19" s="313" t="s">
        <v>2094</v>
      </c>
      <c r="D19" s="313" t="s">
        <v>2110</v>
      </c>
      <c r="E19" s="313" t="s">
        <v>37</v>
      </c>
      <c r="F19" s="313" t="s">
        <v>24</v>
      </c>
      <c r="G19" s="313" t="s">
        <v>24</v>
      </c>
      <c r="H19" s="313" t="s">
        <v>70</v>
      </c>
      <c r="I19" s="313" t="s">
        <v>1521</v>
      </c>
      <c r="J19" s="313" t="s">
        <v>70</v>
      </c>
    </row>
    <row r="20" spans="1:10" x14ac:dyDescent="0.25">
      <c r="A20" s="313" t="s">
        <v>2051</v>
      </c>
      <c r="B20" s="313" t="s">
        <v>2314</v>
      </c>
      <c r="C20" s="313" t="s">
        <v>2094</v>
      </c>
      <c r="D20" s="313" t="s">
        <v>2112</v>
      </c>
      <c r="E20" s="313" t="s">
        <v>54</v>
      </c>
      <c r="F20" s="313" t="s">
        <v>2307</v>
      </c>
      <c r="G20" s="313" t="s">
        <v>24</v>
      </c>
      <c r="H20" s="313" t="s">
        <v>1521</v>
      </c>
      <c r="I20" s="313" t="s">
        <v>1521</v>
      </c>
      <c r="J20" s="313" t="s">
        <v>70</v>
      </c>
    </row>
    <row r="21" spans="1:10" x14ac:dyDescent="0.25">
      <c r="A21" s="313" t="s">
        <v>105</v>
      </c>
      <c r="B21" s="313" t="s">
        <v>107</v>
      </c>
      <c r="C21" s="313" t="s">
        <v>2097</v>
      </c>
      <c r="D21" s="313" t="s">
        <v>2113</v>
      </c>
      <c r="E21" s="313" t="s">
        <v>54</v>
      </c>
      <c r="F21" s="313" t="s">
        <v>2315</v>
      </c>
      <c r="G21" s="313" t="s">
        <v>24</v>
      </c>
      <c r="H21" s="313" t="s">
        <v>1521</v>
      </c>
      <c r="I21" s="313" t="s">
        <v>1521</v>
      </c>
      <c r="J21" s="313" t="s">
        <v>70</v>
      </c>
    </row>
    <row r="22" spans="1:10" x14ac:dyDescent="0.25">
      <c r="A22" s="313" t="s">
        <v>109</v>
      </c>
      <c r="B22" s="313" t="s">
        <v>1819</v>
      </c>
      <c r="C22" s="313" t="s">
        <v>2097</v>
      </c>
      <c r="D22" s="313" t="s">
        <v>2116</v>
      </c>
      <c r="E22" s="313" t="s">
        <v>111</v>
      </c>
      <c r="F22" s="313" t="s">
        <v>24</v>
      </c>
      <c r="G22" s="313" t="s">
        <v>24</v>
      </c>
      <c r="H22" s="313" t="s">
        <v>70</v>
      </c>
      <c r="I22" s="313" t="s">
        <v>1521</v>
      </c>
      <c r="J22" s="313" t="s">
        <v>70</v>
      </c>
    </row>
    <row r="23" spans="1:10" x14ac:dyDescent="0.25">
      <c r="A23" s="313" t="s">
        <v>112</v>
      </c>
      <c r="B23" s="313" t="s">
        <v>113</v>
      </c>
      <c r="C23" s="313" t="s">
        <v>2097</v>
      </c>
      <c r="D23" s="313" t="s">
        <v>2117</v>
      </c>
      <c r="E23" s="313" t="s">
        <v>114</v>
      </c>
      <c r="F23" s="313" t="s">
        <v>24</v>
      </c>
      <c r="G23" s="313" t="s">
        <v>24</v>
      </c>
      <c r="H23" s="313" t="s">
        <v>1521</v>
      </c>
      <c r="I23" s="313" t="s">
        <v>1521</v>
      </c>
      <c r="J23" s="313" t="s">
        <v>70</v>
      </c>
    </row>
    <row r="24" spans="1:10" x14ac:dyDescent="0.25">
      <c r="A24" s="313" t="s">
        <v>118</v>
      </c>
      <c r="B24" s="313" t="s">
        <v>2316</v>
      </c>
      <c r="C24" s="313" t="s">
        <v>2097</v>
      </c>
      <c r="D24" s="313" t="s">
        <v>2118</v>
      </c>
      <c r="E24" s="313" t="s">
        <v>54</v>
      </c>
      <c r="F24" s="313" t="s">
        <v>2317</v>
      </c>
      <c r="G24" s="313" t="s">
        <v>24</v>
      </c>
      <c r="H24" s="313" t="s">
        <v>70</v>
      </c>
      <c r="I24" s="313" t="s">
        <v>1521</v>
      </c>
      <c r="J24" s="313" t="s">
        <v>70</v>
      </c>
    </row>
    <row r="25" spans="1:10" x14ac:dyDescent="0.25">
      <c r="A25" s="313" t="s">
        <v>121</v>
      </c>
      <c r="B25" s="313" t="s">
        <v>122</v>
      </c>
      <c r="C25" s="313" t="s">
        <v>2097</v>
      </c>
      <c r="D25" s="313" t="s">
        <v>2119</v>
      </c>
      <c r="E25" s="313" t="s">
        <v>48</v>
      </c>
      <c r="F25" s="313" t="s">
        <v>2318</v>
      </c>
      <c r="G25" s="314" t="s">
        <v>44</v>
      </c>
      <c r="H25" s="313" t="s">
        <v>70</v>
      </c>
      <c r="I25" s="313" t="s">
        <v>1521</v>
      </c>
      <c r="J25" s="313" t="s">
        <v>70</v>
      </c>
    </row>
    <row r="26" spans="1:10" x14ac:dyDescent="0.25">
      <c r="A26" s="313" t="s">
        <v>124</v>
      </c>
      <c r="B26" s="313" t="s">
        <v>125</v>
      </c>
      <c r="C26" s="313" t="s">
        <v>2097</v>
      </c>
      <c r="D26" s="313" t="s">
        <v>2121</v>
      </c>
      <c r="E26" s="313" t="s">
        <v>37</v>
      </c>
      <c r="F26" s="313" t="s">
        <v>24</v>
      </c>
      <c r="G26" s="313" t="s">
        <v>24</v>
      </c>
      <c r="H26" s="313" t="s">
        <v>70</v>
      </c>
      <c r="I26" s="313" t="s">
        <v>1521</v>
      </c>
      <c r="J26" s="313" t="s">
        <v>70</v>
      </c>
    </row>
    <row r="27" spans="1:10" x14ac:dyDescent="0.25">
      <c r="A27" s="313" t="s">
        <v>126</v>
      </c>
      <c r="B27" s="313" t="s">
        <v>128</v>
      </c>
      <c r="C27" s="313" t="s">
        <v>2097</v>
      </c>
      <c r="D27" s="313" t="s">
        <v>2122</v>
      </c>
      <c r="E27" s="313" t="s">
        <v>54</v>
      </c>
      <c r="F27" s="313" t="s">
        <v>2319</v>
      </c>
      <c r="G27" s="313" t="s">
        <v>24</v>
      </c>
      <c r="H27" s="313" t="s">
        <v>70</v>
      </c>
      <c r="I27" s="313" t="s">
        <v>1521</v>
      </c>
      <c r="J27" s="313" t="s">
        <v>70</v>
      </c>
    </row>
    <row r="28" spans="1:10" x14ac:dyDescent="0.25">
      <c r="A28" s="313" t="s">
        <v>130</v>
      </c>
      <c r="B28" s="313" t="s">
        <v>131</v>
      </c>
      <c r="C28" s="313" t="s">
        <v>2097</v>
      </c>
      <c r="D28" s="313" t="s">
        <v>2124</v>
      </c>
      <c r="E28" s="313" t="s">
        <v>54</v>
      </c>
      <c r="F28" s="313" t="s">
        <v>2320</v>
      </c>
      <c r="G28" s="313" t="s">
        <v>24</v>
      </c>
      <c r="H28" s="313" t="s">
        <v>70</v>
      </c>
      <c r="I28" s="313" t="s">
        <v>1521</v>
      </c>
      <c r="J28" s="313" t="s">
        <v>70</v>
      </c>
    </row>
    <row r="29" spans="1:10" x14ac:dyDescent="0.25">
      <c r="A29" s="313" t="s">
        <v>133</v>
      </c>
      <c r="B29" s="313" t="s">
        <v>134</v>
      </c>
      <c r="C29" s="313" t="s">
        <v>2097</v>
      </c>
      <c r="D29" s="313" t="s">
        <v>2125</v>
      </c>
      <c r="E29" s="313" t="s">
        <v>48</v>
      </c>
      <c r="F29" s="313" t="s">
        <v>2321</v>
      </c>
      <c r="G29" s="314" t="s">
        <v>44</v>
      </c>
      <c r="H29" s="313" t="s">
        <v>70</v>
      </c>
      <c r="I29" s="313" t="s">
        <v>1521</v>
      </c>
      <c r="J29" s="313" t="s">
        <v>70</v>
      </c>
    </row>
    <row r="30" spans="1:10" x14ac:dyDescent="0.25">
      <c r="A30" s="313" t="s">
        <v>136</v>
      </c>
      <c r="B30" s="313" t="s">
        <v>137</v>
      </c>
      <c r="C30" s="313" t="s">
        <v>2097</v>
      </c>
      <c r="D30" s="313" t="s">
        <v>2126</v>
      </c>
      <c r="E30" s="313" t="s">
        <v>37</v>
      </c>
      <c r="F30" s="313" t="s">
        <v>24</v>
      </c>
      <c r="G30" s="313" t="s">
        <v>24</v>
      </c>
      <c r="H30" s="313" t="s">
        <v>70</v>
      </c>
      <c r="I30" s="313" t="s">
        <v>1521</v>
      </c>
      <c r="J30" s="313" t="s">
        <v>70</v>
      </c>
    </row>
    <row r="31" spans="1:10" ht="409.5" x14ac:dyDescent="0.25">
      <c r="A31" s="313" t="s">
        <v>140</v>
      </c>
      <c r="B31" s="315" t="s">
        <v>142</v>
      </c>
      <c r="C31" s="313" t="s">
        <v>2100</v>
      </c>
      <c r="D31" s="313" t="s">
        <v>2127</v>
      </c>
      <c r="E31" s="313" t="s">
        <v>48</v>
      </c>
      <c r="F31" s="313" t="s">
        <v>2322</v>
      </c>
      <c r="G31" s="314" t="s">
        <v>44</v>
      </c>
      <c r="H31" s="313" t="s">
        <v>1521</v>
      </c>
      <c r="I31" s="313" t="s">
        <v>1521</v>
      </c>
      <c r="J31" s="313" t="s">
        <v>70</v>
      </c>
    </row>
    <row r="32" spans="1:10" x14ac:dyDescent="0.25">
      <c r="A32" s="313" t="s">
        <v>144</v>
      </c>
      <c r="B32" s="313" t="s">
        <v>145</v>
      </c>
      <c r="C32" s="313" t="s">
        <v>2100</v>
      </c>
      <c r="D32" s="313" t="s">
        <v>2129</v>
      </c>
      <c r="E32" s="313" t="s">
        <v>48</v>
      </c>
      <c r="F32" s="313" t="s">
        <v>2323</v>
      </c>
      <c r="G32" s="313" t="s">
        <v>24</v>
      </c>
      <c r="H32" s="313" t="s">
        <v>1521</v>
      </c>
      <c r="I32" s="313" t="s">
        <v>1521</v>
      </c>
      <c r="J32" s="313" t="s">
        <v>70</v>
      </c>
    </row>
    <row r="33" spans="1:10" x14ac:dyDescent="0.25">
      <c r="A33" s="313" t="s">
        <v>147</v>
      </c>
      <c r="B33" s="313" t="s">
        <v>148</v>
      </c>
      <c r="C33" s="313" t="s">
        <v>2100</v>
      </c>
      <c r="D33" s="313" t="s">
        <v>2130</v>
      </c>
      <c r="E33" s="313" t="s">
        <v>37</v>
      </c>
      <c r="F33" s="313" t="s">
        <v>24</v>
      </c>
      <c r="G33" s="313" t="s">
        <v>24</v>
      </c>
      <c r="H33" s="313" t="s">
        <v>1521</v>
      </c>
      <c r="I33" s="313" t="s">
        <v>1521</v>
      </c>
      <c r="J33" s="313" t="s">
        <v>70</v>
      </c>
    </row>
    <row r="34" spans="1:10" x14ac:dyDescent="0.25">
      <c r="A34" s="313" t="s">
        <v>149</v>
      </c>
      <c r="B34" s="313" t="s">
        <v>151</v>
      </c>
      <c r="C34" s="313" t="s">
        <v>2100</v>
      </c>
      <c r="D34" s="313" t="s">
        <v>2131</v>
      </c>
      <c r="E34" s="313" t="s">
        <v>54</v>
      </c>
      <c r="F34" s="313" t="s">
        <v>2324</v>
      </c>
      <c r="G34" s="313" t="s">
        <v>24</v>
      </c>
      <c r="H34" s="313" t="s">
        <v>1521</v>
      </c>
      <c r="I34" s="313" t="s">
        <v>1521</v>
      </c>
      <c r="J34" s="313" t="s">
        <v>70</v>
      </c>
    </row>
    <row r="35" spans="1:10" ht="409.5" x14ac:dyDescent="0.25">
      <c r="A35" s="313" t="s">
        <v>153</v>
      </c>
      <c r="B35" s="315" t="s">
        <v>154</v>
      </c>
      <c r="C35" s="313" t="s">
        <v>2100</v>
      </c>
      <c r="D35" s="313" t="s">
        <v>2133</v>
      </c>
      <c r="E35" s="313" t="s">
        <v>48</v>
      </c>
      <c r="F35" s="313" t="s">
        <v>2322</v>
      </c>
      <c r="G35" s="314" t="s">
        <v>44</v>
      </c>
      <c r="H35" s="313" t="s">
        <v>70</v>
      </c>
      <c r="I35" s="313" t="s">
        <v>1521</v>
      </c>
      <c r="J35" s="313" t="s">
        <v>70</v>
      </c>
    </row>
    <row r="36" spans="1:10" x14ac:dyDescent="0.25">
      <c r="A36" s="313" t="s">
        <v>155</v>
      </c>
      <c r="B36" s="313" t="s">
        <v>156</v>
      </c>
      <c r="C36" s="313" t="s">
        <v>2100</v>
      </c>
      <c r="D36" s="313" t="s">
        <v>2134</v>
      </c>
      <c r="E36" s="313" t="s">
        <v>48</v>
      </c>
      <c r="F36" s="313" t="s">
        <v>2323</v>
      </c>
      <c r="G36" s="313" t="s">
        <v>24</v>
      </c>
      <c r="H36" s="313" t="s">
        <v>1521</v>
      </c>
      <c r="I36" s="313" t="s">
        <v>1521</v>
      </c>
      <c r="J36" s="313" t="s">
        <v>70</v>
      </c>
    </row>
    <row r="37" spans="1:10" x14ac:dyDescent="0.25">
      <c r="A37" s="313" t="s">
        <v>157</v>
      </c>
      <c r="B37" s="313" t="s">
        <v>148</v>
      </c>
      <c r="C37" s="313" t="s">
        <v>2100</v>
      </c>
      <c r="D37" s="313" t="s">
        <v>2137</v>
      </c>
      <c r="E37" s="313" t="s">
        <v>37</v>
      </c>
      <c r="F37" s="313" t="s">
        <v>24</v>
      </c>
      <c r="G37" s="313" t="s">
        <v>24</v>
      </c>
      <c r="H37" s="313" t="s">
        <v>1521</v>
      </c>
      <c r="I37" s="313" t="s">
        <v>1521</v>
      </c>
      <c r="J37" s="313" t="s">
        <v>70</v>
      </c>
    </row>
    <row r="38" spans="1:10" x14ac:dyDescent="0.25">
      <c r="A38" s="313" t="s">
        <v>158</v>
      </c>
      <c r="B38" s="313" t="s">
        <v>2325</v>
      </c>
      <c r="C38" s="313" t="s">
        <v>2100</v>
      </c>
      <c r="D38" s="313" t="s">
        <v>2139</v>
      </c>
      <c r="E38" s="313" t="s">
        <v>161</v>
      </c>
      <c r="F38" s="313" t="s">
        <v>24</v>
      </c>
      <c r="G38" s="313" t="s">
        <v>24</v>
      </c>
      <c r="H38" s="313" t="s">
        <v>70</v>
      </c>
      <c r="I38" s="313" t="s">
        <v>1521</v>
      </c>
      <c r="J38" s="313" t="s">
        <v>70</v>
      </c>
    </row>
    <row r="39" spans="1:10" x14ac:dyDescent="0.25">
      <c r="A39" s="313" t="s">
        <v>167</v>
      </c>
      <c r="B39" s="313" t="s">
        <v>169</v>
      </c>
      <c r="C39" s="313" t="s">
        <v>2104</v>
      </c>
      <c r="D39" s="313" t="s">
        <v>2140</v>
      </c>
      <c r="E39" s="313" t="s">
        <v>54</v>
      </c>
      <c r="F39" s="313" t="s">
        <v>2326</v>
      </c>
      <c r="G39" s="313" t="s">
        <v>24</v>
      </c>
      <c r="H39" s="313" t="s">
        <v>70</v>
      </c>
      <c r="I39" s="313" t="s">
        <v>1521</v>
      </c>
      <c r="J39" s="313" t="s">
        <v>70</v>
      </c>
    </row>
    <row r="40" spans="1:10" x14ac:dyDescent="0.25">
      <c r="A40" s="313" t="s">
        <v>171</v>
      </c>
      <c r="B40" s="313" t="s">
        <v>173</v>
      </c>
      <c r="C40" s="313" t="s">
        <v>2104</v>
      </c>
      <c r="D40" s="313" t="s">
        <v>2141</v>
      </c>
      <c r="E40" s="313" t="s">
        <v>54</v>
      </c>
      <c r="F40" s="313" t="s">
        <v>2327</v>
      </c>
      <c r="G40" s="313" t="s">
        <v>24</v>
      </c>
      <c r="H40" s="313" t="s">
        <v>70</v>
      </c>
      <c r="I40" s="313" t="s">
        <v>1521</v>
      </c>
      <c r="J40" s="313" t="s">
        <v>70</v>
      </c>
    </row>
    <row r="41" spans="1:10" x14ac:dyDescent="0.25">
      <c r="A41" s="313" t="s">
        <v>175</v>
      </c>
      <c r="B41" s="313" t="s">
        <v>177</v>
      </c>
      <c r="C41" s="313" t="s">
        <v>2104</v>
      </c>
      <c r="D41" s="313" t="s">
        <v>2142</v>
      </c>
      <c r="E41" s="313" t="s">
        <v>54</v>
      </c>
      <c r="F41" s="313" t="s">
        <v>2328</v>
      </c>
      <c r="G41" s="313" t="s">
        <v>24</v>
      </c>
      <c r="H41" s="313" t="s">
        <v>70</v>
      </c>
      <c r="I41" s="313" t="s">
        <v>1521</v>
      </c>
      <c r="J41" s="313" t="s">
        <v>70</v>
      </c>
    </row>
    <row r="42" spans="1:10" x14ac:dyDescent="0.25">
      <c r="A42" s="313" t="s">
        <v>180</v>
      </c>
      <c r="B42" s="313" t="s">
        <v>181</v>
      </c>
      <c r="C42" s="313" t="s">
        <v>2104</v>
      </c>
      <c r="D42" s="313" t="s">
        <v>2144</v>
      </c>
      <c r="E42" s="313" t="s">
        <v>37</v>
      </c>
      <c r="F42" s="313" t="s">
        <v>24</v>
      </c>
      <c r="G42" s="313" t="s">
        <v>24</v>
      </c>
      <c r="H42" s="313" t="s">
        <v>70</v>
      </c>
      <c r="I42" s="313" t="s">
        <v>1521</v>
      </c>
      <c r="J42" s="313" t="s">
        <v>70</v>
      </c>
    </row>
    <row r="43" spans="1:10" x14ac:dyDescent="0.25">
      <c r="A43" s="313" t="s">
        <v>182</v>
      </c>
      <c r="B43" s="313" t="s">
        <v>183</v>
      </c>
      <c r="C43" s="313" t="s">
        <v>2104</v>
      </c>
      <c r="D43" s="313" t="s">
        <v>2145</v>
      </c>
      <c r="E43" s="313" t="s">
        <v>37</v>
      </c>
      <c r="F43" s="313" t="s">
        <v>24</v>
      </c>
      <c r="G43" s="313" t="s">
        <v>24</v>
      </c>
      <c r="H43" s="313" t="s">
        <v>70</v>
      </c>
      <c r="I43" s="313" t="s">
        <v>1521</v>
      </c>
      <c r="J43" s="313" t="s">
        <v>70</v>
      </c>
    </row>
    <row r="44" spans="1:10" x14ac:dyDescent="0.25">
      <c r="A44" s="313" t="s">
        <v>186</v>
      </c>
      <c r="B44" s="313" t="s">
        <v>2329</v>
      </c>
      <c r="C44" s="313" t="s">
        <v>2107</v>
      </c>
      <c r="D44" s="313" t="s">
        <v>2147</v>
      </c>
      <c r="E44" s="313" t="s">
        <v>188</v>
      </c>
      <c r="F44" s="313" t="s">
        <v>24</v>
      </c>
      <c r="G44" s="313" t="s">
        <v>24</v>
      </c>
      <c r="H44" s="313" t="s">
        <v>70</v>
      </c>
      <c r="I44" s="313" t="s">
        <v>1521</v>
      </c>
      <c r="J44" s="313" t="s">
        <v>70</v>
      </c>
    </row>
    <row r="45" spans="1:10" x14ac:dyDescent="0.25">
      <c r="A45" s="313" t="s">
        <v>190</v>
      </c>
      <c r="B45" s="313" t="s">
        <v>2330</v>
      </c>
      <c r="C45" s="313" t="s">
        <v>2107</v>
      </c>
      <c r="D45" s="313" t="s">
        <v>2148</v>
      </c>
      <c r="E45" s="313" t="s">
        <v>37</v>
      </c>
      <c r="F45" s="313" t="s">
        <v>24</v>
      </c>
      <c r="G45" s="313" t="s">
        <v>24</v>
      </c>
      <c r="H45" s="313" t="s">
        <v>70</v>
      </c>
      <c r="I45" s="313" t="s">
        <v>1521</v>
      </c>
      <c r="J45" s="313" t="s">
        <v>70</v>
      </c>
    </row>
    <row r="46" spans="1:10" x14ac:dyDescent="0.25">
      <c r="A46" s="313" t="s">
        <v>192</v>
      </c>
      <c r="B46" s="313" t="s">
        <v>193</v>
      </c>
      <c r="C46" s="313" t="s">
        <v>2107</v>
      </c>
      <c r="D46" s="313" t="s">
        <v>2151</v>
      </c>
      <c r="E46" s="313" t="s">
        <v>37</v>
      </c>
      <c r="F46" s="313" t="s">
        <v>24</v>
      </c>
      <c r="G46" s="313" t="s">
        <v>24</v>
      </c>
      <c r="H46" s="313" t="s">
        <v>70</v>
      </c>
      <c r="I46" s="313" t="s">
        <v>1521</v>
      </c>
      <c r="J46" s="313" t="s">
        <v>70</v>
      </c>
    </row>
    <row r="47" spans="1:10" x14ac:dyDescent="0.25">
      <c r="A47" s="313" t="s">
        <v>198</v>
      </c>
      <c r="B47" s="313" t="s">
        <v>200</v>
      </c>
      <c r="C47" s="313" t="s">
        <v>2111</v>
      </c>
      <c r="D47" s="313" t="s">
        <v>2153</v>
      </c>
      <c r="E47" s="313" t="s">
        <v>54</v>
      </c>
      <c r="F47" s="313" t="s">
        <v>2331</v>
      </c>
      <c r="G47" s="313" t="s">
        <v>24</v>
      </c>
      <c r="H47" s="313" t="s">
        <v>70</v>
      </c>
      <c r="I47" s="313" t="s">
        <v>1521</v>
      </c>
      <c r="J47" s="313" t="s">
        <v>70</v>
      </c>
    </row>
    <row r="48" spans="1:10" x14ac:dyDescent="0.25">
      <c r="A48" s="313" t="s">
        <v>202</v>
      </c>
      <c r="B48" s="313" t="s">
        <v>203</v>
      </c>
      <c r="C48" s="313" t="s">
        <v>2111</v>
      </c>
      <c r="D48" s="313" t="s">
        <v>2154</v>
      </c>
      <c r="E48" s="313" t="s">
        <v>54</v>
      </c>
      <c r="F48" s="313" t="s">
        <v>2332</v>
      </c>
      <c r="G48" s="313" t="s">
        <v>24</v>
      </c>
      <c r="H48" s="313" t="s">
        <v>70</v>
      </c>
      <c r="I48" s="313" t="s">
        <v>1521</v>
      </c>
      <c r="J48" s="313" t="s">
        <v>70</v>
      </c>
    </row>
    <row r="49" spans="1:10" x14ac:dyDescent="0.25">
      <c r="A49" s="313" t="s">
        <v>205</v>
      </c>
      <c r="B49" s="313" t="s">
        <v>207</v>
      </c>
      <c r="C49" s="313" t="s">
        <v>2111</v>
      </c>
      <c r="D49" s="313" t="s">
        <v>2156</v>
      </c>
      <c r="E49" s="313" t="s">
        <v>54</v>
      </c>
      <c r="F49" s="313" t="s">
        <v>2333</v>
      </c>
      <c r="G49" s="313" t="s">
        <v>24</v>
      </c>
      <c r="H49" s="313" t="s">
        <v>1521</v>
      </c>
      <c r="I49" s="313" t="s">
        <v>1521</v>
      </c>
      <c r="J49" s="313" t="s">
        <v>70</v>
      </c>
    </row>
    <row r="50" spans="1:10" x14ac:dyDescent="0.25">
      <c r="A50" s="313" t="s">
        <v>209</v>
      </c>
      <c r="B50" s="313" t="s">
        <v>211</v>
      </c>
      <c r="C50" s="313" t="s">
        <v>2111</v>
      </c>
      <c r="D50" s="313" t="s">
        <v>2157</v>
      </c>
      <c r="E50" s="313" t="s">
        <v>54</v>
      </c>
      <c r="F50" s="313" t="s">
        <v>2334</v>
      </c>
      <c r="G50" s="314" t="s">
        <v>44</v>
      </c>
      <c r="H50" s="313" t="s">
        <v>70</v>
      </c>
      <c r="I50" s="313" t="s">
        <v>1521</v>
      </c>
      <c r="J50" s="313" t="s">
        <v>70</v>
      </c>
    </row>
    <row r="51" spans="1:10" x14ac:dyDescent="0.25">
      <c r="A51" s="313" t="s">
        <v>213</v>
      </c>
      <c r="B51" s="313" t="s">
        <v>214</v>
      </c>
      <c r="C51" s="313" t="s">
        <v>2111</v>
      </c>
      <c r="D51" s="313" t="s">
        <v>2159</v>
      </c>
      <c r="E51" s="313" t="s">
        <v>54</v>
      </c>
      <c r="F51" s="313" t="s">
        <v>2335</v>
      </c>
      <c r="G51" s="313" t="s">
        <v>24</v>
      </c>
      <c r="H51" s="313" t="s">
        <v>70</v>
      </c>
      <c r="I51" s="313" t="s">
        <v>1521</v>
      </c>
      <c r="J51" s="313" t="s">
        <v>70</v>
      </c>
    </row>
    <row r="52" spans="1:10" x14ac:dyDescent="0.25">
      <c r="A52" s="313" t="s">
        <v>216</v>
      </c>
      <c r="B52" s="313" t="s">
        <v>217</v>
      </c>
      <c r="C52" s="313" t="s">
        <v>2111</v>
      </c>
      <c r="D52" s="313" t="s">
        <v>2160</v>
      </c>
      <c r="E52" s="313" t="s">
        <v>37</v>
      </c>
      <c r="F52" s="313" t="s">
        <v>24</v>
      </c>
      <c r="G52" s="313" t="s">
        <v>24</v>
      </c>
      <c r="H52" s="313" t="s">
        <v>70</v>
      </c>
      <c r="I52" s="313" t="s">
        <v>1521</v>
      </c>
      <c r="J52" s="313" t="s">
        <v>70</v>
      </c>
    </row>
    <row r="53" spans="1:10" x14ac:dyDescent="0.25">
      <c r="A53" s="313" t="s">
        <v>218</v>
      </c>
      <c r="B53" s="313" t="s">
        <v>219</v>
      </c>
      <c r="C53" s="313" t="s">
        <v>2111</v>
      </c>
      <c r="D53" s="313" t="s">
        <v>2163</v>
      </c>
      <c r="E53" s="313" t="s">
        <v>37</v>
      </c>
      <c r="F53" s="313" t="s">
        <v>24</v>
      </c>
      <c r="G53" s="313" t="s">
        <v>24</v>
      </c>
      <c r="H53" s="313" t="s">
        <v>70</v>
      </c>
      <c r="I53" s="313" t="s">
        <v>1521</v>
      </c>
      <c r="J53" s="313" t="s">
        <v>70</v>
      </c>
    </row>
    <row r="54" spans="1:10" x14ac:dyDescent="0.25">
      <c r="A54" s="313" t="s">
        <v>220</v>
      </c>
      <c r="B54" s="313" t="s">
        <v>221</v>
      </c>
      <c r="C54" s="313" t="s">
        <v>2111</v>
      </c>
      <c r="D54" s="313" t="s">
        <v>2164</v>
      </c>
      <c r="E54" s="313" t="s">
        <v>114</v>
      </c>
      <c r="F54" s="313" t="s">
        <v>24</v>
      </c>
      <c r="G54" s="313" t="s">
        <v>24</v>
      </c>
      <c r="H54" s="313" t="s">
        <v>70</v>
      </c>
      <c r="I54" s="313" t="s">
        <v>1521</v>
      </c>
      <c r="J54" s="313" t="s">
        <v>70</v>
      </c>
    </row>
    <row r="55" spans="1:10" x14ac:dyDescent="0.25">
      <c r="A55" s="313" t="s">
        <v>222</v>
      </c>
      <c r="B55" s="313" t="s">
        <v>2336</v>
      </c>
      <c r="C55" s="313" t="s">
        <v>2111</v>
      </c>
      <c r="D55" s="313" t="s">
        <v>2166</v>
      </c>
      <c r="E55" s="313" t="s">
        <v>114</v>
      </c>
      <c r="F55" s="313" t="s">
        <v>24</v>
      </c>
      <c r="G55" s="313" t="s">
        <v>24</v>
      </c>
      <c r="H55" s="313" t="s">
        <v>70</v>
      </c>
      <c r="I55" s="313" t="s">
        <v>1521</v>
      </c>
      <c r="J55" s="313" t="s">
        <v>70</v>
      </c>
    </row>
    <row r="56" spans="1:10" x14ac:dyDescent="0.25">
      <c r="A56" s="313" t="s">
        <v>224</v>
      </c>
      <c r="B56" s="313" t="s">
        <v>225</v>
      </c>
      <c r="C56" s="313" t="s">
        <v>2111</v>
      </c>
      <c r="D56" s="313" t="s">
        <v>2167</v>
      </c>
      <c r="E56" s="313" t="s">
        <v>54</v>
      </c>
      <c r="F56" s="313" t="s">
        <v>2337</v>
      </c>
      <c r="G56" s="313" t="s">
        <v>24</v>
      </c>
      <c r="H56" s="313" t="s">
        <v>70</v>
      </c>
      <c r="I56" s="313" t="s">
        <v>1521</v>
      </c>
      <c r="J56" s="313" t="s">
        <v>70</v>
      </c>
    </row>
    <row r="57" spans="1:10" x14ac:dyDescent="0.25">
      <c r="A57" s="313" t="s">
        <v>227</v>
      </c>
      <c r="B57" s="313" t="s">
        <v>228</v>
      </c>
      <c r="C57" s="313" t="s">
        <v>2111</v>
      </c>
      <c r="D57" s="313" t="s">
        <v>2170</v>
      </c>
      <c r="E57" s="313" t="s">
        <v>114</v>
      </c>
      <c r="F57" s="313" t="s">
        <v>24</v>
      </c>
      <c r="G57" s="313" t="s">
        <v>24</v>
      </c>
      <c r="H57" s="313" t="s">
        <v>70</v>
      </c>
      <c r="I57" s="313" t="s">
        <v>1521</v>
      </c>
      <c r="J57" s="313" t="s">
        <v>70</v>
      </c>
    </row>
    <row r="58" spans="1:10" x14ac:dyDescent="0.25">
      <c r="A58" s="313" t="s">
        <v>231</v>
      </c>
      <c r="B58" s="313" t="s">
        <v>233</v>
      </c>
      <c r="C58" s="313" t="s">
        <v>2114</v>
      </c>
      <c r="D58" s="313" t="s">
        <v>2171</v>
      </c>
      <c r="E58" s="313" t="s">
        <v>54</v>
      </c>
      <c r="F58" s="313" t="s">
        <v>2338</v>
      </c>
      <c r="G58" s="314" t="s">
        <v>44</v>
      </c>
      <c r="H58" s="313" t="s">
        <v>70</v>
      </c>
      <c r="I58" s="313" t="s">
        <v>1521</v>
      </c>
      <c r="J58" s="313" t="s">
        <v>70</v>
      </c>
    </row>
    <row r="59" spans="1:10" x14ac:dyDescent="0.25">
      <c r="A59" s="313" t="s">
        <v>237</v>
      </c>
      <c r="B59" s="313" t="s">
        <v>2339</v>
      </c>
      <c r="C59" s="313" t="s">
        <v>235</v>
      </c>
      <c r="D59" s="313" t="s">
        <v>2174</v>
      </c>
      <c r="E59" s="313" t="s">
        <v>114</v>
      </c>
      <c r="F59" s="313" t="s">
        <v>24</v>
      </c>
      <c r="G59" s="313" t="s">
        <v>24</v>
      </c>
      <c r="H59" s="313" t="s">
        <v>70</v>
      </c>
      <c r="I59" s="313" t="s">
        <v>1521</v>
      </c>
      <c r="J59" s="313" t="s">
        <v>70</v>
      </c>
    </row>
    <row r="60" spans="1:10" x14ac:dyDescent="0.25">
      <c r="A60" s="313" t="s">
        <v>239</v>
      </c>
      <c r="B60" s="313" t="s">
        <v>2340</v>
      </c>
      <c r="C60" s="313" t="s">
        <v>235</v>
      </c>
      <c r="D60" s="313" t="s">
        <v>2175</v>
      </c>
      <c r="E60" s="313" t="s">
        <v>54</v>
      </c>
      <c r="F60" s="313" t="s">
        <v>2341</v>
      </c>
      <c r="G60" s="313" t="s">
        <v>24</v>
      </c>
      <c r="H60" s="313" t="s">
        <v>70</v>
      </c>
      <c r="I60" s="313" t="s">
        <v>1521</v>
      </c>
      <c r="J60" s="313" t="s">
        <v>70</v>
      </c>
    </row>
    <row r="61" spans="1:10" x14ac:dyDescent="0.25">
      <c r="A61" s="313" t="s">
        <v>243</v>
      </c>
      <c r="B61" s="313" t="s">
        <v>2342</v>
      </c>
      <c r="C61" s="313" t="s">
        <v>235</v>
      </c>
      <c r="D61" s="313" t="s">
        <v>2176</v>
      </c>
      <c r="E61" s="313" t="s">
        <v>54</v>
      </c>
      <c r="F61" s="313" t="s">
        <v>2343</v>
      </c>
      <c r="G61" s="313" t="s">
        <v>24</v>
      </c>
      <c r="H61" s="313" t="s">
        <v>70</v>
      </c>
      <c r="I61" s="313" t="s">
        <v>1521</v>
      </c>
      <c r="J61" s="313" t="s">
        <v>70</v>
      </c>
    </row>
    <row r="62" spans="1:10" x14ac:dyDescent="0.25">
      <c r="A62" s="313" t="s">
        <v>247</v>
      </c>
      <c r="B62" s="313" t="s">
        <v>2344</v>
      </c>
      <c r="C62" s="313" t="s">
        <v>235</v>
      </c>
      <c r="D62" s="313" t="s">
        <v>2178</v>
      </c>
      <c r="E62" s="313" t="s">
        <v>54</v>
      </c>
      <c r="F62" s="313" t="s">
        <v>2345</v>
      </c>
      <c r="G62" s="313" t="s">
        <v>24</v>
      </c>
      <c r="H62" s="313" t="s">
        <v>70</v>
      </c>
      <c r="I62" s="313" t="s">
        <v>1521</v>
      </c>
      <c r="J62" s="313" t="s">
        <v>70</v>
      </c>
    </row>
    <row r="63" spans="1:10" x14ac:dyDescent="0.25">
      <c r="A63" s="313" t="s">
        <v>251</v>
      </c>
      <c r="B63" s="313" t="s">
        <v>252</v>
      </c>
      <c r="C63" s="313" t="s">
        <v>235</v>
      </c>
      <c r="D63" s="313" t="s">
        <v>2179</v>
      </c>
      <c r="E63" s="313" t="s">
        <v>37</v>
      </c>
      <c r="F63" s="313" t="s">
        <v>24</v>
      </c>
      <c r="G63" s="313" t="s">
        <v>24</v>
      </c>
      <c r="H63" s="313" t="s">
        <v>70</v>
      </c>
      <c r="I63" s="313" t="s">
        <v>1521</v>
      </c>
      <c r="J63" s="313" t="s">
        <v>70</v>
      </c>
    </row>
    <row r="64" spans="1:10" x14ac:dyDescent="0.25">
      <c r="A64" s="313" t="s">
        <v>253</v>
      </c>
      <c r="B64" s="313" t="s">
        <v>255</v>
      </c>
      <c r="C64" s="313" t="s">
        <v>235</v>
      </c>
      <c r="D64" s="313" t="s">
        <v>2181</v>
      </c>
      <c r="E64" s="313" t="s">
        <v>54</v>
      </c>
      <c r="F64" s="313" t="s">
        <v>2346</v>
      </c>
      <c r="G64" s="313" t="s">
        <v>24</v>
      </c>
      <c r="H64" s="313" t="s">
        <v>70</v>
      </c>
      <c r="I64" s="313" t="s">
        <v>1521</v>
      </c>
      <c r="J64" s="313" t="s">
        <v>70</v>
      </c>
    </row>
    <row r="65" spans="1:10" x14ac:dyDescent="0.25">
      <c r="A65" s="313" t="s">
        <v>259</v>
      </c>
      <c r="B65" s="313" t="s">
        <v>2347</v>
      </c>
      <c r="C65" s="313" t="s">
        <v>257</v>
      </c>
      <c r="D65" s="313" t="s">
        <v>2182</v>
      </c>
      <c r="E65" s="313" t="s">
        <v>114</v>
      </c>
      <c r="F65" s="313" t="s">
        <v>24</v>
      </c>
      <c r="G65" s="313" t="s">
        <v>24</v>
      </c>
      <c r="H65" s="313" t="s">
        <v>70</v>
      </c>
      <c r="I65" s="313" t="s">
        <v>1521</v>
      </c>
      <c r="J65" s="313" t="s">
        <v>70</v>
      </c>
    </row>
    <row r="66" spans="1:10" x14ac:dyDescent="0.25">
      <c r="A66" s="313" t="s">
        <v>262</v>
      </c>
      <c r="B66" s="313" t="s">
        <v>264</v>
      </c>
      <c r="C66" s="313" t="s">
        <v>257</v>
      </c>
      <c r="D66" s="313" t="s">
        <v>2184</v>
      </c>
      <c r="E66" s="313" t="s">
        <v>54</v>
      </c>
      <c r="F66" s="313" t="s">
        <v>2348</v>
      </c>
      <c r="G66" s="313" t="s">
        <v>24</v>
      </c>
      <c r="H66" s="313" t="s">
        <v>70</v>
      </c>
      <c r="I66" s="313" t="s">
        <v>1521</v>
      </c>
      <c r="J66" s="313" t="s">
        <v>70</v>
      </c>
    </row>
    <row r="67" spans="1:10" x14ac:dyDescent="0.25">
      <c r="A67" s="313" t="s">
        <v>266</v>
      </c>
      <c r="B67" s="313" t="s">
        <v>252</v>
      </c>
      <c r="C67" s="313" t="s">
        <v>257</v>
      </c>
      <c r="D67" s="313" t="s">
        <v>2186</v>
      </c>
      <c r="E67" s="313" t="s">
        <v>37</v>
      </c>
      <c r="F67" s="313" t="s">
        <v>24</v>
      </c>
      <c r="G67" s="313" t="s">
        <v>24</v>
      </c>
      <c r="H67" s="313" t="s">
        <v>70</v>
      </c>
      <c r="I67" s="313" t="s">
        <v>1521</v>
      </c>
      <c r="J67" s="313" t="s">
        <v>70</v>
      </c>
    </row>
    <row r="68" spans="1:10" x14ac:dyDescent="0.25">
      <c r="A68" s="313" t="s">
        <v>267</v>
      </c>
      <c r="B68" s="313" t="s">
        <v>2349</v>
      </c>
      <c r="C68" s="313" t="s">
        <v>257</v>
      </c>
      <c r="D68" s="313" t="s">
        <v>2189</v>
      </c>
      <c r="E68" s="313" t="s">
        <v>48</v>
      </c>
      <c r="F68" s="313" t="s">
        <v>2350</v>
      </c>
      <c r="G68" s="314" t="s">
        <v>44</v>
      </c>
      <c r="H68" s="313" t="s">
        <v>70</v>
      </c>
      <c r="I68" s="313" t="s">
        <v>1521</v>
      </c>
      <c r="J68" s="313" t="s">
        <v>70</v>
      </c>
    </row>
    <row r="69" spans="1:10" x14ac:dyDescent="0.25">
      <c r="A69" s="313" t="s">
        <v>270</v>
      </c>
      <c r="B69" s="313" t="s">
        <v>271</v>
      </c>
      <c r="C69" s="313" t="s">
        <v>257</v>
      </c>
      <c r="D69" s="313" t="s">
        <v>2190</v>
      </c>
      <c r="E69" s="313" t="s">
        <v>114</v>
      </c>
      <c r="F69" s="313" t="s">
        <v>24</v>
      </c>
      <c r="G69" s="313" t="s">
        <v>24</v>
      </c>
      <c r="H69" s="313" t="s">
        <v>70</v>
      </c>
      <c r="I69" s="313" t="s">
        <v>1521</v>
      </c>
      <c r="J69" s="313" t="s">
        <v>70</v>
      </c>
    </row>
    <row r="70" spans="1:10" x14ac:dyDescent="0.25">
      <c r="A70" s="313" t="s">
        <v>272</v>
      </c>
      <c r="B70" s="313" t="s">
        <v>274</v>
      </c>
      <c r="C70" s="313" t="s">
        <v>257</v>
      </c>
      <c r="D70" s="313" t="s">
        <v>2192</v>
      </c>
      <c r="E70" s="313" t="s">
        <v>54</v>
      </c>
      <c r="F70" s="313" t="s">
        <v>2346</v>
      </c>
      <c r="G70" s="313" t="s">
        <v>24</v>
      </c>
      <c r="H70" s="313" t="s">
        <v>70</v>
      </c>
      <c r="I70" s="313" t="s">
        <v>1521</v>
      </c>
      <c r="J70" s="313" t="s">
        <v>70</v>
      </c>
    </row>
    <row r="71" spans="1:10" x14ac:dyDescent="0.25">
      <c r="A71" s="313" t="s">
        <v>276</v>
      </c>
      <c r="B71" s="313" t="s">
        <v>278</v>
      </c>
      <c r="C71" s="313" t="s">
        <v>257</v>
      </c>
      <c r="D71" s="313" t="s">
        <v>2193</v>
      </c>
      <c r="E71" s="313" t="s">
        <v>54</v>
      </c>
      <c r="F71" s="313" t="s">
        <v>2351</v>
      </c>
      <c r="G71" s="313" t="s">
        <v>24</v>
      </c>
      <c r="H71" s="313" t="s">
        <v>70</v>
      </c>
      <c r="I71" s="313" t="s">
        <v>1521</v>
      </c>
      <c r="J71" s="313" t="s">
        <v>70</v>
      </c>
    </row>
    <row r="72" spans="1:10" x14ac:dyDescent="0.25">
      <c r="A72" s="313" t="s">
        <v>280</v>
      </c>
      <c r="B72" s="313" t="s">
        <v>281</v>
      </c>
      <c r="C72" s="313" t="s">
        <v>257</v>
      </c>
      <c r="D72" s="313" t="s">
        <v>2194</v>
      </c>
      <c r="E72" s="313" t="s">
        <v>114</v>
      </c>
      <c r="F72" s="313" t="s">
        <v>24</v>
      </c>
      <c r="G72" s="313" t="s">
        <v>24</v>
      </c>
      <c r="H72" s="313" t="s">
        <v>70</v>
      </c>
      <c r="I72" s="313" t="s">
        <v>1521</v>
      </c>
      <c r="J72" s="313" t="s">
        <v>70</v>
      </c>
    </row>
    <row r="73" spans="1:10" x14ac:dyDescent="0.25">
      <c r="A73" s="313" t="s">
        <v>284</v>
      </c>
      <c r="B73" s="313" t="s">
        <v>286</v>
      </c>
      <c r="C73" s="313" t="s">
        <v>2120</v>
      </c>
      <c r="D73" s="313" t="s">
        <v>2196</v>
      </c>
      <c r="E73" s="313" t="s">
        <v>54</v>
      </c>
      <c r="F73" s="313" t="s">
        <v>2352</v>
      </c>
      <c r="G73" s="313" t="s">
        <v>24</v>
      </c>
      <c r="H73" s="313" t="s">
        <v>1521</v>
      </c>
      <c r="I73" s="313" t="s">
        <v>1521</v>
      </c>
      <c r="J73" s="313" t="s">
        <v>70</v>
      </c>
    </row>
    <row r="74" spans="1:10" ht="375" x14ac:dyDescent="0.25">
      <c r="A74" s="313" t="s">
        <v>288</v>
      </c>
      <c r="B74" s="315" t="s">
        <v>289</v>
      </c>
      <c r="C74" s="313" t="s">
        <v>2120</v>
      </c>
      <c r="D74" s="313" t="s">
        <v>2197</v>
      </c>
      <c r="E74" s="313" t="s">
        <v>2353</v>
      </c>
      <c r="F74" s="315" t="s">
        <v>1550</v>
      </c>
      <c r="G74" s="313" t="s">
        <v>24</v>
      </c>
      <c r="H74" s="313" t="s">
        <v>1521</v>
      </c>
      <c r="I74" s="313" t="s">
        <v>1521</v>
      </c>
      <c r="J74" s="313" t="s">
        <v>70</v>
      </c>
    </row>
    <row r="75" spans="1:10" x14ac:dyDescent="0.25">
      <c r="A75" s="313" t="s">
        <v>292</v>
      </c>
      <c r="B75" s="313" t="s">
        <v>2354</v>
      </c>
      <c r="C75" s="313" t="s">
        <v>2120</v>
      </c>
      <c r="D75" s="313" t="s">
        <v>2199</v>
      </c>
      <c r="E75" s="313" t="s">
        <v>54</v>
      </c>
      <c r="F75" s="313" t="s">
        <v>2355</v>
      </c>
      <c r="G75" s="313" t="s">
        <v>24</v>
      </c>
      <c r="H75" s="313" t="s">
        <v>1521</v>
      </c>
      <c r="I75" s="313" t="s">
        <v>1521</v>
      </c>
      <c r="J75" s="313" t="s">
        <v>70</v>
      </c>
    </row>
    <row r="76" spans="1:10" x14ac:dyDescent="0.25">
      <c r="A76" s="313" t="s">
        <v>296</v>
      </c>
      <c r="B76" s="313" t="s">
        <v>2356</v>
      </c>
      <c r="C76" s="313" t="s">
        <v>2120</v>
      </c>
      <c r="D76" s="313" t="s">
        <v>2200</v>
      </c>
      <c r="E76" s="313" t="s">
        <v>37</v>
      </c>
      <c r="F76" s="313" t="s">
        <v>24</v>
      </c>
      <c r="G76" s="313" t="s">
        <v>24</v>
      </c>
      <c r="H76" s="313" t="s">
        <v>1521</v>
      </c>
      <c r="I76" s="313" t="s">
        <v>1521</v>
      </c>
      <c r="J76" s="313" t="s">
        <v>70</v>
      </c>
    </row>
    <row r="77" spans="1:10" x14ac:dyDescent="0.25">
      <c r="A77" s="313" t="s">
        <v>298</v>
      </c>
      <c r="B77" s="313" t="s">
        <v>300</v>
      </c>
      <c r="C77" s="313" t="s">
        <v>2120</v>
      </c>
      <c r="D77" s="313" t="s">
        <v>2203</v>
      </c>
      <c r="E77" s="313" t="s">
        <v>54</v>
      </c>
      <c r="F77" s="313" t="s">
        <v>2357</v>
      </c>
      <c r="G77" s="313" t="s">
        <v>24</v>
      </c>
      <c r="H77" s="313" t="s">
        <v>1521</v>
      </c>
      <c r="I77" s="313" t="s">
        <v>1521</v>
      </c>
      <c r="J77" s="313" t="s">
        <v>70</v>
      </c>
    </row>
    <row r="78" spans="1:10" x14ac:dyDescent="0.25">
      <c r="A78" s="313" t="s">
        <v>302</v>
      </c>
      <c r="B78" s="313" t="s">
        <v>304</v>
      </c>
      <c r="C78" s="313" t="s">
        <v>2120</v>
      </c>
      <c r="D78" s="313" t="s">
        <v>2205</v>
      </c>
      <c r="E78" s="313" t="s">
        <v>54</v>
      </c>
      <c r="F78" s="313" t="s">
        <v>2358</v>
      </c>
      <c r="G78" s="313" t="s">
        <v>24</v>
      </c>
      <c r="H78" s="313" t="s">
        <v>1521</v>
      </c>
      <c r="I78" s="313" t="s">
        <v>1521</v>
      </c>
      <c r="J78" s="313" t="s">
        <v>70</v>
      </c>
    </row>
    <row r="79" spans="1:10" x14ac:dyDescent="0.25">
      <c r="A79" s="313" t="s">
        <v>306</v>
      </c>
      <c r="B79" s="313" t="s">
        <v>2359</v>
      </c>
      <c r="C79" s="313" t="s">
        <v>2120</v>
      </c>
      <c r="D79" s="313" t="s">
        <v>2208</v>
      </c>
      <c r="E79" s="313" t="s">
        <v>54</v>
      </c>
      <c r="F79" s="313" t="s">
        <v>2360</v>
      </c>
      <c r="G79" s="313" t="s">
        <v>24</v>
      </c>
      <c r="H79" s="313" t="s">
        <v>1521</v>
      </c>
      <c r="I79" s="313" t="s">
        <v>1521</v>
      </c>
      <c r="J79" s="313" t="s">
        <v>70</v>
      </c>
    </row>
    <row r="80" spans="1:10" x14ac:dyDescent="0.25">
      <c r="A80" s="313" t="s">
        <v>310</v>
      </c>
      <c r="B80" s="313" t="s">
        <v>2361</v>
      </c>
      <c r="C80" s="313" t="s">
        <v>2120</v>
      </c>
      <c r="D80" s="313" t="s">
        <v>2210</v>
      </c>
      <c r="E80" s="313" t="s">
        <v>54</v>
      </c>
      <c r="F80" s="313" t="s">
        <v>2362</v>
      </c>
      <c r="G80" s="313" t="s">
        <v>24</v>
      </c>
      <c r="H80" s="313" t="s">
        <v>1521</v>
      </c>
      <c r="I80" s="313" t="s">
        <v>1521</v>
      </c>
      <c r="J80" s="313" t="s">
        <v>70</v>
      </c>
    </row>
    <row r="81" spans="1:10" x14ac:dyDescent="0.25">
      <c r="A81" s="313" t="s">
        <v>314</v>
      </c>
      <c r="B81" s="313" t="s">
        <v>315</v>
      </c>
      <c r="C81" s="313" t="s">
        <v>2120</v>
      </c>
      <c r="D81" s="313" t="s">
        <v>2211</v>
      </c>
      <c r="E81" s="313" t="s">
        <v>54</v>
      </c>
      <c r="F81" s="313" t="s">
        <v>2363</v>
      </c>
      <c r="G81" s="313" t="s">
        <v>24</v>
      </c>
      <c r="H81" s="313" t="s">
        <v>1521</v>
      </c>
      <c r="I81" s="313" t="s">
        <v>1521</v>
      </c>
      <c r="J81" s="313" t="s">
        <v>70</v>
      </c>
    </row>
    <row r="82" spans="1:10" x14ac:dyDescent="0.25">
      <c r="A82" s="313" t="s">
        <v>317</v>
      </c>
      <c r="B82" s="313" t="s">
        <v>318</v>
      </c>
      <c r="C82" s="313" t="s">
        <v>2120</v>
      </c>
      <c r="D82" s="313" t="s">
        <v>2213</v>
      </c>
      <c r="E82" s="313" t="s">
        <v>114</v>
      </c>
      <c r="F82" s="313" t="s">
        <v>24</v>
      </c>
      <c r="G82" s="313" t="s">
        <v>24</v>
      </c>
      <c r="H82" s="313" t="s">
        <v>1521</v>
      </c>
      <c r="I82" s="313" t="s">
        <v>1521</v>
      </c>
      <c r="J82" s="313" t="s">
        <v>70</v>
      </c>
    </row>
    <row r="83" spans="1:10" x14ac:dyDescent="0.25">
      <c r="A83" s="313" t="s">
        <v>319</v>
      </c>
      <c r="B83" s="313" t="s">
        <v>2364</v>
      </c>
      <c r="C83" s="313" t="s">
        <v>2120</v>
      </c>
      <c r="D83" s="313" t="s">
        <v>2215</v>
      </c>
      <c r="E83" s="313" t="s">
        <v>54</v>
      </c>
      <c r="F83" s="313" t="s">
        <v>2365</v>
      </c>
      <c r="G83" s="313" t="s">
        <v>24</v>
      </c>
      <c r="H83" s="313" t="s">
        <v>1521</v>
      </c>
      <c r="I83" s="313" t="s">
        <v>1521</v>
      </c>
      <c r="J83" s="313" t="s">
        <v>70</v>
      </c>
    </row>
    <row r="84" spans="1:10" x14ac:dyDescent="0.25">
      <c r="A84" s="313" t="s">
        <v>323</v>
      </c>
      <c r="B84" s="313" t="s">
        <v>324</v>
      </c>
      <c r="C84" s="313" t="s">
        <v>2120</v>
      </c>
      <c r="D84" s="313" t="s">
        <v>2216</v>
      </c>
      <c r="E84" s="313" t="s">
        <v>37</v>
      </c>
      <c r="F84" s="313" t="s">
        <v>24</v>
      </c>
      <c r="G84" s="313" t="s">
        <v>24</v>
      </c>
      <c r="H84" s="313" t="s">
        <v>1521</v>
      </c>
      <c r="I84" s="313" t="s">
        <v>1521</v>
      </c>
      <c r="J84" s="313" t="s">
        <v>70</v>
      </c>
    </row>
    <row r="85" spans="1:10" x14ac:dyDescent="0.25">
      <c r="A85" s="313" t="s">
        <v>325</v>
      </c>
      <c r="B85" s="313" t="s">
        <v>326</v>
      </c>
      <c r="C85" s="313" t="s">
        <v>2120</v>
      </c>
      <c r="D85" s="313" t="s">
        <v>2217</v>
      </c>
      <c r="E85" s="313" t="s">
        <v>54</v>
      </c>
      <c r="F85" s="313" t="s">
        <v>2363</v>
      </c>
      <c r="G85" s="313" t="s">
        <v>24</v>
      </c>
      <c r="H85" s="313" t="s">
        <v>1521</v>
      </c>
      <c r="I85" s="313" t="s">
        <v>1521</v>
      </c>
      <c r="J85" s="313" t="s">
        <v>70</v>
      </c>
    </row>
    <row r="86" spans="1:10" x14ac:dyDescent="0.25">
      <c r="A86" s="313" t="s">
        <v>327</v>
      </c>
      <c r="B86" s="313" t="s">
        <v>318</v>
      </c>
      <c r="C86" s="313" t="s">
        <v>2120</v>
      </c>
      <c r="D86" s="313" t="s">
        <v>2219</v>
      </c>
      <c r="E86" s="313" t="s">
        <v>114</v>
      </c>
      <c r="F86" s="313" t="s">
        <v>24</v>
      </c>
      <c r="G86" s="313" t="s">
        <v>24</v>
      </c>
      <c r="H86" s="313" t="s">
        <v>1521</v>
      </c>
      <c r="I86" s="313" t="s">
        <v>1521</v>
      </c>
      <c r="J86" s="313" t="s">
        <v>70</v>
      </c>
    </row>
    <row r="87" spans="1:10" x14ac:dyDescent="0.25">
      <c r="A87" s="313" t="s">
        <v>328</v>
      </c>
      <c r="B87" s="313" t="s">
        <v>330</v>
      </c>
      <c r="C87" s="313" t="s">
        <v>2120</v>
      </c>
      <c r="D87" s="313" t="s">
        <v>2220</v>
      </c>
      <c r="E87" s="313" t="s">
        <v>54</v>
      </c>
      <c r="F87" s="313" t="s">
        <v>2366</v>
      </c>
      <c r="G87" s="313" t="s">
        <v>24</v>
      </c>
      <c r="H87" s="313" t="s">
        <v>70</v>
      </c>
      <c r="I87" s="313" t="s">
        <v>1521</v>
      </c>
      <c r="J87" s="313" t="s">
        <v>70</v>
      </c>
    </row>
    <row r="88" spans="1:10" x14ac:dyDescent="0.25">
      <c r="A88" s="313" t="s">
        <v>334</v>
      </c>
      <c r="B88" s="313" t="s">
        <v>2367</v>
      </c>
      <c r="C88" s="313" t="s">
        <v>2123</v>
      </c>
      <c r="D88" s="313" t="s">
        <v>2222</v>
      </c>
      <c r="E88" s="313" t="s">
        <v>48</v>
      </c>
      <c r="F88" s="313" t="s">
        <v>2368</v>
      </c>
      <c r="G88" s="314" t="s">
        <v>44</v>
      </c>
      <c r="H88" s="313" t="s">
        <v>70</v>
      </c>
      <c r="I88" s="313" t="s">
        <v>1521</v>
      </c>
      <c r="J88" s="313" t="s">
        <v>70</v>
      </c>
    </row>
    <row r="89" spans="1:10" x14ac:dyDescent="0.25">
      <c r="A89" s="313" t="s">
        <v>340</v>
      </c>
      <c r="B89" s="313" t="s">
        <v>2369</v>
      </c>
      <c r="C89" s="313" t="s">
        <v>338</v>
      </c>
      <c r="D89" s="313" t="s">
        <v>2224</v>
      </c>
      <c r="E89" s="313" t="s">
        <v>48</v>
      </c>
      <c r="F89" s="313" t="s">
        <v>2370</v>
      </c>
      <c r="G89" s="314" t="s">
        <v>44</v>
      </c>
      <c r="H89" s="313" t="s">
        <v>70</v>
      </c>
      <c r="I89" s="313" t="s">
        <v>1521</v>
      </c>
      <c r="J89" s="313" t="s">
        <v>70</v>
      </c>
    </row>
    <row r="90" spans="1:10" x14ac:dyDescent="0.25">
      <c r="A90" s="313" t="s">
        <v>344</v>
      </c>
      <c r="B90" s="313" t="s">
        <v>345</v>
      </c>
      <c r="C90" s="313" t="s">
        <v>338</v>
      </c>
      <c r="D90" s="313" t="s">
        <v>2225</v>
      </c>
      <c r="E90" s="313" t="s">
        <v>37</v>
      </c>
      <c r="F90" s="313" t="s">
        <v>24</v>
      </c>
      <c r="G90" s="313" t="s">
        <v>24</v>
      </c>
      <c r="H90" s="313" t="s">
        <v>70</v>
      </c>
      <c r="I90" s="313" t="s">
        <v>1521</v>
      </c>
      <c r="J90" s="313" t="s">
        <v>70</v>
      </c>
    </row>
    <row r="91" spans="1:10" x14ac:dyDescent="0.25">
      <c r="A91" s="313" t="s">
        <v>348</v>
      </c>
      <c r="B91" s="313" t="s">
        <v>350</v>
      </c>
      <c r="C91" s="313" t="s">
        <v>346</v>
      </c>
      <c r="D91" s="313" t="s">
        <v>2227</v>
      </c>
      <c r="E91" s="313" t="s">
        <v>48</v>
      </c>
      <c r="F91" s="313" t="s">
        <v>2371</v>
      </c>
      <c r="G91" s="314" t="s">
        <v>44</v>
      </c>
      <c r="H91" s="313" t="s">
        <v>70</v>
      </c>
      <c r="I91" s="313" t="s">
        <v>1521</v>
      </c>
      <c r="J91" s="313" t="s">
        <v>70</v>
      </c>
    </row>
    <row r="92" spans="1:10" x14ac:dyDescent="0.25">
      <c r="A92" s="313" t="s">
        <v>354</v>
      </c>
      <c r="B92" s="313" t="s">
        <v>356</v>
      </c>
      <c r="C92" s="313" t="s">
        <v>2128</v>
      </c>
      <c r="D92" s="313" t="s">
        <v>2228</v>
      </c>
      <c r="E92" s="313" t="s">
        <v>54</v>
      </c>
      <c r="F92" s="313" t="s">
        <v>2372</v>
      </c>
      <c r="G92" s="313" t="s">
        <v>24</v>
      </c>
      <c r="H92" s="313" t="s">
        <v>70</v>
      </c>
      <c r="I92" s="313" t="s">
        <v>1521</v>
      </c>
      <c r="J92" s="313" t="s">
        <v>70</v>
      </c>
    </row>
    <row r="93" spans="1:10" x14ac:dyDescent="0.25">
      <c r="A93" s="313" t="s">
        <v>358</v>
      </c>
      <c r="B93" s="313" t="s">
        <v>359</v>
      </c>
      <c r="C93" s="313" t="s">
        <v>2128</v>
      </c>
      <c r="D93" s="313" t="s">
        <v>2229</v>
      </c>
      <c r="E93" s="313" t="s">
        <v>37</v>
      </c>
      <c r="F93" s="313" t="s">
        <v>24</v>
      </c>
      <c r="G93" s="313" t="s">
        <v>24</v>
      </c>
      <c r="H93" s="313" t="s">
        <v>70</v>
      </c>
      <c r="I93" s="313" t="s">
        <v>1521</v>
      </c>
      <c r="J93" s="313" t="s">
        <v>70</v>
      </c>
    </row>
    <row r="94" spans="1:10" x14ac:dyDescent="0.25">
      <c r="A94" s="313" t="s">
        <v>360</v>
      </c>
      <c r="B94" s="313" t="s">
        <v>362</v>
      </c>
      <c r="C94" s="313" t="s">
        <v>2128</v>
      </c>
      <c r="D94" s="313" t="s">
        <v>2230</v>
      </c>
      <c r="E94" s="313" t="s">
        <v>54</v>
      </c>
      <c r="F94" s="313" t="s">
        <v>2373</v>
      </c>
      <c r="G94" s="313" t="s">
        <v>24</v>
      </c>
      <c r="H94" s="313" t="s">
        <v>70</v>
      </c>
      <c r="I94" s="313" t="s">
        <v>1521</v>
      </c>
      <c r="J94" s="313" t="s">
        <v>70</v>
      </c>
    </row>
    <row r="95" spans="1:10" x14ac:dyDescent="0.25">
      <c r="A95" s="313" t="s">
        <v>368</v>
      </c>
      <c r="B95" s="313" t="s">
        <v>370</v>
      </c>
      <c r="C95" s="313" t="s">
        <v>2132</v>
      </c>
      <c r="D95" s="313" t="s">
        <v>2231</v>
      </c>
      <c r="E95" s="313" t="s">
        <v>54</v>
      </c>
      <c r="F95" s="313" t="s">
        <v>2374</v>
      </c>
      <c r="G95" s="313" t="s">
        <v>24</v>
      </c>
      <c r="H95" s="313" t="s">
        <v>70</v>
      </c>
      <c r="I95" s="313" t="s">
        <v>1521</v>
      </c>
      <c r="J95" s="313" t="s">
        <v>70</v>
      </c>
    </row>
    <row r="96" spans="1:10" x14ac:dyDescent="0.25">
      <c r="A96" s="313" t="s">
        <v>372</v>
      </c>
      <c r="B96" s="313" t="s">
        <v>374</v>
      </c>
      <c r="C96" s="313" t="s">
        <v>2132</v>
      </c>
      <c r="D96" s="313" t="s">
        <v>2232</v>
      </c>
      <c r="E96" s="313" t="s">
        <v>54</v>
      </c>
      <c r="F96" s="313" t="s">
        <v>2375</v>
      </c>
      <c r="G96" s="313" t="s">
        <v>24</v>
      </c>
      <c r="H96" s="313" t="s">
        <v>1521</v>
      </c>
      <c r="I96" s="313" t="s">
        <v>1521</v>
      </c>
      <c r="J96" s="313" t="s">
        <v>70</v>
      </c>
    </row>
    <row r="97" spans="1:10" x14ac:dyDescent="0.25">
      <c r="A97" s="313" t="s">
        <v>376</v>
      </c>
      <c r="B97" s="313" t="s">
        <v>378</v>
      </c>
      <c r="C97" s="313" t="s">
        <v>2132</v>
      </c>
      <c r="D97" s="313" t="s">
        <v>2234</v>
      </c>
      <c r="E97" s="313" t="s">
        <v>48</v>
      </c>
      <c r="F97" s="313" t="s">
        <v>2376</v>
      </c>
      <c r="G97" s="314" t="s">
        <v>44</v>
      </c>
      <c r="H97" s="313" t="s">
        <v>70</v>
      </c>
      <c r="I97" s="313" t="s">
        <v>1521</v>
      </c>
      <c r="J97" s="313" t="s">
        <v>70</v>
      </c>
    </row>
    <row r="98" spans="1:10" x14ac:dyDescent="0.25">
      <c r="A98" s="313" t="s">
        <v>380</v>
      </c>
      <c r="B98" s="313" t="s">
        <v>381</v>
      </c>
      <c r="C98" s="313" t="s">
        <v>2132</v>
      </c>
      <c r="D98" s="313" t="s">
        <v>2235</v>
      </c>
      <c r="E98" s="313" t="s">
        <v>37</v>
      </c>
      <c r="F98" s="313" t="s">
        <v>24</v>
      </c>
      <c r="G98" s="313" t="s">
        <v>24</v>
      </c>
      <c r="H98" s="313" t="s">
        <v>1521</v>
      </c>
      <c r="I98" s="313" t="s">
        <v>1521</v>
      </c>
      <c r="J98" s="313" t="s">
        <v>70</v>
      </c>
    </row>
    <row r="99" spans="1:10" x14ac:dyDescent="0.25">
      <c r="A99" s="313" t="s">
        <v>383</v>
      </c>
      <c r="B99" s="313" t="s">
        <v>384</v>
      </c>
      <c r="C99" s="313" t="s">
        <v>2132</v>
      </c>
      <c r="D99" s="313" t="s">
        <v>2237</v>
      </c>
      <c r="E99" s="313" t="s">
        <v>37</v>
      </c>
      <c r="F99" s="313" t="s">
        <v>24</v>
      </c>
      <c r="G99" s="313" t="s">
        <v>24</v>
      </c>
      <c r="H99" s="313" t="s">
        <v>70</v>
      </c>
      <c r="I99" s="313" t="s">
        <v>1521</v>
      </c>
      <c r="J99" s="313" t="s">
        <v>70</v>
      </c>
    </row>
    <row r="100" spans="1:10" x14ac:dyDescent="0.25">
      <c r="A100" s="313" t="s">
        <v>387</v>
      </c>
      <c r="B100" s="313" t="s">
        <v>389</v>
      </c>
      <c r="C100" s="313" t="s">
        <v>2135</v>
      </c>
      <c r="D100" s="313" t="s">
        <v>2238</v>
      </c>
      <c r="E100" s="313" t="s">
        <v>54</v>
      </c>
      <c r="F100" s="313" t="s">
        <v>2377</v>
      </c>
      <c r="G100" s="313" t="s">
        <v>24</v>
      </c>
      <c r="H100" s="313" t="s">
        <v>70</v>
      </c>
      <c r="I100" s="313" t="s">
        <v>1521</v>
      </c>
      <c r="J100" s="313" t="s">
        <v>70</v>
      </c>
    </row>
    <row r="101" spans="1:10" x14ac:dyDescent="0.25">
      <c r="A101" s="313" t="s">
        <v>391</v>
      </c>
      <c r="B101" s="313" t="s">
        <v>392</v>
      </c>
      <c r="C101" s="313" t="s">
        <v>2135</v>
      </c>
      <c r="D101" s="313" t="s">
        <v>2240</v>
      </c>
      <c r="E101" s="313" t="s">
        <v>48</v>
      </c>
      <c r="F101" s="313" t="s">
        <v>393</v>
      </c>
      <c r="G101" s="314" t="s">
        <v>44</v>
      </c>
      <c r="H101" s="313" t="s">
        <v>1521</v>
      </c>
      <c r="I101" s="313" t="s">
        <v>1521</v>
      </c>
      <c r="J101" s="313" t="s">
        <v>70</v>
      </c>
    </row>
    <row r="102" spans="1:10" x14ac:dyDescent="0.25">
      <c r="A102" s="313" t="s">
        <v>394</v>
      </c>
      <c r="B102" s="313" t="s">
        <v>395</v>
      </c>
      <c r="C102" s="313" t="s">
        <v>2135</v>
      </c>
      <c r="D102" s="313" t="s">
        <v>2241</v>
      </c>
      <c r="E102" s="313" t="s">
        <v>37</v>
      </c>
      <c r="F102" s="313" t="s">
        <v>24</v>
      </c>
      <c r="G102" s="313" t="s">
        <v>24</v>
      </c>
      <c r="H102" s="313" t="s">
        <v>70</v>
      </c>
      <c r="I102" s="313" t="s">
        <v>1521</v>
      </c>
      <c r="J102" s="313" t="s">
        <v>70</v>
      </c>
    </row>
    <row r="103" spans="1:10" x14ac:dyDescent="0.25">
      <c r="A103" s="313" t="s">
        <v>396</v>
      </c>
      <c r="B103" s="313" t="s">
        <v>2378</v>
      </c>
      <c r="C103" s="313" t="s">
        <v>2135</v>
      </c>
      <c r="D103" s="313" t="s">
        <v>2243</v>
      </c>
      <c r="E103" s="313" t="s">
        <v>54</v>
      </c>
      <c r="F103" s="313" t="s">
        <v>2379</v>
      </c>
      <c r="G103" s="313" t="s">
        <v>24</v>
      </c>
      <c r="H103" s="313" t="s">
        <v>1521</v>
      </c>
      <c r="I103" s="313" t="s">
        <v>1521</v>
      </c>
      <c r="J103" s="313" t="s">
        <v>70</v>
      </c>
    </row>
    <row r="104" spans="1:10" x14ac:dyDescent="0.25">
      <c r="A104" s="313" t="s">
        <v>404</v>
      </c>
      <c r="B104" s="313" t="s">
        <v>2380</v>
      </c>
      <c r="C104" s="313" t="s">
        <v>402</v>
      </c>
      <c r="D104" s="313" t="s">
        <v>2244</v>
      </c>
      <c r="E104" s="313" t="s">
        <v>54</v>
      </c>
      <c r="F104" s="313" t="s">
        <v>2381</v>
      </c>
      <c r="G104" s="313" t="s">
        <v>24</v>
      </c>
      <c r="H104" s="313" t="s">
        <v>70</v>
      </c>
      <c r="I104" s="313" t="s">
        <v>1521</v>
      </c>
      <c r="J104" s="313" t="s">
        <v>70</v>
      </c>
    </row>
    <row r="105" spans="1:10" x14ac:dyDescent="0.25">
      <c r="A105" s="313" t="s">
        <v>408</v>
      </c>
      <c r="B105" s="313" t="s">
        <v>409</v>
      </c>
      <c r="C105" s="313" t="s">
        <v>402</v>
      </c>
      <c r="D105" s="313" t="s">
        <v>2246</v>
      </c>
      <c r="E105" s="313" t="s">
        <v>54</v>
      </c>
      <c r="F105" s="313" t="s">
        <v>2382</v>
      </c>
      <c r="G105" s="313" t="s">
        <v>24</v>
      </c>
      <c r="H105" s="313" t="s">
        <v>70</v>
      </c>
      <c r="I105" s="313" t="s">
        <v>1521</v>
      </c>
      <c r="J105" s="313" t="s">
        <v>70</v>
      </c>
    </row>
    <row r="106" spans="1:10" x14ac:dyDescent="0.25">
      <c r="A106" s="313" t="s">
        <v>411</v>
      </c>
      <c r="B106" s="313" t="s">
        <v>2383</v>
      </c>
      <c r="C106" s="313" t="s">
        <v>402</v>
      </c>
      <c r="D106" s="313" t="s">
        <v>2247</v>
      </c>
      <c r="E106" s="313" t="s">
        <v>54</v>
      </c>
      <c r="F106" s="313" t="s">
        <v>2384</v>
      </c>
      <c r="G106" s="313" t="s">
        <v>24</v>
      </c>
      <c r="H106" s="313" t="s">
        <v>70</v>
      </c>
      <c r="I106" s="313" t="s">
        <v>1521</v>
      </c>
      <c r="J106" s="313" t="s">
        <v>70</v>
      </c>
    </row>
    <row r="107" spans="1:10" x14ac:dyDescent="0.25">
      <c r="A107" s="313" t="s">
        <v>414</v>
      </c>
      <c r="B107" s="313" t="s">
        <v>2385</v>
      </c>
      <c r="C107" s="313" t="s">
        <v>402</v>
      </c>
      <c r="D107" s="313" t="s">
        <v>2249</v>
      </c>
      <c r="E107" s="313" t="s">
        <v>54</v>
      </c>
      <c r="F107" s="313" t="s">
        <v>2386</v>
      </c>
      <c r="G107" s="313" t="s">
        <v>24</v>
      </c>
      <c r="H107" s="313" t="s">
        <v>70</v>
      </c>
      <c r="I107" s="313" t="s">
        <v>1521</v>
      </c>
      <c r="J107" s="313" t="s">
        <v>70</v>
      </c>
    </row>
    <row r="108" spans="1:10" x14ac:dyDescent="0.25">
      <c r="A108" s="313" t="s">
        <v>418</v>
      </c>
      <c r="B108" s="313" t="s">
        <v>419</v>
      </c>
      <c r="C108" s="313" t="s">
        <v>402</v>
      </c>
      <c r="D108" s="313" t="s">
        <v>2250</v>
      </c>
      <c r="E108" s="313" t="s">
        <v>48</v>
      </c>
      <c r="F108" s="313" t="s">
        <v>2387</v>
      </c>
      <c r="G108" s="314" t="s">
        <v>44</v>
      </c>
      <c r="H108" s="313" t="s">
        <v>70</v>
      </c>
      <c r="I108" s="313" t="s">
        <v>1521</v>
      </c>
      <c r="J108" s="313" t="s">
        <v>70</v>
      </c>
    </row>
    <row r="109" spans="1:10" x14ac:dyDescent="0.25">
      <c r="A109" s="313" t="s">
        <v>421</v>
      </c>
      <c r="B109" s="313" t="s">
        <v>422</v>
      </c>
      <c r="C109" s="313" t="s">
        <v>402</v>
      </c>
      <c r="D109" s="313" t="s">
        <v>2252</v>
      </c>
      <c r="E109" s="313" t="s">
        <v>37</v>
      </c>
      <c r="F109" s="313" t="s">
        <v>24</v>
      </c>
      <c r="G109" s="313" t="s">
        <v>24</v>
      </c>
      <c r="H109" s="313" t="s">
        <v>70</v>
      </c>
      <c r="I109" s="313" t="s">
        <v>1521</v>
      </c>
      <c r="J109" s="313" t="s">
        <v>70</v>
      </c>
    </row>
    <row r="110" spans="1:10" x14ac:dyDescent="0.25">
      <c r="A110" s="313" t="s">
        <v>425</v>
      </c>
      <c r="B110" s="313" t="s">
        <v>2388</v>
      </c>
      <c r="C110" s="313" t="s">
        <v>423</v>
      </c>
      <c r="D110" s="313" t="s">
        <v>2253</v>
      </c>
      <c r="E110" s="313" t="s">
        <v>54</v>
      </c>
      <c r="F110" s="313" t="s">
        <v>2389</v>
      </c>
      <c r="G110" s="313" t="s">
        <v>24</v>
      </c>
      <c r="H110" s="313" t="s">
        <v>70</v>
      </c>
      <c r="I110" s="313" t="s">
        <v>1521</v>
      </c>
      <c r="J110" s="313" t="s">
        <v>70</v>
      </c>
    </row>
    <row r="111" spans="1:10" x14ac:dyDescent="0.25">
      <c r="A111" s="313" t="s">
        <v>429</v>
      </c>
      <c r="B111" s="313" t="s">
        <v>409</v>
      </c>
      <c r="C111" s="313" t="s">
        <v>423</v>
      </c>
      <c r="D111" s="313" t="s">
        <v>2254</v>
      </c>
      <c r="E111" s="313" t="s">
        <v>54</v>
      </c>
      <c r="F111" s="313" t="s">
        <v>2382</v>
      </c>
      <c r="G111" s="313" t="s">
        <v>24</v>
      </c>
      <c r="H111" s="313" t="s">
        <v>70</v>
      </c>
      <c r="I111" s="313" t="s">
        <v>1521</v>
      </c>
      <c r="J111" s="313" t="s">
        <v>70</v>
      </c>
    </row>
    <row r="112" spans="1:10" x14ac:dyDescent="0.25">
      <c r="A112" s="313" t="s">
        <v>430</v>
      </c>
      <c r="B112" s="313" t="s">
        <v>2383</v>
      </c>
      <c r="C112" s="313" t="s">
        <v>423</v>
      </c>
      <c r="D112" s="313" t="s">
        <v>2255</v>
      </c>
      <c r="E112" s="313" t="s">
        <v>54</v>
      </c>
      <c r="F112" s="313" t="s">
        <v>2307</v>
      </c>
      <c r="G112" s="313" t="s">
        <v>24</v>
      </c>
      <c r="H112" s="313" t="s">
        <v>70</v>
      </c>
      <c r="I112" s="313" t="s">
        <v>1521</v>
      </c>
      <c r="J112" s="313" t="s">
        <v>70</v>
      </c>
    </row>
    <row r="113" spans="1:10" x14ac:dyDescent="0.25">
      <c r="A113" s="313" t="s">
        <v>431</v>
      </c>
      <c r="B113" s="313" t="s">
        <v>433</v>
      </c>
      <c r="C113" s="313" t="s">
        <v>423</v>
      </c>
      <c r="D113" s="313" t="s">
        <v>2256</v>
      </c>
      <c r="E113" s="313" t="s">
        <v>54</v>
      </c>
      <c r="F113" s="313" t="s">
        <v>2390</v>
      </c>
      <c r="G113" s="313" t="s">
        <v>24</v>
      </c>
      <c r="H113" s="313" t="s">
        <v>70</v>
      </c>
      <c r="I113" s="313" t="s">
        <v>1521</v>
      </c>
      <c r="J113" s="313" t="s">
        <v>70</v>
      </c>
    </row>
    <row r="114" spans="1:10" x14ac:dyDescent="0.25">
      <c r="A114" s="313" t="s">
        <v>437</v>
      </c>
      <c r="B114" s="313" t="s">
        <v>439</v>
      </c>
      <c r="C114" s="313" t="s">
        <v>2143</v>
      </c>
      <c r="D114" s="313" t="s">
        <v>2257</v>
      </c>
      <c r="E114" s="313" t="s">
        <v>54</v>
      </c>
      <c r="F114" s="313" t="s">
        <v>2391</v>
      </c>
      <c r="G114" s="313" t="s">
        <v>24</v>
      </c>
      <c r="H114" s="313" t="s">
        <v>70</v>
      </c>
      <c r="I114" s="313" t="s">
        <v>1521</v>
      </c>
      <c r="J114" s="313" t="s">
        <v>70</v>
      </c>
    </row>
    <row r="115" spans="1:10" x14ac:dyDescent="0.25">
      <c r="A115" s="313" t="s">
        <v>441</v>
      </c>
      <c r="B115" s="313" t="s">
        <v>442</v>
      </c>
      <c r="C115" s="313" t="s">
        <v>2143</v>
      </c>
      <c r="D115" s="313" t="s">
        <v>2258</v>
      </c>
      <c r="E115" s="313" t="s">
        <v>54</v>
      </c>
      <c r="F115" s="313" t="s">
        <v>2392</v>
      </c>
      <c r="G115" s="313" t="s">
        <v>24</v>
      </c>
      <c r="H115" s="313" t="s">
        <v>70</v>
      </c>
      <c r="I115" s="313" t="s">
        <v>1521</v>
      </c>
      <c r="J115" s="313" t="s">
        <v>70</v>
      </c>
    </row>
    <row r="116" spans="1:10" x14ac:dyDescent="0.25">
      <c r="A116" s="313" t="s">
        <v>444</v>
      </c>
      <c r="B116" s="313" t="s">
        <v>445</v>
      </c>
      <c r="C116" s="313" t="s">
        <v>2143</v>
      </c>
      <c r="D116" s="313" t="s">
        <v>2259</v>
      </c>
      <c r="E116" s="313" t="s">
        <v>37</v>
      </c>
      <c r="F116" s="313" t="s">
        <v>24</v>
      </c>
      <c r="G116" s="313" t="s">
        <v>24</v>
      </c>
      <c r="H116" s="313" t="s">
        <v>70</v>
      </c>
      <c r="I116" s="313" t="s">
        <v>1521</v>
      </c>
      <c r="J116" s="313" t="s">
        <v>70</v>
      </c>
    </row>
    <row r="117" spans="1:10" x14ac:dyDescent="0.25">
      <c r="A117" s="313" t="s">
        <v>446</v>
      </c>
      <c r="B117" s="313" t="s">
        <v>2393</v>
      </c>
      <c r="C117" s="313" t="s">
        <v>2143</v>
      </c>
      <c r="D117" s="313" t="s">
        <v>2260</v>
      </c>
      <c r="E117" s="313" t="s">
        <v>37</v>
      </c>
      <c r="F117" s="313" t="s">
        <v>2394</v>
      </c>
      <c r="G117" s="313" t="s">
        <v>24</v>
      </c>
      <c r="H117" s="313" t="s">
        <v>1521</v>
      </c>
      <c r="I117" s="313" t="s">
        <v>1521</v>
      </c>
      <c r="J117" s="313" t="s">
        <v>70</v>
      </c>
    </row>
    <row r="118" spans="1:10" x14ac:dyDescent="0.25">
      <c r="A118" s="313" t="s">
        <v>448</v>
      </c>
      <c r="B118" s="313" t="s">
        <v>449</v>
      </c>
      <c r="C118" s="313" t="s">
        <v>2143</v>
      </c>
      <c r="D118" s="313" t="s">
        <v>2262</v>
      </c>
      <c r="E118" s="313" t="s">
        <v>54</v>
      </c>
      <c r="F118" s="313" t="s">
        <v>2395</v>
      </c>
      <c r="G118" s="313" t="s">
        <v>24</v>
      </c>
      <c r="H118" s="313" t="s">
        <v>70</v>
      </c>
      <c r="I118" s="313" t="s">
        <v>1521</v>
      </c>
      <c r="J118" s="313" t="s">
        <v>70</v>
      </c>
    </row>
    <row r="119" spans="1:10" x14ac:dyDescent="0.25">
      <c r="A119" s="313" t="s">
        <v>451</v>
      </c>
      <c r="B119" s="313" t="s">
        <v>2396</v>
      </c>
      <c r="C119" s="313" t="s">
        <v>2143</v>
      </c>
      <c r="D119" s="313" t="s">
        <v>2263</v>
      </c>
      <c r="E119" s="313" t="s">
        <v>37</v>
      </c>
      <c r="F119" s="313" t="s">
        <v>2397</v>
      </c>
      <c r="G119" s="313" t="s">
        <v>24</v>
      </c>
      <c r="H119" s="313" t="s">
        <v>70</v>
      </c>
      <c r="I119" s="313" t="s">
        <v>1521</v>
      </c>
      <c r="J119" s="313" t="s">
        <v>70</v>
      </c>
    </row>
    <row r="120" spans="1:10" x14ac:dyDescent="0.25">
      <c r="A120" s="313" t="s">
        <v>453</v>
      </c>
      <c r="B120" s="313" t="s">
        <v>454</v>
      </c>
      <c r="C120" s="313" t="s">
        <v>2143</v>
      </c>
      <c r="D120" s="313" t="s">
        <v>2265</v>
      </c>
      <c r="E120" s="313" t="s">
        <v>48</v>
      </c>
      <c r="F120" s="313" t="s">
        <v>2398</v>
      </c>
      <c r="G120" s="313" t="s">
        <v>24</v>
      </c>
      <c r="H120" s="313" t="s">
        <v>1521</v>
      </c>
      <c r="I120" s="313" t="s">
        <v>1521</v>
      </c>
      <c r="J120" s="313" t="s">
        <v>70</v>
      </c>
    </row>
    <row r="121" spans="1:10" x14ac:dyDescent="0.25">
      <c r="A121" s="313" t="s">
        <v>458</v>
      </c>
      <c r="B121" s="313" t="s">
        <v>2399</v>
      </c>
      <c r="C121" s="313" t="s">
        <v>2146</v>
      </c>
      <c r="D121" s="313" t="s">
        <v>2266</v>
      </c>
      <c r="E121" s="313" t="s">
        <v>54</v>
      </c>
      <c r="F121" s="313" t="s">
        <v>2400</v>
      </c>
      <c r="G121" s="313" t="s">
        <v>24</v>
      </c>
      <c r="H121" s="313" t="s">
        <v>1521</v>
      </c>
      <c r="I121" s="313" t="s">
        <v>1521</v>
      </c>
      <c r="J121" s="313" t="s">
        <v>70</v>
      </c>
    </row>
    <row r="122" spans="1:10" x14ac:dyDescent="0.25">
      <c r="A122" s="313" t="s">
        <v>462</v>
      </c>
      <c r="B122" s="313" t="s">
        <v>463</v>
      </c>
      <c r="C122" s="313" t="s">
        <v>2146</v>
      </c>
      <c r="D122" s="313" t="s">
        <v>2267</v>
      </c>
      <c r="E122" s="313" t="s">
        <v>37</v>
      </c>
      <c r="F122" s="313" t="s">
        <v>2307</v>
      </c>
      <c r="G122" s="313" t="s">
        <v>24</v>
      </c>
      <c r="H122" s="313" t="s">
        <v>1521</v>
      </c>
      <c r="I122" s="313" t="s">
        <v>1521</v>
      </c>
      <c r="J122" s="313" t="s">
        <v>70</v>
      </c>
    </row>
    <row r="123" spans="1:10" x14ac:dyDescent="0.25">
      <c r="A123" s="313" t="s">
        <v>464</v>
      </c>
      <c r="B123" s="313" t="s">
        <v>2401</v>
      </c>
      <c r="C123" s="313" t="s">
        <v>2146</v>
      </c>
      <c r="D123" s="313" t="s">
        <v>2269</v>
      </c>
      <c r="E123" s="313" t="s">
        <v>54</v>
      </c>
      <c r="F123" s="313" t="s">
        <v>2402</v>
      </c>
      <c r="G123" s="313" t="s">
        <v>24</v>
      </c>
      <c r="H123" s="313" t="s">
        <v>70</v>
      </c>
      <c r="I123" s="313" t="s">
        <v>1521</v>
      </c>
      <c r="J123" s="313" t="s">
        <v>70</v>
      </c>
    </row>
    <row r="124" spans="1:10" x14ac:dyDescent="0.25">
      <c r="A124" s="313" t="s">
        <v>468</v>
      </c>
      <c r="B124" s="313" t="s">
        <v>469</v>
      </c>
      <c r="C124" s="313" t="s">
        <v>2146</v>
      </c>
      <c r="D124" s="313" t="s">
        <v>2270</v>
      </c>
      <c r="E124" s="313" t="s">
        <v>37</v>
      </c>
      <c r="F124" s="313" t="s">
        <v>24</v>
      </c>
      <c r="G124" s="313" t="s">
        <v>24</v>
      </c>
      <c r="H124" s="313" t="s">
        <v>70</v>
      </c>
      <c r="I124" s="313" t="s">
        <v>1521</v>
      </c>
      <c r="J124" s="313" t="s">
        <v>70</v>
      </c>
    </row>
    <row r="125" spans="1:10" x14ac:dyDescent="0.25">
      <c r="A125" s="313" t="s">
        <v>472</v>
      </c>
      <c r="B125" s="313" t="s">
        <v>2403</v>
      </c>
      <c r="C125" s="313" t="s">
        <v>2152</v>
      </c>
      <c r="D125" s="313" t="s">
        <v>2272</v>
      </c>
      <c r="E125" s="313" t="s">
        <v>54</v>
      </c>
      <c r="F125" s="313" t="s">
        <v>2404</v>
      </c>
      <c r="G125" s="313" t="s">
        <v>24</v>
      </c>
      <c r="H125" s="313" t="s">
        <v>70</v>
      </c>
      <c r="I125" s="313" t="s">
        <v>1521</v>
      </c>
      <c r="J125" s="313" t="s">
        <v>70</v>
      </c>
    </row>
    <row r="126" spans="1:10" x14ac:dyDescent="0.25">
      <c r="A126" s="313" t="s">
        <v>478</v>
      </c>
      <c r="B126" s="313" t="s">
        <v>480</v>
      </c>
      <c r="C126" s="313" t="s">
        <v>2155</v>
      </c>
      <c r="D126" s="313" t="s">
        <v>2273</v>
      </c>
      <c r="E126" s="313" t="s">
        <v>54</v>
      </c>
      <c r="F126" s="313" t="s">
        <v>2405</v>
      </c>
      <c r="G126" s="313" t="s">
        <v>24</v>
      </c>
      <c r="H126" s="313" t="s">
        <v>70</v>
      </c>
      <c r="I126" s="313" t="s">
        <v>1521</v>
      </c>
      <c r="J126" s="313" t="s">
        <v>70</v>
      </c>
    </row>
    <row r="127" spans="1:10" x14ac:dyDescent="0.25">
      <c r="A127" s="313" t="s">
        <v>482</v>
      </c>
      <c r="B127" s="313" t="s">
        <v>484</v>
      </c>
      <c r="C127" s="313" t="s">
        <v>2155</v>
      </c>
      <c r="D127" s="313" t="s">
        <v>2275</v>
      </c>
      <c r="E127" s="313" t="s">
        <v>54</v>
      </c>
      <c r="F127" s="313" t="s">
        <v>2406</v>
      </c>
      <c r="G127" s="313" t="s">
        <v>24</v>
      </c>
      <c r="H127" s="313" t="s">
        <v>70</v>
      </c>
      <c r="I127" s="313" t="s">
        <v>1521</v>
      </c>
      <c r="J127" s="313" t="s">
        <v>70</v>
      </c>
    </row>
    <row r="128" spans="1:10" x14ac:dyDescent="0.25">
      <c r="A128" s="313" t="s">
        <v>486</v>
      </c>
      <c r="B128" s="313" t="s">
        <v>487</v>
      </c>
      <c r="C128" s="313" t="s">
        <v>2155</v>
      </c>
      <c r="D128" s="313" t="s">
        <v>2276</v>
      </c>
      <c r="E128" s="313" t="s">
        <v>37</v>
      </c>
      <c r="F128" s="313" t="s">
        <v>24</v>
      </c>
      <c r="G128" s="313" t="s">
        <v>24</v>
      </c>
      <c r="H128" s="313" t="s">
        <v>70</v>
      </c>
      <c r="I128" s="313" t="s">
        <v>1521</v>
      </c>
      <c r="J128" s="313" t="s">
        <v>70</v>
      </c>
    </row>
    <row r="129" spans="1:10" x14ac:dyDescent="0.25">
      <c r="A129" s="313" t="s">
        <v>488</v>
      </c>
      <c r="B129" s="313" t="s">
        <v>2407</v>
      </c>
      <c r="C129" s="313" t="s">
        <v>2155</v>
      </c>
      <c r="D129" s="313" t="s">
        <v>2278</v>
      </c>
      <c r="E129" s="313" t="s">
        <v>48</v>
      </c>
      <c r="F129" s="313" t="s">
        <v>491</v>
      </c>
      <c r="G129" s="314" t="s">
        <v>44</v>
      </c>
      <c r="H129" s="313" t="s">
        <v>70</v>
      </c>
      <c r="I129" s="313" t="s">
        <v>1521</v>
      </c>
      <c r="J129" s="313" t="s">
        <v>70</v>
      </c>
    </row>
    <row r="130" spans="1:10" x14ac:dyDescent="0.25">
      <c r="A130" s="313" t="s">
        <v>492</v>
      </c>
      <c r="B130" s="313" t="s">
        <v>493</v>
      </c>
      <c r="C130" s="313" t="s">
        <v>2155</v>
      </c>
      <c r="D130" s="313" t="s">
        <v>2279</v>
      </c>
      <c r="E130" s="313" t="s">
        <v>54</v>
      </c>
      <c r="F130" s="313" t="s">
        <v>2408</v>
      </c>
      <c r="G130" s="313" t="s">
        <v>24</v>
      </c>
      <c r="H130" s="313" t="s">
        <v>70</v>
      </c>
      <c r="I130" s="313" t="s">
        <v>1521</v>
      </c>
      <c r="J130" s="313" t="s">
        <v>70</v>
      </c>
    </row>
    <row r="131" spans="1:10" x14ac:dyDescent="0.25">
      <c r="A131" s="313" t="s">
        <v>495</v>
      </c>
      <c r="B131" s="313" t="s">
        <v>496</v>
      </c>
      <c r="C131" s="313" t="s">
        <v>2155</v>
      </c>
      <c r="D131" s="313" t="s">
        <v>2281</v>
      </c>
      <c r="E131" s="313" t="s">
        <v>37</v>
      </c>
      <c r="F131" s="313" t="s">
        <v>24</v>
      </c>
      <c r="G131" s="313" t="s">
        <v>24</v>
      </c>
      <c r="H131" s="313" t="s">
        <v>70</v>
      </c>
      <c r="I131" s="313" t="s">
        <v>1521</v>
      </c>
      <c r="J131" s="313" t="s">
        <v>70</v>
      </c>
    </row>
    <row r="132" spans="1:10" x14ac:dyDescent="0.25">
      <c r="A132" s="313" t="s">
        <v>497</v>
      </c>
      <c r="B132" s="313" t="s">
        <v>2409</v>
      </c>
      <c r="C132" s="313" t="s">
        <v>2155</v>
      </c>
      <c r="D132" s="313" t="s">
        <v>2282</v>
      </c>
      <c r="E132" s="313" t="s">
        <v>114</v>
      </c>
      <c r="F132" s="313" t="s">
        <v>24</v>
      </c>
      <c r="G132" s="313" t="s">
        <v>24</v>
      </c>
      <c r="H132" s="313" t="s">
        <v>70</v>
      </c>
      <c r="I132" s="313" t="s">
        <v>1521</v>
      </c>
      <c r="J132" s="313" t="s">
        <v>70</v>
      </c>
    </row>
    <row r="133" spans="1:10" x14ac:dyDescent="0.25">
      <c r="A133" s="313" t="s">
        <v>499</v>
      </c>
      <c r="B133" s="313" t="s">
        <v>2410</v>
      </c>
      <c r="C133" s="313" t="s">
        <v>2155</v>
      </c>
      <c r="D133" s="313" t="s">
        <v>2284</v>
      </c>
      <c r="E133" s="313" t="s">
        <v>48</v>
      </c>
      <c r="F133" s="313" t="s">
        <v>2411</v>
      </c>
      <c r="G133" s="314" t="s">
        <v>44</v>
      </c>
      <c r="H133" s="313" t="s">
        <v>1521</v>
      </c>
      <c r="I133" s="313" t="s">
        <v>1521</v>
      </c>
      <c r="J133" s="313" t="s">
        <v>70</v>
      </c>
    </row>
    <row r="134" spans="1:10" x14ac:dyDescent="0.25">
      <c r="A134" s="313" t="s">
        <v>503</v>
      </c>
      <c r="B134" s="313" t="s">
        <v>504</v>
      </c>
      <c r="C134" s="313" t="s">
        <v>2155</v>
      </c>
      <c r="D134" s="313" t="s">
        <v>2285</v>
      </c>
      <c r="E134" s="313" t="s">
        <v>48</v>
      </c>
      <c r="F134" s="313" t="s">
        <v>2412</v>
      </c>
      <c r="G134" s="313" t="s">
        <v>24</v>
      </c>
      <c r="H134" s="313" t="s">
        <v>1521</v>
      </c>
      <c r="I134" s="313" t="s">
        <v>1521</v>
      </c>
      <c r="J134" s="313" t="s">
        <v>70</v>
      </c>
    </row>
    <row r="135" spans="1:10" x14ac:dyDescent="0.25">
      <c r="A135" s="313" t="s">
        <v>506</v>
      </c>
      <c r="B135" s="313" t="s">
        <v>507</v>
      </c>
      <c r="C135" s="313" t="s">
        <v>2155</v>
      </c>
      <c r="D135" s="313" t="s">
        <v>2287</v>
      </c>
      <c r="E135" s="313" t="s">
        <v>37</v>
      </c>
      <c r="F135" s="313" t="s">
        <v>24</v>
      </c>
      <c r="G135" s="313" t="s">
        <v>24</v>
      </c>
      <c r="H135" s="313" t="s">
        <v>70</v>
      </c>
      <c r="I135" s="313" t="s">
        <v>1521</v>
      </c>
      <c r="J135" s="313" t="s">
        <v>70</v>
      </c>
    </row>
    <row r="136" spans="1:10" x14ac:dyDescent="0.25">
      <c r="A136" s="313" t="s">
        <v>510</v>
      </c>
      <c r="B136" s="313" t="s">
        <v>512</v>
      </c>
      <c r="C136" s="313" t="s">
        <v>2158</v>
      </c>
      <c r="D136" s="313" t="s">
        <v>2288</v>
      </c>
      <c r="E136" s="313" t="s">
        <v>54</v>
      </c>
      <c r="F136" s="313" t="s">
        <v>2413</v>
      </c>
      <c r="G136" s="313" t="s">
        <v>24</v>
      </c>
      <c r="H136" s="313" t="s">
        <v>1521</v>
      </c>
      <c r="I136" s="313" t="s">
        <v>1521</v>
      </c>
      <c r="J136" s="313" t="s">
        <v>70</v>
      </c>
    </row>
    <row r="137" spans="1:10" x14ac:dyDescent="0.25">
      <c r="A137" s="313" t="s">
        <v>514</v>
      </c>
      <c r="B137" s="313" t="s">
        <v>2414</v>
      </c>
      <c r="C137" s="313" t="s">
        <v>2158</v>
      </c>
      <c r="D137" s="313" t="s">
        <v>2291</v>
      </c>
      <c r="E137" s="313" t="s">
        <v>37</v>
      </c>
      <c r="F137" s="313" t="s">
        <v>24</v>
      </c>
      <c r="G137" s="313" t="s">
        <v>24</v>
      </c>
      <c r="H137" s="313" t="s">
        <v>70</v>
      </c>
      <c r="I137" s="313" t="s">
        <v>1521</v>
      </c>
      <c r="J137" s="313" t="s">
        <v>70</v>
      </c>
    </row>
    <row r="138" spans="1:10" x14ac:dyDescent="0.25">
      <c r="A138" s="313" t="s">
        <v>516</v>
      </c>
      <c r="B138" s="313" t="s">
        <v>518</v>
      </c>
      <c r="C138" s="313" t="s">
        <v>2158</v>
      </c>
      <c r="D138" s="313" t="s">
        <v>2415</v>
      </c>
      <c r="E138" s="313" t="s">
        <v>54</v>
      </c>
      <c r="F138" s="313" t="s">
        <v>2416</v>
      </c>
      <c r="G138" s="313" t="s">
        <v>24</v>
      </c>
      <c r="H138" s="313" t="s">
        <v>1521</v>
      </c>
      <c r="I138" s="313" t="s">
        <v>1521</v>
      </c>
      <c r="J138" s="313" t="s">
        <v>70</v>
      </c>
    </row>
    <row r="139" spans="1:10" x14ac:dyDescent="0.25">
      <c r="A139" s="313" t="s">
        <v>520</v>
      </c>
      <c r="B139" s="313" t="s">
        <v>522</v>
      </c>
      <c r="C139" s="313" t="s">
        <v>2158</v>
      </c>
      <c r="D139" s="313" t="s">
        <v>2417</v>
      </c>
      <c r="E139" s="313" t="s">
        <v>54</v>
      </c>
      <c r="F139" s="313" t="s">
        <v>2418</v>
      </c>
      <c r="G139" s="313" t="s">
        <v>24</v>
      </c>
      <c r="H139" s="313" t="s">
        <v>70</v>
      </c>
      <c r="I139" s="313" t="s">
        <v>1521</v>
      </c>
      <c r="J139" s="313" t="s">
        <v>70</v>
      </c>
    </row>
    <row r="140" spans="1:10" x14ac:dyDescent="0.25">
      <c r="A140" s="313" t="s">
        <v>524</v>
      </c>
      <c r="B140" s="313" t="s">
        <v>525</v>
      </c>
      <c r="C140" s="313" t="s">
        <v>2158</v>
      </c>
      <c r="D140" s="313" t="s">
        <v>2419</v>
      </c>
      <c r="E140" s="313" t="s">
        <v>54</v>
      </c>
      <c r="F140" s="313" t="s">
        <v>2420</v>
      </c>
      <c r="G140" s="313" t="s">
        <v>24</v>
      </c>
      <c r="H140" s="313" t="s">
        <v>1521</v>
      </c>
      <c r="I140" s="313" t="s">
        <v>1521</v>
      </c>
      <c r="J140" s="313" t="s">
        <v>70</v>
      </c>
    </row>
    <row r="141" spans="1:10" x14ac:dyDescent="0.25">
      <c r="A141" s="313" t="s">
        <v>527</v>
      </c>
      <c r="B141" s="313" t="s">
        <v>528</v>
      </c>
      <c r="C141" s="313" t="s">
        <v>2158</v>
      </c>
      <c r="D141" s="313" t="s">
        <v>2421</v>
      </c>
      <c r="E141" s="313" t="s">
        <v>54</v>
      </c>
      <c r="F141" s="313" t="s">
        <v>2422</v>
      </c>
      <c r="G141" s="313" t="s">
        <v>24</v>
      </c>
      <c r="H141" s="313" t="s">
        <v>1521</v>
      </c>
      <c r="I141" s="313" t="s">
        <v>1521</v>
      </c>
      <c r="J141" s="313" t="s">
        <v>70</v>
      </c>
    </row>
    <row r="142" spans="1:10" x14ac:dyDescent="0.25">
      <c r="A142" s="313" t="s">
        <v>530</v>
      </c>
      <c r="B142" s="313" t="s">
        <v>531</v>
      </c>
      <c r="C142" s="313" t="s">
        <v>2158</v>
      </c>
      <c r="D142" s="313" t="s">
        <v>2423</v>
      </c>
      <c r="E142" s="313" t="s">
        <v>114</v>
      </c>
      <c r="F142" s="313" t="s">
        <v>24</v>
      </c>
      <c r="G142" s="313" t="s">
        <v>24</v>
      </c>
      <c r="H142" s="313" t="s">
        <v>70</v>
      </c>
      <c r="I142" s="313" t="s">
        <v>1521</v>
      </c>
      <c r="J142" s="313" t="s">
        <v>70</v>
      </c>
    </row>
    <row r="143" spans="1:10" x14ac:dyDescent="0.25">
      <c r="A143" s="313" t="s">
        <v>532</v>
      </c>
      <c r="B143" s="313" t="s">
        <v>533</v>
      </c>
      <c r="C143" s="313" t="s">
        <v>2158</v>
      </c>
      <c r="D143" s="313" t="s">
        <v>2424</v>
      </c>
      <c r="E143" s="313" t="s">
        <v>54</v>
      </c>
      <c r="F143" s="313" t="s">
        <v>2425</v>
      </c>
      <c r="G143" s="313" t="s">
        <v>24</v>
      </c>
      <c r="H143" s="313" t="s">
        <v>1521</v>
      </c>
      <c r="I143" s="313" t="s">
        <v>1521</v>
      </c>
      <c r="J143" s="313" t="s">
        <v>70</v>
      </c>
    </row>
    <row r="144" spans="1:10" x14ac:dyDescent="0.25">
      <c r="A144" s="313" t="s">
        <v>535</v>
      </c>
      <c r="B144" s="313" t="s">
        <v>536</v>
      </c>
      <c r="C144" s="313" t="s">
        <v>2158</v>
      </c>
      <c r="D144" s="313" t="s">
        <v>2426</v>
      </c>
      <c r="E144" s="313" t="s">
        <v>114</v>
      </c>
      <c r="F144" s="313" t="s">
        <v>24</v>
      </c>
      <c r="G144" s="313" t="s">
        <v>24</v>
      </c>
      <c r="H144" s="313" t="s">
        <v>70</v>
      </c>
      <c r="I144" s="313" t="s">
        <v>1521</v>
      </c>
      <c r="J144" s="313" t="s">
        <v>70</v>
      </c>
    </row>
    <row r="145" spans="1:10" x14ac:dyDescent="0.25">
      <c r="A145" s="313" t="s">
        <v>537</v>
      </c>
      <c r="B145" s="313" t="s">
        <v>538</v>
      </c>
      <c r="C145" s="313" t="s">
        <v>2158</v>
      </c>
      <c r="D145" s="313" t="s">
        <v>2427</v>
      </c>
      <c r="E145" s="313" t="s">
        <v>54</v>
      </c>
      <c r="F145" s="313" t="s">
        <v>2428</v>
      </c>
      <c r="G145" s="313" t="s">
        <v>24</v>
      </c>
      <c r="H145" s="313" t="s">
        <v>1521</v>
      </c>
      <c r="I145" s="313" t="s">
        <v>1521</v>
      </c>
      <c r="J145" s="313" t="s">
        <v>70</v>
      </c>
    </row>
    <row r="146" spans="1:10" x14ac:dyDescent="0.25">
      <c r="A146" s="313" t="s">
        <v>540</v>
      </c>
      <c r="B146" s="313" t="s">
        <v>541</v>
      </c>
      <c r="C146" s="313" t="s">
        <v>2158</v>
      </c>
      <c r="D146" s="313" t="s">
        <v>2429</v>
      </c>
      <c r="E146" s="313" t="s">
        <v>114</v>
      </c>
      <c r="F146" s="313" t="s">
        <v>24</v>
      </c>
      <c r="G146" s="313" t="s">
        <v>24</v>
      </c>
      <c r="H146" s="313" t="s">
        <v>1521</v>
      </c>
      <c r="I146" s="313" t="s">
        <v>1521</v>
      </c>
      <c r="J146" s="313" t="s">
        <v>70</v>
      </c>
    </row>
    <row r="147" spans="1:10" x14ac:dyDescent="0.25">
      <c r="A147" s="313" t="s">
        <v>542</v>
      </c>
      <c r="B147" s="313" t="s">
        <v>543</v>
      </c>
      <c r="C147" s="313" t="s">
        <v>2158</v>
      </c>
      <c r="D147" s="313" t="s">
        <v>2430</v>
      </c>
      <c r="E147" s="313" t="s">
        <v>54</v>
      </c>
      <c r="F147" s="313" t="s">
        <v>2431</v>
      </c>
      <c r="G147" s="313" t="s">
        <v>24</v>
      </c>
      <c r="H147" s="313" t="s">
        <v>1521</v>
      </c>
      <c r="I147" s="313" t="s">
        <v>1521</v>
      </c>
      <c r="J147" s="313" t="s">
        <v>70</v>
      </c>
    </row>
    <row r="148" spans="1:10" x14ac:dyDescent="0.25">
      <c r="A148" s="313" t="s">
        <v>545</v>
      </c>
      <c r="B148" s="313" t="s">
        <v>546</v>
      </c>
      <c r="C148" s="313" t="s">
        <v>2158</v>
      </c>
      <c r="D148" s="313" t="s">
        <v>2432</v>
      </c>
      <c r="E148" s="313" t="s">
        <v>114</v>
      </c>
      <c r="F148" s="313" t="s">
        <v>24</v>
      </c>
      <c r="G148" s="313" t="s">
        <v>24</v>
      </c>
      <c r="H148" s="313" t="s">
        <v>1521</v>
      </c>
      <c r="I148" s="313" t="s">
        <v>1521</v>
      </c>
      <c r="J148" s="313" t="s">
        <v>70</v>
      </c>
    </row>
    <row r="149" spans="1:10" x14ac:dyDescent="0.25">
      <c r="A149" s="313" t="s">
        <v>547</v>
      </c>
      <c r="B149" s="313" t="s">
        <v>2433</v>
      </c>
      <c r="C149" s="313" t="s">
        <v>2158</v>
      </c>
      <c r="D149" s="313" t="s">
        <v>2434</v>
      </c>
      <c r="E149" s="313" t="s">
        <v>54</v>
      </c>
      <c r="F149" s="313" t="s">
        <v>2435</v>
      </c>
      <c r="G149" s="313" t="s">
        <v>24</v>
      </c>
      <c r="H149" s="313" t="s">
        <v>1521</v>
      </c>
      <c r="I149" s="313" t="s">
        <v>1521</v>
      </c>
      <c r="J149" s="313" t="s">
        <v>70</v>
      </c>
    </row>
    <row r="150" spans="1:10" x14ac:dyDescent="0.25">
      <c r="A150" s="313" t="s">
        <v>551</v>
      </c>
      <c r="B150" s="313" t="s">
        <v>2436</v>
      </c>
      <c r="C150" s="313" t="s">
        <v>2158</v>
      </c>
      <c r="D150" s="313" t="s">
        <v>2437</v>
      </c>
      <c r="E150" s="313" t="s">
        <v>54</v>
      </c>
      <c r="F150" s="313" t="s">
        <v>2438</v>
      </c>
      <c r="G150" s="313" t="s">
        <v>24</v>
      </c>
      <c r="H150" s="313" t="s">
        <v>1521</v>
      </c>
      <c r="I150" s="313" t="s">
        <v>1521</v>
      </c>
      <c r="J150" s="313" t="s">
        <v>70</v>
      </c>
    </row>
    <row r="151" spans="1:10" x14ac:dyDescent="0.25">
      <c r="A151" s="313" t="s">
        <v>554</v>
      </c>
      <c r="B151" s="313" t="s">
        <v>555</v>
      </c>
      <c r="C151" s="313" t="s">
        <v>2158</v>
      </c>
      <c r="D151" s="313" t="s">
        <v>2439</v>
      </c>
      <c r="E151" s="313" t="s">
        <v>37</v>
      </c>
      <c r="F151" s="313" t="s">
        <v>2440</v>
      </c>
      <c r="G151" s="313" t="s">
        <v>24</v>
      </c>
      <c r="H151" s="313" t="s">
        <v>1521</v>
      </c>
      <c r="I151" s="313" t="s">
        <v>1521</v>
      </c>
      <c r="J151" s="313" t="s">
        <v>70</v>
      </c>
    </row>
    <row r="152" spans="1:10" x14ac:dyDescent="0.25">
      <c r="A152" s="313" t="s">
        <v>558</v>
      </c>
      <c r="B152" s="313" t="s">
        <v>559</v>
      </c>
      <c r="C152" s="313" t="s">
        <v>2161</v>
      </c>
      <c r="D152" s="313" t="s">
        <v>2441</v>
      </c>
      <c r="E152" s="313" t="s">
        <v>54</v>
      </c>
      <c r="F152" s="313" t="s">
        <v>2442</v>
      </c>
      <c r="G152" s="313" t="s">
        <v>24</v>
      </c>
      <c r="H152" s="313" t="s">
        <v>1521</v>
      </c>
      <c r="I152" s="313" t="s">
        <v>1521</v>
      </c>
      <c r="J152" s="313" t="s">
        <v>70</v>
      </c>
    </row>
    <row r="153" spans="1:10" x14ac:dyDescent="0.25">
      <c r="A153" s="313" t="s">
        <v>561</v>
      </c>
      <c r="B153" s="313" t="s">
        <v>562</v>
      </c>
      <c r="C153" s="313" t="s">
        <v>2161</v>
      </c>
      <c r="D153" s="313" t="s">
        <v>2443</v>
      </c>
      <c r="E153" s="313" t="s">
        <v>54</v>
      </c>
      <c r="F153" s="313" t="s">
        <v>2444</v>
      </c>
      <c r="G153" s="313" t="s">
        <v>24</v>
      </c>
      <c r="H153" s="313" t="s">
        <v>1521</v>
      </c>
      <c r="I153" s="313" t="s">
        <v>1521</v>
      </c>
      <c r="J153" s="313" t="s">
        <v>70</v>
      </c>
    </row>
    <row r="154" spans="1:10" x14ac:dyDescent="0.25">
      <c r="A154" s="313" t="s">
        <v>564</v>
      </c>
      <c r="B154" s="313" t="s">
        <v>565</v>
      </c>
      <c r="C154" s="313" t="s">
        <v>2161</v>
      </c>
      <c r="D154" s="313" t="s">
        <v>2445</v>
      </c>
      <c r="E154" s="313" t="s">
        <v>54</v>
      </c>
      <c r="F154" s="313" t="s">
        <v>2446</v>
      </c>
      <c r="G154" s="313" t="s">
        <v>24</v>
      </c>
      <c r="H154" s="313" t="s">
        <v>1521</v>
      </c>
      <c r="I154" s="313" t="s">
        <v>1521</v>
      </c>
      <c r="J154" s="313" t="s">
        <v>70</v>
      </c>
    </row>
    <row r="155" spans="1:10" x14ac:dyDescent="0.25">
      <c r="A155" s="313" t="s">
        <v>567</v>
      </c>
      <c r="B155" s="313" t="s">
        <v>2447</v>
      </c>
      <c r="C155" s="313" t="s">
        <v>2161</v>
      </c>
      <c r="D155" s="313" t="s">
        <v>2448</v>
      </c>
      <c r="E155" s="313" t="s">
        <v>114</v>
      </c>
      <c r="F155" s="313" t="s">
        <v>24</v>
      </c>
      <c r="G155" s="313" t="s">
        <v>24</v>
      </c>
      <c r="H155" s="313" t="s">
        <v>70</v>
      </c>
      <c r="I155" s="313" t="s">
        <v>1521</v>
      </c>
      <c r="J155" s="313" t="s">
        <v>70</v>
      </c>
    </row>
    <row r="156" spans="1:10" x14ac:dyDescent="0.25">
      <c r="A156" s="313" t="s">
        <v>571</v>
      </c>
      <c r="B156" s="313" t="s">
        <v>573</v>
      </c>
      <c r="C156" s="313" t="s">
        <v>2165</v>
      </c>
      <c r="D156" s="313" t="s">
        <v>2449</v>
      </c>
      <c r="E156" s="313" t="s">
        <v>54</v>
      </c>
      <c r="F156" s="313" t="s">
        <v>2450</v>
      </c>
      <c r="G156" s="313" t="s">
        <v>24</v>
      </c>
      <c r="H156" s="313" t="s">
        <v>70</v>
      </c>
      <c r="I156" s="313" t="s">
        <v>1521</v>
      </c>
      <c r="J156" s="313" t="s">
        <v>70</v>
      </c>
    </row>
    <row r="157" spans="1:10" x14ac:dyDescent="0.25">
      <c r="A157" s="313" t="s">
        <v>577</v>
      </c>
      <c r="B157" s="313" t="s">
        <v>579</v>
      </c>
      <c r="C157" s="313" t="s">
        <v>2168</v>
      </c>
      <c r="D157" s="313" t="s">
        <v>2451</v>
      </c>
      <c r="E157" s="313" t="s">
        <v>48</v>
      </c>
      <c r="F157" s="313" t="s">
        <v>2452</v>
      </c>
      <c r="G157" s="314" t="s">
        <v>44</v>
      </c>
      <c r="H157" s="313" t="s">
        <v>1521</v>
      </c>
      <c r="I157" s="313" t="s">
        <v>1521</v>
      </c>
      <c r="J157" s="313" t="s">
        <v>70</v>
      </c>
    </row>
    <row r="158" spans="1:10" x14ac:dyDescent="0.25">
      <c r="A158" s="313" t="s">
        <v>581</v>
      </c>
      <c r="B158" s="313" t="s">
        <v>2453</v>
      </c>
      <c r="C158" s="313" t="s">
        <v>2168</v>
      </c>
      <c r="D158" s="313" t="s">
        <v>2454</v>
      </c>
      <c r="E158" s="313" t="s">
        <v>48</v>
      </c>
      <c r="F158" s="313" t="s">
        <v>2455</v>
      </c>
      <c r="G158" s="314" t="s">
        <v>44</v>
      </c>
      <c r="H158" s="313" t="s">
        <v>1521</v>
      </c>
      <c r="I158" s="313" t="s">
        <v>1521</v>
      </c>
      <c r="J158" s="313" t="s">
        <v>70</v>
      </c>
    </row>
    <row r="159" spans="1:10" x14ac:dyDescent="0.25">
      <c r="A159" s="313" t="s">
        <v>585</v>
      </c>
      <c r="B159" s="313" t="s">
        <v>586</v>
      </c>
      <c r="C159" s="313" t="s">
        <v>2168</v>
      </c>
      <c r="D159" s="313" t="s">
        <v>2456</v>
      </c>
      <c r="E159" s="313" t="s">
        <v>114</v>
      </c>
      <c r="F159" s="313" t="s">
        <v>24</v>
      </c>
      <c r="G159" s="313" t="s">
        <v>24</v>
      </c>
      <c r="H159" s="313" t="s">
        <v>1521</v>
      </c>
      <c r="I159" s="313" t="s">
        <v>1521</v>
      </c>
      <c r="J159" s="313" t="s">
        <v>70</v>
      </c>
    </row>
    <row r="160" spans="1:10" x14ac:dyDescent="0.25">
      <c r="A160" s="313" t="s">
        <v>587</v>
      </c>
      <c r="B160" s="313" t="s">
        <v>589</v>
      </c>
      <c r="C160" s="313" t="s">
        <v>2168</v>
      </c>
      <c r="D160" s="313" t="s">
        <v>2457</v>
      </c>
      <c r="E160" s="313" t="s">
        <v>54</v>
      </c>
      <c r="F160" s="313" t="s">
        <v>2458</v>
      </c>
      <c r="G160" s="313" t="s">
        <v>24</v>
      </c>
      <c r="H160" s="313" t="s">
        <v>1521</v>
      </c>
      <c r="I160" s="313" t="s">
        <v>1521</v>
      </c>
      <c r="J160" s="313" t="s">
        <v>70</v>
      </c>
    </row>
    <row r="161" spans="1:10" x14ac:dyDescent="0.25">
      <c r="A161" s="313" t="s">
        <v>591</v>
      </c>
      <c r="B161" s="313" t="s">
        <v>592</v>
      </c>
      <c r="C161" s="313" t="s">
        <v>2168</v>
      </c>
      <c r="D161" s="313" t="s">
        <v>2459</v>
      </c>
      <c r="E161" s="313" t="s">
        <v>48</v>
      </c>
      <c r="F161" s="313" t="s">
        <v>2460</v>
      </c>
      <c r="G161" s="313" t="s">
        <v>24</v>
      </c>
      <c r="H161" s="313" t="s">
        <v>1521</v>
      </c>
      <c r="I161" s="313" t="s">
        <v>1521</v>
      </c>
      <c r="J161" s="313" t="s">
        <v>70</v>
      </c>
    </row>
    <row r="162" spans="1:10" x14ac:dyDescent="0.25">
      <c r="A162" s="313" t="s">
        <v>594</v>
      </c>
      <c r="B162" s="313" t="s">
        <v>2461</v>
      </c>
      <c r="C162" s="313" t="s">
        <v>2168</v>
      </c>
      <c r="D162" s="313" t="s">
        <v>2462</v>
      </c>
      <c r="E162" s="313" t="s">
        <v>37</v>
      </c>
      <c r="F162" s="313" t="s">
        <v>24</v>
      </c>
      <c r="G162" s="313" t="s">
        <v>24</v>
      </c>
      <c r="H162" s="313" t="s">
        <v>1521</v>
      </c>
      <c r="I162" s="313" t="s">
        <v>1521</v>
      </c>
      <c r="J162" s="313" t="s">
        <v>70</v>
      </c>
    </row>
    <row r="163" spans="1:10" x14ac:dyDescent="0.25">
      <c r="A163" s="313" t="s">
        <v>596</v>
      </c>
      <c r="B163" s="313" t="s">
        <v>2463</v>
      </c>
      <c r="C163" s="313" t="s">
        <v>2168</v>
      </c>
      <c r="D163" s="313" t="s">
        <v>2464</v>
      </c>
      <c r="E163" s="313" t="s">
        <v>37</v>
      </c>
      <c r="F163" s="313" t="s">
        <v>24</v>
      </c>
      <c r="G163" s="313" t="s">
        <v>24</v>
      </c>
      <c r="H163" s="313" t="s">
        <v>1521</v>
      </c>
      <c r="I163" s="313" t="s">
        <v>1521</v>
      </c>
      <c r="J163" s="313" t="s">
        <v>70</v>
      </c>
    </row>
    <row r="164" spans="1:10" x14ac:dyDescent="0.25">
      <c r="A164" s="313" t="s">
        <v>598</v>
      </c>
      <c r="B164" s="313" t="s">
        <v>2465</v>
      </c>
      <c r="C164" s="313" t="s">
        <v>2168</v>
      </c>
      <c r="D164" s="313" t="s">
        <v>2466</v>
      </c>
      <c r="E164" s="313" t="s">
        <v>54</v>
      </c>
      <c r="F164" s="313" t="s">
        <v>2467</v>
      </c>
      <c r="G164" s="313" t="s">
        <v>24</v>
      </c>
      <c r="H164" s="313" t="s">
        <v>1521</v>
      </c>
      <c r="I164" s="313" t="s">
        <v>1521</v>
      </c>
      <c r="J164" s="313" t="s">
        <v>70</v>
      </c>
    </row>
    <row r="165" spans="1:10" x14ac:dyDescent="0.25">
      <c r="A165" s="313" t="s">
        <v>601</v>
      </c>
      <c r="B165" s="313" t="s">
        <v>2468</v>
      </c>
      <c r="C165" s="313" t="s">
        <v>2168</v>
      </c>
      <c r="D165" s="313" t="s">
        <v>2469</v>
      </c>
      <c r="E165" s="313" t="s">
        <v>54</v>
      </c>
      <c r="F165" s="313" t="s">
        <v>2470</v>
      </c>
      <c r="G165" s="313" t="s">
        <v>24</v>
      </c>
      <c r="H165" s="313" t="s">
        <v>1521</v>
      </c>
      <c r="I165" s="313" t="s">
        <v>1521</v>
      </c>
      <c r="J165" s="313" t="s">
        <v>70</v>
      </c>
    </row>
    <row r="166" spans="1:10" x14ac:dyDescent="0.25">
      <c r="A166" s="313" t="s">
        <v>606</v>
      </c>
      <c r="B166" s="313" t="s">
        <v>607</v>
      </c>
      <c r="C166" s="313" t="s">
        <v>2172</v>
      </c>
      <c r="D166" s="313" t="s">
        <v>2471</v>
      </c>
      <c r="E166" s="313" t="s">
        <v>48</v>
      </c>
      <c r="F166" s="313" t="s">
        <v>2472</v>
      </c>
      <c r="G166" s="313" t="s">
        <v>24</v>
      </c>
      <c r="H166" s="313" t="s">
        <v>70</v>
      </c>
      <c r="I166" s="313" t="s">
        <v>1521</v>
      </c>
      <c r="J166" s="313" t="s">
        <v>70</v>
      </c>
    </row>
    <row r="167" spans="1:10" x14ac:dyDescent="0.25">
      <c r="A167" s="313" t="s">
        <v>609</v>
      </c>
      <c r="B167" s="313" t="s">
        <v>610</v>
      </c>
      <c r="C167" s="313" t="s">
        <v>2172</v>
      </c>
      <c r="D167" s="313" t="s">
        <v>2473</v>
      </c>
      <c r="E167" s="313" t="s">
        <v>37</v>
      </c>
      <c r="F167" s="313" t="s">
        <v>24</v>
      </c>
      <c r="G167" s="313" t="s">
        <v>24</v>
      </c>
      <c r="H167" s="313" t="s">
        <v>70</v>
      </c>
      <c r="I167" s="313" t="s">
        <v>1521</v>
      </c>
      <c r="J167" s="313" t="s">
        <v>70</v>
      </c>
    </row>
    <row r="168" spans="1:10" x14ac:dyDescent="0.25">
      <c r="A168" s="313" t="s">
        <v>611</v>
      </c>
      <c r="B168" s="313" t="s">
        <v>613</v>
      </c>
      <c r="C168" s="313" t="s">
        <v>2172</v>
      </c>
      <c r="D168" s="313" t="s">
        <v>2474</v>
      </c>
      <c r="E168" s="313" t="s">
        <v>54</v>
      </c>
      <c r="F168" s="313" t="s">
        <v>2475</v>
      </c>
      <c r="G168" s="314" t="s">
        <v>44</v>
      </c>
      <c r="H168" s="313" t="s">
        <v>1521</v>
      </c>
      <c r="I168" s="313" t="s">
        <v>1521</v>
      </c>
      <c r="J168" s="313" t="s">
        <v>70</v>
      </c>
    </row>
    <row r="169" spans="1:10" x14ac:dyDescent="0.25">
      <c r="A169" s="313" t="s">
        <v>615</v>
      </c>
      <c r="B169" s="313" t="s">
        <v>2476</v>
      </c>
      <c r="C169" s="313" t="s">
        <v>2172</v>
      </c>
      <c r="D169" s="313" t="s">
        <v>2477</v>
      </c>
      <c r="E169" s="313" t="s">
        <v>54</v>
      </c>
      <c r="F169" s="313" t="s">
        <v>2478</v>
      </c>
      <c r="G169" s="313" t="s">
        <v>24</v>
      </c>
      <c r="H169" s="313" t="s">
        <v>70</v>
      </c>
      <c r="I169" s="313" t="s">
        <v>1521</v>
      </c>
      <c r="J169" s="313" t="s">
        <v>70</v>
      </c>
    </row>
    <row r="170" spans="1:10" x14ac:dyDescent="0.25">
      <c r="A170" s="313" t="s">
        <v>622</v>
      </c>
      <c r="B170" s="313" t="s">
        <v>624</v>
      </c>
      <c r="C170" s="313" t="s">
        <v>2177</v>
      </c>
      <c r="D170" s="313" t="s">
        <v>2479</v>
      </c>
      <c r="E170" s="313" t="s">
        <v>54</v>
      </c>
      <c r="F170" s="313" t="s">
        <v>2480</v>
      </c>
      <c r="G170" s="313" t="s">
        <v>24</v>
      </c>
      <c r="H170" s="313" t="s">
        <v>70</v>
      </c>
      <c r="I170" s="313" t="s">
        <v>1521</v>
      </c>
      <c r="J170" s="313" t="s">
        <v>70</v>
      </c>
    </row>
    <row r="171" spans="1:10" x14ac:dyDescent="0.25">
      <c r="A171" s="313" t="s">
        <v>626</v>
      </c>
      <c r="B171" s="313" t="s">
        <v>627</v>
      </c>
      <c r="C171" s="313" t="s">
        <v>2177</v>
      </c>
      <c r="D171" s="313" t="s">
        <v>2481</v>
      </c>
      <c r="E171" s="313" t="s">
        <v>37</v>
      </c>
      <c r="F171" s="313" t="s">
        <v>24</v>
      </c>
      <c r="G171" s="313" t="s">
        <v>24</v>
      </c>
      <c r="H171" s="313" t="s">
        <v>70</v>
      </c>
      <c r="I171" s="313" t="s">
        <v>1521</v>
      </c>
      <c r="J171" s="313" t="s">
        <v>70</v>
      </c>
    </row>
    <row r="172" spans="1:10" x14ac:dyDescent="0.25">
      <c r="A172" s="313" t="s">
        <v>628</v>
      </c>
      <c r="B172" s="313" t="s">
        <v>630</v>
      </c>
      <c r="C172" s="313" t="s">
        <v>2177</v>
      </c>
      <c r="D172" s="313" t="s">
        <v>2482</v>
      </c>
      <c r="E172" s="313" t="s">
        <v>54</v>
      </c>
      <c r="F172" s="313" t="s">
        <v>2483</v>
      </c>
      <c r="G172" s="313" t="s">
        <v>24</v>
      </c>
      <c r="H172" s="313" t="s">
        <v>70</v>
      </c>
      <c r="I172" s="313" t="s">
        <v>1521</v>
      </c>
      <c r="J172" s="313" t="s">
        <v>70</v>
      </c>
    </row>
    <row r="173" spans="1:10" x14ac:dyDescent="0.25">
      <c r="A173" s="313" t="s">
        <v>632</v>
      </c>
      <c r="B173" s="313" t="s">
        <v>633</v>
      </c>
      <c r="C173" s="313" t="s">
        <v>2177</v>
      </c>
      <c r="D173" s="313" t="s">
        <v>2484</v>
      </c>
      <c r="E173" s="313" t="s">
        <v>37</v>
      </c>
      <c r="F173" s="313" t="s">
        <v>24</v>
      </c>
      <c r="G173" s="313" t="s">
        <v>24</v>
      </c>
      <c r="H173" s="313" t="s">
        <v>70</v>
      </c>
      <c r="I173" s="313" t="s">
        <v>1521</v>
      </c>
      <c r="J173" s="313" t="s">
        <v>70</v>
      </c>
    </row>
    <row r="174" spans="1:10" x14ac:dyDescent="0.25">
      <c r="A174" s="313" t="s">
        <v>634</v>
      </c>
      <c r="B174" s="313" t="s">
        <v>636</v>
      </c>
      <c r="C174" s="313" t="s">
        <v>2177</v>
      </c>
      <c r="D174" s="313" t="s">
        <v>2485</v>
      </c>
      <c r="E174" s="313" t="s">
        <v>54</v>
      </c>
      <c r="F174" s="313" t="s">
        <v>2486</v>
      </c>
      <c r="G174" s="313" t="s">
        <v>24</v>
      </c>
      <c r="H174" s="313" t="s">
        <v>70</v>
      </c>
      <c r="I174" s="313" t="s">
        <v>1521</v>
      </c>
      <c r="J174" s="313" t="s">
        <v>70</v>
      </c>
    </row>
    <row r="175" spans="1:10" x14ac:dyDescent="0.25">
      <c r="A175" s="313" t="s">
        <v>638</v>
      </c>
      <c r="B175" s="313" t="s">
        <v>639</v>
      </c>
      <c r="C175" s="313" t="s">
        <v>2177</v>
      </c>
      <c r="D175" s="313" t="s">
        <v>2487</v>
      </c>
      <c r="E175" s="313" t="s">
        <v>48</v>
      </c>
      <c r="F175" s="313" t="s">
        <v>2488</v>
      </c>
      <c r="G175" s="314" t="s">
        <v>44</v>
      </c>
      <c r="H175" s="313" t="s">
        <v>70</v>
      </c>
      <c r="I175" s="313" t="s">
        <v>1521</v>
      </c>
      <c r="J175" s="313" t="s">
        <v>70</v>
      </c>
    </row>
    <row r="176" spans="1:10" x14ac:dyDescent="0.25">
      <c r="A176" s="313" t="s">
        <v>641</v>
      </c>
      <c r="B176" s="313" t="s">
        <v>642</v>
      </c>
      <c r="C176" s="313" t="s">
        <v>2177</v>
      </c>
      <c r="D176" s="313" t="s">
        <v>2489</v>
      </c>
      <c r="E176" s="313" t="s">
        <v>37</v>
      </c>
      <c r="F176" s="313" t="s">
        <v>24</v>
      </c>
      <c r="G176" s="313" t="s">
        <v>24</v>
      </c>
      <c r="H176" s="313" t="s">
        <v>70</v>
      </c>
      <c r="I176" s="313" t="s">
        <v>1521</v>
      </c>
      <c r="J176" s="313" t="s">
        <v>70</v>
      </c>
    </row>
    <row r="177" spans="1:10" x14ac:dyDescent="0.25">
      <c r="A177" s="313" t="s">
        <v>645</v>
      </c>
      <c r="B177" s="313" t="s">
        <v>647</v>
      </c>
      <c r="C177" s="313" t="s">
        <v>2180</v>
      </c>
      <c r="D177" s="313" t="s">
        <v>2490</v>
      </c>
      <c r="E177" s="313" t="s">
        <v>54</v>
      </c>
      <c r="F177" s="313" t="s">
        <v>2491</v>
      </c>
      <c r="G177" s="313" t="s">
        <v>24</v>
      </c>
      <c r="H177" s="313" t="s">
        <v>70</v>
      </c>
      <c r="I177" s="313" t="s">
        <v>1521</v>
      </c>
      <c r="J177" s="313" t="s">
        <v>70</v>
      </c>
    </row>
    <row r="178" spans="1:10" x14ac:dyDescent="0.25">
      <c r="A178" s="313" t="s">
        <v>649</v>
      </c>
      <c r="B178" s="313" t="s">
        <v>650</v>
      </c>
      <c r="C178" s="313" t="s">
        <v>2180</v>
      </c>
      <c r="D178" s="313" t="s">
        <v>2492</v>
      </c>
      <c r="E178" s="313" t="s">
        <v>37</v>
      </c>
      <c r="F178" s="313" t="s">
        <v>24</v>
      </c>
      <c r="G178" s="313" t="s">
        <v>24</v>
      </c>
      <c r="H178" s="313" t="s">
        <v>70</v>
      </c>
      <c r="I178" s="313" t="s">
        <v>1521</v>
      </c>
      <c r="J178" s="313" t="s">
        <v>70</v>
      </c>
    </row>
    <row r="179" spans="1:10" x14ac:dyDescent="0.25">
      <c r="A179" s="313" t="s">
        <v>651</v>
      </c>
      <c r="B179" s="313" t="s">
        <v>652</v>
      </c>
      <c r="C179" s="313" t="s">
        <v>2180</v>
      </c>
      <c r="D179" s="313" t="s">
        <v>2493</v>
      </c>
      <c r="E179" s="313" t="s">
        <v>54</v>
      </c>
      <c r="F179" s="313" t="s">
        <v>2494</v>
      </c>
      <c r="G179" s="313" t="s">
        <v>24</v>
      </c>
      <c r="H179" s="313" t="s">
        <v>70</v>
      </c>
      <c r="I179" s="313" t="s">
        <v>1521</v>
      </c>
      <c r="J179" s="313" t="s">
        <v>70</v>
      </c>
    </row>
    <row r="180" spans="1:10" x14ac:dyDescent="0.25">
      <c r="A180" s="313" t="s">
        <v>654</v>
      </c>
      <c r="B180" s="313" t="s">
        <v>656</v>
      </c>
      <c r="C180" s="313" t="s">
        <v>2180</v>
      </c>
      <c r="D180" s="313" t="s">
        <v>2495</v>
      </c>
      <c r="E180" s="313" t="s">
        <v>48</v>
      </c>
      <c r="F180" s="313" t="s">
        <v>2496</v>
      </c>
      <c r="G180" s="313" t="s">
        <v>24</v>
      </c>
      <c r="H180" s="313" t="s">
        <v>70</v>
      </c>
      <c r="I180" s="313" t="s">
        <v>1521</v>
      </c>
      <c r="J180" s="313" t="s">
        <v>70</v>
      </c>
    </row>
    <row r="181" spans="1:10" x14ac:dyDescent="0.25">
      <c r="A181" s="313" t="s">
        <v>661</v>
      </c>
      <c r="B181" s="313" t="s">
        <v>662</v>
      </c>
      <c r="C181" s="313" t="s">
        <v>2180</v>
      </c>
      <c r="D181" s="313" t="s">
        <v>2497</v>
      </c>
      <c r="E181" s="313" t="s">
        <v>48</v>
      </c>
      <c r="F181" s="313" t="s">
        <v>2498</v>
      </c>
      <c r="G181" s="313" t="s">
        <v>24</v>
      </c>
      <c r="H181" s="313" t="s">
        <v>70</v>
      </c>
      <c r="I181" s="313" t="s">
        <v>1521</v>
      </c>
      <c r="J181" s="313" t="s">
        <v>70</v>
      </c>
    </row>
    <row r="182" spans="1:10" x14ac:dyDescent="0.25">
      <c r="A182" s="313" t="s">
        <v>666</v>
      </c>
      <c r="B182" s="313" t="s">
        <v>668</v>
      </c>
      <c r="C182" s="313" t="s">
        <v>2183</v>
      </c>
      <c r="D182" s="313" t="s">
        <v>2499</v>
      </c>
      <c r="E182" s="313" t="s">
        <v>54</v>
      </c>
      <c r="F182" s="313" t="s">
        <v>2500</v>
      </c>
      <c r="G182" s="313" t="s">
        <v>24</v>
      </c>
      <c r="H182" s="313" t="s">
        <v>70</v>
      </c>
      <c r="I182" s="313" t="s">
        <v>1521</v>
      </c>
      <c r="J182" s="313" t="s">
        <v>70</v>
      </c>
    </row>
    <row r="183" spans="1:10" x14ac:dyDescent="0.25">
      <c r="A183" s="313" t="s">
        <v>670</v>
      </c>
      <c r="B183" s="313" t="s">
        <v>671</v>
      </c>
      <c r="C183" s="313" t="s">
        <v>2183</v>
      </c>
      <c r="D183" s="313" t="s">
        <v>2501</v>
      </c>
      <c r="E183" s="313" t="s">
        <v>37</v>
      </c>
      <c r="F183" s="313" t="s">
        <v>24</v>
      </c>
      <c r="G183" s="313" t="s">
        <v>24</v>
      </c>
      <c r="H183" s="313" t="s">
        <v>70</v>
      </c>
      <c r="I183" s="313" t="s">
        <v>1521</v>
      </c>
      <c r="J183" s="313" t="s">
        <v>70</v>
      </c>
    </row>
    <row r="184" spans="1:10" x14ac:dyDescent="0.25">
      <c r="A184" s="313" t="s">
        <v>672</v>
      </c>
      <c r="B184" s="313" t="s">
        <v>674</v>
      </c>
      <c r="C184" s="313" t="s">
        <v>2183</v>
      </c>
      <c r="D184" s="313" t="s">
        <v>2502</v>
      </c>
      <c r="E184" s="313" t="s">
        <v>54</v>
      </c>
      <c r="F184" s="313" t="s">
        <v>2503</v>
      </c>
      <c r="G184" s="314" t="s">
        <v>44</v>
      </c>
      <c r="H184" s="313" t="s">
        <v>70</v>
      </c>
      <c r="I184" s="313" t="s">
        <v>1521</v>
      </c>
      <c r="J184" s="313" t="s">
        <v>70</v>
      </c>
    </row>
    <row r="185" spans="1:10" x14ac:dyDescent="0.25">
      <c r="A185" s="313" t="s">
        <v>676</v>
      </c>
      <c r="B185" s="313" t="s">
        <v>2504</v>
      </c>
      <c r="C185" s="313" t="s">
        <v>2183</v>
      </c>
      <c r="D185" s="313" t="s">
        <v>2505</v>
      </c>
      <c r="E185" s="313" t="s">
        <v>54</v>
      </c>
      <c r="F185" s="313" t="s">
        <v>2506</v>
      </c>
      <c r="G185" s="314" t="s">
        <v>44</v>
      </c>
      <c r="H185" s="313" t="s">
        <v>70</v>
      </c>
      <c r="I185" s="313" t="s">
        <v>1521</v>
      </c>
      <c r="J185" s="313" t="s">
        <v>70</v>
      </c>
    </row>
    <row r="186" spans="1:10" x14ac:dyDescent="0.25">
      <c r="A186" s="313" t="s">
        <v>680</v>
      </c>
      <c r="B186" s="313" t="s">
        <v>681</v>
      </c>
      <c r="C186" s="313" t="s">
        <v>2183</v>
      </c>
      <c r="D186" s="313" t="s">
        <v>2507</v>
      </c>
      <c r="E186" s="313" t="s">
        <v>54</v>
      </c>
      <c r="F186" s="313" t="s">
        <v>2475</v>
      </c>
      <c r="G186" s="313" t="s">
        <v>24</v>
      </c>
      <c r="H186" s="313" t="s">
        <v>70</v>
      </c>
      <c r="I186" s="313" t="s">
        <v>1521</v>
      </c>
      <c r="J186" s="313" t="s">
        <v>70</v>
      </c>
    </row>
    <row r="187" spans="1:10" x14ac:dyDescent="0.25">
      <c r="A187" s="313" t="s">
        <v>682</v>
      </c>
      <c r="B187" s="313" t="s">
        <v>683</v>
      </c>
      <c r="C187" s="313" t="s">
        <v>2183</v>
      </c>
      <c r="D187" s="313" t="s">
        <v>2508</v>
      </c>
      <c r="E187" s="313" t="s">
        <v>54</v>
      </c>
      <c r="F187" s="313" t="s">
        <v>2509</v>
      </c>
      <c r="G187" s="313" t="s">
        <v>24</v>
      </c>
      <c r="H187" s="313" t="s">
        <v>70</v>
      </c>
      <c r="I187" s="313" t="s">
        <v>1521</v>
      </c>
      <c r="J187" s="313" t="s">
        <v>70</v>
      </c>
    </row>
    <row r="188" spans="1:10" x14ac:dyDescent="0.25">
      <c r="A188" s="313" t="s">
        <v>685</v>
      </c>
      <c r="B188" s="313" t="s">
        <v>686</v>
      </c>
      <c r="C188" s="313" t="s">
        <v>2183</v>
      </c>
      <c r="D188" s="313" t="s">
        <v>2510</v>
      </c>
      <c r="E188" s="313" t="s">
        <v>54</v>
      </c>
      <c r="F188" s="313" t="s">
        <v>2511</v>
      </c>
      <c r="G188" s="313" t="s">
        <v>24</v>
      </c>
      <c r="H188" s="313" t="s">
        <v>70</v>
      </c>
      <c r="I188" s="313" t="s">
        <v>1521</v>
      </c>
      <c r="J188" s="313" t="s">
        <v>70</v>
      </c>
    </row>
    <row r="189" spans="1:10" x14ac:dyDescent="0.25">
      <c r="A189" s="313" t="s">
        <v>687</v>
      </c>
      <c r="B189" s="313" t="s">
        <v>688</v>
      </c>
      <c r="C189" s="313" t="s">
        <v>2183</v>
      </c>
      <c r="D189" s="313" t="s">
        <v>2512</v>
      </c>
      <c r="E189" s="313" t="s">
        <v>54</v>
      </c>
      <c r="F189" s="313" t="s">
        <v>2509</v>
      </c>
      <c r="G189" s="313" t="s">
        <v>24</v>
      </c>
      <c r="H189" s="313" t="s">
        <v>70</v>
      </c>
      <c r="I189" s="313" t="s">
        <v>1521</v>
      </c>
      <c r="J189" s="313" t="s">
        <v>70</v>
      </c>
    </row>
    <row r="190" spans="1:10" x14ac:dyDescent="0.25">
      <c r="A190" s="313" t="s">
        <v>689</v>
      </c>
      <c r="B190" s="313" t="s">
        <v>690</v>
      </c>
      <c r="C190" s="313" t="s">
        <v>2183</v>
      </c>
      <c r="D190" s="313" t="s">
        <v>2513</v>
      </c>
      <c r="E190" s="313" t="s">
        <v>54</v>
      </c>
      <c r="F190" s="313" t="s">
        <v>2511</v>
      </c>
      <c r="G190" s="313" t="s">
        <v>24</v>
      </c>
      <c r="H190" s="313" t="s">
        <v>70</v>
      </c>
      <c r="I190" s="313" t="s">
        <v>1521</v>
      </c>
      <c r="J190" s="313" t="s">
        <v>70</v>
      </c>
    </row>
    <row r="191" spans="1:10" x14ac:dyDescent="0.25">
      <c r="A191" s="313" t="s">
        <v>691</v>
      </c>
      <c r="B191" s="313" t="s">
        <v>692</v>
      </c>
      <c r="C191" s="313" t="s">
        <v>2183</v>
      </c>
      <c r="D191" s="313" t="s">
        <v>2514</v>
      </c>
      <c r="E191" s="313" t="s">
        <v>54</v>
      </c>
      <c r="F191" s="313" t="s">
        <v>2515</v>
      </c>
      <c r="G191" s="313" t="s">
        <v>24</v>
      </c>
      <c r="H191" s="313" t="s">
        <v>70</v>
      </c>
      <c r="I191" s="313" t="s">
        <v>1521</v>
      </c>
      <c r="J191" s="313" t="s">
        <v>70</v>
      </c>
    </row>
    <row r="192" spans="1:10" x14ac:dyDescent="0.25">
      <c r="A192" s="313" t="s">
        <v>694</v>
      </c>
      <c r="B192" s="313" t="s">
        <v>696</v>
      </c>
      <c r="C192" s="313" t="s">
        <v>2183</v>
      </c>
      <c r="D192" s="313" t="s">
        <v>2516</v>
      </c>
      <c r="E192" s="313" t="s">
        <v>54</v>
      </c>
      <c r="F192" s="313" t="s">
        <v>2517</v>
      </c>
      <c r="G192" s="313" t="s">
        <v>24</v>
      </c>
      <c r="H192" s="313" t="s">
        <v>70</v>
      </c>
      <c r="I192" s="313" t="s">
        <v>1521</v>
      </c>
      <c r="J192" s="313" t="s">
        <v>70</v>
      </c>
    </row>
    <row r="193" spans="1:10" x14ac:dyDescent="0.25">
      <c r="A193" s="313" t="s">
        <v>698</v>
      </c>
      <c r="B193" s="313" t="s">
        <v>699</v>
      </c>
      <c r="C193" s="313" t="s">
        <v>2183</v>
      </c>
      <c r="D193" s="313" t="s">
        <v>2518</v>
      </c>
      <c r="E193" s="313" t="s">
        <v>37</v>
      </c>
      <c r="F193" s="313" t="s">
        <v>24</v>
      </c>
      <c r="G193" s="313" t="s">
        <v>24</v>
      </c>
      <c r="H193" s="313" t="s">
        <v>70</v>
      </c>
      <c r="I193" s="313" t="s">
        <v>1521</v>
      </c>
      <c r="J193" s="313" t="s">
        <v>70</v>
      </c>
    </row>
    <row r="194" spans="1:10" x14ac:dyDescent="0.25">
      <c r="A194" s="313" t="s">
        <v>700</v>
      </c>
      <c r="B194" s="313" t="s">
        <v>702</v>
      </c>
      <c r="C194" s="313" t="s">
        <v>2183</v>
      </c>
      <c r="D194" s="313" t="s">
        <v>2519</v>
      </c>
      <c r="E194" s="313" t="s">
        <v>54</v>
      </c>
      <c r="F194" s="313" t="s">
        <v>2520</v>
      </c>
      <c r="G194" s="313" t="s">
        <v>24</v>
      </c>
      <c r="H194" s="313" t="s">
        <v>70</v>
      </c>
      <c r="I194" s="313" t="s">
        <v>1521</v>
      </c>
      <c r="J194" s="313" t="s">
        <v>70</v>
      </c>
    </row>
    <row r="195" spans="1:10" x14ac:dyDescent="0.25">
      <c r="A195" s="313" t="s">
        <v>706</v>
      </c>
      <c r="B195" s="313" t="s">
        <v>708</v>
      </c>
      <c r="C195" s="313" t="s">
        <v>2187</v>
      </c>
      <c r="D195" s="313" t="s">
        <v>2521</v>
      </c>
      <c r="E195" s="313" t="s">
        <v>54</v>
      </c>
      <c r="F195" s="313" t="s">
        <v>2522</v>
      </c>
      <c r="G195" s="313" t="s">
        <v>24</v>
      </c>
      <c r="H195" s="313" t="s">
        <v>70</v>
      </c>
      <c r="I195" s="313" t="s">
        <v>1521</v>
      </c>
      <c r="J195" s="313" t="s">
        <v>70</v>
      </c>
    </row>
    <row r="196" spans="1:10" x14ac:dyDescent="0.25">
      <c r="A196" s="313" t="s">
        <v>710</v>
      </c>
      <c r="B196" s="313" t="s">
        <v>711</v>
      </c>
      <c r="C196" s="313" t="s">
        <v>2187</v>
      </c>
      <c r="D196" s="313" t="s">
        <v>2523</v>
      </c>
      <c r="E196" s="313" t="s">
        <v>37</v>
      </c>
      <c r="F196" s="313" t="s">
        <v>2524</v>
      </c>
      <c r="G196" s="313" t="s">
        <v>24</v>
      </c>
      <c r="H196" s="313" t="s">
        <v>70</v>
      </c>
      <c r="I196" s="313" t="s">
        <v>1521</v>
      </c>
      <c r="J196" s="313" t="s">
        <v>70</v>
      </c>
    </row>
    <row r="197" spans="1:10" x14ac:dyDescent="0.25">
      <c r="A197" s="313" t="s">
        <v>712</v>
      </c>
      <c r="B197" s="313" t="s">
        <v>713</v>
      </c>
      <c r="C197" s="313" t="s">
        <v>2187</v>
      </c>
      <c r="D197" s="313" t="s">
        <v>2525</v>
      </c>
      <c r="E197" s="313" t="s">
        <v>37</v>
      </c>
      <c r="F197" s="313" t="s">
        <v>2526</v>
      </c>
      <c r="G197" s="313" t="s">
        <v>24</v>
      </c>
      <c r="H197" s="313" t="s">
        <v>70</v>
      </c>
      <c r="I197" s="313" t="s">
        <v>1521</v>
      </c>
      <c r="J197" s="313" t="s">
        <v>70</v>
      </c>
    </row>
    <row r="198" spans="1:10" x14ac:dyDescent="0.25">
      <c r="A198" s="313" t="s">
        <v>714</v>
      </c>
      <c r="B198" s="313" t="s">
        <v>715</v>
      </c>
      <c r="C198" s="313" t="s">
        <v>2187</v>
      </c>
      <c r="D198" s="313" t="s">
        <v>2527</v>
      </c>
      <c r="E198" s="313" t="s">
        <v>37</v>
      </c>
      <c r="F198" s="313" t="s">
        <v>2528</v>
      </c>
      <c r="G198" s="313" t="s">
        <v>24</v>
      </c>
      <c r="H198" s="313" t="s">
        <v>70</v>
      </c>
      <c r="I198" s="313" t="s">
        <v>1521</v>
      </c>
      <c r="J198" s="313" t="s">
        <v>70</v>
      </c>
    </row>
    <row r="199" spans="1:10" x14ac:dyDescent="0.25">
      <c r="A199" s="313" t="s">
        <v>716</v>
      </c>
      <c r="B199" s="313" t="s">
        <v>2529</v>
      </c>
      <c r="C199" s="313" t="s">
        <v>2187</v>
      </c>
      <c r="D199" s="313" t="s">
        <v>2530</v>
      </c>
      <c r="E199" s="313" t="s">
        <v>54</v>
      </c>
      <c r="F199" s="313" t="s">
        <v>2531</v>
      </c>
      <c r="G199" s="313" t="s">
        <v>24</v>
      </c>
      <c r="H199" s="313" t="s">
        <v>1521</v>
      </c>
      <c r="I199" s="313" t="s">
        <v>1521</v>
      </c>
      <c r="J199" s="313" t="s">
        <v>70</v>
      </c>
    </row>
    <row r="200" spans="1:10" ht="330" x14ac:dyDescent="0.25">
      <c r="A200" s="313" t="s">
        <v>722</v>
      </c>
      <c r="B200" s="315" t="s">
        <v>724</v>
      </c>
      <c r="C200" s="313" t="s">
        <v>2191</v>
      </c>
      <c r="D200" s="313" t="s">
        <v>2532</v>
      </c>
      <c r="E200" s="313" t="s">
        <v>54</v>
      </c>
      <c r="F200" s="313" t="s">
        <v>2533</v>
      </c>
      <c r="G200" s="313" t="s">
        <v>24</v>
      </c>
      <c r="H200" s="313" t="s">
        <v>70</v>
      </c>
      <c r="I200" s="313" t="s">
        <v>1521</v>
      </c>
      <c r="J200" s="313" t="s">
        <v>70</v>
      </c>
    </row>
    <row r="201" spans="1:10" x14ac:dyDescent="0.25">
      <c r="A201" s="313" t="s">
        <v>726</v>
      </c>
      <c r="B201" s="313" t="s">
        <v>727</v>
      </c>
      <c r="C201" s="313" t="s">
        <v>2191</v>
      </c>
      <c r="D201" s="313" t="s">
        <v>2534</v>
      </c>
      <c r="E201" s="313" t="s">
        <v>37</v>
      </c>
      <c r="F201" s="313" t="s">
        <v>24</v>
      </c>
      <c r="G201" s="313" t="s">
        <v>24</v>
      </c>
      <c r="H201" s="313" t="s">
        <v>70</v>
      </c>
      <c r="I201" s="313" t="s">
        <v>1521</v>
      </c>
      <c r="J201" s="313" t="s">
        <v>70</v>
      </c>
    </row>
    <row r="202" spans="1:10" x14ac:dyDescent="0.25">
      <c r="A202" s="313" t="s">
        <v>728</v>
      </c>
      <c r="B202" s="313" t="s">
        <v>730</v>
      </c>
      <c r="C202" s="313" t="s">
        <v>2191</v>
      </c>
      <c r="D202" s="313" t="s">
        <v>2535</v>
      </c>
      <c r="E202" s="313" t="s">
        <v>54</v>
      </c>
      <c r="F202" s="313" t="s">
        <v>2536</v>
      </c>
      <c r="G202" s="313" t="s">
        <v>24</v>
      </c>
      <c r="H202" s="313" t="s">
        <v>1521</v>
      </c>
      <c r="I202" s="313" t="s">
        <v>1521</v>
      </c>
      <c r="J202" s="313" t="s">
        <v>70</v>
      </c>
    </row>
    <row r="203" spans="1:10" x14ac:dyDescent="0.25">
      <c r="A203" s="313" t="s">
        <v>732</v>
      </c>
      <c r="B203" s="313" t="s">
        <v>734</v>
      </c>
      <c r="C203" s="313" t="s">
        <v>2191</v>
      </c>
      <c r="D203" s="313" t="s">
        <v>2537</v>
      </c>
      <c r="E203" s="313" t="s">
        <v>37</v>
      </c>
      <c r="F203" s="313" t="s">
        <v>2538</v>
      </c>
      <c r="G203" s="313" t="s">
        <v>24</v>
      </c>
      <c r="H203" s="313" t="s">
        <v>1521</v>
      </c>
      <c r="I203" s="313" t="s">
        <v>1521</v>
      </c>
      <c r="J203" s="313" t="s">
        <v>70</v>
      </c>
    </row>
    <row r="204" spans="1:10" x14ac:dyDescent="0.25">
      <c r="A204" s="313" t="s">
        <v>735</v>
      </c>
      <c r="B204" s="313" t="s">
        <v>736</v>
      </c>
      <c r="C204" s="313" t="s">
        <v>2191</v>
      </c>
      <c r="D204" s="313" t="s">
        <v>2539</v>
      </c>
      <c r="E204" s="313" t="s">
        <v>2353</v>
      </c>
      <c r="F204" s="313" t="s">
        <v>2540</v>
      </c>
      <c r="G204" s="313" t="s">
        <v>24</v>
      </c>
      <c r="H204" s="313" t="s">
        <v>70</v>
      </c>
      <c r="I204" s="313" t="s">
        <v>1521</v>
      </c>
      <c r="J204" s="313" t="s">
        <v>70</v>
      </c>
    </row>
    <row r="205" spans="1:10" x14ac:dyDescent="0.25">
      <c r="A205" s="313" t="s">
        <v>737</v>
      </c>
      <c r="B205" s="313" t="s">
        <v>739</v>
      </c>
      <c r="C205" s="313" t="s">
        <v>2191</v>
      </c>
      <c r="D205" s="313" t="s">
        <v>2541</v>
      </c>
      <c r="E205" s="313" t="s">
        <v>54</v>
      </c>
      <c r="F205" s="313" t="s">
        <v>2542</v>
      </c>
      <c r="G205" s="313" t="s">
        <v>24</v>
      </c>
      <c r="H205" s="313" t="s">
        <v>1521</v>
      </c>
      <c r="I205" s="313" t="s">
        <v>1521</v>
      </c>
      <c r="J205" s="313" t="s">
        <v>70</v>
      </c>
    </row>
    <row r="206" spans="1:10" ht="315" x14ac:dyDescent="0.25">
      <c r="A206" s="313" t="s">
        <v>741</v>
      </c>
      <c r="B206" s="315" t="s">
        <v>742</v>
      </c>
      <c r="C206" s="313" t="s">
        <v>2191</v>
      </c>
      <c r="D206" s="313" t="s">
        <v>2543</v>
      </c>
      <c r="E206" s="313" t="s">
        <v>54</v>
      </c>
      <c r="F206" s="313" t="s">
        <v>2544</v>
      </c>
      <c r="G206" s="313" t="s">
        <v>24</v>
      </c>
      <c r="H206" s="313" t="s">
        <v>1521</v>
      </c>
      <c r="I206" s="313" t="s">
        <v>1521</v>
      </c>
      <c r="J206" s="313" t="s">
        <v>70</v>
      </c>
    </row>
    <row r="207" spans="1:10" x14ac:dyDescent="0.25">
      <c r="A207" s="313" t="s">
        <v>744</v>
      </c>
      <c r="B207" s="313" t="s">
        <v>745</v>
      </c>
      <c r="C207" s="313" t="s">
        <v>2191</v>
      </c>
      <c r="D207" s="313" t="s">
        <v>2545</v>
      </c>
      <c r="E207" s="313" t="s">
        <v>37</v>
      </c>
      <c r="F207" s="313" t="s">
        <v>24</v>
      </c>
      <c r="G207" s="313" t="s">
        <v>24</v>
      </c>
      <c r="H207" s="313" t="s">
        <v>1521</v>
      </c>
      <c r="I207" s="313" t="s">
        <v>1521</v>
      </c>
      <c r="J207" s="313" t="s">
        <v>70</v>
      </c>
    </row>
    <row r="208" spans="1:10" x14ac:dyDescent="0.25">
      <c r="A208" s="313" t="s">
        <v>746</v>
      </c>
      <c r="B208" s="313" t="s">
        <v>748</v>
      </c>
      <c r="C208" s="313" t="s">
        <v>2191</v>
      </c>
      <c r="D208" s="313" t="s">
        <v>2546</v>
      </c>
      <c r="E208" s="313" t="s">
        <v>54</v>
      </c>
      <c r="F208" s="313" t="s">
        <v>2547</v>
      </c>
      <c r="G208" s="313" t="s">
        <v>24</v>
      </c>
      <c r="H208" s="313" t="s">
        <v>1521</v>
      </c>
      <c r="I208" s="313" t="s">
        <v>1521</v>
      </c>
      <c r="J208" s="313" t="s">
        <v>70</v>
      </c>
    </row>
    <row r="209" spans="1:10" x14ac:dyDescent="0.25">
      <c r="A209" s="313" t="s">
        <v>750</v>
      </c>
      <c r="B209" s="313" t="s">
        <v>752</v>
      </c>
      <c r="C209" s="313" t="s">
        <v>2191</v>
      </c>
      <c r="D209" s="313" t="s">
        <v>2548</v>
      </c>
      <c r="E209" s="313" t="s">
        <v>54</v>
      </c>
      <c r="F209" s="313" t="s">
        <v>2549</v>
      </c>
      <c r="G209" s="313" t="s">
        <v>24</v>
      </c>
      <c r="H209" s="313" t="s">
        <v>1521</v>
      </c>
      <c r="I209" s="313" t="s">
        <v>1521</v>
      </c>
      <c r="J209" s="313" t="s">
        <v>70</v>
      </c>
    </row>
    <row r="210" spans="1:10" x14ac:dyDescent="0.25">
      <c r="A210" s="313" t="s">
        <v>754</v>
      </c>
      <c r="B210" s="313" t="s">
        <v>2550</v>
      </c>
      <c r="C210" s="313" t="s">
        <v>2191</v>
      </c>
      <c r="D210" s="313" t="s">
        <v>2551</v>
      </c>
      <c r="E210" s="313" t="s">
        <v>37</v>
      </c>
      <c r="F210" s="313" t="s">
        <v>2552</v>
      </c>
      <c r="G210" s="313" t="s">
        <v>24</v>
      </c>
      <c r="H210" s="313" t="s">
        <v>70</v>
      </c>
      <c r="I210" s="313" t="s">
        <v>1521</v>
      </c>
      <c r="J210" s="313" t="s">
        <v>70</v>
      </c>
    </row>
    <row r="211" spans="1:10" x14ac:dyDescent="0.25">
      <c r="A211" s="313" t="s">
        <v>756</v>
      </c>
      <c r="B211" s="313" t="s">
        <v>757</v>
      </c>
      <c r="C211" s="313" t="s">
        <v>2191</v>
      </c>
      <c r="D211" s="313" t="s">
        <v>2553</v>
      </c>
      <c r="E211" s="313" t="s">
        <v>54</v>
      </c>
      <c r="F211" s="313" t="s">
        <v>2554</v>
      </c>
      <c r="G211" s="313" t="s">
        <v>24</v>
      </c>
      <c r="H211" s="313" t="s">
        <v>1521</v>
      </c>
      <c r="I211" s="313" t="s">
        <v>1521</v>
      </c>
      <c r="J211" s="313" t="s">
        <v>70</v>
      </c>
    </row>
    <row r="212" spans="1:10" ht="409.5" x14ac:dyDescent="0.25">
      <c r="A212" s="313" t="s">
        <v>759</v>
      </c>
      <c r="B212" s="315" t="s">
        <v>2555</v>
      </c>
      <c r="C212" s="313" t="s">
        <v>2191</v>
      </c>
      <c r="D212" s="313" t="s">
        <v>2556</v>
      </c>
      <c r="E212" s="313" t="s">
        <v>54</v>
      </c>
      <c r="F212" s="313" t="s">
        <v>2557</v>
      </c>
      <c r="G212" s="313" t="s">
        <v>24</v>
      </c>
      <c r="H212" s="313" t="s">
        <v>1521</v>
      </c>
      <c r="I212" s="313" t="s">
        <v>1521</v>
      </c>
      <c r="J212" s="313" t="s">
        <v>70</v>
      </c>
    </row>
    <row r="213" spans="1:10" x14ac:dyDescent="0.25">
      <c r="A213" s="313" t="s">
        <v>766</v>
      </c>
      <c r="B213" s="313" t="s">
        <v>2558</v>
      </c>
      <c r="C213" s="313" t="s">
        <v>2195</v>
      </c>
      <c r="D213" s="313" t="s">
        <v>2559</v>
      </c>
      <c r="E213" s="313" t="s">
        <v>54</v>
      </c>
      <c r="F213" s="313" t="s">
        <v>2560</v>
      </c>
      <c r="G213" s="313" t="s">
        <v>24</v>
      </c>
      <c r="H213" s="313" t="s">
        <v>1521</v>
      </c>
      <c r="I213" s="313" t="s">
        <v>1521</v>
      </c>
      <c r="J213" s="313" t="s">
        <v>70</v>
      </c>
    </row>
    <row r="214" spans="1:10" x14ac:dyDescent="0.25">
      <c r="A214" s="313" t="s">
        <v>770</v>
      </c>
      <c r="B214" s="313" t="s">
        <v>2561</v>
      </c>
      <c r="C214" s="313" t="s">
        <v>2195</v>
      </c>
      <c r="D214" s="313" t="s">
        <v>2562</v>
      </c>
      <c r="E214" s="313" t="s">
        <v>54</v>
      </c>
      <c r="F214" s="313" t="s">
        <v>2563</v>
      </c>
      <c r="G214" s="313" t="s">
        <v>24</v>
      </c>
      <c r="H214" s="313" t="s">
        <v>70</v>
      </c>
      <c r="I214" s="313" t="s">
        <v>1521</v>
      </c>
      <c r="J214" s="313" t="s">
        <v>70</v>
      </c>
    </row>
    <row r="215" spans="1:10" x14ac:dyDescent="0.25">
      <c r="A215" s="313" t="s">
        <v>774</v>
      </c>
      <c r="B215" s="313" t="s">
        <v>2564</v>
      </c>
      <c r="C215" s="313" t="s">
        <v>2195</v>
      </c>
      <c r="D215" s="313" t="s">
        <v>2565</v>
      </c>
      <c r="E215" s="313" t="s">
        <v>48</v>
      </c>
      <c r="F215" s="313" t="s">
        <v>2566</v>
      </c>
      <c r="G215" s="314" t="s">
        <v>44</v>
      </c>
      <c r="H215" s="313" t="s">
        <v>70</v>
      </c>
      <c r="I215" s="313" t="s">
        <v>1521</v>
      </c>
      <c r="J215" s="313" t="s">
        <v>70</v>
      </c>
    </row>
    <row r="216" spans="1:10" x14ac:dyDescent="0.25">
      <c r="A216" s="313" t="s">
        <v>778</v>
      </c>
      <c r="B216" s="313" t="s">
        <v>780</v>
      </c>
      <c r="C216" s="313" t="s">
        <v>2195</v>
      </c>
      <c r="D216" s="313" t="s">
        <v>2567</v>
      </c>
      <c r="E216" s="313" t="s">
        <v>54</v>
      </c>
      <c r="F216" s="313" t="s">
        <v>2568</v>
      </c>
      <c r="G216" s="313" t="s">
        <v>24</v>
      </c>
      <c r="H216" s="313" t="s">
        <v>70</v>
      </c>
      <c r="I216" s="313" t="s">
        <v>1521</v>
      </c>
      <c r="J216" s="313" t="s">
        <v>70</v>
      </c>
    </row>
    <row r="217" spans="1:10" x14ac:dyDescent="0.25">
      <c r="A217" s="313" t="s">
        <v>782</v>
      </c>
      <c r="B217" s="313" t="s">
        <v>783</v>
      </c>
      <c r="C217" s="313" t="s">
        <v>2195</v>
      </c>
      <c r="D217" s="313" t="s">
        <v>2569</v>
      </c>
      <c r="E217" s="313" t="s">
        <v>48</v>
      </c>
      <c r="F217" s="313" t="s">
        <v>2570</v>
      </c>
      <c r="G217" s="314" t="s">
        <v>44</v>
      </c>
      <c r="H217" s="313" t="s">
        <v>70</v>
      </c>
      <c r="I217" s="313" t="s">
        <v>1521</v>
      </c>
      <c r="J217" s="313" t="s">
        <v>70</v>
      </c>
    </row>
    <row r="218" spans="1:10" x14ac:dyDescent="0.25">
      <c r="A218" s="313" t="s">
        <v>785</v>
      </c>
      <c r="B218" s="313" t="s">
        <v>786</v>
      </c>
      <c r="C218" s="313" t="s">
        <v>2195</v>
      </c>
      <c r="D218" s="313" t="s">
        <v>2571</v>
      </c>
      <c r="E218" s="313" t="s">
        <v>37</v>
      </c>
      <c r="F218" s="313" t="s">
        <v>24</v>
      </c>
      <c r="G218" s="313" t="s">
        <v>24</v>
      </c>
      <c r="H218" s="313" t="s">
        <v>70</v>
      </c>
      <c r="I218" s="313" t="s">
        <v>1521</v>
      </c>
      <c r="J218" s="313" t="s">
        <v>70</v>
      </c>
    </row>
    <row r="219" spans="1:10" x14ac:dyDescent="0.25">
      <c r="A219" s="313" t="s">
        <v>789</v>
      </c>
      <c r="B219" s="313" t="s">
        <v>791</v>
      </c>
      <c r="C219" s="313" t="s">
        <v>2198</v>
      </c>
      <c r="D219" s="313" t="s">
        <v>2572</v>
      </c>
      <c r="E219" s="313" t="s">
        <v>54</v>
      </c>
      <c r="F219" s="313" t="s">
        <v>2573</v>
      </c>
      <c r="G219" s="313" t="s">
        <v>24</v>
      </c>
      <c r="H219" s="313" t="s">
        <v>1521</v>
      </c>
      <c r="I219" s="313" t="s">
        <v>1521</v>
      </c>
      <c r="J219" s="313" t="s">
        <v>70</v>
      </c>
    </row>
    <row r="220" spans="1:10" x14ac:dyDescent="0.25">
      <c r="A220" s="313" t="s">
        <v>793</v>
      </c>
      <c r="B220" s="313" t="s">
        <v>794</v>
      </c>
      <c r="C220" s="313" t="s">
        <v>2198</v>
      </c>
      <c r="D220" s="313" t="s">
        <v>2574</v>
      </c>
      <c r="E220" s="313" t="s">
        <v>114</v>
      </c>
      <c r="F220" s="313" t="s">
        <v>24</v>
      </c>
      <c r="G220" s="313" t="s">
        <v>24</v>
      </c>
      <c r="H220" s="313" t="s">
        <v>70</v>
      </c>
      <c r="I220" s="313" t="s">
        <v>1521</v>
      </c>
      <c r="J220" s="313" t="s">
        <v>70</v>
      </c>
    </row>
    <row r="221" spans="1:10" x14ac:dyDescent="0.25">
      <c r="A221" s="313" t="s">
        <v>795</v>
      </c>
      <c r="B221" s="313" t="s">
        <v>797</v>
      </c>
      <c r="C221" s="313" t="s">
        <v>2198</v>
      </c>
      <c r="D221" s="313" t="s">
        <v>2575</v>
      </c>
      <c r="E221" s="313" t="s">
        <v>54</v>
      </c>
      <c r="F221" s="313" t="s">
        <v>2576</v>
      </c>
      <c r="G221" s="313" t="s">
        <v>24</v>
      </c>
      <c r="H221" s="313" t="s">
        <v>70</v>
      </c>
      <c r="I221" s="313" t="s">
        <v>1521</v>
      </c>
      <c r="J221" s="313" t="s">
        <v>70</v>
      </c>
    </row>
    <row r="222" spans="1:10" ht="409.5" x14ac:dyDescent="0.25">
      <c r="A222" s="313" t="s">
        <v>799</v>
      </c>
      <c r="B222" s="315" t="s">
        <v>801</v>
      </c>
      <c r="C222" s="313" t="s">
        <v>2198</v>
      </c>
      <c r="D222" s="313" t="s">
        <v>2577</v>
      </c>
      <c r="E222" s="313" t="s">
        <v>54</v>
      </c>
      <c r="F222" s="313" t="s">
        <v>2578</v>
      </c>
      <c r="G222" s="313" t="s">
        <v>24</v>
      </c>
      <c r="H222" s="313" t="s">
        <v>1521</v>
      </c>
      <c r="I222" s="313" t="s">
        <v>1521</v>
      </c>
      <c r="J222" s="313" t="s">
        <v>70</v>
      </c>
    </row>
    <row r="223" spans="1:10" x14ac:dyDescent="0.25">
      <c r="A223" s="313" t="s">
        <v>803</v>
      </c>
      <c r="B223" s="313" t="s">
        <v>2579</v>
      </c>
      <c r="C223" s="313" t="s">
        <v>2198</v>
      </c>
      <c r="D223" s="313" t="s">
        <v>2580</v>
      </c>
      <c r="E223" s="313" t="s">
        <v>37</v>
      </c>
      <c r="F223" s="313" t="s">
        <v>24</v>
      </c>
      <c r="G223" s="313" t="s">
        <v>24</v>
      </c>
      <c r="H223" s="313" t="s">
        <v>1521</v>
      </c>
      <c r="I223" s="313" t="s">
        <v>1521</v>
      </c>
      <c r="J223" s="313" t="s">
        <v>70</v>
      </c>
    </row>
    <row r="224" spans="1:10" x14ac:dyDescent="0.25">
      <c r="A224" s="313" t="s">
        <v>805</v>
      </c>
      <c r="B224" s="313" t="s">
        <v>807</v>
      </c>
      <c r="C224" s="313" t="s">
        <v>2198</v>
      </c>
      <c r="D224" s="313" t="s">
        <v>2581</v>
      </c>
      <c r="E224" s="313" t="s">
        <v>54</v>
      </c>
      <c r="F224" s="313" t="s">
        <v>2582</v>
      </c>
      <c r="G224" s="313" t="s">
        <v>24</v>
      </c>
      <c r="H224" s="313" t="s">
        <v>1521</v>
      </c>
      <c r="I224" s="313" t="s">
        <v>1521</v>
      </c>
      <c r="J224" s="313" t="s">
        <v>70</v>
      </c>
    </row>
    <row r="225" spans="1:10" x14ac:dyDescent="0.25">
      <c r="A225" s="313" t="s">
        <v>809</v>
      </c>
      <c r="B225" s="313" t="s">
        <v>810</v>
      </c>
      <c r="C225" s="313" t="s">
        <v>2198</v>
      </c>
      <c r="D225" s="313" t="s">
        <v>2583</v>
      </c>
      <c r="E225" s="313" t="s">
        <v>37</v>
      </c>
      <c r="F225" s="313" t="s">
        <v>24</v>
      </c>
      <c r="G225" s="313" t="s">
        <v>24</v>
      </c>
      <c r="H225" s="313" t="s">
        <v>1521</v>
      </c>
      <c r="I225" s="313" t="s">
        <v>1521</v>
      </c>
      <c r="J225" s="313" t="s">
        <v>70</v>
      </c>
    </row>
    <row r="226" spans="1:10" x14ac:dyDescent="0.25">
      <c r="A226" s="313" t="s">
        <v>812</v>
      </c>
      <c r="B226" s="313" t="s">
        <v>813</v>
      </c>
      <c r="C226" s="313" t="s">
        <v>2198</v>
      </c>
      <c r="D226" s="313" t="s">
        <v>2584</v>
      </c>
      <c r="E226" s="313" t="s">
        <v>114</v>
      </c>
      <c r="F226" s="313" t="s">
        <v>24</v>
      </c>
      <c r="G226" s="313" t="s">
        <v>24</v>
      </c>
      <c r="H226" s="313" t="s">
        <v>1521</v>
      </c>
      <c r="I226" s="313" t="s">
        <v>1521</v>
      </c>
      <c r="J226" s="313" t="s">
        <v>70</v>
      </c>
    </row>
    <row r="227" spans="1:10" x14ac:dyDescent="0.25">
      <c r="A227" s="313" t="s">
        <v>815</v>
      </c>
      <c r="B227" s="313" t="s">
        <v>817</v>
      </c>
      <c r="C227" s="313" t="s">
        <v>2198</v>
      </c>
      <c r="D227" s="313" t="s">
        <v>2585</v>
      </c>
      <c r="E227" s="313" t="s">
        <v>54</v>
      </c>
      <c r="F227" s="313" t="s">
        <v>2586</v>
      </c>
      <c r="G227" s="313" t="s">
        <v>24</v>
      </c>
      <c r="H227" s="313" t="s">
        <v>1521</v>
      </c>
      <c r="I227" s="313" t="s">
        <v>1521</v>
      </c>
      <c r="J227" s="313" t="s">
        <v>70</v>
      </c>
    </row>
    <row r="228" spans="1:10" x14ac:dyDescent="0.25">
      <c r="A228" s="313" t="s">
        <v>819</v>
      </c>
      <c r="B228" s="313" t="s">
        <v>820</v>
      </c>
      <c r="C228" s="313" t="s">
        <v>2198</v>
      </c>
      <c r="D228" s="313" t="s">
        <v>2587</v>
      </c>
      <c r="E228" s="313" t="s">
        <v>37</v>
      </c>
      <c r="F228" s="313" t="s">
        <v>24</v>
      </c>
      <c r="G228" s="313" t="s">
        <v>24</v>
      </c>
      <c r="H228" s="313" t="s">
        <v>1521</v>
      </c>
      <c r="I228" s="313" t="s">
        <v>1521</v>
      </c>
      <c r="J228" s="313" t="s">
        <v>70</v>
      </c>
    </row>
    <row r="229" spans="1:10" x14ac:dyDescent="0.25">
      <c r="A229" s="313" t="s">
        <v>823</v>
      </c>
      <c r="B229" s="313" t="s">
        <v>825</v>
      </c>
      <c r="C229" s="313" t="s">
        <v>2201</v>
      </c>
      <c r="D229" s="313" t="s">
        <v>2588</v>
      </c>
      <c r="E229" s="313" t="s">
        <v>54</v>
      </c>
      <c r="F229" s="313" t="s">
        <v>2589</v>
      </c>
      <c r="G229" s="313" t="s">
        <v>24</v>
      </c>
      <c r="H229" s="313" t="s">
        <v>1521</v>
      </c>
      <c r="I229" s="313" t="s">
        <v>1521</v>
      </c>
      <c r="J229" s="313" t="s">
        <v>70</v>
      </c>
    </row>
    <row r="230" spans="1:10" ht="409.5" x14ac:dyDescent="0.25">
      <c r="A230" s="313" t="s">
        <v>829</v>
      </c>
      <c r="B230" s="315" t="s">
        <v>2590</v>
      </c>
      <c r="C230" s="313" t="s">
        <v>2209</v>
      </c>
      <c r="D230" s="313" t="s">
        <v>2591</v>
      </c>
      <c r="E230" s="313" t="s">
        <v>54</v>
      </c>
      <c r="F230" s="313" t="s">
        <v>2592</v>
      </c>
      <c r="G230" s="313" t="s">
        <v>24</v>
      </c>
      <c r="H230" s="313" t="s">
        <v>70</v>
      </c>
      <c r="I230" s="313" t="s">
        <v>1521</v>
      </c>
      <c r="J230" s="313" t="s">
        <v>70</v>
      </c>
    </row>
    <row r="231" spans="1:10" x14ac:dyDescent="0.25">
      <c r="A231" s="313" t="s">
        <v>833</v>
      </c>
      <c r="B231" s="313" t="s">
        <v>834</v>
      </c>
      <c r="C231" s="313" t="s">
        <v>2209</v>
      </c>
      <c r="D231" s="313" t="s">
        <v>2593</v>
      </c>
      <c r="E231" s="313" t="s">
        <v>37</v>
      </c>
      <c r="F231" s="313" t="s">
        <v>24</v>
      </c>
      <c r="G231" s="313" t="s">
        <v>24</v>
      </c>
      <c r="H231" s="313" t="s">
        <v>70</v>
      </c>
      <c r="I231" s="313" t="s">
        <v>1521</v>
      </c>
      <c r="J231" s="313" t="s">
        <v>70</v>
      </c>
    </row>
    <row r="232" spans="1:10" x14ac:dyDescent="0.25">
      <c r="A232" s="313" t="s">
        <v>835</v>
      </c>
      <c r="B232" s="313" t="s">
        <v>836</v>
      </c>
      <c r="C232" s="313" t="s">
        <v>2209</v>
      </c>
      <c r="D232" s="313" t="s">
        <v>2594</v>
      </c>
      <c r="E232" s="313" t="s">
        <v>54</v>
      </c>
      <c r="F232" s="313" t="s">
        <v>2595</v>
      </c>
      <c r="G232" s="313" t="s">
        <v>24</v>
      </c>
      <c r="H232" s="313" t="s">
        <v>70</v>
      </c>
      <c r="I232" s="313" t="s">
        <v>1521</v>
      </c>
      <c r="J232" s="313" t="s">
        <v>70</v>
      </c>
    </row>
    <row r="233" spans="1:10" x14ac:dyDescent="0.25">
      <c r="A233" s="313" t="s">
        <v>838</v>
      </c>
      <c r="B233" s="313" t="s">
        <v>840</v>
      </c>
      <c r="C233" s="313" t="s">
        <v>2209</v>
      </c>
      <c r="D233" s="313" t="s">
        <v>2596</v>
      </c>
      <c r="E233" s="313" t="s">
        <v>54</v>
      </c>
      <c r="F233" s="313" t="s">
        <v>2597</v>
      </c>
      <c r="G233" s="313" t="s">
        <v>24</v>
      </c>
      <c r="H233" s="313" t="s">
        <v>70</v>
      </c>
      <c r="I233" s="313" t="s">
        <v>1521</v>
      </c>
      <c r="J233" s="313" t="s">
        <v>70</v>
      </c>
    </row>
    <row r="234" spans="1:10" x14ac:dyDescent="0.25">
      <c r="A234" s="313" t="s">
        <v>844</v>
      </c>
      <c r="B234" s="313" t="s">
        <v>846</v>
      </c>
      <c r="C234" s="313" t="s">
        <v>2214</v>
      </c>
      <c r="D234" s="313" t="s">
        <v>2598</v>
      </c>
      <c r="E234" s="313" t="s">
        <v>48</v>
      </c>
      <c r="F234" s="313" t="s">
        <v>2599</v>
      </c>
      <c r="G234" s="314" t="s">
        <v>44</v>
      </c>
      <c r="H234" s="313" t="s">
        <v>1521</v>
      </c>
      <c r="I234" s="313" t="s">
        <v>1521</v>
      </c>
      <c r="J234" s="313" t="s">
        <v>70</v>
      </c>
    </row>
    <row r="235" spans="1:10" ht="315" x14ac:dyDescent="0.25">
      <c r="A235" s="313" t="s">
        <v>848</v>
      </c>
      <c r="B235" s="315" t="s">
        <v>850</v>
      </c>
      <c r="C235" s="313" t="s">
        <v>2214</v>
      </c>
      <c r="D235" s="313" t="s">
        <v>2600</v>
      </c>
      <c r="E235" s="313" t="s">
        <v>2353</v>
      </c>
      <c r="F235" s="313" t="s">
        <v>2601</v>
      </c>
      <c r="G235" s="313" t="s">
        <v>24</v>
      </c>
      <c r="H235" s="313" t="s">
        <v>1521</v>
      </c>
      <c r="I235" s="313" t="s">
        <v>1521</v>
      </c>
      <c r="J235" s="313" t="s">
        <v>70</v>
      </c>
    </row>
    <row r="236" spans="1:10" x14ac:dyDescent="0.25">
      <c r="A236" s="313" t="s">
        <v>855</v>
      </c>
      <c r="B236" s="313" t="s">
        <v>857</v>
      </c>
      <c r="C236" s="313" t="s">
        <v>2218</v>
      </c>
      <c r="D236" s="313" t="s">
        <v>2602</v>
      </c>
      <c r="E236" s="313" t="s">
        <v>54</v>
      </c>
      <c r="F236" s="313" t="s">
        <v>2603</v>
      </c>
      <c r="G236" s="313" t="s">
        <v>24</v>
      </c>
      <c r="H236" s="313" t="s">
        <v>70</v>
      </c>
      <c r="I236" s="313" t="s">
        <v>1521</v>
      </c>
      <c r="J236" s="313" t="s">
        <v>70</v>
      </c>
    </row>
    <row r="237" spans="1:10" x14ac:dyDescent="0.25">
      <c r="A237" s="313" t="s">
        <v>859</v>
      </c>
      <c r="B237" s="313" t="s">
        <v>860</v>
      </c>
      <c r="C237" s="313" t="s">
        <v>2218</v>
      </c>
      <c r="D237" s="313" t="s">
        <v>2604</v>
      </c>
      <c r="E237" s="313" t="s">
        <v>48</v>
      </c>
      <c r="F237" s="313" t="s">
        <v>2605</v>
      </c>
      <c r="G237" s="314" t="s">
        <v>44</v>
      </c>
      <c r="H237" s="313" t="s">
        <v>70</v>
      </c>
      <c r="I237" s="313" t="s">
        <v>1521</v>
      </c>
      <c r="J237" s="313" t="s">
        <v>70</v>
      </c>
    </row>
    <row r="238" spans="1:10" x14ac:dyDescent="0.25">
      <c r="A238" s="313" t="s">
        <v>862</v>
      </c>
      <c r="B238" s="313" t="s">
        <v>315</v>
      </c>
      <c r="C238" s="313" t="s">
        <v>2218</v>
      </c>
      <c r="D238" s="313" t="s">
        <v>2606</v>
      </c>
      <c r="E238" s="313" t="s">
        <v>54</v>
      </c>
      <c r="F238" s="313" t="s">
        <v>2363</v>
      </c>
      <c r="G238" s="313" t="s">
        <v>24</v>
      </c>
      <c r="H238" s="313" t="s">
        <v>70</v>
      </c>
      <c r="I238" s="313" t="s">
        <v>1521</v>
      </c>
      <c r="J238" s="313" t="s">
        <v>70</v>
      </c>
    </row>
    <row r="239" spans="1:10" x14ac:dyDescent="0.25">
      <c r="A239" s="313" t="s">
        <v>863</v>
      </c>
      <c r="B239" s="313" t="s">
        <v>318</v>
      </c>
      <c r="C239" s="313" t="s">
        <v>2218</v>
      </c>
      <c r="D239" s="313" t="s">
        <v>2607</v>
      </c>
      <c r="E239" s="313" t="s">
        <v>37</v>
      </c>
      <c r="F239" s="313" t="s">
        <v>24</v>
      </c>
      <c r="G239" s="313" t="s">
        <v>24</v>
      </c>
      <c r="H239" s="313" t="s">
        <v>70</v>
      </c>
      <c r="I239" s="313" t="s">
        <v>1521</v>
      </c>
      <c r="J239" s="313" t="s">
        <v>70</v>
      </c>
    </row>
    <row r="240" spans="1:10" x14ac:dyDescent="0.25">
      <c r="A240" s="313" t="s">
        <v>864</v>
      </c>
      <c r="B240" s="313" t="s">
        <v>866</v>
      </c>
      <c r="C240" s="313" t="s">
        <v>2218</v>
      </c>
      <c r="D240" s="313" t="s">
        <v>2608</v>
      </c>
      <c r="E240" s="313" t="s">
        <v>48</v>
      </c>
      <c r="F240" s="313" t="s">
        <v>2609</v>
      </c>
      <c r="G240" s="314" t="s">
        <v>44</v>
      </c>
      <c r="H240" s="313" t="s">
        <v>1521</v>
      </c>
      <c r="I240" s="313" t="s">
        <v>1521</v>
      </c>
      <c r="J240" s="313" t="s">
        <v>70</v>
      </c>
    </row>
    <row r="241" spans="1:10" x14ac:dyDescent="0.25">
      <c r="A241" s="313" t="s">
        <v>868</v>
      </c>
      <c r="B241" s="313" t="s">
        <v>869</v>
      </c>
      <c r="C241" s="313" t="s">
        <v>2218</v>
      </c>
      <c r="D241" s="313" t="s">
        <v>2610</v>
      </c>
      <c r="E241" s="313" t="s">
        <v>37</v>
      </c>
      <c r="F241" s="313" t="s">
        <v>24</v>
      </c>
      <c r="G241" s="313" t="s">
        <v>24</v>
      </c>
      <c r="H241" s="313" t="s">
        <v>1521</v>
      </c>
      <c r="I241" s="313" t="s">
        <v>1521</v>
      </c>
      <c r="J241" s="313" t="s">
        <v>70</v>
      </c>
    </row>
    <row r="242" spans="1:10" x14ac:dyDescent="0.25">
      <c r="A242" s="313" t="s">
        <v>870</v>
      </c>
      <c r="B242" s="313" t="s">
        <v>871</v>
      </c>
      <c r="C242" s="313" t="s">
        <v>2218</v>
      </c>
      <c r="D242" s="313" t="s">
        <v>2611</v>
      </c>
      <c r="E242" s="313" t="s">
        <v>37</v>
      </c>
      <c r="F242" s="313" t="s">
        <v>24</v>
      </c>
      <c r="G242" s="313" t="s">
        <v>24</v>
      </c>
      <c r="H242" s="313" t="s">
        <v>1521</v>
      </c>
      <c r="I242" s="313" t="s">
        <v>1521</v>
      </c>
      <c r="J242" s="313" t="s">
        <v>70</v>
      </c>
    </row>
    <row r="243" spans="1:10" x14ac:dyDescent="0.25">
      <c r="A243" s="313" t="s">
        <v>872</v>
      </c>
      <c r="B243" s="313" t="s">
        <v>873</v>
      </c>
      <c r="C243" s="313" t="s">
        <v>2218</v>
      </c>
      <c r="D243" s="313" t="s">
        <v>2612</v>
      </c>
      <c r="E243" s="313" t="s">
        <v>37</v>
      </c>
      <c r="F243" s="313" t="s">
        <v>24</v>
      </c>
      <c r="G243" s="313" t="s">
        <v>24</v>
      </c>
      <c r="H243" s="313" t="s">
        <v>1521</v>
      </c>
      <c r="I243" s="313" t="s">
        <v>1521</v>
      </c>
      <c r="J243" s="313" t="s">
        <v>70</v>
      </c>
    </row>
    <row r="244" spans="1:10" x14ac:dyDescent="0.25">
      <c r="A244" s="313" t="s">
        <v>874</v>
      </c>
      <c r="B244" s="313" t="s">
        <v>875</v>
      </c>
      <c r="C244" s="313" t="s">
        <v>2218</v>
      </c>
      <c r="D244" s="313" t="s">
        <v>2613</v>
      </c>
      <c r="E244" s="313" t="s">
        <v>37</v>
      </c>
      <c r="F244" s="313" t="s">
        <v>24</v>
      </c>
      <c r="G244" s="313" t="s">
        <v>24</v>
      </c>
      <c r="H244" s="313" t="s">
        <v>1521</v>
      </c>
      <c r="I244" s="313" t="s">
        <v>1521</v>
      </c>
      <c r="J244" s="313" t="s">
        <v>70</v>
      </c>
    </row>
    <row r="245" spans="1:10" x14ac:dyDescent="0.25">
      <c r="A245" s="313" t="s">
        <v>876</v>
      </c>
      <c r="B245" s="313" t="s">
        <v>877</v>
      </c>
      <c r="C245" s="313" t="s">
        <v>2218</v>
      </c>
      <c r="D245" s="313" t="s">
        <v>2614</v>
      </c>
      <c r="E245" s="313" t="s">
        <v>54</v>
      </c>
      <c r="F245" s="313" t="s">
        <v>2615</v>
      </c>
      <c r="G245" s="313" t="s">
        <v>24</v>
      </c>
      <c r="H245" s="313" t="s">
        <v>1521</v>
      </c>
      <c r="I245" s="313" t="s">
        <v>1521</v>
      </c>
      <c r="J245" s="313" t="s">
        <v>70</v>
      </c>
    </row>
    <row r="246" spans="1:10" x14ac:dyDescent="0.25">
      <c r="A246" s="313" t="s">
        <v>879</v>
      </c>
      <c r="B246" s="313" t="s">
        <v>880</v>
      </c>
      <c r="C246" s="313" t="s">
        <v>2218</v>
      </c>
      <c r="D246" s="313" t="s">
        <v>2616</v>
      </c>
      <c r="E246" s="313" t="s">
        <v>54</v>
      </c>
      <c r="F246" s="313" t="s">
        <v>2615</v>
      </c>
      <c r="G246" s="313" t="s">
        <v>24</v>
      </c>
      <c r="H246" s="313" t="s">
        <v>70</v>
      </c>
      <c r="I246" s="313" t="s">
        <v>1521</v>
      </c>
      <c r="J246" s="313" t="s">
        <v>70</v>
      </c>
    </row>
    <row r="247" spans="1:10" x14ac:dyDescent="0.25">
      <c r="A247" s="313" t="s">
        <v>881</v>
      </c>
      <c r="B247" s="313" t="s">
        <v>883</v>
      </c>
      <c r="C247" s="313" t="s">
        <v>2218</v>
      </c>
      <c r="D247" s="313" t="s">
        <v>2617</v>
      </c>
      <c r="E247" s="313" t="s">
        <v>48</v>
      </c>
      <c r="F247" s="313" t="s">
        <v>2618</v>
      </c>
      <c r="G247" s="313" t="s">
        <v>24</v>
      </c>
      <c r="H247" s="313" t="s">
        <v>1521</v>
      </c>
      <c r="I247" s="313" t="s">
        <v>1521</v>
      </c>
      <c r="J247" s="313" t="s">
        <v>70</v>
      </c>
    </row>
    <row r="248" spans="1:10" x14ac:dyDescent="0.25">
      <c r="A248" s="313" t="s">
        <v>885</v>
      </c>
      <c r="B248" s="313" t="s">
        <v>886</v>
      </c>
      <c r="C248" s="313" t="s">
        <v>2218</v>
      </c>
      <c r="D248" s="313" t="s">
        <v>2619</v>
      </c>
      <c r="E248" s="313" t="s">
        <v>37</v>
      </c>
      <c r="F248" s="313" t="s">
        <v>2307</v>
      </c>
      <c r="G248" s="313" t="s">
        <v>24</v>
      </c>
      <c r="H248" s="313" t="s">
        <v>70</v>
      </c>
      <c r="I248" s="313" t="s">
        <v>1521</v>
      </c>
      <c r="J248" s="313" t="s">
        <v>70</v>
      </c>
    </row>
    <row r="249" spans="1:10" x14ac:dyDescent="0.25">
      <c r="A249" s="313" t="s">
        <v>887</v>
      </c>
      <c r="B249" s="313" t="s">
        <v>2620</v>
      </c>
      <c r="C249" s="313" t="s">
        <v>2218</v>
      </c>
      <c r="D249" s="313" t="s">
        <v>2621</v>
      </c>
      <c r="E249" s="313" t="s">
        <v>54</v>
      </c>
      <c r="F249" s="313" t="s">
        <v>2307</v>
      </c>
      <c r="G249" s="313" t="s">
        <v>24</v>
      </c>
      <c r="H249" s="313" t="s">
        <v>1521</v>
      </c>
      <c r="I249" s="313" t="s">
        <v>1521</v>
      </c>
      <c r="J249" s="313" t="s">
        <v>70</v>
      </c>
    </row>
    <row r="250" spans="1:10" x14ac:dyDescent="0.25">
      <c r="A250" s="313" t="s">
        <v>890</v>
      </c>
      <c r="B250" s="313" t="s">
        <v>892</v>
      </c>
      <c r="C250" s="313" t="s">
        <v>2218</v>
      </c>
      <c r="D250" s="313" t="s">
        <v>2622</v>
      </c>
      <c r="E250" s="313" t="s">
        <v>54</v>
      </c>
      <c r="F250" s="313" t="s">
        <v>2623</v>
      </c>
      <c r="G250" s="313" t="s">
        <v>24</v>
      </c>
      <c r="H250" s="313" t="s">
        <v>1521</v>
      </c>
      <c r="I250" s="313" t="s">
        <v>1521</v>
      </c>
      <c r="J250" s="313" t="s">
        <v>70</v>
      </c>
    </row>
    <row r="251" spans="1:10" x14ac:dyDescent="0.25">
      <c r="A251" s="313" t="s">
        <v>894</v>
      </c>
      <c r="B251" s="313" t="s">
        <v>896</v>
      </c>
      <c r="C251" s="313" t="s">
        <v>2218</v>
      </c>
      <c r="D251" s="313" t="s">
        <v>2624</v>
      </c>
      <c r="E251" s="313" t="s">
        <v>48</v>
      </c>
      <c r="F251" s="313" t="s">
        <v>2307</v>
      </c>
      <c r="G251" s="314" t="s">
        <v>44</v>
      </c>
      <c r="H251" s="313" t="s">
        <v>70</v>
      </c>
      <c r="I251" s="313" t="s">
        <v>1521</v>
      </c>
      <c r="J251" s="313" t="s">
        <v>70</v>
      </c>
    </row>
    <row r="252" spans="1:10" x14ac:dyDescent="0.25">
      <c r="A252" s="313" t="s">
        <v>898</v>
      </c>
      <c r="B252" s="313" t="s">
        <v>899</v>
      </c>
      <c r="C252" s="313" t="s">
        <v>2218</v>
      </c>
      <c r="D252" s="313" t="s">
        <v>2625</v>
      </c>
      <c r="E252" s="313" t="s">
        <v>54</v>
      </c>
      <c r="F252" s="313" t="s">
        <v>2626</v>
      </c>
      <c r="G252" s="314" t="s">
        <v>44</v>
      </c>
      <c r="H252" s="313" t="s">
        <v>1521</v>
      </c>
      <c r="I252" s="313" t="s">
        <v>1521</v>
      </c>
      <c r="J252" s="313" t="s">
        <v>70</v>
      </c>
    </row>
    <row r="253" spans="1:10" x14ac:dyDescent="0.25">
      <c r="A253" s="313" t="s">
        <v>901</v>
      </c>
      <c r="B253" s="313" t="s">
        <v>902</v>
      </c>
      <c r="C253" s="313" t="s">
        <v>2218</v>
      </c>
      <c r="D253" s="313" t="s">
        <v>2627</v>
      </c>
      <c r="E253" s="313" t="s">
        <v>48</v>
      </c>
      <c r="F253" s="313" t="s">
        <v>2307</v>
      </c>
      <c r="G253" s="314" t="s">
        <v>44</v>
      </c>
      <c r="H253" s="313" t="s">
        <v>70</v>
      </c>
      <c r="I253" s="313" t="s">
        <v>1521</v>
      </c>
      <c r="J253" s="313" t="s">
        <v>70</v>
      </c>
    </row>
    <row r="254" spans="1:10" x14ac:dyDescent="0.25">
      <c r="A254" s="313" t="s">
        <v>904</v>
      </c>
      <c r="B254" s="313" t="s">
        <v>905</v>
      </c>
      <c r="C254" s="313" t="s">
        <v>2218</v>
      </c>
      <c r="D254" s="313" t="s">
        <v>2628</v>
      </c>
      <c r="E254" s="313" t="s">
        <v>54</v>
      </c>
      <c r="F254" s="313" t="s">
        <v>2629</v>
      </c>
      <c r="G254" s="313" t="s">
        <v>24</v>
      </c>
      <c r="H254" s="313" t="s">
        <v>70</v>
      </c>
      <c r="I254" s="313" t="s">
        <v>1521</v>
      </c>
      <c r="J254" s="313" t="s">
        <v>70</v>
      </c>
    </row>
    <row r="255" spans="1:10" x14ac:dyDescent="0.25">
      <c r="A255" s="313" t="s">
        <v>909</v>
      </c>
      <c r="B255" s="313" t="s">
        <v>911</v>
      </c>
      <c r="C255" s="313" t="s">
        <v>907</v>
      </c>
      <c r="D255" s="313" t="s">
        <v>2630</v>
      </c>
      <c r="E255" s="313" t="s">
        <v>54</v>
      </c>
      <c r="F255" s="313" t="s">
        <v>2631</v>
      </c>
      <c r="G255" s="313" t="s">
        <v>24</v>
      </c>
      <c r="H255" s="313" t="s">
        <v>1521</v>
      </c>
      <c r="I255" s="313" t="s">
        <v>1521</v>
      </c>
      <c r="J255" s="313" t="s">
        <v>70</v>
      </c>
    </row>
    <row r="256" spans="1:10" x14ac:dyDescent="0.25">
      <c r="A256" s="313" t="s">
        <v>913</v>
      </c>
      <c r="B256" s="313" t="s">
        <v>2632</v>
      </c>
      <c r="C256" s="313" t="s">
        <v>907</v>
      </c>
      <c r="D256" s="313" t="s">
        <v>2633</v>
      </c>
      <c r="E256" s="313" t="s">
        <v>54</v>
      </c>
      <c r="F256" s="313" t="s">
        <v>2634</v>
      </c>
      <c r="G256" s="313" t="s">
        <v>24</v>
      </c>
      <c r="H256" s="313" t="s">
        <v>1521</v>
      </c>
      <c r="I256" s="313" t="s">
        <v>1521</v>
      </c>
      <c r="J256" s="313" t="s">
        <v>70</v>
      </c>
    </row>
    <row r="257" spans="1:10" x14ac:dyDescent="0.25">
      <c r="A257" s="313" t="s">
        <v>918</v>
      </c>
      <c r="B257" s="313" t="s">
        <v>2635</v>
      </c>
      <c r="C257" s="313" t="s">
        <v>916</v>
      </c>
      <c r="D257" s="313" t="s">
        <v>2636</v>
      </c>
      <c r="E257" s="313" t="s">
        <v>54</v>
      </c>
      <c r="F257" s="313" t="s">
        <v>2637</v>
      </c>
      <c r="G257" s="313" t="s">
        <v>24</v>
      </c>
      <c r="H257" s="313" t="s">
        <v>1521</v>
      </c>
      <c r="I257" s="313" t="s">
        <v>1521</v>
      </c>
      <c r="J257" s="313" t="s">
        <v>70</v>
      </c>
    </row>
    <row r="258" spans="1:10" x14ac:dyDescent="0.25">
      <c r="A258" s="313" t="s">
        <v>922</v>
      </c>
      <c r="B258" s="313" t="s">
        <v>1322</v>
      </c>
      <c r="C258" s="313" t="s">
        <v>916</v>
      </c>
      <c r="D258" s="313" t="s">
        <v>2638</v>
      </c>
      <c r="E258" s="313" t="s">
        <v>54</v>
      </c>
      <c r="F258" s="313" t="s">
        <v>2639</v>
      </c>
      <c r="G258" s="313" t="s">
        <v>24</v>
      </c>
      <c r="H258" s="313" t="s">
        <v>70</v>
      </c>
      <c r="I258" s="313" t="s">
        <v>1521</v>
      </c>
      <c r="J258" s="313" t="s">
        <v>70</v>
      </c>
    </row>
    <row r="259" spans="1:10" x14ac:dyDescent="0.25">
      <c r="A259" s="313" t="s">
        <v>926</v>
      </c>
      <c r="B259" s="313" t="s">
        <v>2640</v>
      </c>
      <c r="C259" s="313" t="s">
        <v>916</v>
      </c>
      <c r="D259" s="313" t="s">
        <v>2641</v>
      </c>
      <c r="E259" s="313" t="s">
        <v>54</v>
      </c>
      <c r="F259" s="313" t="s">
        <v>2642</v>
      </c>
      <c r="G259" s="313" t="s">
        <v>24</v>
      </c>
      <c r="H259" s="313" t="s">
        <v>1521</v>
      </c>
      <c r="I259" s="313" t="s">
        <v>1521</v>
      </c>
      <c r="J259" s="313" t="s">
        <v>70</v>
      </c>
    </row>
    <row r="260" spans="1:10" x14ac:dyDescent="0.25">
      <c r="A260" s="313" t="s">
        <v>932</v>
      </c>
      <c r="B260" s="313" t="s">
        <v>934</v>
      </c>
      <c r="C260" s="313" t="s">
        <v>930</v>
      </c>
      <c r="D260" s="313" t="s">
        <v>2643</v>
      </c>
      <c r="E260" s="313" t="s">
        <v>54</v>
      </c>
      <c r="F260" s="313" t="s">
        <v>2644</v>
      </c>
      <c r="G260" s="313" t="s">
        <v>24</v>
      </c>
      <c r="H260" s="313" t="s">
        <v>70</v>
      </c>
      <c r="I260" s="313" t="s">
        <v>1521</v>
      </c>
      <c r="J260" s="313" t="s">
        <v>70</v>
      </c>
    </row>
    <row r="261" spans="1:10" x14ac:dyDescent="0.25">
      <c r="A261" s="313" t="s">
        <v>936</v>
      </c>
      <c r="B261" s="313" t="s">
        <v>2645</v>
      </c>
      <c r="C261" s="313" t="s">
        <v>930</v>
      </c>
      <c r="D261" s="313" t="s">
        <v>2646</v>
      </c>
      <c r="E261" s="313" t="s">
        <v>54</v>
      </c>
      <c r="F261" s="313" t="s">
        <v>2647</v>
      </c>
      <c r="G261" s="313" t="s">
        <v>24</v>
      </c>
      <c r="H261" s="313" t="s">
        <v>1521</v>
      </c>
      <c r="I261" s="313" t="s">
        <v>1521</v>
      </c>
      <c r="J261" s="313" t="s">
        <v>70</v>
      </c>
    </row>
    <row r="262" spans="1:10" x14ac:dyDescent="0.25">
      <c r="A262" s="313" t="s">
        <v>942</v>
      </c>
      <c r="B262" s="313" t="s">
        <v>944</v>
      </c>
      <c r="C262" s="313" t="s">
        <v>2226</v>
      </c>
      <c r="D262" s="313" t="s">
        <v>2648</v>
      </c>
      <c r="E262" s="313" t="s">
        <v>48</v>
      </c>
      <c r="F262" s="313" t="s">
        <v>2649</v>
      </c>
      <c r="G262" s="313" t="s">
        <v>24</v>
      </c>
      <c r="H262" s="313" t="s">
        <v>1521</v>
      </c>
      <c r="I262" s="313" t="s">
        <v>1521</v>
      </c>
      <c r="J262" s="313" t="s">
        <v>70</v>
      </c>
    </row>
    <row r="263" spans="1:10" x14ac:dyDescent="0.25">
      <c r="A263" s="313" t="s">
        <v>946</v>
      </c>
      <c r="B263" s="313" t="s">
        <v>947</v>
      </c>
      <c r="C263" s="313" t="s">
        <v>2226</v>
      </c>
      <c r="D263" s="313" t="s">
        <v>2650</v>
      </c>
      <c r="E263" s="313" t="s">
        <v>48</v>
      </c>
      <c r="F263" s="313" t="s">
        <v>2651</v>
      </c>
      <c r="G263" s="313" t="s">
        <v>24</v>
      </c>
      <c r="H263" s="313" t="s">
        <v>70</v>
      </c>
      <c r="I263" s="313" t="s">
        <v>1521</v>
      </c>
      <c r="J263" s="313" t="s">
        <v>70</v>
      </c>
    </row>
    <row r="264" spans="1:10" x14ac:dyDescent="0.25">
      <c r="A264" s="313" t="s">
        <v>949</v>
      </c>
      <c r="B264" s="313" t="s">
        <v>950</v>
      </c>
      <c r="C264" s="313" t="s">
        <v>2226</v>
      </c>
      <c r="D264" s="313" t="s">
        <v>2652</v>
      </c>
      <c r="E264" s="313" t="s">
        <v>114</v>
      </c>
      <c r="F264" s="313" t="s">
        <v>24</v>
      </c>
      <c r="G264" s="313" t="s">
        <v>24</v>
      </c>
      <c r="H264" s="313" t="s">
        <v>70</v>
      </c>
      <c r="I264" s="313" t="s">
        <v>1521</v>
      </c>
      <c r="J264" s="313" t="s">
        <v>70</v>
      </c>
    </row>
    <row r="265" spans="1:10" x14ac:dyDescent="0.25">
      <c r="A265" s="313" t="s">
        <v>952</v>
      </c>
      <c r="B265" s="313" t="s">
        <v>953</v>
      </c>
      <c r="C265" s="313" t="s">
        <v>2226</v>
      </c>
      <c r="D265" s="313" t="s">
        <v>2653</v>
      </c>
      <c r="E265" s="313" t="s">
        <v>37</v>
      </c>
      <c r="F265" s="313" t="s">
        <v>24</v>
      </c>
      <c r="G265" s="313" t="s">
        <v>24</v>
      </c>
      <c r="H265" s="313" t="s">
        <v>70</v>
      </c>
      <c r="I265" s="313" t="s">
        <v>1521</v>
      </c>
      <c r="J265" s="313" t="s">
        <v>70</v>
      </c>
    </row>
    <row r="266" spans="1:10" x14ac:dyDescent="0.25">
      <c r="A266" s="313" t="s">
        <v>954</v>
      </c>
      <c r="B266" s="313" t="s">
        <v>955</v>
      </c>
      <c r="C266" s="313" t="s">
        <v>2226</v>
      </c>
      <c r="D266" s="313" t="s">
        <v>2654</v>
      </c>
      <c r="E266" s="313" t="s">
        <v>48</v>
      </c>
      <c r="F266" s="313" t="s">
        <v>2651</v>
      </c>
      <c r="G266" s="313" t="s">
        <v>24</v>
      </c>
      <c r="H266" s="313" t="s">
        <v>70</v>
      </c>
      <c r="I266" s="313" t="s">
        <v>1521</v>
      </c>
      <c r="J266" s="313" t="s">
        <v>70</v>
      </c>
    </row>
    <row r="267" spans="1:10" x14ac:dyDescent="0.25">
      <c r="A267" s="313" t="s">
        <v>956</v>
      </c>
      <c r="B267" s="313" t="s">
        <v>957</v>
      </c>
      <c r="C267" s="313" t="s">
        <v>2226</v>
      </c>
      <c r="D267" s="313" t="s">
        <v>2655</v>
      </c>
      <c r="E267" s="313" t="s">
        <v>54</v>
      </c>
      <c r="F267" s="313" t="s">
        <v>2656</v>
      </c>
      <c r="G267" s="313" t="s">
        <v>24</v>
      </c>
      <c r="H267" s="313" t="s">
        <v>70</v>
      </c>
      <c r="I267" s="313" t="s">
        <v>1521</v>
      </c>
      <c r="J267" s="313" t="s">
        <v>70</v>
      </c>
    </row>
    <row r="268" spans="1:10" x14ac:dyDescent="0.25">
      <c r="A268" s="313" t="s">
        <v>959</v>
      </c>
      <c r="B268" s="313" t="s">
        <v>960</v>
      </c>
      <c r="C268" s="313" t="s">
        <v>2226</v>
      </c>
      <c r="D268" s="313" t="s">
        <v>2657</v>
      </c>
      <c r="E268" s="313" t="s">
        <v>54</v>
      </c>
      <c r="F268" s="313" t="s">
        <v>2658</v>
      </c>
      <c r="G268" s="313" t="s">
        <v>24</v>
      </c>
      <c r="H268" s="313" t="s">
        <v>70</v>
      </c>
      <c r="I268" s="313" t="s">
        <v>1521</v>
      </c>
      <c r="J268" s="313" t="s">
        <v>70</v>
      </c>
    </row>
    <row r="269" spans="1:10" x14ac:dyDescent="0.25">
      <c r="A269" s="313" t="s">
        <v>962</v>
      </c>
      <c r="B269" s="313" t="s">
        <v>2659</v>
      </c>
      <c r="C269" s="313" t="s">
        <v>2226</v>
      </c>
      <c r="D269" s="313" t="s">
        <v>2660</v>
      </c>
      <c r="E269" s="313" t="s">
        <v>37</v>
      </c>
      <c r="F269" s="313" t="s">
        <v>24</v>
      </c>
      <c r="G269" s="313" t="s">
        <v>24</v>
      </c>
      <c r="H269" s="313" t="s">
        <v>70</v>
      </c>
      <c r="I269" s="313" t="s">
        <v>1521</v>
      </c>
      <c r="J269" s="313" t="s">
        <v>70</v>
      </c>
    </row>
    <row r="270" spans="1:10" x14ac:dyDescent="0.25">
      <c r="A270" s="313" t="s">
        <v>964</v>
      </c>
      <c r="B270" s="313" t="s">
        <v>965</v>
      </c>
      <c r="C270" s="313" t="s">
        <v>2226</v>
      </c>
      <c r="D270" s="313" t="s">
        <v>2661</v>
      </c>
      <c r="E270" s="313" t="s">
        <v>37</v>
      </c>
      <c r="F270" s="313" t="s">
        <v>2662</v>
      </c>
      <c r="G270" s="313" t="s">
        <v>24</v>
      </c>
      <c r="H270" s="313" t="s">
        <v>70</v>
      </c>
      <c r="I270" s="313" t="s">
        <v>1521</v>
      </c>
      <c r="J270" s="313" t="s">
        <v>70</v>
      </c>
    </row>
    <row r="271" spans="1:10" x14ac:dyDescent="0.25">
      <c r="A271" s="313" t="s">
        <v>967</v>
      </c>
      <c r="B271" s="313" t="s">
        <v>968</v>
      </c>
      <c r="C271" s="313" t="s">
        <v>2226</v>
      </c>
      <c r="D271" s="313" t="s">
        <v>2663</v>
      </c>
      <c r="E271" s="313" t="s">
        <v>37</v>
      </c>
      <c r="F271" s="313" t="s">
        <v>24</v>
      </c>
      <c r="G271" s="313" t="s">
        <v>24</v>
      </c>
      <c r="H271" s="313" t="s">
        <v>70</v>
      </c>
      <c r="I271" s="313" t="s">
        <v>1521</v>
      </c>
      <c r="J271" s="313" t="s">
        <v>70</v>
      </c>
    </row>
    <row r="272" spans="1:10" x14ac:dyDescent="0.25">
      <c r="A272" s="313" t="s">
        <v>969</v>
      </c>
      <c r="B272" s="313" t="s">
        <v>970</v>
      </c>
      <c r="C272" s="313" t="s">
        <v>2226</v>
      </c>
      <c r="D272" s="313" t="s">
        <v>2664</v>
      </c>
      <c r="E272" s="313" t="s">
        <v>48</v>
      </c>
      <c r="F272" s="313" t="s">
        <v>2651</v>
      </c>
      <c r="G272" s="313" t="s">
        <v>24</v>
      </c>
      <c r="H272" s="313" t="s">
        <v>70</v>
      </c>
      <c r="I272" s="313" t="s">
        <v>1521</v>
      </c>
      <c r="J272" s="313" t="s">
        <v>70</v>
      </c>
    </row>
    <row r="273" spans="1:10" x14ac:dyDescent="0.25">
      <c r="A273" s="313" t="s">
        <v>971</v>
      </c>
      <c r="B273" s="313" t="s">
        <v>972</v>
      </c>
      <c r="C273" s="313" t="s">
        <v>2226</v>
      </c>
      <c r="D273" s="313" t="s">
        <v>2665</v>
      </c>
      <c r="E273" s="313" t="s">
        <v>54</v>
      </c>
      <c r="F273" s="313" t="s">
        <v>2666</v>
      </c>
      <c r="G273" s="313" t="s">
        <v>24</v>
      </c>
      <c r="H273" s="313" t="s">
        <v>70</v>
      </c>
      <c r="I273" s="313" t="s">
        <v>1521</v>
      </c>
      <c r="J273" s="313" t="s">
        <v>70</v>
      </c>
    </row>
    <row r="274" spans="1:10" x14ac:dyDescent="0.25">
      <c r="A274" s="313" t="s">
        <v>974</v>
      </c>
      <c r="B274" s="313" t="s">
        <v>975</v>
      </c>
      <c r="C274" s="313" t="s">
        <v>2226</v>
      </c>
      <c r="D274" s="313" t="s">
        <v>2667</v>
      </c>
      <c r="E274" s="313" t="s">
        <v>37</v>
      </c>
      <c r="F274" s="313" t="s">
        <v>2658</v>
      </c>
      <c r="G274" s="313" t="s">
        <v>24</v>
      </c>
      <c r="H274" s="313" t="s">
        <v>70</v>
      </c>
      <c r="I274" s="313" t="s">
        <v>1521</v>
      </c>
      <c r="J274" s="313" t="s">
        <v>70</v>
      </c>
    </row>
    <row r="275" spans="1:10" x14ac:dyDescent="0.25">
      <c r="A275" s="313" t="s">
        <v>977</v>
      </c>
      <c r="B275" s="313" t="s">
        <v>978</v>
      </c>
      <c r="C275" s="313" t="s">
        <v>2226</v>
      </c>
      <c r="D275" s="313" t="s">
        <v>2668</v>
      </c>
      <c r="E275" s="313" t="s">
        <v>54</v>
      </c>
      <c r="F275" s="313" t="s">
        <v>2669</v>
      </c>
      <c r="G275" s="313" t="s">
        <v>24</v>
      </c>
      <c r="H275" s="313" t="s">
        <v>70</v>
      </c>
      <c r="I275" s="313" t="s">
        <v>1521</v>
      </c>
      <c r="J275" s="313" t="s">
        <v>70</v>
      </c>
    </row>
    <row r="276" spans="1:10" x14ac:dyDescent="0.25">
      <c r="A276" s="313" t="s">
        <v>980</v>
      </c>
      <c r="B276" s="313" t="s">
        <v>981</v>
      </c>
      <c r="C276" s="313" t="s">
        <v>2226</v>
      </c>
      <c r="D276" s="313" t="s">
        <v>2670</v>
      </c>
      <c r="E276" s="313" t="s">
        <v>37</v>
      </c>
      <c r="F276" s="313" t="s">
        <v>2671</v>
      </c>
      <c r="G276" s="313" t="s">
        <v>24</v>
      </c>
      <c r="H276" s="313" t="s">
        <v>70</v>
      </c>
      <c r="I276" s="313" t="s">
        <v>1521</v>
      </c>
      <c r="J276" s="313" t="s">
        <v>70</v>
      </c>
    </row>
    <row r="277" spans="1:10" x14ac:dyDescent="0.25">
      <c r="A277" s="313" t="s">
        <v>983</v>
      </c>
      <c r="B277" s="313" t="s">
        <v>984</v>
      </c>
      <c r="C277" s="313" t="s">
        <v>2226</v>
      </c>
      <c r="D277" s="313" t="s">
        <v>2672</v>
      </c>
      <c r="E277" s="313" t="s">
        <v>37</v>
      </c>
      <c r="F277" s="313" t="s">
        <v>24</v>
      </c>
      <c r="G277" s="313" t="s">
        <v>24</v>
      </c>
      <c r="H277" s="313" t="s">
        <v>70</v>
      </c>
      <c r="I277" s="313" t="s">
        <v>1521</v>
      </c>
      <c r="J277" s="313" t="s">
        <v>70</v>
      </c>
    </row>
    <row r="278" spans="1:10" x14ac:dyDescent="0.25">
      <c r="A278" s="313" t="s">
        <v>985</v>
      </c>
      <c r="B278" s="313" t="s">
        <v>986</v>
      </c>
      <c r="C278" s="313" t="s">
        <v>2226</v>
      </c>
      <c r="D278" s="313" t="s">
        <v>2673</v>
      </c>
      <c r="E278" s="313" t="s">
        <v>54</v>
      </c>
      <c r="F278" s="313" t="s">
        <v>2674</v>
      </c>
      <c r="G278" s="313" t="s">
        <v>24</v>
      </c>
      <c r="H278" s="313" t="s">
        <v>1521</v>
      </c>
      <c r="I278" s="313" t="s">
        <v>1521</v>
      </c>
      <c r="J278" s="313" t="s">
        <v>70</v>
      </c>
    </row>
    <row r="279" spans="1:10" x14ac:dyDescent="0.25">
      <c r="A279" s="313" t="s">
        <v>988</v>
      </c>
      <c r="B279" s="313" t="s">
        <v>2675</v>
      </c>
      <c r="C279" s="313" t="s">
        <v>2226</v>
      </c>
      <c r="D279" s="313" t="s">
        <v>2676</v>
      </c>
      <c r="E279" s="313" t="s">
        <v>54</v>
      </c>
      <c r="F279" s="313" t="s">
        <v>2677</v>
      </c>
      <c r="G279" s="313" t="s">
        <v>24</v>
      </c>
      <c r="H279" s="313" t="s">
        <v>70</v>
      </c>
      <c r="I279" s="313" t="s">
        <v>1521</v>
      </c>
      <c r="J279" s="313" t="s">
        <v>70</v>
      </c>
    </row>
    <row r="280" spans="1:10" x14ac:dyDescent="0.25">
      <c r="A280" s="313" t="s">
        <v>991</v>
      </c>
      <c r="B280" s="313" t="s">
        <v>2678</v>
      </c>
      <c r="C280" s="313" t="s">
        <v>2226</v>
      </c>
      <c r="D280" s="313" t="s">
        <v>2679</v>
      </c>
      <c r="E280" s="313" t="s">
        <v>48</v>
      </c>
      <c r="F280" s="313" t="s">
        <v>2680</v>
      </c>
      <c r="G280" s="313" t="s">
        <v>24</v>
      </c>
      <c r="H280" s="313" t="s">
        <v>70</v>
      </c>
      <c r="I280" s="313" t="s">
        <v>1521</v>
      </c>
      <c r="J280" s="313" t="s">
        <v>70</v>
      </c>
    </row>
    <row r="281" spans="1:10" x14ac:dyDescent="0.25">
      <c r="A281" s="313" t="s">
        <v>994</v>
      </c>
      <c r="B281" s="313" t="s">
        <v>995</v>
      </c>
      <c r="C281" s="313" t="s">
        <v>2226</v>
      </c>
      <c r="D281" s="313" t="s">
        <v>2681</v>
      </c>
      <c r="E281" s="313" t="s">
        <v>54</v>
      </c>
      <c r="F281" s="313" t="s">
        <v>2682</v>
      </c>
      <c r="G281" s="313" t="s">
        <v>24</v>
      </c>
      <c r="H281" s="313" t="s">
        <v>70</v>
      </c>
      <c r="I281" s="313" t="s">
        <v>1521</v>
      </c>
      <c r="J281" s="313" t="s">
        <v>70</v>
      </c>
    </row>
    <row r="282" spans="1:10" x14ac:dyDescent="0.25">
      <c r="A282" s="313" t="s">
        <v>997</v>
      </c>
      <c r="B282" s="313" t="s">
        <v>318</v>
      </c>
      <c r="C282" s="313" t="s">
        <v>2226</v>
      </c>
      <c r="D282" s="313" t="s">
        <v>2683</v>
      </c>
      <c r="E282" s="313" t="s">
        <v>114</v>
      </c>
      <c r="F282" s="313" t="s">
        <v>24</v>
      </c>
      <c r="G282" s="313" t="s">
        <v>24</v>
      </c>
      <c r="H282" s="313" t="s">
        <v>70</v>
      </c>
      <c r="I282" s="313" t="s">
        <v>1521</v>
      </c>
      <c r="J282" s="313" t="s">
        <v>70</v>
      </c>
    </row>
    <row r="283" spans="1:10" x14ac:dyDescent="0.25">
      <c r="A283" s="313" t="s">
        <v>1000</v>
      </c>
      <c r="B283" s="313" t="s">
        <v>1002</v>
      </c>
      <c r="C283" s="313" t="s">
        <v>998</v>
      </c>
      <c r="D283" s="313" t="s">
        <v>2684</v>
      </c>
      <c r="E283" s="313" t="s">
        <v>54</v>
      </c>
      <c r="F283" s="313" t="s">
        <v>2685</v>
      </c>
      <c r="G283" s="313" t="s">
        <v>24</v>
      </c>
      <c r="H283" s="313" t="s">
        <v>1521</v>
      </c>
      <c r="I283" s="313" t="s">
        <v>1521</v>
      </c>
      <c r="J283" s="313" t="s">
        <v>70</v>
      </c>
    </row>
    <row r="284" spans="1:10" x14ac:dyDescent="0.25">
      <c r="A284" s="313" t="s">
        <v>1004</v>
      </c>
      <c r="B284" s="313" t="s">
        <v>1006</v>
      </c>
      <c r="C284" s="313" t="s">
        <v>998</v>
      </c>
      <c r="D284" s="313" t="s">
        <v>2686</v>
      </c>
      <c r="E284" s="313" t="s">
        <v>54</v>
      </c>
      <c r="F284" s="313" t="s">
        <v>2687</v>
      </c>
      <c r="G284" s="313" t="s">
        <v>24</v>
      </c>
      <c r="H284" s="313" t="s">
        <v>1521</v>
      </c>
      <c r="I284" s="313" t="s">
        <v>1521</v>
      </c>
      <c r="J284" s="313" t="s">
        <v>70</v>
      </c>
    </row>
    <row r="285" spans="1:10" x14ac:dyDescent="0.25">
      <c r="A285" s="313" t="s">
        <v>1008</v>
      </c>
      <c r="B285" s="313" t="s">
        <v>1009</v>
      </c>
      <c r="C285" s="313" t="s">
        <v>998</v>
      </c>
      <c r="D285" s="313" t="s">
        <v>2688</v>
      </c>
      <c r="E285" s="313" t="s">
        <v>37</v>
      </c>
      <c r="F285" s="313" t="s">
        <v>24</v>
      </c>
      <c r="G285" s="313" t="s">
        <v>24</v>
      </c>
      <c r="H285" s="313" t="s">
        <v>1521</v>
      </c>
      <c r="I285" s="313" t="s">
        <v>1521</v>
      </c>
      <c r="J285" s="313" t="s">
        <v>70</v>
      </c>
    </row>
    <row r="286" spans="1:10" x14ac:dyDescent="0.25">
      <c r="A286" s="313" t="s">
        <v>1012</v>
      </c>
      <c r="B286" s="313" t="s">
        <v>1013</v>
      </c>
      <c r="C286" s="313" t="s">
        <v>1010</v>
      </c>
      <c r="D286" s="313" t="s">
        <v>2689</v>
      </c>
      <c r="E286" s="313" t="s">
        <v>54</v>
      </c>
      <c r="F286" s="313" t="s">
        <v>2690</v>
      </c>
      <c r="G286" s="313" t="s">
        <v>24</v>
      </c>
      <c r="H286" s="313" t="s">
        <v>1521</v>
      </c>
      <c r="I286" s="313" t="s">
        <v>1521</v>
      </c>
      <c r="J286" s="313" t="s">
        <v>70</v>
      </c>
    </row>
    <row r="287" spans="1:10" x14ac:dyDescent="0.25">
      <c r="A287" s="313" t="s">
        <v>1015</v>
      </c>
      <c r="B287" s="313" t="s">
        <v>1017</v>
      </c>
      <c r="C287" s="313" t="s">
        <v>1010</v>
      </c>
      <c r="D287" s="313" t="s">
        <v>2691</v>
      </c>
      <c r="E287" s="313" t="s">
        <v>54</v>
      </c>
      <c r="F287" s="313" t="s">
        <v>2692</v>
      </c>
      <c r="G287" s="313" t="s">
        <v>24</v>
      </c>
      <c r="H287" s="313" t="s">
        <v>70</v>
      </c>
      <c r="I287" s="313" t="s">
        <v>1521</v>
      </c>
      <c r="J287" s="313" t="s">
        <v>70</v>
      </c>
    </row>
    <row r="288" spans="1:10" x14ac:dyDescent="0.25">
      <c r="A288" s="313" t="s">
        <v>1019</v>
      </c>
      <c r="B288" s="313" t="s">
        <v>2693</v>
      </c>
      <c r="C288" s="313" t="s">
        <v>1010</v>
      </c>
      <c r="D288" s="313" t="s">
        <v>2694</v>
      </c>
      <c r="E288" s="313" t="s">
        <v>37</v>
      </c>
      <c r="F288" s="313" t="s">
        <v>24</v>
      </c>
      <c r="G288" s="313" t="s">
        <v>24</v>
      </c>
      <c r="H288" s="313" t="s">
        <v>1521</v>
      </c>
      <c r="I288" s="313" t="s">
        <v>1521</v>
      </c>
      <c r="J288" s="313" t="s">
        <v>70</v>
      </c>
    </row>
    <row r="289" spans="1:10" x14ac:dyDescent="0.25">
      <c r="A289" s="313" t="s">
        <v>1022</v>
      </c>
      <c r="B289" s="313" t="s">
        <v>2695</v>
      </c>
      <c r="C289" s="313" t="s">
        <v>1010</v>
      </c>
      <c r="D289" s="313" t="s">
        <v>2696</v>
      </c>
      <c r="E289" s="313" t="s">
        <v>54</v>
      </c>
      <c r="F289" s="313" t="s">
        <v>2697</v>
      </c>
      <c r="G289" s="313" t="s">
        <v>24</v>
      </c>
      <c r="H289" s="313" t="s">
        <v>1521</v>
      </c>
      <c r="I289" s="313" t="s">
        <v>1521</v>
      </c>
      <c r="J289" s="313" t="s">
        <v>70</v>
      </c>
    </row>
    <row r="290" spans="1:10" x14ac:dyDescent="0.25">
      <c r="A290" s="313" t="s">
        <v>1028</v>
      </c>
      <c r="B290" s="313" t="s">
        <v>1030</v>
      </c>
      <c r="C290" s="313" t="s">
        <v>1026</v>
      </c>
      <c r="D290" s="313" t="s">
        <v>2698</v>
      </c>
      <c r="E290" s="313" t="s">
        <v>2353</v>
      </c>
      <c r="F290" s="313" t="s">
        <v>2699</v>
      </c>
      <c r="G290" s="313" t="s">
        <v>24</v>
      </c>
      <c r="H290" s="313" t="s">
        <v>70</v>
      </c>
      <c r="I290" s="313" t="s">
        <v>1521</v>
      </c>
      <c r="J290" s="313" t="s">
        <v>70</v>
      </c>
    </row>
    <row r="291" spans="1:10" x14ac:dyDescent="0.25">
      <c r="A291" s="313" t="s">
        <v>1032</v>
      </c>
      <c r="B291" s="313" t="s">
        <v>1034</v>
      </c>
      <c r="C291" s="313" t="s">
        <v>1026</v>
      </c>
      <c r="D291" s="313" t="s">
        <v>2700</v>
      </c>
      <c r="E291" s="313" t="s">
        <v>54</v>
      </c>
      <c r="F291" s="313" t="s">
        <v>2701</v>
      </c>
      <c r="G291" s="313" t="s">
        <v>24</v>
      </c>
      <c r="H291" s="313" t="s">
        <v>1521</v>
      </c>
      <c r="I291" s="313" t="s">
        <v>1521</v>
      </c>
      <c r="J291" s="313" t="s">
        <v>70</v>
      </c>
    </row>
    <row r="292" spans="1:10" x14ac:dyDescent="0.25">
      <c r="A292" s="313" t="s">
        <v>1036</v>
      </c>
      <c r="B292" s="313" t="s">
        <v>1037</v>
      </c>
      <c r="C292" s="313" t="s">
        <v>1026</v>
      </c>
      <c r="D292" s="313" t="s">
        <v>2702</v>
      </c>
      <c r="E292" s="313" t="s">
        <v>37</v>
      </c>
      <c r="F292" s="313" t="s">
        <v>24</v>
      </c>
      <c r="G292" s="313" t="s">
        <v>24</v>
      </c>
      <c r="H292" s="313" t="s">
        <v>1521</v>
      </c>
      <c r="I292" s="313" t="s">
        <v>1521</v>
      </c>
      <c r="J292" s="313" t="s">
        <v>70</v>
      </c>
    </row>
    <row r="293" spans="1:10" x14ac:dyDescent="0.25">
      <c r="A293" s="313" t="s">
        <v>1038</v>
      </c>
      <c r="B293" s="313" t="s">
        <v>1040</v>
      </c>
      <c r="C293" s="313" t="s">
        <v>1026</v>
      </c>
      <c r="D293" s="313" t="s">
        <v>2703</v>
      </c>
      <c r="E293" s="313" t="s">
        <v>48</v>
      </c>
      <c r="F293" s="313" t="s">
        <v>2704</v>
      </c>
      <c r="G293" s="314" t="s">
        <v>44</v>
      </c>
      <c r="H293" s="313" t="s">
        <v>1521</v>
      </c>
      <c r="I293" s="313" t="s">
        <v>1521</v>
      </c>
      <c r="J293" s="313" t="s">
        <v>70</v>
      </c>
    </row>
    <row r="294" spans="1:10" x14ac:dyDescent="0.25">
      <c r="A294" s="313" t="s">
        <v>1042</v>
      </c>
      <c r="B294" s="313" t="s">
        <v>1044</v>
      </c>
      <c r="C294" s="313" t="s">
        <v>1026</v>
      </c>
      <c r="D294" s="313" t="s">
        <v>2705</v>
      </c>
      <c r="E294" s="313" t="s">
        <v>54</v>
      </c>
      <c r="F294" s="313" t="s">
        <v>2706</v>
      </c>
      <c r="G294" s="313" t="s">
        <v>24</v>
      </c>
      <c r="H294" s="313" t="s">
        <v>70</v>
      </c>
      <c r="I294" s="313" t="s">
        <v>1521</v>
      </c>
      <c r="J294" s="313" t="s">
        <v>70</v>
      </c>
    </row>
    <row r="295" spans="1:10" x14ac:dyDescent="0.25">
      <c r="A295" s="313" t="s">
        <v>1046</v>
      </c>
      <c r="B295" s="313" t="s">
        <v>422</v>
      </c>
      <c r="C295" s="313" t="s">
        <v>1026</v>
      </c>
      <c r="D295" s="313" t="s">
        <v>2707</v>
      </c>
      <c r="E295" s="313" t="s">
        <v>37</v>
      </c>
      <c r="F295" s="313" t="s">
        <v>24</v>
      </c>
      <c r="G295" s="313" t="s">
        <v>24</v>
      </c>
      <c r="H295" s="313" t="s">
        <v>1521</v>
      </c>
      <c r="I295" s="313" t="s">
        <v>1521</v>
      </c>
      <c r="J295" s="313" t="s">
        <v>70</v>
      </c>
    </row>
    <row r="296" spans="1:10" x14ac:dyDescent="0.25">
      <c r="A296" s="313" t="s">
        <v>1051</v>
      </c>
      <c r="B296" s="313" t="s">
        <v>2403</v>
      </c>
      <c r="C296" s="313" t="s">
        <v>2233</v>
      </c>
      <c r="D296" s="313" t="s">
        <v>2708</v>
      </c>
      <c r="E296" s="313" t="s">
        <v>54</v>
      </c>
      <c r="F296" s="313" t="s">
        <v>2404</v>
      </c>
      <c r="G296" s="313" t="s">
        <v>24</v>
      </c>
      <c r="H296" s="313" t="s">
        <v>70</v>
      </c>
      <c r="I296" s="313" t="s">
        <v>1521</v>
      </c>
      <c r="J296" s="313" t="s">
        <v>70</v>
      </c>
    </row>
    <row r="297" spans="1:10" x14ac:dyDescent="0.25">
      <c r="A297" s="313" t="s">
        <v>1053</v>
      </c>
      <c r="B297" s="313" t="s">
        <v>1054</v>
      </c>
      <c r="C297" s="313" t="s">
        <v>2233</v>
      </c>
      <c r="D297" s="313" t="s">
        <v>2709</v>
      </c>
      <c r="E297" s="313" t="s">
        <v>54</v>
      </c>
      <c r="F297" s="313" t="s">
        <v>2710</v>
      </c>
      <c r="G297" s="313" t="s">
        <v>24</v>
      </c>
      <c r="H297" s="313" t="s">
        <v>70</v>
      </c>
      <c r="I297" s="313" t="s">
        <v>1521</v>
      </c>
      <c r="J297" s="313" t="s">
        <v>70</v>
      </c>
    </row>
    <row r="298" spans="1:10" x14ac:dyDescent="0.25">
      <c r="A298" s="313" t="s">
        <v>1056</v>
      </c>
      <c r="B298" s="313" t="s">
        <v>2711</v>
      </c>
      <c r="C298" s="313" t="s">
        <v>2233</v>
      </c>
      <c r="D298" s="313" t="s">
        <v>2712</v>
      </c>
      <c r="E298" s="313" t="s">
        <v>37</v>
      </c>
      <c r="F298" s="313" t="s">
        <v>24</v>
      </c>
      <c r="G298" s="313" t="s">
        <v>24</v>
      </c>
      <c r="H298" s="313" t="s">
        <v>70</v>
      </c>
      <c r="I298" s="313" t="s">
        <v>1521</v>
      </c>
      <c r="J298" s="313" t="s">
        <v>70</v>
      </c>
    </row>
    <row r="299" spans="1:10" x14ac:dyDescent="0.25">
      <c r="A299" s="313" t="s">
        <v>1058</v>
      </c>
      <c r="B299" s="313" t="s">
        <v>1059</v>
      </c>
      <c r="C299" s="313" t="s">
        <v>2233</v>
      </c>
      <c r="D299" s="313" t="s">
        <v>2713</v>
      </c>
      <c r="E299" s="313" t="s">
        <v>37</v>
      </c>
      <c r="F299" s="313" t="s">
        <v>24</v>
      </c>
      <c r="G299" s="313" t="s">
        <v>24</v>
      </c>
      <c r="H299" s="313" t="s">
        <v>70</v>
      </c>
      <c r="I299" s="313" t="s">
        <v>1521</v>
      </c>
      <c r="J299" s="313" t="s">
        <v>70</v>
      </c>
    </row>
    <row r="300" spans="1:10" x14ac:dyDescent="0.25">
      <c r="A300" s="313" t="s">
        <v>1060</v>
      </c>
      <c r="B300" s="313" t="s">
        <v>1061</v>
      </c>
      <c r="C300" s="313" t="s">
        <v>2233</v>
      </c>
      <c r="D300" s="313" t="s">
        <v>2714</v>
      </c>
      <c r="E300" s="313" t="s">
        <v>54</v>
      </c>
      <c r="F300" s="313" t="s">
        <v>2715</v>
      </c>
      <c r="G300" s="313" t="s">
        <v>24</v>
      </c>
      <c r="H300" s="313" t="s">
        <v>1521</v>
      </c>
      <c r="I300" s="313" t="s">
        <v>1521</v>
      </c>
      <c r="J300" s="313" t="s">
        <v>70</v>
      </c>
    </row>
    <row r="301" spans="1:10" x14ac:dyDescent="0.25">
      <c r="A301" s="313" t="s">
        <v>1063</v>
      </c>
      <c r="B301" s="313" t="s">
        <v>1064</v>
      </c>
      <c r="C301" s="313" t="s">
        <v>2233</v>
      </c>
      <c r="D301" s="313" t="s">
        <v>2716</v>
      </c>
      <c r="E301" s="313" t="s">
        <v>54</v>
      </c>
      <c r="F301" s="313" t="s">
        <v>2717</v>
      </c>
      <c r="G301" s="313" t="s">
        <v>24</v>
      </c>
      <c r="H301" s="313" t="s">
        <v>70</v>
      </c>
      <c r="I301" s="313" t="s">
        <v>1521</v>
      </c>
      <c r="J301" s="313" t="s">
        <v>70</v>
      </c>
    </row>
    <row r="302" spans="1:10" x14ac:dyDescent="0.25">
      <c r="A302" s="313" t="s">
        <v>1066</v>
      </c>
      <c r="B302" s="313" t="s">
        <v>1067</v>
      </c>
      <c r="C302" s="313" t="s">
        <v>2233</v>
      </c>
      <c r="D302" s="313" t="s">
        <v>2718</v>
      </c>
      <c r="E302" s="313" t="s">
        <v>48</v>
      </c>
      <c r="F302" s="313" t="s">
        <v>2719</v>
      </c>
      <c r="G302" s="314" t="s">
        <v>44</v>
      </c>
      <c r="H302" s="313" t="s">
        <v>1521</v>
      </c>
      <c r="I302" s="313" t="s">
        <v>1521</v>
      </c>
      <c r="J302" s="313" t="s">
        <v>70</v>
      </c>
    </row>
    <row r="303" spans="1:10" x14ac:dyDescent="0.25">
      <c r="A303" s="313" t="s">
        <v>1069</v>
      </c>
      <c r="B303" s="313" t="s">
        <v>1070</v>
      </c>
      <c r="C303" s="313" t="s">
        <v>2233</v>
      </c>
      <c r="D303" s="313" t="s">
        <v>2720</v>
      </c>
      <c r="E303" s="313" t="s">
        <v>37</v>
      </c>
      <c r="F303" s="313" t="s">
        <v>24</v>
      </c>
      <c r="G303" s="313" t="s">
        <v>24</v>
      </c>
      <c r="H303" s="313" t="s">
        <v>70</v>
      </c>
      <c r="I303" s="313" t="s">
        <v>1521</v>
      </c>
      <c r="J303" s="313" t="s">
        <v>70</v>
      </c>
    </row>
    <row r="304" spans="1:10" x14ac:dyDescent="0.25">
      <c r="A304" s="313" t="s">
        <v>1071</v>
      </c>
      <c r="B304" s="313" t="s">
        <v>1072</v>
      </c>
      <c r="C304" s="313" t="s">
        <v>2233</v>
      </c>
      <c r="D304" s="313" t="s">
        <v>2721</v>
      </c>
      <c r="E304" s="313" t="s">
        <v>37</v>
      </c>
      <c r="F304" s="313" t="s">
        <v>24</v>
      </c>
      <c r="G304" s="313" t="s">
        <v>24</v>
      </c>
      <c r="H304" s="313" t="s">
        <v>70</v>
      </c>
      <c r="I304" s="313" t="s">
        <v>1521</v>
      </c>
      <c r="J304" s="313" t="s">
        <v>70</v>
      </c>
    </row>
    <row r="305" spans="1:10" x14ac:dyDescent="0.25">
      <c r="A305" s="313" t="s">
        <v>1073</v>
      </c>
      <c r="B305" s="313" t="s">
        <v>1074</v>
      </c>
      <c r="C305" s="313" t="s">
        <v>2233</v>
      </c>
      <c r="D305" s="313" t="s">
        <v>2722</v>
      </c>
      <c r="E305" s="313" t="s">
        <v>54</v>
      </c>
      <c r="F305" s="313" t="s">
        <v>2723</v>
      </c>
      <c r="G305" s="313" t="s">
        <v>24</v>
      </c>
      <c r="H305" s="313" t="s">
        <v>70</v>
      </c>
      <c r="I305" s="313" t="s">
        <v>1521</v>
      </c>
      <c r="J305" s="313" t="s">
        <v>70</v>
      </c>
    </row>
    <row r="306" spans="1:10" x14ac:dyDescent="0.25">
      <c r="A306" s="313" t="s">
        <v>1076</v>
      </c>
      <c r="B306" s="313" t="s">
        <v>1077</v>
      </c>
      <c r="C306" s="313" t="s">
        <v>2233</v>
      </c>
      <c r="D306" s="313" t="s">
        <v>2724</v>
      </c>
      <c r="E306" s="313" t="s">
        <v>54</v>
      </c>
      <c r="F306" s="313" t="s">
        <v>2725</v>
      </c>
      <c r="G306" s="313" t="s">
        <v>24</v>
      </c>
      <c r="H306" s="313" t="s">
        <v>70</v>
      </c>
      <c r="I306" s="313" t="s">
        <v>1521</v>
      </c>
      <c r="J306" s="313" t="s">
        <v>70</v>
      </c>
    </row>
    <row r="307" spans="1:10" x14ac:dyDescent="0.25">
      <c r="A307" s="313" t="s">
        <v>1079</v>
      </c>
      <c r="B307" s="313" t="s">
        <v>2726</v>
      </c>
      <c r="C307" s="313" t="s">
        <v>2233</v>
      </c>
      <c r="D307" s="313" t="s">
        <v>2727</v>
      </c>
      <c r="E307" s="313" t="s">
        <v>48</v>
      </c>
      <c r="F307" s="313" t="s">
        <v>2728</v>
      </c>
      <c r="G307" s="314" t="s">
        <v>44</v>
      </c>
      <c r="H307" s="313" t="s">
        <v>70</v>
      </c>
      <c r="I307" s="313" t="s">
        <v>1521</v>
      </c>
      <c r="J307" s="313" t="s">
        <v>70</v>
      </c>
    </row>
    <row r="308" spans="1:10" x14ac:dyDescent="0.25">
      <c r="A308" s="313" t="s">
        <v>1082</v>
      </c>
      <c r="B308" s="313" t="s">
        <v>1083</v>
      </c>
      <c r="C308" s="313" t="s">
        <v>2233</v>
      </c>
      <c r="D308" s="313" t="s">
        <v>2729</v>
      </c>
      <c r="E308" s="313" t="s">
        <v>54</v>
      </c>
      <c r="F308" s="313" t="s">
        <v>2730</v>
      </c>
      <c r="G308" s="313" t="s">
        <v>24</v>
      </c>
      <c r="H308" s="313" t="s">
        <v>70</v>
      </c>
      <c r="I308" s="313" t="s">
        <v>1521</v>
      </c>
      <c r="J308" s="313" t="s">
        <v>70</v>
      </c>
    </row>
    <row r="309" spans="1:10" x14ac:dyDescent="0.25">
      <c r="A309" s="313" t="s">
        <v>1085</v>
      </c>
      <c r="B309" s="313" t="s">
        <v>1086</v>
      </c>
      <c r="C309" s="313" t="s">
        <v>2233</v>
      </c>
      <c r="D309" s="313" t="s">
        <v>2731</v>
      </c>
      <c r="E309" s="313" t="s">
        <v>48</v>
      </c>
      <c r="F309" s="313" t="s">
        <v>2732</v>
      </c>
      <c r="G309" s="314" t="s">
        <v>44</v>
      </c>
      <c r="H309" s="313" t="s">
        <v>70</v>
      </c>
      <c r="I309" s="313" t="s">
        <v>1521</v>
      </c>
      <c r="J309" s="313" t="s">
        <v>70</v>
      </c>
    </row>
    <row r="310" spans="1:10" x14ac:dyDescent="0.25">
      <c r="A310" s="313" t="s">
        <v>1090</v>
      </c>
      <c r="B310" s="313" t="s">
        <v>1091</v>
      </c>
      <c r="C310" s="313" t="s">
        <v>2236</v>
      </c>
      <c r="D310" s="313" t="s">
        <v>2733</v>
      </c>
      <c r="E310" s="313" t="s">
        <v>48</v>
      </c>
      <c r="F310" s="313" t="s">
        <v>2609</v>
      </c>
      <c r="G310" s="314" t="s">
        <v>44</v>
      </c>
      <c r="H310" s="313" t="s">
        <v>70</v>
      </c>
      <c r="I310" s="313" t="s">
        <v>1521</v>
      </c>
      <c r="J310" s="313" t="s">
        <v>70</v>
      </c>
    </row>
    <row r="311" spans="1:10" x14ac:dyDescent="0.25">
      <c r="A311" s="313" t="s">
        <v>1093</v>
      </c>
      <c r="B311" s="313" t="s">
        <v>869</v>
      </c>
      <c r="C311" s="313" t="s">
        <v>2236</v>
      </c>
      <c r="D311" s="313" t="s">
        <v>2734</v>
      </c>
      <c r="E311" s="313" t="s">
        <v>37</v>
      </c>
      <c r="F311" s="313" t="s">
        <v>24</v>
      </c>
      <c r="G311" s="313" t="s">
        <v>24</v>
      </c>
      <c r="H311" s="313" t="s">
        <v>70</v>
      </c>
      <c r="I311" s="313" t="s">
        <v>1521</v>
      </c>
      <c r="J311" s="313" t="s">
        <v>70</v>
      </c>
    </row>
    <row r="312" spans="1:10" x14ac:dyDescent="0.25">
      <c r="A312" s="313" t="s">
        <v>1095</v>
      </c>
      <c r="B312" s="313" t="s">
        <v>871</v>
      </c>
      <c r="C312" s="313" t="s">
        <v>2236</v>
      </c>
      <c r="D312" s="313" t="s">
        <v>2735</v>
      </c>
      <c r="E312" s="313" t="s">
        <v>37</v>
      </c>
      <c r="F312" s="313" t="s">
        <v>24</v>
      </c>
      <c r="G312" s="313" t="s">
        <v>24</v>
      </c>
      <c r="H312" s="313" t="s">
        <v>70</v>
      </c>
      <c r="I312" s="313" t="s">
        <v>1521</v>
      </c>
      <c r="J312" s="313" t="s">
        <v>70</v>
      </c>
    </row>
    <row r="313" spans="1:10" x14ac:dyDescent="0.25">
      <c r="A313" s="313" t="s">
        <v>1096</v>
      </c>
      <c r="B313" s="313" t="s">
        <v>873</v>
      </c>
      <c r="C313" s="313" t="s">
        <v>2236</v>
      </c>
      <c r="D313" s="313" t="s">
        <v>2736</v>
      </c>
      <c r="E313" s="313" t="s">
        <v>37</v>
      </c>
      <c r="F313" s="313" t="s">
        <v>24</v>
      </c>
      <c r="G313" s="313" t="s">
        <v>24</v>
      </c>
      <c r="H313" s="313" t="s">
        <v>70</v>
      </c>
      <c r="I313" s="313" t="s">
        <v>1521</v>
      </c>
      <c r="J313" s="313" t="s">
        <v>70</v>
      </c>
    </row>
    <row r="314" spans="1:10" x14ac:dyDescent="0.25">
      <c r="A314" s="313" t="s">
        <v>1097</v>
      </c>
      <c r="B314" s="313" t="s">
        <v>875</v>
      </c>
      <c r="C314" s="313" t="s">
        <v>2236</v>
      </c>
      <c r="D314" s="313" t="s">
        <v>2737</v>
      </c>
      <c r="E314" s="313" t="s">
        <v>37</v>
      </c>
      <c r="F314" s="313" t="s">
        <v>24</v>
      </c>
      <c r="G314" s="313" t="s">
        <v>24</v>
      </c>
      <c r="H314" s="313" t="s">
        <v>70</v>
      </c>
      <c r="I314" s="313" t="s">
        <v>1521</v>
      </c>
      <c r="J314" s="313" t="s">
        <v>70</v>
      </c>
    </row>
    <row r="315" spans="1:10" x14ac:dyDescent="0.25">
      <c r="A315" s="313" t="s">
        <v>1100</v>
      </c>
      <c r="B315" s="313" t="s">
        <v>1101</v>
      </c>
      <c r="C315" s="313" t="s">
        <v>2239</v>
      </c>
      <c r="D315" s="313" t="s">
        <v>2738</v>
      </c>
      <c r="E315" s="313" t="s">
        <v>48</v>
      </c>
      <c r="F315" s="313" t="s">
        <v>2739</v>
      </c>
      <c r="G315" s="314" t="s">
        <v>44</v>
      </c>
      <c r="H315" s="313" t="s">
        <v>70</v>
      </c>
      <c r="I315" s="313" t="s">
        <v>1521</v>
      </c>
      <c r="J315" s="313" t="s">
        <v>70</v>
      </c>
    </row>
    <row r="316" spans="1:10" x14ac:dyDescent="0.25">
      <c r="A316" s="313" t="s">
        <v>1103</v>
      </c>
      <c r="B316" s="313" t="s">
        <v>1104</v>
      </c>
      <c r="C316" s="313" t="s">
        <v>2239</v>
      </c>
      <c r="D316" s="313" t="s">
        <v>2740</v>
      </c>
      <c r="E316" s="313" t="s">
        <v>54</v>
      </c>
      <c r="F316" s="313" t="s">
        <v>2741</v>
      </c>
      <c r="G316" s="313" t="s">
        <v>24</v>
      </c>
      <c r="H316" s="313" t="s">
        <v>1521</v>
      </c>
      <c r="I316" s="313" t="s">
        <v>1521</v>
      </c>
      <c r="J316" s="313" t="s">
        <v>70</v>
      </c>
    </row>
    <row r="317" spans="1:10" x14ac:dyDescent="0.25">
      <c r="A317" s="313" t="s">
        <v>1108</v>
      </c>
      <c r="B317" s="313" t="s">
        <v>1110</v>
      </c>
      <c r="C317" s="313" t="s">
        <v>2242</v>
      </c>
      <c r="D317" s="313" t="s">
        <v>2742</v>
      </c>
      <c r="E317" s="313" t="s">
        <v>54</v>
      </c>
      <c r="F317" s="313" t="s">
        <v>2743</v>
      </c>
      <c r="G317" s="313" t="s">
        <v>24</v>
      </c>
      <c r="H317" s="313" t="s">
        <v>70</v>
      </c>
      <c r="I317" s="313" t="s">
        <v>1521</v>
      </c>
      <c r="J317" s="313" t="s">
        <v>70</v>
      </c>
    </row>
    <row r="318" spans="1:10" x14ac:dyDescent="0.25">
      <c r="A318" s="313" t="s">
        <v>1112</v>
      </c>
      <c r="B318" s="313" t="s">
        <v>1113</v>
      </c>
      <c r="C318" s="313" t="s">
        <v>2242</v>
      </c>
      <c r="D318" s="313" t="s">
        <v>2744</v>
      </c>
      <c r="E318" s="313" t="s">
        <v>114</v>
      </c>
      <c r="F318" s="313" t="s">
        <v>24</v>
      </c>
      <c r="G318" s="313" t="s">
        <v>24</v>
      </c>
      <c r="H318" s="313" t="s">
        <v>1521</v>
      </c>
      <c r="I318" s="313" t="s">
        <v>1521</v>
      </c>
      <c r="J318" s="313" t="s">
        <v>70</v>
      </c>
    </row>
    <row r="319" spans="1:10" x14ac:dyDescent="0.25">
      <c r="A319" s="313" t="s">
        <v>1114</v>
      </c>
      <c r="B319" s="313" t="s">
        <v>1115</v>
      </c>
      <c r="C319" s="313" t="s">
        <v>2242</v>
      </c>
      <c r="D319" s="313" t="s">
        <v>2745</v>
      </c>
      <c r="E319" s="313" t="s">
        <v>37</v>
      </c>
      <c r="F319" s="313" t="s">
        <v>24</v>
      </c>
      <c r="G319" s="313" t="s">
        <v>24</v>
      </c>
      <c r="H319" s="313" t="s">
        <v>70</v>
      </c>
      <c r="I319" s="313" t="s">
        <v>1521</v>
      </c>
      <c r="J319" s="313" t="s">
        <v>70</v>
      </c>
    </row>
    <row r="320" spans="1:10" x14ac:dyDescent="0.25">
      <c r="A320" s="313" t="s">
        <v>1116</v>
      </c>
      <c r="B320" s="313" t="s">
        <v>1118</v>
      </c>
      <c r="C320" s="313" t="s">
        <v>2242</v>
      </c>
      <c r="D320" s="313" t="s">
        <v>2746</v>
      </c>
      <c r="E320" s="313" t="s">
        <v>48</v>
      </c>
      <c r="F320" s="313" t="s">
        <v>2747</v>
      </c>
      <c r="G320" s="313" t="s">
        <v>24</v>
      </c>
      <c r="H320" s="313" t="s">
        <v>1521</v>
      </c>
      <c r="I320" s="313" t="s">
        <v>1521</v>
      </c>
      <c r="J320" s="313" t="s">
        <v>70</v>
      </c>
    </row>
    <row r="321" spans="1:10" x14ac:dyDescent="0.25">
      <c r="A321" s="313" t="s">
        <v>1120</v>
      </c>
      <c r="B321" s="313" t="s">
        <v>1121</v>
      </c>
      <c r="C321" s="313" t="s">
        <v>2242</v>
      </c>
      <c r="D321" s="313" t="s">
        <v>2748</v>
      </c>
      <c r="E321" s="313" t="s">
        <v>54</v>
      </c>
      <c r="F321" s="313" t="s">
        <v>2749</v>
      </c>
      <c r="G321" s="313" t="s">
        <v>24</v>
      </c>
      <c r="H321" s="313" t="s">
        <v>1521</v>
      </c>
      <c r="I321" s="313" t="s">
        <v>1521</v>
      </c>
      <c r="J321" s="313" t="s">
        <v>70</v>
      </c>
    </row>
    <row r="322" spans="1:10" x14ac:dyDescent="0.25">
      <c r="A322" s="313" t="s">
        <v>1123</v>
      </c>
      <c r="B322" s="313" t="s">
        <v>1124</v>
      </c>
      <c r="C322" s="313" t="s">
        <v>2242</v>
      </c>
      <c r="D322" s="313" t="s">
        <v>2750</v>
      </c>
      <c r="E322" s="313" t="s">
        <v>37</v>
      </c>
      <c r="F322" s="313" t="s">
        <v>24</v>
      </c>
      <c r="G322" s="313" t="s">
        <v>24</v>
      </c>
      <c r="H322" s="313" t="s">
        <v>70</v>
      </c>
      <c r="I322" s="313" t="s">
        <v>1521</v>
      </c>
      <c r="J322" s="313" t="s">
        <v>70</v>
      </c>
    </row>
    <row r="323" spans="1:10" x14ac:dyDescent="0.25">
      <c r="A323" s="313" t="s">
        <v>1127</v>
      </c>
      <c r="B323" s="313" t="s">
        <v>1129</v>
      </c>
      <c r="C323" s="313" t="s">
        <v>2245</v>
      </c>
      <c r="D323" s="313" t="s">
        <v>2751</v>
      </c>
      <c r="E323" s="313" t="s">
        <v>54</v>
      </c>
      <c r="F323" s="313" t="s">
        <v>2752</v>
      </c>
      <c r="G323" s="313" t="s">
        <v>24</v>
      </c>
      <c r="H323" s="313" t="s">
        <v>70</v>
      </c>
      <c r="I323" s="313" t="s">
        <v>1521</v>
      </c>
      <c r="J323" s="313" t="s">
        <v>70</v>
      </c>
    </row>
    <row r="324" spans="1:10" ht="255" x14ac:dyDescent="0.25">
      <c r="A324" s="313" t="s">
        <v>1131</v>
      </c>
      <c r="B324" s="313" t="s">
        <v>1132</v>
      </c>
      <c r="C324" s="313" t="s">
        <v>2245</v>
      </c>
      <c r="D324" s="313" t="s">
        <v>2753</v>
      </c>
      <c r="E324" s="313" t="s">
        <v>48</v>
      </c>
      <c r="F324" s="315" t="s">
        <v>1133</v>
      </c>
      <c r="G324" s="314" t="s">
        <v>44</v>
      </c>
      <c r="H324" s="313" t="s">
        <v>70</v>
      </c>
      <c r="I324" s="313" t="s">
        <v>1521</v>
      </c>
      <c r="J324" s="313" t="s">
        <v>70</v>
      </c>
    </row>
    <row r="325" spans="1:10" x14ac:dyDescent="0.25">
      <c r="A325" s="313" t="s">
        <v>1134</v>
      </c>
      <c r="B325" s="313" t="s">
        <v>1135</v>
      </c>
      <c r="C325" s="313" t="s">
        <v>2245</v>
      </c>
      <c r="D325" s="313" t="s">
        <v>2754</v>
      </c>
      <c r="E325" s="313" t="s">
        <v>48</v>
      </c>
      <c r="F325" s="313" t="s">
        <v>2755</v>
      </c>
      <c r="G325" s="314" t="s">
        <v>44</v>
      </c>
      <c r="H325" s="313" t="s">
        <v>70</v>
      </c>
      <c r="I325" s="313" t="s">
        <v>1521</v>
      </c>
      <c r="J325" s="313" t="s">
        <v>70</v>
      </c>
    </row>
    <row r="326" spans="1:10" x14ac:dyDescent="0.25">
      <c r="A326" s="313" t="s">
        <v>1137</v>
      </c>
      <c r="B326" s="313" t="s">
        <v>1139</v>
      </c>
      <c r="C326" s="313" t="s">
        <v>2245</v>
      </c>
      <c r="D326" s="313" t="s">
        <v>2756</v>
      </c>
      <c r="E326" s="313" t="s">
        <v>54</v>
      </c>
      <c r="F326" s="313" t="s">
        <v>2757</v>
      </c>
      <c r="G326" s="313" t="s">
        <v>24</v>
      </c>
      <c r="H326" s="313" t="s">
        <v>70</v>
      </c>
      <c r="I326" s="313" t="s">
        <v>1521</v>
      </c>
      <c r="J326" s="313" t="s">
        <v>70</v>
      </c>
    </row>
    <row r="327" spans="1:10" x14ac:dyDescent="0.25">
      <c r="A327" s="313" t="s">
        <v>1141</v>
      </c>
      <c r="B327" s="313" t="s">
        <v>1142</v>
      </c>
      <c r="C327" s="313" t="s">
        <v>2245</v>
      </c>
      <c r="D327" s="313" t="s">
        <v>2758</v>
      </c>
      <c r="E327" s="313" t="s">
        <v>37</v>
      </c>
      <c r="F327" s="313" t="s">
        <v>24</v>
      </c>
      <c r="G327" s="313" t="s">
        <v>24</v>
      </c>
      <c r="H327" s="313" t="s">
        <v>70</v>
      </c>
      <c r="I327" s="313" t="s">
        <v>1521</v>
      </c>
      <c r="J327" s="313" t="s">
        <v>70</v>
      </c>
    </row>
    <row r="328" spans="1:10" x14ac:dyDescent="0.25">
      <c r="A328" s="313" t="s">
        <v>1143</v>
      </c>
      <c r="B328" s="313" t="s">
        <v>1145</v>
      </c>
      <c r="C328" s="313" t="s">
        <v>2245</v>
      </c>
      <c r="D328" s="313" t="s">
        <v>2759</v>
      </c>
      <c r="E328" s="313" t="s">
        <v>54</v>
      </c>
      <c r="F328" s="313" t="s">
        <v>2760</v>
      </c>
      <c r="G328" s="313" t="s">
        <v>24</v>
      </c>
      <c r="H328" s="313" t="s">
        <v>70</v>
      </c>
      <c r="I328" s="313" t="s">
        <v>1521</v>
      </c>
      <c r="J328" s="313" t="s">
        <v>70</v>
      </c>
    </row>
    <row r="329" spans="1:10" x14ac:dyDescent="0.25">
      <c r="A329" s="313" t="s">
        <v>1147</v>
      </c>
      <c r="B329" s="313" t="s">
        <v>1148</v>
      </c>
      <c r="C329" s="313" t="s">
        <v>2245</v>
      </c>
      <c r="D329" s="313" t="s">
        <v>2761</v>
      </c>
      <c r="E329" s="313" t="s">
        <v>37</v>
      </c>
      <c r="F329" s="313" t="s">
        <v>24</v>
      </c>
      <c r="G329" s="313" t="s">
        <v>24</v>
      </c>
      <c r="H329" s="313" t="s">
        <v>70</v>
      </c>
      <c r="I329" s="313" t="s">
        <v>1521</v>
      </c>
      <c r="J329" s="313" t="s">
        <v>70</v>
      </c>
    </row>
    <row r="330" spans="1:10" x14ac:dyDescent="0.25">
      <c r="A330" s="313" t="s">
        <v>1151</v>
      </c>
      <c r="B330" s="313" t="s">
        <v>1153</v>
      </c>
      <c r="C330" s="313" t="s">
        <v>2248</v>
      </c>
      <c r="D330" s="313" t="s">
        <v>2762</v>
      </c>
      <c r="E330" s="313" t="s">
        <v>54</v>
      </c>
      <c r="F330" s="313" t="s">
        <v>2763</v>
      </c>
      <c r="G330" s="313" t="s">
        <v>24</v>
      </c>
      <c r="H330" s="313" t="s">
        <v>70</v>
      </c>
      <c r="I330" s="313" t="s">
        <v>1521</v>
      </c>
      <c r="J330" s="313" t="s">
        <v>70</v>
      </c>
    </row>
    <row r="331" spans="1:10" x14ac:dyDescent="0.25">
      <c r="A331" s="313" t="s">
        <v>1155</v>
      </c>
      <c r="B331" s="313" t="s">
        <v>1156</v>
      </c>
      <c r="C331" s="313" t="s">
        <v>2248</v>
      </c>
      <c r="D331" s="313" t="s">
        <v>2764</v>
      </c>
      <c r="E331" s="313" t="s">
        <v>114</v>
      </c>
      <c r="F331" s="313" t="s">
        <v>24</v>
      </c>
      <c r="G331" s="313" t="s">
        <v>24</v>
      </c>
      <c r="H331" s="313" t="s">
        <v>1521</v>
      </c>
      <c r="I331" s="313" t="s">
        <v>1521</v>
      </c>
      <c r="J331" s="313" t="s">
        <v>70</v>
      </c>
    </row>
    <row r="332" spans="1:10" x14ac:dyDescent="0.25">
      <c r="A332" s="313" t="s">
        <v>1157</v>
      </c>
      <c r="B332" s="313" t="s">
        <v>1158</v>
      </c>
      <c r="C332" s="313" t="s">
        <v>2248</v>
      </c>
      <c r="D332" s="313" t="s">
        <v>2765</v>
      </c>
      <c r="E332" s="313" t="s">
        <v>54</v>
      </c>
      <c r="F332" s="313" t="s">
        <v>2766</v>
      </c>
      <c r="G332" s="313" t="s">
        <v>24</v>
      </c>
      <c r="H332" s="313" t="s">
        <v>1521</v>
      </c>
      <c r="I332" s="313" t="s">
        <v>1521</v>
      </c>
      <c r="J332" s="313" t="s">
        <v>70</v>
      </c>
    </row>
    <row r="333" spans="1:10" x14ac:dyDescent="0.25">
      <c r="A333" s="313" t="s">
        <v>1160</v>
      </c>
      <c r="B333" s="313" t="s">
        <v>1161</v>
      </c>
      <c r="C333" s="313" t="s">
        <v>2248</v>
      </c>
      <c r="D333" s="313" t="s">
        <v>2767</v>
      </c>
      <c r="E333" s="313" t="s">
        <v>54</v>
      </c>
      <c r="F333" s="313" t="s">
        <v>2768</v>
      </c>
      <c r="G333" s="313" t="s">
        <v>24</v>
      </c>
      <c r="H333" s="313" t="s">
        <v>1521</v>
      </c>
      <c r="I333" s="313" t="s">
        <v>1521</v>
      </c>
      <c r="J333" s="313" t="s">
        <v>70</v>
      </c>
    </row>
    <row r="334" spans="1:10" x14ac:dyDescent="0.25">
      <c r="A334" s="313" t="s">
        <v>1163</v>
      </c>
      <c r="B334" s="313" t="s">
        <v>1164</v>
      </c>
      <c r="C334" s="313" t="s">
        <v>2248</v>
      </c>
      <c r="D334" s="313" t="s">
        <v>2769</v>
      </c>
      <c r="E334" s="313" t="s">
        <v>54</v>
      </c>
      <c r="F334" s="313" t="s">
        <v>2770</v>
      </c>
      <c r="G334" s="313" t="s">
        <v>24</v>
      </c>
      <c r="H334" s="313" t="s">
        <v>70</v>
      </c>
      <c r="I334" s="313" t="s">
        <v>1521</v>
      </c>
      <c r="J334" s="313" t="s">
        <v>70</v>
      </c>
    </row>
    <row r="335" spans="1:10" x14ac:dyDescent="0.25">
      <c r="A335" s="313" t="s">
        <v>1166</v>
      </c>
      <c r="B335" s="313" t="s">
        <v>1167</v>
      </c>
      <c r="C335" s="313" t="s">
        <v>2248</v>
      </c>
      <c r="D335" s="313" t="s">
        <v>2771</v>
      </c>
      <c r="E335" s="313" t="s">
        <v>114</v>
      </c>
      <c r="F335" s="313" t="s">
        <v>24</v>
      </c>
      <c r="G335" s="313" t="s">
        <v>24</v>
      </c>
      <c r="H335" s="313" t="s">
        <v>70</v>
      </c>
      <c r="I335" s="313" t="s">
        <v>1521</v>
      </c>
      <c r="J335" s="313" t="s">
        <v>70</v>
      </c>
    </row>
    <row r="336" spans="1:10" x14ac:dyDescent="0.25">
      <c r="A336" s="313" t="s">
        <v>1168</v>
      </c>
      <c r="B336" s="313" t="s">
        <v>1169</v>
      </c>
      <c r="C336" s="313" t="s">
        <v>2248</v>
      </c>
      <c r="D336" s="313" t="s">
        <v>2772</v>
      </c>
      <c r="E336" s="313" t="s">
        <v>54</v>
      </c>
      <c r="F336" s="313" t="s">
        <v>2773</v>
      </c>
      <c r="G336" s="313" t="s">
        <v>24</v>
      </c>
      <c r="H336" s="313" t="s">
        <v>70</v>
      </c>
      <c r="I336" s="313" t="s">
        <v>1521</v>
      </c>
      <c r="J336" s="313" t="s">
        <v>70</v>
      </c>
    </row>
    <row r="337" spans="1:10" x14ac:dyDescent="0.25">
      <c r="A337" s="313" t="s">
        <v>1171</v>
      </c>
      <c r="B337" s="313" t="s">
        <v>1167</v>
      </c>
      <c r="C337" s="313" t="s">
        <v>2248</v>
      </c>
      <c r="D337" s="313" t="s">
        <v>2774</v>
      </c>
      <c r="E337" s="313" t="s">
        <v>114</v>
      </c>
      <c r="F337" s="313" t="s">
        <v>24</v>
      </c>
      <c r="G337" s="313" t="s">
        <v>24</v>
      </c>
      <c r="H337" s="313" t="s">
        <v>70</v>
      </c>
      <c r="I337" s="313" t="s">
        <v>1521</v>
      </c>
      <c r="J337" s="313" t="s">
        <v>70</v>
      </c>
    </row>
    <row r="338" spans="1:10" x14ac:dyDescent="0.25">
      <c r="A338" s="313" t="s">
        <v>1172</v>
      </c>
      <c r="B338" s="313" t="s">
        <v>1174</v>
      </c>
      <c r="C338" s="313" t="s">
        <v>2248</v>
      </c>
      <c r="D338" s="313" t="s">
        <v>2775</v>
      </c>
      <c r="E338" s="313" t="s">
        <v>54</v>
      </c>
      <c r="F338" s="313" t="s">
        <v>2776</v>
      </c>
      <c r="G338" s="313" t="s">
        <v>24</v>
      </c>
      <c r="H338" s="313" t="s">
        <v>1521</v>
      </c>
      <c r="I338" s="313" t="s">
        <v>1521</v>
      </c>
      <c r="J338" s="313" t="s">
        <v>70</v>
      </c>
    </row>
    <row r="339" spans="1:10" x14ac:dyDescent="0.25">
      <c r="A339" s="313" t="s">
        <v>1176</v>
      </c>
      <c r="B339" s="313" t="s">
        <v>1167</v>
      </c>
      <c r="C339" s="313" t="s">
        <v>2248</v>
      </c>
      <c r="D339" s="313" t="s">
        <v>2777</v>
      </c>
      <c r="E339" s="313" t="s">
        <v>114</v>
      </c>
      <c r="F339" s="313" t="s">
        <v>24</v>
      </c>
      <c r="G339" s="313" t="s">
        <v>24</v>
      </c>
      <c r="H339" s="313" t="s">
        <v>70</v>
      </c>
      <c r="I339" s="313" t="s">
        <v>1521</v>
      </c>
      <c r="J339" s="313" t="s">
        <v>70</v>
      </c>
    </row>
    <row r="340" spans="1:10" x14ac:dyDescent="0.25">
      <c r="A340" s="313" t="s">
        <v>1177</v>
      </c>
      <c r="B340" s="313" t="s">
        <v>1179</v>
      </c>
      <c r="C340" s="313" t="s">
        <v>2248</v>
      </c>
      <c r="D340" s="313" t="s">
        <v>2778</v>
      </c>
      <c r="E340" s="313" t="s">
        <v>54</v>
      </c>
      <c r="F340" s="313" t="s">
        <v>2779</v>
      </c>
      <c r="G340" s="313" t="s">
        <v>24</v>
      </c>
      <c r="H340" s="313" t="s">
        <v>70</v>
      </c>
      <c r="I340" s="313" t="s">
        <v>1521</v>
      </c>
      <c r="J340" s="313" t="s">
        <v>70</v>
      </c>
    </row>
    <row r="341" spans="1:10" x14ac:dyDescent="0.25">
      <c r="A341" s="313" t="s">
        <v>1181</v>
      </c>
      <c r="B341" s="313" t="s">
        <v>1183</v>
      </c>
      <c r="C341" s="313" t="s">
        <v>2248</v>
      </c>
      <c r="D341" s="313" t="s">
        <v>2780</v>
      </c>
      <c r="E341" s="313" t="s">
        <v>54</v>
      </c>
      <c r="F341" s="313" t="s">
        <v>2781</v>
      </c>
      <c r="G341" s="313" t="s">
        <v>24</v>
      </c>
      <c r="H341" s="313" t="s">
        <v>70</v>
      </c>
      <c r="I341" s="313" t="s">
        <v>1521</v>
      </c>
      <c r="J341" s="313" t="s">
        <v>70</v>
      </c>
    </row>
    <row r="342" spans="1:10" x14ac:dyDescent="0.25">
      <c r="A342" s="313" t="s">
        <v>1185</v>
      </c>
      <c r="B342" s="313" t="s">
        <v>1186</v>
      </c>
      <c r="C342" s="313" t="s">
        <v>2248</v>
      </c>
      <c r="D342" s="313" t="s">
        <v>2782</v>
      </c>
      <c r="E342" s="313" t="s">
        <v>114</v>
      </c>
      <c r="F342" s="313" t="s">
        <v>24</v>
      </c>
      <c r="G342" s="313" t="s">
        <v>24</v>
      </c>
      <c r="H342" s="313" t="s">
        <v>70</v>
      </c>
      <c r="I342" s="313" t="s">
        <v>1521</v>
      </c>
      <c r="J342" s="313" t="s">
        <v>70</v>
      </c>
    </row>
    <row r="343" spans="1:10" x14ac:dyDescent="0.25">
      <c r="A343" s="313" t="s">
        <v>1187</v>
      </c>
      <c r="B343" s="313" t="s">
        <v>1188</v>
      </c>
      <c r="C343" s="313" t="s">
        <v>2248</v>
      </c>
      <c r="D343" s="313" t="s">
        <v>2783</v>
      </c>
      <c r="E343" s="313" t="s">
        <v>114</v>
      </c>
      <c r="F343" s="313" t="s">
        <v>24</v>
      </c>
      <c r="G343" s="313" t="s">
        <v>24</v>
      </c>
      <c r="H343" s="313" t="s">
        <v>70</v>
      </c>
      <c r="I343" s="313" t="s">
        <v>1521</v>
      </c>
      <c r="J343" s="313" t="s">
        <v>70</v>
      </c>
    </row>
    <row r="344" spans="1:10" x14ac:dyDescent="0.25">
      <c r="A344" s="313" t="s">
        <v>1189</v>
      </c>
      <c r="B344" s="313" t="s">
        <v>1190</v>
      </c>
      <c r="C344" s="313" t="s">
        <v>2248</v>
      </c>
      <c r="D344" s="313" t="s">
        <v>2784</v>
      </c>
      <c r="E344" s="313" t="s">
        <v>54</v>
      </c>
      <c r="F344" s="313" t="s">
        <v>2785</v>
      </c>
      <c r="G344" s="313" t="s">
        <v>24</v>
      </c>
      <c r="H344" s="313" t="s">
        <v>70</v>
      </c>
      <c r="I344" s="313" t="s">
        <v>1521</v>
      </c>
      <c r="J344" s="313" t="s">
        <v>70</v>
      </c>
    </row>
    <row r="345" spans="1:10" x14ac:dyDescent="0.25">
      <c r="A345" s="313" t="s">
        <v>1192</v>
      </c>
      <c r="B345" s="313" t="s">
        <v>1193</v>
      </c>
      <c r="C345" s="313" t="s">
        <v>2248</v>
      </c>
      <c r="D345" s="313" t="s">
        <v>2786</v>
      </c>
      <c r="E345" s="313" t="s">
        <v>114</v>
      </c>
      <c r="F345" s="313" t="s">
        <v>24</v>
      </c>
      <c r="G345" s="313" t="s">
        <v>24</v>
      </c>
      <c r="H345" s="313" t="s">
        <v>70</v>
      </c>
      <c r="I345" s="313" t="s">
        <v>1521</v>
      </c>
      <c r="J345" s="313" t="s">
        <v>70</v>
      </c>
    </row>
    <row r="346" spans="1:10" x14ac:dyDescent="0.25">
      <c r="A346" s="313" t="s">
        <v>1194</v>
      </c>
      <c r="B346" s="313" t="s">
        <v>1195</v>
      </c>
      <c r="C346" s="313" t="s">
        <v>2248</v>
      </c>
      <c r="D346" s="313" t="s">
        <v>2787</v>
      </c>
      <c r="E346" s="313" t="s">
        <v>114</v>
      </c>
      <c r="F346" s="313" t="s">
        <v>24</v>
      </c>
      <c r="G346" s="313" t="s">
        <v>24</v>
      </c>
      <c r="H346" s="313" t="s">
        <v>70</v>
      </c>
      <c r="I346" s="313" t="s">
        <v>1521</v>
      </c>
      <c r="J346" s="313" t="s">
        <v>70</v>
      </c>
    </row>
    <row r="347" spans="1:10" x14ac:dyDescent="0.25">
      <c r="A347" s="313" t="s">
        <v>1196</v>
      </c>
      <c r="B347" s="313" t="s">
        <v>1197</v>
      </c>
      <c r="C347" s="313" t="s">
        <v>2248</v>
      </c>
      <c r="D347" s="313" t="s">
        <v>2788</v>
      </c>
      <c r="E347" s="313" t="s">
        <v>54</v>
      </c>
      <c r="F347" s="313" t="s">
        <v>2789</v>
      </c>
      <c r="G347" s="313" t="s">
        <v>24</v>
      </c>
      <c r="H347" s="313" t="s">
        <v>70</v>
      </c>
      <c r="I347" s="313" t="s">
        <v>1521</v>
      </c>
      <c r="J347" s="313" t="s">
        <v>70</v>
      </c>
    </row>
    <row r="348" spans="1:10" x14ac:dyDescent="0.25">
      <c r="A348" s="313" t="s">
        <v>1199</v>
      </c>
      <c r="B348" s="313" t="s">
        <v>1201</v>
      </c>
      <c r="C348" s="313" t="s">
        <v>2248</v>
      </c>
      <c r="D348" s="313" t="s">
        <v>2790</v>
      </c>
      <c r="E348" s="313" t="s">
        <v>54</v>
      </c>
      <c r="F348" s="313" t="s">
        <v>2791</v>
      </c>
      <c r="G348" s="313" t="s">
        <v>24</v>
      </c>
      <c r="H348" s="313" t="s">
        <v>70</v>
      </c>
      <c r="I348" s="313" t="s">
        <v>1521</v>
      </c>
      <c r="J348" s="313" t="s">
        <v>70</v>
      </c>
    </row>
    <row r="349" spans="1:10" x14ac:dyDescent="0.25">
      <c r="A349" s="313" t="s">
        <v>1205</v>
      </c>
      <c r="B349" s="313" t="s">
        <v>1207</v>
      </c>
      <c r="C349" s="313" t="s">
        <v>2251</v>
      </c>
      <c r="D349" s="313" t="s">
        <v>2792</v>
      </c>
      <c r="E349" s="313" t="s">
        <v>54</v>
      </c>
      <c r="F349" s="313" t="s">
        <v>2793</v>
      </c>
      <c r="G349" s="313" t="s">
        <v>24</v>
      </c>
      <c r="H349" s="313" t="s">
        <v>70</v>
      </c>
      <c r="I349" s="313" t="s">
        <v>1521</v>
      </c>
      <c r="J349" s="313" t="s">
        <v>70</v>
      </c>
    </row>
    <row r="350" spans="1:10" x14ac:dyDescent="0.25">
      <c r="A350" s="313" t="s">
        <v>1209</v>
      </c>
      <c r="B350" s="313" t="s">
        <v>1210</v>
      </c>
      <c r="C350" s="313" t="s">
        <v>2251</v>
      </c>
      <c r="D350" s="313" t="s">
        <v>2794</v>
      </c>
      <c r="E350" s="313" t="s">
        <v>37</v>
      </c>
      <c r="F350" s="313" t="s">
        <v>24</v>
      </c>
      <c r="G350" s="313" t="s">
        <v>24</v>
      </c>
      <c r="H350" s="313" t="s">
        <v>70</v>
      </c>
      <c r="I350" s="313" t="s">
        <v>1521</v>
      </c>
      <c r="J350" s="313" t="s">
        <v>70</v>
      </c>
    </row>
    <row r="351" spans="1:10" x14ac:dyDescent="0.25">
      <c r="A351" s="313" t="s">
        <v>1211</v>
      </c>
      <c r="B351" s="313" t="s">
        <v>1212</v>
      </c>
      <c r="C351" s="313" t="s">
        <v>2251</v>
      </c>
      <c r="D351" s="313" t="s">
        <v>2795</v>
      </c>
      <c r="E351" s="313" t="s">
        <v>54</v>
      </c>
      <c r="F351" s="313" t="s">
        <v>2796</v>
      </c>
      <c r="G351" s="313" t="s">
        <v>24</v>
      </c>
      <c r="H351" s="313" t="s">
        <v>1521</v>
      </c>
      <c r="I351" s="313" t="s">
        <v>1521</v>
      </c>
      <c r="J351" s="313" t="s">
        <v>70</v>
      </c>
    </row>
    <row r="352" spans="1:10" x14ac:dyDescent="0.25">
      <c r="A352" s="313" t="s">
        <v>1214</v>
      </c>
      <c r="B352" s="313" t="s">
        <v>1215</v>
      </c>
      <c r="C352" s="313" t="s">
        <v>2251</v>
      </c>
      <c r="D352" s="313" t="s">
        <v>2797</v>
      </c>
      <c r="E352" s="313" t="s">
        <v>54</v>
      </c>
      <c r="F352" s="313" t="s">
        <v>2798</v>
      </c>
      <c r="G352" s="313" t="s">
        <v>24</v>
      </c>
      <c r="H352" s="313" t="s">
        <v>70</v>
      </c>
      <c r="I352" s="313" t="s">
        <v>1521</v>
      </c>
      <c r="J352" s="313" t="s">
        <v>70</v>
      </c>
    </row>
    <row r="353" spans="1:10" x14ac:dyDescent="0.25">
      <c r="A353" s="313" t="s">
        <v>1217</v>
      </c>
      <c r="B353" s="313" t="s">
        <v>2799</v>
      </c>
      <c r="C353" s="313" t="s">
        <v>2251</v>
      </c>
      <c r="D353" s="313" t="s">
        <v>2800</v>
      </c>
      <c r="E353" s="313" t="s">
        <v>54</v>
      </c>
      <c r="F353" s="313" t="s">
        <v>2801</v>
      </c>
      <c r="G353" s="313" t="s">
        <v>24</v>
      </c>
      <c r="H353" s="313" t="s">
        <v>1521</v>
      </c>
      <c r="I353" s="313" t="s">
        <v>1521</v>
      </c>
      <c r="J353" s="313" t="s">
        <v>70</v>
      </c>
    </row>
    <row r="354" spans="1:10" x14ac:dyDescent="0.25">
      <c r="A354" s="313" t="s">
        <v>1221</v>
      </c>
      <c r="B354" s="313" t="s">
        <v>1223</v>
      </c>
      <c r="C354" s="313" t="s">
        <v>2251</v>
      </c>
      <c r="D354" s="313" t="s">
        <v>2802</v>
      </c>
      <c r="E354" s="313" t="s">
        <v>54</v>
      </c>
      <c r="F354" s="313" t="s">
        <v>2803</v>
      </c>
      <c r="G354" s="313" t="s">
        <v>24</v>
      </c>
      <c r="H354" s="313" t="s">
        <v>1521</v>
      </c>
      <c r="I354" s="313" t="s">
        <v>1521</v>
      </c>
      <c r="J354" s="313" t="s">
        <v>70</v>
      </c>
    </row>
    <row r="355" spans="1:10" x14ac:dyDescent="0.25">
      <c r="A355" s="313" t="s">
        <v>1225</v>
      </c>
      <c r="B355" s="313" t="s">
        <v>1227</v>
      </c>
      <c r="C355" s="313" t="s">
        <v>2251</v>
      </c>
      <c r="D355" s="313" t="s">
        <v>2804</v>
      </c>
      <c r="E355" s="313" t="s">
        <v>48</v>
      </c>
      <c r="F355" s="313" t="s">
        <v>2805</v>
      </c>
      <c r="G355" s="313" t="s">
        <v>24</v>
      </c>
      <c r="H355" s="313" t="s">
        <v>1521</v>
      </c>
      <c r="I355" s="313" t="s">
        <v>1521</v>
      </c>
      <c r="J355" s="313" t="s">
        <v>70</v>
      </c>
    </row>
    <row r="356" spans="1:10" x14ac:dyDescent="0.25">
      <c r="A356" s="313" t="s">
        <v>1235</v>
      </c>
      <c r="B356" s="313" t="s">
        <v>1237</v>
      </c>
      <c r="C356" s="313" t="s">
        <v>1233</v>
      </c>
      <c r="D356" s="313" t="s">
        <v>2806</v>
      </c>
      <c r="E356" s="313" t="s">
        <v>54</v>
      </c>
      <c r="F356" s="313" t="s">
        <v>2807</v>
      </c>
      <c r="G356" s="313" t="s">
        <v>24</v>
      </c>
      <c r="H356" s="313" t="s">
        <v>70</v>
      </c>
      <c r="I356" s="313" t="s">
        <v>1521</v>
      </c>
      <c r="J356" s="313" t="s">
        <v>70</v>
      </c>
    </row>
    <row r="357" spans="1:10" x14ac:dyDescent="0.25">
      <c r="A357" s="313" t="s">
        <v>1239</v>
      </c>
      <c r="B357" s="313" t="s">
        <v>1240</v>
      </c>
      <c r="C357" s="313" t="s">
        <v>1233</v>
      </c>
      <c r="D357" s="313" t="s">
        <v>2808</v>
      </c>
      <c r="E357" s="313" t="s">
        <v>37</v>
      </c>
      <c r="F357" s="313" t="s">
        <v>24</v>
      </c>
      <c r="G357" s="313" t="s">
        <v>24</v>
      </c>
      <c r="H357" s="313" t="s">
        <v>70</v>
      </c>
      <c r="I357" s="313" t="s">
        <v>1521</v>
      </c>
      <c r="J357" s="313" t="s">
        <v>70</v>
      </c>
    </row>
    <row r="358" spans="1:10" x14ac:dyDescent="0.25">
      <c r="A358" s="313" t="s">
        <v>1243</v>
      </c>
      <c r="B358" s="313" t="s">
        <v>2809</v>
      </c>
      <c r="C358" s="313" t="s">
        <v>1241</v>
      </c>
      <c r="D358" s="313" t="s">
        <v>2810</v>
      </c>
      <c r="E358" s="313" t="s">
        <v>54</v>
      </c>
      <c r="F358" s="313" t="s">
        <v>2811</v>
      </c>
      <c r="G358" s="313" t="s">
        <v>24</v>
      </c>
      <c r="H358" s="313" t="s">
        <v>70</v>
      </c>
      <c r="I358" s="313" t="s">
        <v>1521</v>
      </c>
      <c r="J358" s="313" t="s">
        <v>70</v>
      </c>
    </row>
    <row r="359" spans="1:10" x14ac:dyDescent="0.25">
      <c r="A359" s="313" t="s">
        <v>1247</v>
      </c>
      <c r="B359" s="313" t="s">
        <v>2812</v>
      </c>
      <c r="C359" s="313" t="s">
        <v>1241</v>
      </c>
      <c r="D359" s="313" t="s">
        <v>2813</v>
      </c>
      <c r="E359" s="313" t="s">
        <v>54</v>
      </c>
      <c r="F359" s="313" t="s">
        <v>2814</v>
      </c>
      <c r="G359" s="313" t="s">
        <v>24</v>
      </c>
      <c r="H359" s="313" t="s">
        <v>70</v>
      </c>
      <c r="I359" s="313" t="s">
        <v>1521</v>
      </c>
      <c r="J359" s="313" t="s">
        <v>70</v>
      </c>
    </row>
    <row r="360" spans="1:10" x14ac:dyDescent="0.25">
      <c r="A360" s="313" t="s">
        <v>1253</v>
      </c>
      <c r="B360" s="313" t="s">
        <v>1255</v>
      </c>
      <c r="C360" s="313" t="s">
        <v>1251</v>
      </c>
      <c r="D360" s="313" t="s">
        <v>2815</v>
      </c>
      <c r="E360" s="313" t="s">
        <v>48</v>
      </c>
      <c r="F360" s="313" t="s">
        <v>2816</v>
      </c>
      <c r="G360" s="314" t="s">
        <v>44</v>
      </c>
      <c r="H360" s="313" t="s">
        <v>70</v>
      </c>
      <c r="I360" s="313" t="s">
        <v>1521</v>
      </c>
      <c r="J360" s="313" t="s">
        <v>70</v>
      </c>
    </row>
    <row r="361" spans="1:10" x14ac:dyDescent="0.25">
      <c r="A361" s="313" t="s">
        <v>1257</v>
      </c>
      <c r="B361" s="313" t="s">
        <v>1259</v>
      </c>
      <c r="C361" s="313" t="s">
        <v>1251</v>
      </c>
      <c r="D361" s="313" t="s">
        <v>2817</v>
      </c>
      <c r="E361" s="313" t="s">
        <v>54</v>
      </c>
      <c r="F361" s="313" t="s">
        <v>2818</v>
      </c>
      <c r="G361" s="313" t="s">
        <v>24</v>
      </c>
      <c r="H361" s="313" t="s">
        <v>70</v>
      </c>
      <c r="I361" s="313" t="s">
        <v>1521</v>
      </c>
      <c r="J361" s="313" t="s">
        <v>70</v>
      </c>
    </row>
    <row r="362" spans="1:10" x14ac:dyDescent="0.25">
      <c r="A362" s="313" t="s">
        <v>1261</v>
      </c>
      <c r="B362" s="313" t="s">
        <v>1262</v>
      </c>
      <c r="C362" s="313" t="s">
        <v>1251</v>
      </c>
      <c r="D362" s="313" t="s">
        <v>2819</v>
      </c>
      <c r="E362" s="313" t="s">
        <v>37</v>
      </c>
      <c r="F362" s="313" t="s">
        <v>24</v>
      </c>
      <c r="G362" s="313" t="s">
        <v>24</v>
      </c>
      <c r="H362" s="313" t="s">
        <v>70</v>
      </c>
      <c r="I362" s="313" t="s">
        <v>1521</v>
      </c>
      <c r="J362" s="313" t="s">
        <v>70</v>
      </c>
    </row>
    <row r="363" spans="1:10" x14ac:dyDescent="0.25">
      <c r="A363" s="313" t="s">
        <v>1265</v>
      </c>
      <c r="B363" s="313" t="s">
        <v>1267</v>
      </c>
      <c r="C363" s="313" t="s">
        <v>1263</v>
      </c>
      <c r="D363" s="313" t="s">
        <v>2820</v>
      </c>
      <c r="E363" s="313" t="s">
        <v>54</v>
      </c>
      <c r="F363" s="313" t="s">
        <v>2821</v>
      </c>
      <c r="G363" s="313" t="s">
        <v>24</v>
      </c>
      <c r="H363" s="313" t="s">
        <v>70</v>
      </c>
      <c r="I363" s="313" t="s">
        <v>1521</v>
      </c>
      <c r="J363" s="313" t="s">
        <v>70</v>
      </c>
    </row>
    <row r="364" spans="1:10" x14ac:dyDescent="0.25">
      <c r="A364" s="313" t="s">
        <v>1269</v>
      </c>
      <c r="B364" s="313" t="s">
        <v>1270</v>
      </c>
      <c r="C364" s="313" t="s">
        <v>1263</v>
      </c>
      <c r="D364" s="313" t="s">
        <v>2822</v>
      </c>
      <c r="E364" s="313" t="s">
        <v>37</v>
      </c>
      <c r="F364" s="313" t="s">
        <v>24</v>
      </c>
      <c r="G364" s="313" t="s">
        <v>24</v>
      </c>
      <c r="H364" s="313" t="s">
        <v>70</v>
      </c>
      <c r="I364" s="313" t="s">
        <v>1521</v>
      </c>
      <c r="J364" s="313" t="s">
        <v>70</v>
      </c>
    </row>
    <row r="365" spans="1:10" x14ac:dyDescent="0.25">
      <c r="A365" s="313" t="s">
        <v>1274</v>
      </c>
      <c r="B365" s="313" t="s">
        <v>1275</v>
      </c>
      <c r="C365" s="313" t="s">
        <v>1272</v>
      </c>
      <c r="D365" s="313" t="s">
        <v>2823</v>
      </c>
      <c r="E365" s="313" t="s">
        <v>54</v>
      </c>
      <c r="F365" s="313" t="s">
        <v>2824</v>
      </c>
      <c r="G365" s="313" t="s">
        <v>24</v>
      </c>
      <c r="H365" s="313" t="s">
        <v>70</v>
      </c>
      <c r="I365" s="313" t="s">
        <v>1521</v>
      </c>
      <c r="J365" s="313" t="s">
        <v>70</v>
      </c>
    </row>
    <row r="366" spans="1:10" x14ac:dyDescent="0.25">
      <c r="A366" s="313" t="s">
        <v>1277</v>
      </c>
      <c r="B366" s="313" t="s">
        <v>1278</v>
      </c>
      <c r="C366" s="313" t="s">
        <v>1272</v>
      </c>
      <c r="D366" s="313" t="s">
        <v>2825</v>
      </c>
      <c r="E366" s="313" t="s">
        <v>54</v>
      </c>
      <c r="F366" s="313" t="s">
        <v>2307</v>
      </c>
      <c r="G366" s="313" t="s">
        <v>24</v>
      </c>
      <c r="H366" s="313" t="s">
        <v>70</v>
      </c>
      <c r="I366" s="313" t="s">
        <v>1521</v>
      </c>
      <c r="J366" s="313" t="s">
        <v>70</v>
      </c>
    </row>
    <row r="367" spans="1:10" x14ac:dyDescent="0.25">
      <c r="A367" s="313" t="s">
        <v>1282</v>
      </c>
      <c r="B367" s="313" t="s">
        <v>1283</v>
      </c>
      <c r="C367" s="313" t="s">
        <v>2261</v>
      </c>
      <c r="D367" s="313" t="s">
        <v>2826</v>
      </c>
      <c r="E367" s="313" t="s">
        <v>1284</v>
      </c>
      <c r="F367" s="313" t="s">
        <v>24</v>
      </c>
      <c r="G367" s="313" t="s">
        <v>24</v>
      </c>
      <c r="H367" s="313" t="s">
        <v>70</v>
      </c>
      <c r="I367" s="313" t="s">
        <v>1521</v>
      </c>
      <c r="J367" s="313" t="s">
        <v>70</v>
      </c>
    </row>
    <row r="368" spans="1:10" x14ac:dyDescent="0.25">
      <c r="A368" s="313" t="s">
        <v>1289</v>
      </c>
      <c r="B368" s="313" t="s">
        <v>2827</v>
      </c>
      <c r="C368" s="313" t="s">
        <v>2264</v>
      </c>
      <c r="D368" s="313" t="s">
        <v>2828</v>
      </c>
      <c r="E368" s="313" t="s">
        <v>54</v>
      </c>
      <c r="F368" s="313" t="s">
        <v>2829</v>
      </c>
      <c r="G368" s="313" t="s">
        <v>24</v>
      </c>
      <c r="H368" s="313" t="s">
        <v>70</v>
      </c>
      <c r="I368" s="313" t="s">
        <v>1521</v>
      </c>
      <c r="J368" s="313" t="s">
        <v>70</v>
      </c>
    </row>
    <row r="369" spans="1:10" x14ac:dyDescent="0.25">
      <c r="A369" s="313" t="s">
        <v>1293</v>
      </c>
      <c r="B369" s="313" t="s">
        <v>1294</v>
      </c>
      <c r="C369" s="313" t="s">
        <v>2264</v>
      </c>
      <c r="D369" s="313" t="s">
        <v>2830</v>
      </c>
      <c r="E369" s="313" t="s">
        <v>37</v>
      </c>
      <c r="F369" s="313" t="s">
        <v>24</v>
      </c>
      <c r="G369" s="313" t="s">
        <v>24</v>
      </c>
      <c r="H369" s="313" t="s">
        <v>70</v>
      </c>
      <c r="I369" s="313" t="s">
        <v>1521</v>
      </c>
      <c r="J369" s="313" t="s">
        <v>70</v>
      </c>
    </row>
    <row r="370" spans="1:10" x14ac:dyDescent="0.25">
      <c r="A370" s="313" t="s">
        <v>101</v>
      </c>
      <c r="B370" s="313" t="s">
        <v>1299</v>
      </c>
      <c r="C370" s="313" t="s">
        <v>2268</v>
      </c>
      <c r="D370" s="313" t="s">
        <v>2831</v>
      </c>
      <c r="E370" s="313" t="s">
        <v>54</v>
      </c>
      <c r="F370" s="313" t="s">
        <v>2832</v>
      </c>
      <c r="G370" s="313" t="s">
        <v>24</v>
      </c>
      <c r="H370" s="313" t="s">
        <v>70</v>
      </c>
      <c r="I370" s="313" t="s">
        <v>1521</v>
      </c>
      <c r="J370" s="313" t="s">
        <v>70</v>
      </c>
    </row>
    <row r="371" spans="1:10" x14ac:dyDescent="0.25">
      <c r="A371" s="313" t="s">
        <v>1301</v>
      </c>
      <c r="B371" s="313" t="s">
        <v>2833</v>
      </c>
      <c r="C371" s="313" t="s">
        <v>2268</v>
      </c>
      <c r="D371" s="313" t="s">
        <v>2834</v>
      </c>
      <c r="E371" s="313" t="s">
        <v>1303</v>
      </c>
      <c r="F371" s="313" t="s">
        <v>24</v>
      </c>
      <c r="G371" s="313" t="s">
        <v>24</v>
      </c>
      <c r="H371" s="313" t="s">
        <v>70</v>
      </c>
      <c r="I371" s="313" t="s">
        <v>1521</v>
      </c>
      <c r="J371" s="313" t="s">
        <v>70</v>
      </c>
    </row>
    <row r="372" spans="1:10" x14ac:dyDescent="0.25">
      <c r="A372" s="313" t="s">
        <v>1306</v>
      </c>
      <c r="B372" s="313" t="s">
        <v>2835</v>
      </c>
      <c r="C372" s="313" t="s">
        <v>2268</v>
      </c>
      <c r="D372" s="313" t="s">
        <v>2836</v>
      </c>
      <c r="E372" s="313" t="s">
        <v>54</v>
      </c>
      <c r="F372" s="313" t="s">
        <v>2837</v>
      </c>
      <c r="G372" s="313" t="s">
        <v>24</v>
      </c>
      <c r="H372" s="313" t="s">
        <v>70</v>
      </c>
      <c r="I372" s="313" t="s">
        <v>1521</v>
      </c>
      <c r="J372" s="313" t="s">
        <v>70</v>
      </c>
    </row>
    <row r="373" spans="1:10" x14ac:dyDescent="0.25">
      <c r="A373" s="313" t="s">
        <v>1309</v>
      </c>
      <c r="B373" s="313" t="s">
        <v>2838</v>
      </c>
      <c r="C373" s="313" t="s">
        <v>2268</v>
      </c>
      <c r="D373" s="313" t="s">
        <v>2839</v>
      </c>
      <c r="E373" s="313" t="s">
        <v>37</v>
      </c>
      <c r="F373" s="313" t="s">
        <v>24</v>
      </c>
      <c r="G373" s="313" t="s">
        <v>24</v>
      </c>
      <c r="H373" s="313" t="s">
        <v>70</v>
      </c>
      <c r="I373" s="313" t="s">
        <v>1521</v>
      </c>
      <c r="J373" s="313" t="s">
        <v>70</v>
      </c>
    </row>
    <row r="374" spans="1:10" x14ac:dyDescent="0.25">
      <c r="A374" s="313" t="s">
        <v>1313</v>
      </c>
      <c r="B374" s="313" t="s">
        <v>1315</v>
      </c>
      <c r="C374" s="313" t="s">
        <v>2271</v>
      </c>
      <c r="D374" s="313" t="s">
        <v>2840</v>
      </c>
      <c r="E374" s="313" t="s">
        <v>48</v>
      </c>
      <c r="F374" s="313" t="s">
        <v>2841</v>
      </c>
      <c r="G374" s="314" t="s">
        <v>44</v>
      </c>
      <c r="H374" s="313" t="s">
        <v>70</v>
      </c>
      <c r="I374" s="313" t="s">
        <v>1521</v>
      </c>
      <c r="J374" s="313" t="s">
        <v>70</v>
      </c>
    </row>
    <row r="375" spans="1:10" x14ac:dyDescent="0.25">
      <c r="A375" s="313" t="s">
        <v>1317</v>
      </c>
      <c r="B375" s="313" t="s">
        <v>1319</v>
      </c>
      <c r="C375" s="313" t="s">
        <v>2271</v>
      </c>
      <c r="D375" s="313" t="s">
        <v>2842</v>
      </c>
      <c r="E375" s="313" t="s">
        <v>54</v>
      </c>
      <c r="F375" s="313" t="s">
        <v>2843</v>
      </c>
      <c r="G375" s="313" t="s">
        <v>24</v>
      </c>
      <c r="H375" s="313" t="s">
        <v>70</v>
      </c>
      <c r="I375" s="313" t="s">
        <v>1521</v>
      </c>
      <c r="J375" s="313" t="s">
        <v>70</v>
      </c>
    </row>
    <row r="376" spans="1:10" x14ac:dyDescent="0.25">
      <c r="A376" s="313" t="s">
        <v>1321</v>
      </c>
      <c r="B376" s="313" t="s">
        <v>1322</v>
      </c>
      <c r="C376" s="313" t="s">
        <v>2271</v>
      </c>
      <c r="D376" s="313" t="s">
        <v>2844</v>
      </c>
      <c r="E376" s="313" t="s">
        <v>37</v>
      </c>
      <c r="F376" s="313" t="s">
        <v>24</v>
      </c>
      <c r="G376" s="313" t="s">
        <v>24</v>
      </c>
      <c r="H376" s="313" t="s">
        <v>70</v>
      </c>
      <c r="I376" s="313" t="s">
        <v>1521</v>
      </c>
      <c r="J376" s="313" t="s">
        <v>70</v>
      </c>
    </row>
    <row r="377" spans="1:10" x14ac:dyDescent="0.25">
      <c r="A377" s="313" t="s">
        <v>1323</v>
      </c>
      <c r="B377" s="313" t="s">
        <v>1325</v>
      </c>
      <c r="C377" s="313" t="s">
        <v>2271</v>
      </c>
      <c r="D377" s="313" t="s">
        <v>2845</v>
      </c>
      <c r="E377" s="313" t="s">
        <v>54</v>
      </c>
      <c r="F377" s="313" t="s">
        <v>2846</v>
      </c>
      <c r="G377" s="313" t="s">
        <v>24</v>
      </c>
      <c r="H377" s="313" t="s">
        <v>70</v>
      </c>
      <c r="I377" s="313" t="s">
        <v>1521</v>
      </c>
      <c r="J377" s="313" t="s">
        <v>70</v>
      </c>
    </row>
    <row r="378" spans="1:10" x14ac:dyDescent="0.25">
      <c r="A378" s="313" t="s">
        <v>1327</v>
      </c>
      <c r="B378" s="313" t="s">
        <v>1322</v>
      </c>
      <c r="C378" s="313" t="s">
        <v>2271</v>
      </c>
      <c r="D378" s="313" t="s">
        <v>2847</v>
      </c>
      <c r="E378" s="313" t="s">
        <v>37</v>
      </c>
      <c r="F378" s="313" t="s">
        <v>24</v>
      </c>
      <c r="G378" s="313" t="s">
        <v>24</v>
      </c>
      <c r="H378" s="313" t="s">
        <v>70</v>
      </c>
      <c r="I378" s="313" t="s">
        <v>1521</v>
      </c>
      <c r="J378" s="313" t="s">
        <v>70</v>
      </c>
    </row>
    <row r="379" spans="1:10" x14ac:dyDescent="0.25">
      <c r="A379" s="313" t="s">
        <v>1330</v>
      </c>
      <c r="B379" s="313" t="s">
        <v>1332</v>
      </c>
      <c r="C379" s="313" t="s">
        <v>2274</v>
      </c>
      <c r="D379" s="313" t="s">
        <v>2848</v>
      </c>
      <c r="E379" s="313" t="s">
        <v>54</v>
      </c>
      <c r="F379" s="313" t="s">
        <v>2849</v>
      </c>
      <c r="G379" s="313" t="s">
        <v>24</v>
      </c>
      <c r="H379" s="313" t="s">
        <v>70</v>
      </c>
      <c r="I379" s="313" t="s">
        <v>1521</v>
      </c>
      <c r="J379" s="313" t="s">
        <v>70</v>
      </c>
    </row>
    <row r="380" spans="1:10" x14ac:dyDescent="0.25">
      <c r="A380" s="313" t="s">
        <v>1334</v>
      </c>
      <c r="B380" s="313" t="s">
        <v>2850</v>
      </c>
      <c r="C380" s="313" t="s">
        <v>2274</v>
      </c>
      <c r="D380" s="313" t="s">
        <v>2851</v>
      </c>
      <c r="E380" s="313" t="s">
        <v>54</v>
      </c>
      <c r="F380" s="313" t="s">
        <v>2852</v>
      </c>
      <c r="G380" s="313" t="s">
        <v>24</v>
      </c>
      <c r="H380" s="313" t="s">
        <v>70</v>
      </c>
      <c r="I380" s="313" t="s">
        <v>1521</v>
      </c>
      <c r="J380" s="313" t="s">
        <v>70</v>
      </c>
    </row>
    <row r="381" spans="1:10" x14ac:dyDescent="0.25">
      <c r="A381" s="313" t="s">
        <v>1338</v>
      </c>
      <c r="B381" s="313" t="s">
        <v>1339</v>
      </c>
      <c r="C381" s="313" t="s">
        <v>2274</v>
      </c>
      <c r="D381" s="313" t="s">
        <v>2853</v>
      </c>
      <c r="E381" s="313" t="s">
        <v>54</v>
      </c>
      <c r="F381" s="313" t="s">
        <v>2854</v>
      </c>
      <c r="G381" s="313" t="s">
        <v>24</v>
      </c>
      <c r="H381" s="313" t="s">
        <v>70</v>
      </c>
      <c r="I381" s="313" t="s">
        <v>1521</v>
      </c>
      <c r="J381" s="313" t="s">
        <v>70</v>
      </c>
    </row>
    <row r="382" spans="1:10" x14ac:dyDescent="0.25">
      <c r="A382" s="313" t="s">
        <v>1341</v>
      </c>
      <c r="B382" s="313" t="s">
        <v>1343</v>
      </c>
      <c r="C382" s="313" t="s">
        <v>2274</v>
      </c>
      <c r="D382" s="313" t="s">
        <v>2855</v>
      </c>
      <c r="E382" s="313" t="s">
        <v>54</v>
      </c>
      <c r="F382" s="313" t="s">
        <v>2856</v>
      </c>
      <c r="G382" s="313" t="s">
        <v>24</v>
      </c>
      <c r="H382" s="313" t="s">
        <v>70</v>
      </c>
      <c r="I382" s="313" t="s">
        <v>1521</v>
      </c>
      <c r="J382" s="313" t="s">
        <v>70</v>
      </c>
    </row>
    <row r="383" spans="1:10" x14ac:dyDescent="0.25">
      <c r="A383" s="313" t="s">
        <v>1345</v>
      </c>
      <c r="B383" s="313" t="s">
        <v>1346</v>
      </c>
      <c r="C383" s="313" t="s">
        <v>2274</v>
      </c>
      <c r="D383" s="313" t="s">
        <v>2857</v>
      </c>
      <c r="E383" s="313" t="s">
        <v>54</v>
      </c>
      <c r="F383" s="313" t="s">
        <v>2858</v>
      </c>
      <c r="G383" s="313" t="s">
        <v>24</v>
      </c>
      <c r="H383" s="313" t="s">
        <v>70</v>
      </c>
      <c r="I383" s="313" t="s">
        <v>1521</v>
      </c>
      <c r="J383" s="313" t="s">
        <v>70</v>
      </c>
    </row>
    <row r="384" spans="1:10" x14ac:dyDescent="0.25">
      <c r="A384" s="313" t="s">
        <v>1348</v>
      </c>
      <c r="B384" s="313" t="s">
        <v>1349</v>
      </c>
      <c r="C384" s="313" t="s">
        <v>2274</v>
      </c>
      <c r="D384" s="313" t="s">
        <v>2859</v>
      </c>
      <c r="E384" s="313" t="s">
        <v>54</v>
      </c>
      <c r="F384" s="313" t="s">
        <v>2860</v>
      </c>
      <c r="G384" s="313" t="s">
        <v>24</v>
      </c>
      <c r="H384" s="313" t="s">
        <v>70</v>
      </c>
      <c r="I384" s="313" t="s">
        <v>1521</v>
      </c>
      <c r="J384" s="313" t="s">
        <v>70</v>
      </c>
    </row>
    <row r="385" spans="1:10" x14ac:dyDescent="0.25">
      <c r="A385" s="313" t="s">
        <v>1351</v>
      </c>
      <c r="B385" s="313" t="s">
        <v>2861</v>
      </c>
      <c r="C385" s="313" t="s">
        <v>2274</v>
      </c>
      <c r="D385" s="313" t="s">
        <v>2862</v>
      </c>
      <c r="E385" s="313" t="s">
        <v>54</v>
      </c>
      <c r="F385" s="313" t="s">
        <v>2863</v>
      </c>
      <c r="G385" s="313" t="s">
        <v>24</v>
      </c>
      <c r="H385" s="313" t="s">
        <v>70</v>
      </c>
      <c r="I385" s="313" t="s">
        <v>1521</v>
      </c>
      <c r="J385" s="313" t="s">
        <v>70</v>
      </c>
    </row>
    <row r="386" spans="1:10" x14ac:dyDescent="0.25">
      <c r="A386" s="313" t="s">
        <v>1354</v>
      </c>
      <c r="B386" s="313" t="s">
        <v>2864</v>
      </c>
      <c r="C386" s="313" t="s">
        <v>2274</v>
      </c>
      <c r="D386" s="313" t="s">
        <v>2865</v>
      </c>
      <c r="E386" s="313" t="s">
        <v>54</v>
      </c>
      <c r="F386" s="313" t="s">
        <v>2866</v>
      </c>
      <c r="G386" s="313" t="s">
        <v>24</v>
      </c>
      <c r="H386" s="313" t="s">
        <v>70</v>
      </c>
      <c r="I386" s="313" t="s">
        <v>1521</v>
      </c>
      <c r="J386" s="313" t="s">
        <v>70</v>
      </c>
    </row>
    <row r="387" spans="1:10" x14ac:dyDescent="0.25">
      <c r="A387" s="313" t="s">
        <v>1357</v>
      </c>
      <c r="B387" s="313" t="s">
        <v>1359</v>
      </c>
      <c r="C387" s="313" t="s">
        <v>2274</v>
      </c>
      <c r="D387" s="313" t="s">
        <v>2867</v>
      </c>
      <c r="E387" s="313" t="s">
        <v>54</v>
      </c>
      <c r="F387" s="313" t="s">
        <v>2868</v>
      </c>
      <c r="G387" s="313" t="s">
        <v>24</v>
      </c>
      <c r="H387" s="313" t="s">
        <v>70</v>
      </c>
      <c r="I387" s="313" t="s">
        <v>1521</v>
      </c>
      <c r="J387" s="313" t="s">
        <v>70</v>
      </c>
    </row>
    <row r="388" spans="1:10" x14ac:dyDescent="0.25">
      <c r="A388" s="313" t="s">
        <v>1361</v>
      </c>
      <c r="B388" s="313" t="s">
        <v>2869</v>
      </c>
      <c r="C388" s="313" t="s">
        <v>2274</v>
      </c>
      <c r="D388" s="313" t="s">
        <v>2870</v>
      </c>
      <c r="E388" s="313" t="s">
        <v>37</v>
      </c>
      <c r="F388" s="313" t="s">
        <v>24</v>
      </c>
      <c r="G388" s="313" t="s">
        <v>24</v>
      </c>
      <c r="H388" s="313" t="s">
        <v>70</v>
      </c>
      <c r="I388" s="313" t="s">
        <v>1521</v>
      </c>
      <c r="J388" s="313" t="s">
        <v>70</v>
      </c>
    </row>
    <row r="389" spans="1:10" x14ac:dyDescent="0.25">
      <c r="A389" s="313" t="s">
        <v>1363</v>
      </c>
      <c r="B389" s="313" t="s">
        <v>1365</v>
      </c>
      <c r="C389" s="313" t="s">
        <v>2274</v>
      </c>
      <c r="D389" s="313" t="s">
        <v>2871</v>
      </c>
      <c r="E389" s="313" t="s">
        <v>54</v>
      </c>
      <c r="F389" s="313" t="s">
        <v>2872</v>
      </c>
      <c r="G389" s="313" t="s">
        <v>24</v>
      </c>
      <c r="H389" s="313" t="s">
        <v>70</v>
      </c>
      <c r="I389" s="313" t="s">
        <v>1521</v>
      </c>
      <c r="J389" s="313" t="s">
        <v>70</v>
      </c>
    </row>
    <row r="390" spans="1:10" x14ac:dyDescent="0.25">
      <c r="A390" s="313" t="s">
        <v>1367</v>
      </c>
      <c r="B390" s="313" t="s">
        <v>1369</v>
      </c>
      <c r="C390" s="313" t="s">
        <v>2274</v>
      </c>
      <c r="D390" s="313" t="s">
        <v>2873</v>
      </c>
      <c r="E390" s="313" t="s">
        <v>54</v>
      </c>
      <c r="F390" s="313" t="s">
        <v>2874</v>
      </c>
      <c r="G390" s="313" t="s">
        <v>24</v>
      </c>
      <c r="H390" s="313" t="s">
        <v>70</v>
      </c>
      <c r="I390" s="313" t="s">
        <v>1521</v>
      </c>
      <c r="J390" s="313" t="s">
        <v>70</v>
      </c>
    </row>
    <row r="391" spans="1:10" x14ac:dyDescent="0.25">
      <c r="A391" s="313" t="s">
        <v>1371</v>
      </c>
      <c r="B391" s="313" t="s">
        <v>1373</v>
      </c>
      <c r="C391" s="313" t="s">
        <v>2274</v>
      </c>
      <c r="D391" s="313" t="s">
        <v>2875</v>
      </c>
      <c r="E391" s="313" t="s">
        <v>54</v>
      </c>
      <c r="F391" s="313" t="s">
        <v>2876</v>
      </c>
      <c r="G391" s="313" t="s">
        <v>24</v>
      </c>
      <c r="H391" s="313" t="s">
        <v>70</v>
      </c>
      <c r="I391" s="313" t="s">
        <v>1521</v>
      </c>
      <c r="J391" s="313" t="s">
        <v>70</v>
      </c>
    </row>
    <row r="392" spans="1:10" x14ac:dyDescent="0.25">
      <c r="A392" s="313" t="s">
        <v>1377</v>
      </c>
      <c r="B392" s="313" t="s">
        <v>2877</v>
      </c>
      <c r="C392" s="313" t="s">
        <v>2277</v>
      </c>
      <c r="D392" s="313" t="s">
        <v>2878</v>
      </c>
      <c r="E392" s="313" t="s">
        <v>54</v>
      </c>
      <c r="F392" s="313" t="s">
        <v>2879</v>
      </c>
      <c r="G392" s="313" t="s">
        <v>24</v>
      </c>
      <c r="H392" s="313" t="s">
        <v>70</v>
      </c>
      <c r="I392" s="313" t="s">
        <v>1521</v>
      </c>
      <c r="J392" s="313" t="s">
        <v>70</v>
      </c>
    </row>
    <row r="393" spans="1:10" x14ac:dyDescent="0.25">
      <c r="A393" s="313" t="s">
        <v>1381</v>
      </c>
      <c r="B393" s="313" t="s">
        <v>2880</v>
      </c>
      <c r="C393" s="313" t="s">
        <v>2277</v>
      </c>
      <c r="D393" s="313" t="s">
        <v>2881</v>
      </c>
      <c r="E393" s="313" t="s">
        <v>54</v>
      </c>
      <c r="F393" s="313" t="s">
        <v>2882</v>
      </c>
      <c r="G393" s="313" t="s">
        <v>24</v>
      </c>
      <c r="H393" s="313" t="s">
        <v>70</v>
      </c>
      <c r="I393" s="313" t="s">
        <v>1521</v>
      </c>
      <c r="J393" s="313" t="s">
        <v>70</v>
      </c>
    </row>
    <row r="394" spans="1:10" x14ac:dyDescent="0.25">
      <c r="A394" s="313" t="s">
        <v>1385</v>
      </c>
      <c r="B394" s="313" t="s">
        <v>1386</v>
      </c>
      <c r="C394" s="313" t="s">
        <v>2277</v>
      </c>
      <c r="D394" s="313" t="s">
        <v>2883</v>
      </c>
      <c r="E394" s="313" t="s">
        <v>37</v>
      </c>
      <c r="F394" s="313" t="s">
        <v>24</v>
      </c>
      <c r="G394" s="313" t="s">
        <v>24</v>
      </c>
      <c r="H394" s="313" t="s">
        <v>70</v>
      </c>
      <c r="I394" s="313" t="s">
        <v>1521</v>
      </c>
      <c r="J394" s="313" t="s">
        <v>70</v>
      </c>
    </row>
    <row r="395" spans="1:10" x14ac:dyDescent="0.25">
      <c r="A395" s="313" t="s">
        <v>1389</v>
      </c>
      <c r="B395" s="313" t="s">
        <v>2884</v>
      </c>
      <c r="C395" s="313" t="s">
        <v>2280</v>
      </c>
      <c r="D395" s="313" t="s">
        <v>2885</v>
      </c>
      <c r="E395" s="313" t="s">
        <v>48</v>
      </c>
      <c r="F395" s="313" t="s">
        <v>2886</v>
      </c>
      <c r="G395" s="314" t="s">
        <v>44</v>
      </c>
      <c r="H395" s="313" t="s">
        <v>70</v>
      </c>
      <c r="I395" s="313" t="s">
        <v>1521</v>
      </c>
      <c r="J395" s="313" t="s">
        <v>70</v>
      </c>
    </row>
    <row r="396" spans="1:10" x14ac:dyDescent="0.25">
      <c r="A396" s="313" t="s">
        <v>1393</v>
      </c>
      <c r="B396" s="313" t="s">
        <v>2887</v>
      </c>
      <c r="C396" s="313" t="s">
        <v>2280</v>
      </c>
      <c r="D396" s="313" t="s">
        <v>2888</v>
      </c>
      <c r="E396" s="313" t="s">
        <v>37</v>
      </c>
      <c r="F396" s="313" t="s">
        <v>24</v>
      </c>
      <c r="G396" s="313" t="s">
        <v>24</v>
      </c>
      <c r="H396" s="313" t="s">
        <v>70</v>
      </c>
      <c r="I396" s="313" t="s">
        <v>1521</v>
      </c>
      <c r="J396" s="313" t="s">
        <v>70</v>
      </c>
    </row>
    <row r="397" spans="1:10" x14ac:dyDescent="0.25">
      <c r="A397" s="313" t="s">
        <v>1397</v>
      </c>
      <c r="B397" s="313" t="s">
        <v>1399</v>
      </c>
      <c r="C397" s="313" t="s">
        <v>2283</v>
      </c>
      <c r="D397" s="313" t="s">
        <v>2889</v>
      </c>
      <c r="E397" s="313" t="s">
        <v>54</v>
      </c>
      <c r="F397" s="313" t="s">
        <v>2890</v>
      </c>
      <c r="G397" s="313" t="s">
        <v>24</v>
      </c>
      <c r="H397" s="313" t="s">
        <v>1521</v>
      </c>
      <c r="I397" s="313" t="s">
        <v>1521</v>
      </c>
      <c r="J397" s="313" t="s">
        <v>70</v>
      </c>
    </row>
    <row r="398" spans="1:10" x14ac:dyDescent="0.25">
      <c r="A398" s="313" t="s">
        <v>1401</v>
      </c>
      <c r="B398" s="313" t="s">
        <v>1402</v>
      </c>
      <c r="C398" s="313" t="s">
        <v>2283</v>
      </c>
      <c r="D398" s="313" t="s">
        <v>2891</v>
      </c>
      <c r="E398" s="313" t="s">
        <v>37</v>
      </c>
      <c r="F398" s="313" t="s">
        <v>24</v>
      </c>
      <c r="G398" s="313" t="s">
        <v>24</v>
      </c>
      <c r="H398" s="313" t="s">
        <v>70</v>
      </c>
      <c r="I398" s="313" t="s">
        <v>1521</v>
      </c>
      <c r="J398" s="313" t="s">
        <v>70</v>
      </c>
    </row>
    <row r="399" spans="1:10" x14ac:dyDescent="0.25">
      <c r="A399" s="313" t="s">
        <v>1403</v>
      </c>
      <c r="B399" s="313" t="s">
        <v>1405</v>
      </c>
      <c r="C399" s="313" t="s">
        <v>2283</v>
      </c>
      <c r="D399" s="313" t="s">
        <v>2892</v>
      </c>
      <c r="E399" s="313" t="s">
        <v>48</v>
      </c>
      <c r="F399" s="313" t="s">
        <v>2893</v>
      </c>
      <c r="G399" s="313" t="s">
        <v>24</v>
      </c>
      <c r="H399" s="313" t="s">
        <v>70</v>
      </c>
      <c r="I399" s="313" t="s">
        <v>1521</v>
      </c>
      <c r="J399" s="313" t="s">
        <v>70</v>
      </c>
    </row>
    <row r="400" spans="1:10" x14ac:dyDescent="0.25">
      <c r="A400" s="313" t="s">
        <v>1407</v>
      </c>
      <c r="B400" s="313" t="s">
        <v>1409</v>
      </c>
      <c r="C400" s="313" t="s">
        <v>2283</v>
      </c>
      <c r="D400" s="313" t="s">
        <v>2894</v>
      </c>
      <c r="E400" s="313" t="s">
        <v>54</v>
      </c>
      <c r="F400" s="313" t="s">
        <v>2895</v>
      </c>
      <c r="G400" s="313" t="s">
        <v>24</v>
      </c>
      <c r="H400" s="313" t="s">
        <v>70</v>
      </c>
      <c r="I400" s="313" t="s">
        <v>1521</v>
      </c>
      <c r="J400" s="313" t="s">
        <v>70</v>
      </c>
    </row>
    <row r="401" spans="1:10" x14ac:dyDescent="0.25">
      <c r="A401" s="313" t="s">
        <v>1411</v>
      </c>
      <c r="B401" s="313" t="s">
        <v>1413</v>
      </c>
      <c r="C401" s="313" t="s">
        <v>2283</v>
      </c>
      <c r="D401" s="313" t="s">
        <v>2896</v>
      </c>
      <c r="E401" s="313" t="s">
        <v>54</v>
      </c>
      <c r="F401" s="313" t="s">
        <v>2897</v>
      </c>
      <c r="G401" s="313" t="s">
        <v>24</v>
      </c>
      <c r="H401" s="313" t="s">
        <v>70</v>
      </c>
      <c r="I401" s="313" t="s">
        <v>1521</v>
      </c>
      <c r="J401" s="313" t="s">
        <v>70</v>
      </c>
    </row>
    <row r="402" spans="1:10" x14ac:dyDescent="0.25">
      <c r="A402" s="313" t="s">
        <v>1415</v>
      </c>
      <c r="B402" s="313" t="s">
        <v>1416</v>
      </c>
      <c r="C402" s="313" t="s">
        <v>2283</v>
      </c>
      <c r="D402" s="313" t="s">
        <v>2898</v>
      </c>
      <c r="E402" s="313" t="s">
        <v>37</v>
      </c>
      <c r="F402" s="313" t="s">
        <v>24</v>
      </c>
      <c r="G402" s="313" t="s">
        <v>24</v>
      </c>
      <c r="H402" s="313" t="s">
        <v>70</v>
      </c>
      <c r="I402" s="313" t="s">
        <v>1521</v>
      </c>
      <c r="J402" s="313" t="s">
        <v>70</v>
      </c>
    </row>
    <row r="403" spans="1:10" x14ac:dyDescent="0.25">
      <c r="A403" s="313" t="s">
        <v>1419</v>
      </c>
      <c r="B403" s="313" t="s">
        <v>1421</v>
      </c>
      <c r="C403" s="313" t="s">
        <v>2286</v>
      </c>
      <c r="D403" s="313" t="s">
        <v>2899</v>
      </c>
      <c r="E403" s="313" t="s">
        <v>48</v>
      </c>
      <c r="F403" s="313" t="s">
        <v>2900</v>
      </c>
      <c r="G403" s="314" t="s">
        <v>44</v>
      </c>
      <c r="H403" s="313" t="s">
        <v>70</v>
      </c>
      <c r="I403" s="313" t="s">
        <v>1521</v>
      </c>
      <c r="J403" s="313" t="s">
        <v>70</v>
      </c>
    </row>
    <row r="404" spans="1:10" x14ac:dyDescent="0.25">
      <c r="A404" s="313" t="s">
        <v>1423</v>
      </c>
      <c r="B404" s="313" t="s">
        <v>1424</v>
      </c>
      <c r="C404" s="313" t="s">
        <v>2286</v>
      </c>
      <c r="D404" s="313" t="s">
        <v>2901</v>
      </c>
      <c r="E404" s="313" t="s">
        <v>37</v>
      </c>
      <c r="F404" s="313" t="s">
        <v>24</v>
      </c>
      <c r="G404" s="313" t="s">
        <v>24</v>
      </c>
      <c r="H404" s="313" t="s">
        <v>70</v>
      </c>
      <c r="I404" s="313" t="s">
        <v>1521</v>
      </c>
      <c r="J404" s="313" t="s">
        <v>70</v>
      </c>
    </row>
    <row r="405" spans="1:10" x14ac:dyDescent="0.25">
      <c r="A405" s="313" t="s">
        <v>1425</v>
      </c>
      <c r="B405" s="313" t="s">
        <v>1427</v>
      </c>
      <c r="C405" s="313" t="s">
        <v>2286</v>
      </c>
      <c r="D405" s="313" t="s">
        <v>2902</v>
      </c>
      <c r="E405" s="313" t="s">
        <v>48</v>
      </c>
      <c r="F405" s="313" t="s">
        <v>2903</v>
      </c>
      <c r="G405" s="314" t="s">
        <v>44</v>
      </c>
      <c r="H405" s="313" t="s">
        <v>70</v>
      </c>
      <c r="I405" s="313" t="s">
        <v>1521</v>
      </c>
      <c r="J405" s="313" t="s">
        <v>70</v>
      </c>
    </row>
    <row r="406" spans="1:10" x14ac:dyDescent="0.25">
      <c r="A406" s="313" t="s">
        <v>1429</v>
      </c>
      <c r="B406" s="313" t="s">
        <v>1430</v>
      </c>
      <c r="C406" s="313" t="s">
        <v>2286</v>
      </c>
      <c r="D406" s="313" t="s">
        <v>2904</v>
      </c>
      <c r="E406" s="313" t="s">
        <v>37</v>
      </c>
      <c r="F406" s="313" t="s">
        <v>24</v>
      </c>
      <c r="G406" s="313" t="s">
        <v>24</v>
      </c>
      <c r="H406" s="313" t="s">
        <v>70</v>
      </c>
      <c r="I406" s="313" t="s">
        <v>1521</v>
      </c>
      <c r="J406" s="313" t="s">
        <v>70</v>
      </c>
    </row>
    <row r="407" spans="1:10" x14ac:dyDescent="0.25">
      <c r="A407" s="313" t="s">
        <v>1431</v>
      </c>
      <c r="B407" s="313" t="s">
        <v>1432</v>
      </c>
      <c r="C407" s="313" t="s">
        <v>2286</v>
      </c>
      <c r="D407" s="313" t="s">
        <v>2905</v>
      </c>
      <c r="E407" s="313" t="s">
        <v>48</v>
      </c>
      <c r="F407" s="313" t="s">
        <v>2903</v>
      </c>
      <c r="G407" s="314" t="s">
        <v>44</v>
      </c>
      <c r="H407" s="313" t="s">
        <v>70</v>
      </c>
      <c r="I407" s="313" t="s">
        <v>1521</v>
      </c>
      <c r="J407" s="313" t="s">
        <v>70</v>
      </c>
    </row>
    <row r="408" spans="1:10" x14ac:dyDescent="0.25">
      <c r="A408" s="313" t="s">
        <v>1433</v>
      </c>
      <c r="B408" s="313" t="s">
        <v>1435</v>
      </c>
      <c r="C408" s="313" t="s">
        <v>2286</v>
      </c>
      <c r="D408" s="313" t="s">
        <v>2906</v>
      </c>
      <c r="E408" s="313" t="s">
        <v>54</v>
      </c>
      <c r="F408" s="313" t="s">
        <v>2907</v>
      </c>
      <c r="G408" s="313" t="s">
        <v>24</v>
      </c>
      <c r="H408" s="313" t="s">
        <v>1521</v>
      </c>
      <c r="I408" s="313" t="s">
        <v>1521</v>
      </c>
      <c r="J408" s="313" t="s">
        <v>70</v>
      </c>
    </row>
    <row r="409" spans="1:10" x14ac:dyDescent="0.25">
      <c r="A409" s="313" t="s">
        <v>1437</v>
      </c>
      <c r="B409" s="313" t="s">
        <v>1438</v>
      </c>
      <c r="C409" s="313" t="s">
        <v>2286</v>
      </c>
      <c r="D409" s="313" t="s">
        <v>2908</v>
      </c>
      <c r="E409" s="313" t="s">
        <v>37</v>
      </c>
      <c r="F409" s="313" t="s">
        <v>24</v>
      </c>
      <c r="G409" s="313" t="s">
        <v>24</v>
      </c>
      <c r="H409" s="313" t="s">
        <v>1521</v>
      </c>
      <c r="I409" s="313" t="s">
        <v>1521</v>
      </c>
      <c r="J409" s="313" t="s">
        <v>70</v>
      </c>
    </row>
    <row r="410" spans="1:10" x14ac:dyDescent="0.25">
      <c r="A410" s="313" t="s">
        <v>1439</v>
      </c>
      <c r="B410" s="313" t="s">
        <v>1440</v>
      </c>
      <c r="C410" s="313" t="s">
        <v>2286</v>
      </c>
      <c r="D410" s="313" t="s">
        <v>2909</v>
      </c>
      <c r="E410" s="313" t="s">
        <v>54</v>
      </c>
      <c r="F410" s="313" t="s">
        <v>2910</v>
      </c>
      <c r="G410" s="313" t="s">
        <v>24</v>
      </c>
      <c r="H410" s="313" t="s">
        <v>1521</v>
      </c>
      <c r="I410" s="313" t="s">
        <v>1521</v>
      </c>
      <c r="J410" s="313" t="s">
        <v>70</v>
      </c>
    </row>
    <row r="411" spans="1:10" x14ac:dyDescent="0.25">
      <c r="A411" s="313" t="s">
        <v>1442</v>
      </c>
      <c r="B411" s="313" t="s">
        <v>1443</v>
      </c>
      <c r="C411" s="313" t="s">
        <v>2286</v>
      </c>
      <c r="D411" s="313" t="s">
        <v>2911</v>
      </c>
      <c r="E411" s="313" t="s">
        <v>1444</v>
      </c>
      <c r="F411" s="313" t="s">
        <v>24</v>
      </c>
      <c r="G411" s="313" t="s">
        <v>24</v>
      </c>
      <c r="H411" s="313" t="s">
        <v>1521</v>
      </c>
      <c r="I411" s="313" t="s">
        <v>1521</v>
      </c>
      <c r="J411" s="313" t="s">
        <v>70</v>
      </c>
    </row>
    <row r="412" spans="1:10" x14ac:dyDescent="0.25">
      <c r="A412" s="313" t="s">
        <v>1446</v>
      </c>
      <c r="B412" s="313" t="s">
        <v>1447</v>
      </c>
      <c r="C412" s="313" t="s">
        <v>2286</v>
      </c>
      <c r="D412" s="313" t="s">
        <v>2912</v>
      </c>
      <c r="E412" s="313" t="s">
        <v>48</v>
      </c>
      <c r="F412" s="313" t="s">
        <v>2913</v>
      </c>
      <c r="G412" s="313" t="s">
        <v>24</v>
      </c>
      <c r="H412" s="313" t="s">
        <v>1521</v>
      </c>
      <c r="I412" s="313" t="s">
        <v>1521</v>
      </c>
      <c r="J412" s="313" t="s">
        <v>70</v>
      </c>
    </row>
    <row r="413" spans="1:10" x14ac:dyDescent="0.25">
      <c r="A413" s="313" t="s">
        <v>1449</v>
      </c>
      <c r="B413" s="313" t="s">
        <v>1450</v>
      </c>
      <c r="C413" s="313" t="s">
        <v>2286</v>
      </c>
      <c r="D413" s="313" t="s">
        <v>2914</v>
      </c>
      <c r="E413" s="313" t="s">
        <v>48</v>
      </c>
      <c r="F413" s="313" t="s">
        <v>2915</v>
      </c>
      <c r="G413" s="313" t="s">
        <v>24</v>
      </c>
      <c r="H413" s="313" t="s">
        <v>1521</v>
      </c>
      <c r="I413" s="313" t="s">
        <v>1521</v>
      </c>
      <c r="J413" s="313" t="s">
        <v>70</v>
      </c>
    </row>
    <row r="414" spans="1:10" x14ac:dyDescent="0.25">
      <c r="A414" s="313" t="s">
        <v>1454</v>
      </c>
      <c r="B414" s="313" t="s">
        <v>1455</v>
      </c>
      <c r="C414" s="313" t="s">
        <v>2289</v>
      </c>
      <c r="D414" s="313" t="s">
        <v>2916</v>
      </c>
      <c r="E414" s="313" t="s">
        <v>48</v>
      </c>
      <c r="F414" s="313" t="s">
        <v>2917</v>
      </c>
      <c r="G414" s="314" t="s">
        <v>44</v>
      </c>
      <c r="H414" s="313" t="s">
        <v>70</v>
      </c>
      <c r="I414" s="313" t="s">
        <v>1521</v>
      </c>
      <c r="J414" s="313" t="s">
        <v>70</v>
      </c>
    </row>
    <row r="415" spans="1:10" x14ac:dyDescent="0.25">
      <c r="A415" s="313" t="s">
        <v>1457</v>
      </c>
      <c r="B415" s="313" t="s">
        <v>1458</v>
      </c>
      <c r="C415" s="313" t="s">
        <v>2289</v>
      </c>
      <c r="D415" s="313" t="s">
        <v>2918</v>
      </c>
      <c r="E415" s="313" t="s">
        <v>48</v>
      </c>
      <c r="F415" s="313" t="s">
        <v>2919</v>
      </c>
      <c r="G415" s="314" t="s">
        <v>44</v>
      </c>
      <c r="H415" s="313" t="s">
        <v>70</v>
      </c>
      <c r="I415" s="313" t="s">
        <v>1521</v>
      </c>
      <c r="J415" s="313" t="s">
        <v>70</v>
      </c>
    </row>
    <row r="416" spans="1:10" x14ac:dyDescent="0.25">
      <c r="A416" s="313" t="s">
        <v>1460</v>
      </c>
      <c r="B416" s="313" t="s">
        <v>1461</v>
      </c>
      <c r="C416" s="313" t="s">
        <v>2289</v>
      </c>
      <c r="D416" s="313" t="s">
        <v>2920</v>
      </c>
      <c r="E416" s="313" t="s">
        <v>48</v>
      </c>
      <c r="F416" s="313" t="s">
        <v>2921</v>
      </c>
      <c r="G416" s="314" t="s">
        <v>44</v>
      </c>
      <c r="H416" s="313" t="s">
        <v>70</v>
      </c>
      <c r="I416" s="313" t="s">
        <v>1521</v>
      </c>
      <c r="J416" s="313" t="s">
        <v>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0F7EB-8E6C-4359-9217-BB2CEC5B751A}">
  <sheetPr codeName="Feuil12"/>
  <dimension ref="A1:D299"/>
  <sheetViews>
    <sheetView workbookViewId="0"/>
  </sheetViews>
  <sheetFormatPr baseColWidth="10" defaultRowHeight="15" x14ac:dyDescent="0.25"/>
  <sheetData>
    <row r="1" spans="1:4" x14ac:dyDescent="0.25">
      <c r="A1" s="313" t="s">
        <v>2922</v>
      </c>
      <c r="B1" s="313" t="s">
        <v>2923</v>
      </c>
      <c r="C1" s="313" t="s">
        <v>2295</v>
      </c>
      <c r="D1" s="313" t="s">
        <v>2924</v>
      </c>
    </row>
    <row r="2" spans="1:4" x14ac:dyDescent="0.25">
      <c r="A2" s="313" t="s">
        <v>632</v>
      </c>
      <c r="B2" s="313" t="s">
        <v>628</v>
      </c>
      <c r="C2" s="313" t="s">
        <v>1994</v>
      </c>
      <c r="D2" s="313" t="s">
        <v>70</v>
      </c>
    </row>
    <row r="3" spans="1:4" x14ac:dyDescent="0.25">
      <c r="A3" s="313" t="s">
        <v>638</v>
      </c>
      <c r="B3" s="313" t="s">
        <v>634</v>
      </c>
      <c r="C3" s="313" t="s">
        <v>1994</v>
      </c>
      <c r="D3" s="313" t="s">
        <v>1521</v>
      </c>
    </row>
    <row r="4" spans="1:4" x14ac:dyDescent="0.25">
      <c r="A4" s="313" t="s">
        <v>340</v>
      </c>
      <c r="B4" s="313" t="s">
        <v>334</v>
      </c>
      <c r="C4" s="313" t="s">
        <v>1994</v>
      </c>
      <c r="D4" s="313" t="s">
        <v>1995</v>
      </c>
    </row>
    <row r="5" spans="1:4" x14ac:dyDescent="0.25">
      <c r="A5" s="313" t="s">
        <v>344</v>
      </c>
      <c r="B5" s="313" t="s">
        <v>340</v>
      </c>
      <c r="C5" s="313" t="s">
        <v>1994</v>
      </c>
      <c r="D5" s="313" t="s">
        <v>1996</v>
      </c>
    </row>
    <row r="6" spans="1:4" x14ac:dyDescent="0.25">
      <c r="A6" s="313" t="s">
        <v>348</v>
      </c>
      <c r="B6" s="313" t="s">
        <v>334</v>
      </c>
      <c r="C6" s="313" t="s">
        <v>1994</v>
      </c>
      <c r="D6" s="313" t="s">
        <v>1997</v>
      </c>
    </row>
    <row r="7" spans="1:4" x14ac:dyDescent="0.25">
      <c r="A7" s="313" t="s">
        <v>376</v>
      </c>
      <c r="B7" s="313" t="s">
        <v>372</v>
      </c>
      <c r="C7" s="313" t="s">
        <v>1994</v>
      </c>
      <c r="D7" s="313" t="s">
        <v>1521</v>
      </c>
    </row>
    <row r="8" spans="1:4" x14ac:dyDescent="0.25">
      <c r="A8" s="313" t="s">
        <v>380</v>
      </c>
      <c r="B8" s="313" t="s">
        <v>372</v>
      </c>
      <c r="C8" s="313" t="s">
        <v>1994</v>
      </c>
      <c r="D8" s="313" t="s">
        <v>1521</v>
      </c>
    </row>
    <row r="9" spans="1:4" x14ac:dyDescent="0.25">
      <c r="A9" s="313" t="s">
        <v>383</v>
      </c>
      <c r="B9" s="313" t="s">
        <v>376</v>
      </c>
      <c r="C9" s="313" t="s">
        <v>1994</v>
      </c>
      <c r="D9" s="313" t="s">
        <v>1575</v>
      </c>
    </row>
    <row r="10" spans="1:4" x14ac:dyDescent="0.25">
      <c r="A10" s="313" t="s">
        <v>391</v>
      </c>
      <c r="B10" s="313" t="s">
        <v>387</v>
      </c>
      <c r="C10" s="313" t="s">
        <v>1994</v>
      </c>
      <c r="D10" s="313" t="s">
        <v>70</v>
      </c>
    </row>
    <row r="11" spans="1:4" x14ac:dyDescent="0.25">
      <c r="A11" s="313" t="s">
        <v>394</v>
      </c>
      <c r="B11" s="313" t="s">
        <v>391</v>
      </c>
      <c r="C11" s="313" t="s">
        <v>1994</v>
      </c>
      <c r="D11" s="313" t="s">
        <v>1575</v>
      </c>
    </row>
    <row r="12" spans="1:4" x14ac:dyDescent="0.25">
      <c r="A12" s="313" t="s">
        <v>1401</v>
      </c>
      <c r="B12" s="313" t="s">
        <v>1397</v>
      </c>
      <c r="C12" s="313" t="s">
        <v>1994</v>
      </c>
      <c r="D12" s="313" t="s">
        <v>1521</v>
      </c>
    </row>
    <row r="13" spans="1:4" x14ac:dyDescent="0.25">
      <c r="A13" s="313" t="s">
        <v>1403</v>
      </c>
      <c r="B13" s="313" t="s">
        <v>1397</v>
      </c>
      <c r="C13" s="313" t="s">
        <v>1994</v>
      </c>
      <c r="D13" s="313" t="s">
        <v>1521</v>
      </c>
    </row>
    <row r="14" spans="1:4" x14ac:dyDescent="0.25">
      <c r="A14" s="313" t="s">
        <v>418</v>
      </c>
      <c r="B14" s="313" t="s">
        <v>414</v>
      </c>
      <c r="C14" s="313" t="s">
        <v>1994</v>
      </c>
      <c r="D14" s="313" t="s">
        <v>70</v>
      </c>
    </row>
    <row r="15" spans="1:4" x14ac:dyDescent="0.25">
      <c r="A15" s="313" t="s">
        <v>421</v>
      </c>
      <c r="B15" s="313" t="s">
        <v>418</v>
      </c>
      <c r="C15" s="313" t="s">
        <v>1994</v>
      </c>
      <c r="D15" s="313" t="s">
        <v>1575</v>
      </c>
    </row>
    <row r="16" spans="1:4" x14ac:dyDescent="0.25">
      <c r="A16" s="313" t="s">
        <v>441</v>
      </c>
      <c r="B16" s="313" t="s">
        <v>437</v>
      </c>
      <c r="C16" s="313" t="s">
        <v>1994</v>
      </c>
      <c r="D16" s="313" t="s">
        <v>1521</v>
      </c>
    </row>
    <row r="17" spans="1:4" x14ac:dyDescent="0.25">
      <c r="A17" s="313" t="s">
        <v>444</v>
      </c>
      <c r="B17" s="313" t="s">
        <v>441</v>
      </c>
      <c r="C17" s="313" t="s">
        <v>1994</v>
      </c>
      <c r="D17" s="313" t="s">
        <v>1998</v>
      </c>
    </row>
    <row r="18" spans="1:4" x14ac:dyDescent="0.25">
      <c r="A18" s="313" t="s">
        <v>453</v>
      </c>
      <c r="B18" s="313" t="s">
        <v>448</v>
      </c>
      <c r="C18" s="313" t="s">
        <v>1994</v>
      </c>
      <c r="D18" s="313" t="s">
        <v>1999</v>
      </c>
    </row>
    <row r="19" spans="1:4" x14ac:dyDescent="0.25">
      <c r="A19" s="313" t="s">
        <v>451</v>
      </c>
      <c r="B19" s="313" t="s">
        <v>448</v>
      </c>
      <c r="C19" s="313" t="s">
        <v>1994</v>
      </c>
      <c r="D19" s="313" t="s">
        <v>1575</v>
      </c>
    </row>
    <row r="20" spans="1:4" x14ac:dyDescent="0.25">
      <c r="A20" s="313" t="s">
        <v>462</v>
      </c>
      <c r="B20" s="313" t="s">
        <v>458</v>
      </c>
      <c r="C20" s="313" t="s">
        <v>1994</v>
      </c>
      <c r="D20" s="313" t="s">
        <v>70</v>
      </c>
    </row>
    <row r="21" spans="1:4" x14ac:dyDescent="0.25">
      <c r="A21" s="313" t="s">
        <v>446</v>
      </c>
      <c r="B21" s="313" t="s">
        <v>437</v>
      </c>
      <c r="C21" s="313" t="s">
        <v>1994</v>
      </c>
      <c r="D21" s="313" t="s">
        <v>70</v>
      </c>
    </row>
    <row r="22" spans="1:4" x14ac:dyDescent="0.25">
      <c r="A22" s="313" t="s">
        <v>468</v>
      </c>
      <c r="B22" s="313" t="s">
        <v>464</v>
      </c>
      <c r="C22" s="313" t="s">
        <v>1994</v>
      </c>
      <c r="D22" s="313" t="s">
        <v>1521</v>
      </c>
    </row>
    <row r="23" spans="1:4" x14ac:dyDescent="0.25">
      <c r="A23" s="313" t="s">
        <v>649</v>
      </c>
      <c r="B23" s="313" t="s">
        <v>645</v>
      </c>
      <c r="C23" s="313" t="s">
        <v>1994</v>
      </c>
      <c r="D23" s="313" t="s">
        <v>70</v>
      </c>
    </row>
    <row r="24" spans="1:4" x14ac:dyDescent="0.25">
      <c r="A24" s="313" t="s">
        <v>651</v>
      </c>
      <c r="B24" s="313" t="s">
        <v>645</v>
      </c>
      <c r="C24" s="313" t="s">
        <v>1994</v>
      </c>
      <c r="D24" s="313" t="s">
        <v>70</v>
      </c>
    </row>
    <row r="25" spans="1:4" x14ac:dyDescent="0.25">
      <c r="A25" s="313" t="s">
        <v>654</v>
      </c>
      <c r="B25" s="313" t="s">
        <v>651</v>
      </c>
      <c r="C25" s="313" t="s">
        <v>1994</v>
      </c>
      <c r="D25" s="313" t="s">
        <v>1521</v>
      </c>
    </row>
    <row r="26" spans="1:4" x14ac:dyDescent="0.25">
      <c r="A26" s="313" t="s">
        <v>670</v>
      </c>
      <c r="B26" s="313" t="s">
        <v>666</v>
      </c>
      <c r="C26" s="313" t="s">
        <v>1994</v>
      </c>
      <c r="D26" s="313" t="s">
        <v>70</v>
      </c>
    </row>
    <row r="27" spans="1:4" x14ac:dyDescent="0.25">
      <c r="A27" s="313" t="s">
        <v>680</v>
      </c>
      <c r="B27" s="313" t="s">
        <v>676</v>
      </c>
      <c r="C27" s="313" t="s">
        <v>1994</v>
      </c>
      <c r="D27" s="313" t="s">
        <v>1521</v>
      </c>
    </row>
    <row r="28" spans="1:4" x14ac:dyDescent="0.25">
      <c r="A28" s="313" t="s">
        <v>682</v>
      </c>
      <c r="B28" s="313" t="s">
        <v>680</v>
      </c>
      <c r="C28" s="313" t="s">
        <v>1994</v>
      </c>
      <c r="D28" s="313" t="s">
        <v>2000</v>
      </c>
    </row>
    <row r="29" spans="1:4" x14ac:dyDescent="0.25">
      <c r="A29" s="313" t="s">
        <v>685</v>
      </c>
      <c r="B29" s="313" t="s">
        <v>680</v>
      </c>
      <c r="C29" s="313" t="s">
        <v>1994</v>
      </c>
      <c r="D29" s="313" t="s">
        <v>2000</v>
      </c>
    </row>
    <row r="30" spans="1:4" x14ac:dyDescent="0.25">
      <c r="A30" s="313" t="s">
        <v>687</v>
      </c>
      <c r="B30" s="313" t="s">
        <v>680</v>
      </c>
      <c r="C30" s="313" t="s">
        <v>1994</v>
      </c>
      <c r="D30" s="313" t="s">
        <v>2001</v>
      </c>
    </row>
    <row r="31" spans="1:4" x14ac:dyDescent="0.25">
      <c r="A31" s="313" t="s">
        <v>689</v>
      </c>
      <c r="B31" s="313" t="s">
        <v>680</v>
      </c>
      <c r="C31" s="313" t="s">
        <v>1994</v>
      </c>
      <c r="D31" s="313" t="s">
        <v>2001</v>
      </c>
    </row>
    <row r="32" spans="1:4" x14ac:dyDescent="0.25">
      <c r="A32" s="313" t="s">
        <v>698</v>
      </c>
      <c r="B32" s="313" t="s">
        <v>694</v>
      </c>
      <c r="C32" s="313" t="s">
        <v>1994</v>
      </c>
      <c r="D32" s="313" t="s">
        <v>70</v>
      </c>
    </row>
    <row r="33" spans="1:4" x14ac:dyDescent="0.25">
      <c r="A33" s="313" t="s">
        <v>710</v>
      </c>
      <c r="B33" s="313" t="s">
        <v>706</v>
      </c>
      <c r="C33" s="313" t="s">
        <v>1994</v>
      </c>
      <c r="D33" s="313" t="s">
        <v>1521</v>
      </c>
    </row>
    <row r="34" spans="1:4" x14ac:dyDescent="0.25">
      <c r="A34" s="313" t="s">
        <v>712</v>
      </c>
      <c r="B34" s="313" t="s">
        <v>706</v>
      </c>
      <c r="C34" s="313" t="s">
        <v>1994</v>
      </c>
      <c r="D34" s="313" t="s">
        <v>1521</v>
      </c>
    </row>
    <row r="35" spans="1:4" x14ac:dyDescent="0.25">
      <c r="A35" s="313" t="s">
        <v>714</v>
      </c>
      <c r="B35" s="313" t="s">
        <v>706</v>
      </c>
      <c r="C35" s="313" t="s">
        <v>1994</v>
      </c>
      <c r="D35" s="313" t="s">
        <v>1521</v>
      </c>
    </row>
    <row r="36" spans="1:4" x14ac:dyDescent="0.25">
      <c r="A36" s="313" t="s">
        <v>732</v>
      </c>
      <c r="B36" s="313" t="s">
        <v>728</v>
      </c>
      <c r="C36" s="313" t="s">
        <v>1994</v>
      </c>
      <c r="D36" s="313" t="s">
        <v>70</v>
      </c>
    </row>
    <row r="37" spans="1:4" x14ac:dyDescent="0.25">
      <c r="A37" s="313" t="s">
        <v>735</v>
      </c>
      <c r="B37" s="313" t="s">
        <v>728</v>
      </c>
      <c r="C37" s="313" t="s">
        <v>1994</v>
      </c>
      <c r="D37" s="313" t="s">
        <v>70</v>
      </c>
    </row>
    <row r="38" spans="1:4" x14ac:dyDescent="0.25">
      <c r="A38" s="313" t="s">
        <v>737</v>
      </c>
      <c r="B38" s="313" t="s">
        <v>61</v>
      </c>
      <c r="C38" s="313" t="s">
        <v>1994</v>
      </c>
      <c r="D38" s="313" t="s">
        <v>2002</v>
      </c>
    </row>
    <row r="39" spans="1:4" x14ac:dyDescent="0.25">
      <c r="A39" s="313" t="s">
        <v>741</v>
      </c>
      <c r="B39" s="313" t="s">
        <v>737</v>
      </c>
      <c r="C39" s="313" t="s">
        <v>1994</v>
      </c>
      <c r="D39" s="313" t="s">
        <v>1521</v>
      </c>
    </row>
    <row r="40" spans="1:4" x14ac:dyDescent="0.25">
      <c r="A40" s="313" t="s">
        <v>744</v>
      </c>
      <c r="B40" s="313" t="s">
        <v>741</v>
      </c>
      <c r="C40" s="313" t="s">
        <v>1994</v>
      </c>
      <c r="D40" s="313" t="s">
        <v>1998</v>
      </c>
    </row>
    <row r="41" spans="1:4" x14ac:dyDescent="0.25">
      <c r="A41" s="313" t="s">
        <v>750</v>
      </c>
      <c r="B41" s="313" t="s">
        <v>746</v>
      </c>
      <c r="C41" s="313" t="s">
        <v>1994</v>
      </c>
      <c r="D41" s="313" t="s">
        <v>1521</v>
      </c>
    </row>
    <row r="42" spans="1:4" x14ac:dyDescent="0.25">
      <c r="A42" s="313" t="s">
        <v>759</v>
      </c>
      <c r="B42" s="313" t="s">
        <v>756</v>
      </c>
      <c r="C42" s="313" t="s">
        <v>1994</v>
      </c>
      <c r="D42" s="313" t="s">
        <v>1521</v>
      </c>
    </row>
    <row r="43" spans="1:4" x14ac:dyDescent="0.25">
      <c r="A43" s="313" t="s">
        <v>1053</v>
      </c>
      <c r="B43" s="313" t="s">
        <v>1051</v>
      </c>
      <c r="C43" s="313" t="s">
        <v>1994</v>
      </c>
      <c r="D43" s="313" t="s">
        <v>1521</v>
      </c>
    </row>
    <row r="44" spans="1:4" x14ac:dyDescent="0.25">
      <c r="A44" s="313" t="s">
        <v>1056</v>
      </c>
      <c r="B44" s="313" t="s">
        <v>1053</v>
      </c>
      <c r="C44" s="313" t="s">
        <v>1994</v>
      </c>
      <c r="D44" s="313" t="s">
        <v>1521</v>
      </c>
    </row>
    <row r="45" spans="1:4" x14ac:dyDescent="0.25">
      <c r="A45" s="313" t="s">
        <v>1058</v>
      </c>
      <c r="B45" s="313" t="s">
        <v>1051</v>
      </c>
      <c r="C45" s="313" t="s">
        <v>1994</v>
      </c>
      <c r="D45" s="313" t="s">
        <v>1521</v>
      </c>
    </row>
    <row r="46" spans="1:4" x14ac:dyDescent="0.25">
      <c r="A46" s="313" t="s">
        <v>1060</v>
      </c>
      <c r="B46" s="313" t="s">
        <v>1051</v>
      </c>
      <c r="C46" s="313" t="s">
        <v>1994</v>
      </c>
      <c r="D46" s="313" t="s">
        <v>1521</v>
      </c>
    </row>
    <row r="47" spans="1:4" x14ac:dyDescent="0.25">
      <c r="A47" s="313" t="s">
        <v>1063</v>
      </c>
      <c r="B47" s="313" t="s">
        <v>1051</v>
      </c>
      <c r="C47" s="313" t="s">
        <v>1994</v>
      </c>
      <c r="D47" s="313" t="s">
        <v>1521</v>
      </c>
    </row>
    <row r="48" spans="1:4" x14ac:dyDescent="0.25">
      <c r="A48" s="313" t="s">
        <v>1066</v>
      </c>
      <c r="B48" s="313" t="s">
        <v>1063</v>
      </c>
      <c r="C48" s="313" t="s">
        <v>1994</v>
      </c>
      <c r="D48" s="313" t="s">
        <v>1521</v>
      </c>
    </row>
    <row r="49" spans="1:4" x14ac:dyDescent="0.25">
      <c r="A49" s="313" t="s">
        <v>1069</v>
      </c>
      <c r="B49" s="313" t="s">
        <v>1051</v>
      </c>
      <c r="C49" s="313" t="s">
        <v>1994</v>
      </c>
      <c r="D49" s="313" t="s">
        <v>1521</v>
      </c>
    </row>
    <row r="50" spans="1:4" x14ac:dyDescent="0.25">
      <c r="A50" s="313" t="s">
        <v>1071</v>
      </c>
      <c r="B50" s="313" t="s">
        <v>1051</v>
      </c>
      <c r="C50" s="313" t="s">
        <v>1994</v>
      </c>
      <c r="D50" s="313" t="s">
        <v>1521</v>
      </c>
    </row>
    <row r="51" spans="1:4" x14ac:dyDescent="0.25">
      <c r="A51" s="313" t="s">
        <v>1093</v>
      </c>
      <c r="B51" s="313" t="s">
        <v>1090</v>
      </c>
      <c r="C51" s="313" t="s">
        <v>1994</v>
      </c>
      <c r="D51" s="313" t="s">
        <v>865</v>
      </c>
    </row>
    <row r="52" spans="1:4" x14ac:dyDescent="0.25">
      <c r="A52" s="313" t="s">
        <v>1095</v>
      </c>
      <c r="B52" s="313" t="s">
        <v>1090</v>
      </c>
      <c r="C52" s="313" t="s">
        <v>1994</v>
      </c>
      <c r="D52" s="313" t="s">
        <v>1684</v>
      </c>
    </row>
    <row r="53" spans="1:4" x14ac:dyDescent="0.25">
      <c r="A53" s="313" t="s">
        <v>1096</v>
      </c>
      <c r="B53" s="313" t="s">
        <v>1090</v>
      </c>
      <c r="C53" s="313" t="s">
        <v>1994</v>
      </c>
      <c r="D53" s="313" t="s">
        <v>2003</v>
      </c>
    </row>
    <row r="54" spans="1:4" x14ac:dyDescent="0.25">
      <c r="A54" s="313" t="s">
        <v>1097</v>
      </c>
      <c r="B54" s="313" t="s">
        <v>1090</v>
      </c>
      <c r="C54" s="313" t="s">
        <v>1994</v>
      </c>
      <c r="D54" s="313" t="s">
        <v>2004</v>
      </c>
    </row>
    <row r="55" spans="1:4" x14ac:dyDescent="0.25">
      <c r="A55" s="313" t="s">
        <v>1103</v>
      </c>
      <c r="B55" s="313" t="s">
        <v>18</v>
      </c>
      <c r="C55" s="313" t="s">
        <v>1994</v>
      </c>
      <c r="D55" s="313" t="s">
        <v>1466</v>
      </c>
    </row>
    <row r="56" spans="1:4" x14ac:dyDescent="0.25">
      <c r="A56" s="313" t="s">
        <v>1073</v>
      </c>
      <c r="B56" s="313" t="s">
        <v>1051</v>
      </c>
      <c r="C56" s="314" t="s">
        <v>44</v>
      </c>
      <c r="D56" s="313" t="s">
        <v>1521</v>
      </c>
    </row>
    <row r="57" spans="1:4" x14ac:dyDescent="0.25">
      <c r="A57" s="313" t="s">
        <v>482</v>
      </c>
      <c r="B57" s="313" t="s">
        <v>478</v>
      </c>
      <c r="C57" s="313" t="s">
        <v>1994</v>
      </c>
      <c r="D57" s="313" t="s">
        <v>1521</v>
      </c>
    </row>
    <row r="58" spans="1:4" x14ac:dyDescent="0.25">
      <c r="A58" s="313" t="s">
        <v>495</v>
      </c>
      <c r="B58" s="313" t="s">
        <v>492</v>
      </c>
      <c r="C58" s="313" t="s">
        <v>1994</v>
      </c>
      <c r="D58" s="313" t="s">
        <v>1521</v>
      </c>
    </row>
    <row r="59" spans="1:4" x14ac:dyDescent="0.25">
      <c r="A59" s="313" t="s">
        <v>497</v>
      </c>
      <c r="B59" s="313" t="s">
        <v>492</v>
      </c>
      <c r="C59" s="313" t="s">
        <v>1994</v>
      </c>
      <c r="D59" s="313" t="s">
        <v>70</v>
      </c>
    </row>
    <row r="60" spans="1:4" x14ac:dyDescent="0.25">
      <c r="A60" s="313" t="s">
        <v>988</v>
      </c>
      <c r="B60" s="313" t="s">
        <v>881</v>
      </c>
      <c r="C60" s="313" t="s">
        <v>1994</v>
      </c>
      <c r="D60" s="313" t="s">
        <v>2005</v>
      </c>
    </row>
    <row r="61" spans="1:4" x14ac:dyDescent="0.25">
      <c r="A61" s="313" t="s">
        <v>532</v>
      </c>
      <c r="B61" s="313" t="s">
        <v>45</v>
      </c>
      <c r="C61" s="313" t="s">
        <v>1994</v>
      </c>
      <c r="D61" s="313" t="s">
        <v>2006</v>
      </c>
    </row>
    <row r="62" spans="1:4" x14ac:dyDescent="0.25">
      <c r="A62" s="313" t="s">
        <v>527</v>
      </c>
      <c r="B62" s="313" t="s">
        <v>45</v>
      </c>
      <c r="C62" s="313" t="s">
        <v>1994</v>
      </c>
      <c r="D62" s="313" t="s">
        <v>2006</v>
      </c>
    </row>
    <row r="63" spans="1:4" x14ac:dyDescent="0.25">
      <c r="A63" s="313" t="s">
        <v>530</v>
      </c>
      <c r="B63" s="313" t="s">
        <v>527</v>
      </c>
      <c r="C63" s="313" t="s">
        <v>1994</v>
      </c>
      <c r="D63" s="313" t="s">
        <v>1521</v>
      </c>
    </row>
    <row r="64" spans="1:4" x14ac:dyDescent="0.25">
      <c r="A64" s="313" t="s">
        <v>540</v>
      </c>
      <c r="B64" s="313" t="s">
        <v>537</v>
      </c>
      <c r="C64" s="313" t="s">
        <v>1994</v>
      </c>
      <c r="D64" s="313" t="s">
        <v>1521</v>
      </c>
    </row>
    <row r="65" spans="1:4" x14ac:dyDescent="0.25">
      <c r="A65" s="313" t="s">
        <v>545</v>
      </c>
      <c r="B65" s="313" t="s">
        <v>542</v>
      </c>
      <c r="C65" s="313" t="s">
        <v>1994</v>
      </c>
      <c r="D65" s="313" t="s">
        <v>1521</v>
      </c>
    </row>
    <row r="66" spans="1:4" x14ac:dyDescent="0.25">
      <c r="A66" s="313" t="s">
        <v>551</v>
      </c>
      <c r="B66" s="313" t="s">
        <v>547</v>
      </c>
      <c r="C66" s="313" t="s">
        <v>1994</v>
      </c>
      <c r="D66" s="313" t="s">
        <v>1521</v>
      </c>
    </row>
    <row r="67" spans="1:4" x14ac:dyDescent="0.25">
      <c r="A67" s="313" t="s">
        <v>535</v>
      </c>
      <c r="B67" s="313" t="s">
        <v>532</v>
      </c>
      <c r="C67" s="313" t="s">
        <v>1994</v>
      </c>
      <c r="D67" s="313" t="s">
        <v>1521</v>
      </c>
    </row>
    <row r="68" spans="1:4" x14ac:dyDescent="0.25">
      <c r="A68" s="313" t="s">
        <v>561</v>
      </c>
      <c r="B68" s="313" t="s">
        <v>558</v>
      </c>
      <c r="C68" s="313" t="s">
        <v>1994</v>
      </c>
      <c r="D68" s="313" t="s">
        <v>1521</v>
      </c>
    </row>
    <row r="69" spans="1:4" x14ac:dyDescent="0.25">
      <c r="A69" s="313" t="s">
        <v>564</v>
      </c>
      <c r="B69" s="313" t="s">
        <v>558</v>
      </c>
      <c r="C69" s="313" t="s">
        <v>1994</v>
      </c>
      <c r="D69" s="313" t="s">
        <v>1521</v>
      </c>
    </row>
    <row r="70" spans="1:4" x14ac:dyDescent="0.25">
      <c r="A70" s="313" t="s">
        <v>567</v>
      </c>
      <c r="B70" s="313" t="s">
        <v>558</v>
      </c>
      <c r="C70" s="313" t="s">
        <v>1994</v>
      </c>
      <c r="D70" s="313" t="s">
        <v>1521</v>
      </c>
    </row>
    <row r="71" spans="1:4" x14ac:dyDescent="0.25">
      <c r="A71" s="313" t="s">
        <v>514</v>
      </c>
      <c r="B71" s="313" t="s">
        <v>510</v>
      </c>
      <c r="C71" s="313" t="s">
        <v>1994</v>
      </c>
      <c r="D71" s="313" t="s">
        <v>70</v>
      </c>
    </row>
    <row r="72" spans="1:4" x14ac:dyDescent="0.25">
      <c r="A72" s="313" t="s">
        <v>520</v>
      </c>
      <c r="B72" s="313" t="s">
        <v>61</v>
      </c>
      <c r="C72" s="313" t="s">
        <v>1994</v>
      </c>
      <c r="D72" s="313" t="s">
        <v>2002</v>
      </c>
    </row>
    <row r="73" spans="1:4" x14ac:dyDescent="0.25">
      <c r="A73" s="313" t="s">
        <v>778</v>
      </c>
      <c r="B73" s="313" t="s">
        <v>774</v>
      </c>
      <c r="C73" s="313" t="s">
        <v>1994</v>
      </c>
      <c r="D73" s="313" t="s">
        <v>2007</v>
      </c>
    </row>
    <row r="74" spans="1:4" x14ac:dyDescent="0.25">
      <c r="A74" s="313" t="s">
        <v>782</v>
      </c>
      <c r="B74" s="313" t="s">
        <v>778</v>
      </c>
      <c r="C74" s="313" t="s">
        <v>1994</v>
      </c>
      <c r="D74" s="313" t="s">
        <v>1575</v>
      </c>
    </row>
    <row r="75" spans="1:4" x14ac:dyDescent="0.25">
      <c r="A75" s="313" t="s">
        <v>785</v>
      </c>
      <c r="B75" s="313" t="s">
        <v>774</v>
      </c>
      <c r="C75" s="313" t="s">
        <v>1994</v>
      </c>
      <c r="D75" s="313" t="s">
        <v>2008</v>
      </c>
    </row>
    <row r="76" spans="1:4" x14ac:dyDescent="0.25">
      <c r="A76" s="313" t="s">
        <v>793</v>
      </c>
      <c r="B76" s="313" t="s">
        <v>789</v>
      </c>
      <c r="C76" s="313" t="s">
        <v>1994</v>
      </c>
      <c r="D76" s="313" t="s">
        <v>1521</v>
      </c>
    </row>
    <row r="77" spans="1:4" x14ac:dyDescent="0.25">
      <c r="A77" s="313" t="s">
        <v>799</v>
      </c>
      <c r="B77" s="313" t="s">
        <v>795</v>
      </c>
      <c r="C77" s="313" t="s">
        <v>1994</v>
      </c>
      <c r="D77" s="313" t="s">
        <v>1521</v>
      </c>
    </row>
    <row r="78" spans="1:4" x14ac:dyDescent="0.25">
      <c r="A78" s="313" t="s">
        <v>803</v>
      </c>
      <c r="B78" s="313" t="s">
        <v>799</v>
      </c>
      <c r="C78" s="313" t="s">
        <v>1994</v>
      </c>
      <c r="D78" s="313" t="s">
        <v>70</v>
      </c>
    </row>
    <row r="79" spans="1:4" x14ac:dyDescent="0.25">
      <c r="A79" s="313" t="s">
        <v>885</v>
      </c>
      <c r="B79" s="313" t="s">
        <v>881</v>
      </c>
      <c r="C79" s="313" t="s">
        <v>1994</v>
      </c>
      <c r="D79" s="313" t="s">
        <v>2005</v>
      </c>
    </row>
    <row r="80" spans="1:4" x14ac:dyDescent="0.25">
      <c r="A80" s="313" t="s">
        <v>894</v>
      </c>
      <c r="B80" s="313" t="s">
        <v>890</v>
      </c>
      <c r="C80" s="313" t="s">
        <v>1994</v>
      </c>
      <c r="D80" s="313" t="s">
        <v>1521</v>
      </c>
    </row>
    <row r="81" spans="1:4" x14ac:dyDescent="0.25">
      <c r="A81" s="313" t="s">
        <v>898</v>
      </c>
      <c r="B81" s="313" t="s">
        <v>890</v>
      </c>
      <c r="C81" s="313" t="s">
        <v>1994</v>
      </c>
      <c r="D81" s="313" t="s">
        <v>1521</v>
      </c>
    </row>
    <row r="82" spans="1:4" x14ac:dyDescent="0.25">
      <c r="A82" s="313" t="s">
        <v>901</v>
      </c>
      <c r="B82" s="313" t="s">
        <v>890</v>
      </c>
      <c r="C82" s="313" t="s">
        <v>1994</v>
      </c>
      <c r="D82" s="313" t="s">
        <v>1521</v>
      </c>
    </row>
    <row r="83" spans="1:4" x14ac:dyDescent="0.25">
      <c r="A83" s="313" t="s">
        <v>904</v>
      </c>
      <c r="B83" s="313" t="s">
        <v>890</v>
      </c>
      <c r="C83" s="313" t="s">
        <v>1994</v>
      </c>
      <c r="D83" s="313" t="s">
        <v>1521</v>
      </c>
    </row>
    <row r="84" spans="1:4" x14ac:dyDescent="0.25">
      <c r="A84" s="313" t="s">
        <v>1155</v>
      </c>
      <c r="B84" s="313" t="s">
        <v>1151</v>
      </c>
      <c r="C84" s="313" t="s">
        <v>1994</v>
      </c>
      <c r="D84" s="313" t="s">
        <v>1521</v>
      </c>
    </row>
    <row r="85" spans="1:4" x14ac:dyDescent="0.25">
      <c r="A85" s="313" t="s">
        <v>175</v>
      </c>
      <c r="B85" s="313" t="s">
        <v>171</v>
      </c>
      <c r="C85" s="313" t="s">
        <v>1994</v>
      </c>
      <c r="D85" s="313" t="s">
        <v>1521</v>
      </c>
    </row>
    <row r="86" spans="1:4" x14ac:dyDescent="0.25">
      <c r="A86" s="313" t="s">
        <v>1166</v>
      </c>
      <c r="B86" s="313" t="s">
        <v>1163</v>
      </c>
      <c r="C86" s="313" t="s">
        <v>1994</v>
      </c>
      <c r="D86" s="313" t="s">
        <v>2009</v>
      </c>
    </row>
    <row r="87" spans="1:4" x14ac:dyDescent="0.25">
      <c r="A87" s="313" t="s">
        <v>1185</v>
      </c>
      <c r="B87" s="313" t="s">
        <v>1181</v>
      </c>
      <c r="C87" s="313" t="s">
        <v>1994</v>
      </c>
      <c r="D87" s="313" t="s">
        <v>1521</v>
      </c>
    </row>
    <row r="88" spans="1:4" x14ac:dyDescent="0.25">
      <c r="A88" s="313" t="s">
        <v>1194</v>
      </c>
      <c r="B88" s="313" t="s">
        <v>1189</v>
      </c>
      <c r="C88" s="313" t="s">
        <v>1994</v>
      </c>
      <c r="D88" s="313" t="s">
        <v>1521</v>
      </c>
    </row>
    <row r="89" spans="1:4" x14ac:dyDescent="0.25">
      <c r="A89" s="313" t="s">
        <v>1187</v>
      </c>
      <c r="B89" s="313" t="s">
        <v>1181</v>
      </c>
      <c r="C89" s="313" t="s">
        <v>1994</v>
      </c>
      <c r="D89" s="313" t="s">
        <v>70</v>
      </c>
    </row>
    <row r="90" spans="1:4" x14ac:dyDescent="0.25">
      <c r="A90" s="313" t="s">
        <v>833</v>
      </c>
      <c r="B90" s="313" t="s">
        <v>829</v>
      </c>
      <c r="C90" s="313" t="s">
        <v>1994</v>
      </c>
      <c r="D90" s="313" t="s">
        <v>1521</v>
      </c>
    </row>
    <row r="91" spans="1:4" x14ac:dyDescent="0.25">
      <c r="A91" s="313" t="s">
        <v>838</v>
      </c>
      <c r="B91" s="313" t="s">
        <v>835</v>
      </c>
      <c r="C91" s="313" t="s">
        <v>1994</v>
      </c>
      <c r="D91" s="313" t="s">
        <v>1521</v>
      </c>
    </row>
    <row r="92" spans="1:4" x14ac:dyDescent="0.25">
      <c r="A92" s="313" t="s">
        <v>848</v>
      </c>
      <c r="B92" s="313" t="s">
        <v>844</v>
      </c>
      <c r="C92" s="313" t="s">
        <v>1994</v>
      </c>
      <c r="D92" s="313" t="s">
        <v>1521</v>
      </c>
    </row>
    <row r="93" spans="1:4" x14ac:dyDescent="0.25">
      <c r="A93" s="313" t="s">
        <v>180</v>
      </c>
      <c r="B93" s="313" t="s">
        <v>171</v>
      </c>
      <c r="C93" s="313" t="s">
        <v>1994</v>
      </c>
      <c r="D93" s="313" t="s">
        <v>70</v>
      </c>
    </row>
    <row r="94" spans="1:4" x14ac:dyDescent="0.25">
      <c r="A94" s="313" t="s">
        <v>1076</v>
      </c>
      <c r="B94" s="313" t="s">
        <v>1051</v>
      </c>
      <c r="C94" s="313" t="s">
        <v>1994</v>
      </c>
      <c r="D94" s="313" t="s">
        <v>1521</v>
      </c>
    </row>
    <row r="95" spans="1:4" x14ac:dyDescent="0.25">
      <c r="A95" s="313" t="s">
        <v>1079</v>
      </c>
      <c r="B95" s="313" t="s">
        <v>1076</v>
      </c>
      <c r="C95" s="313" t="s">
        <v>1994</v>
      </c>
      <c r="D95" s="313" t="s">
        <v>1521</v>
      </c>
    </row>
    <row r="96" spans="1:4" x14ac:dyDescent="0.25">
      <c r="A96" s="313" t="s">
        <v>1082</v>
      </c>
      <c r="B96" s="313" t="s">
        <v>1051</v>
      </c>
      <c r="C96" s="313" t="s">
        <v>1994</v>
      </c>
      <c r="D96" s="313" t="s">
        <v>1521</v>
      </c>
    </row>
    <row r="97" spans="1:4" x14ac:dyDescent="0.25">
      <c r="A97" s="313" t="s">
        <v>1085</v>
      </c>
      <c r="B97" s="313" t="s">
        <v>1082</v>
      </c>
      <c r="C97" s="313" t="s">
        <v>1994</v>
      </c>
      <c r="D97" s="313" t="s">
        <v>1521</v>
      </c>
    </row>
    <row r="98" spans="1:4" x14ac:dyDescent="0.25">
      <c r="A98" s="313" t="s">
        <v>1293</v>
      </c>
      <c r="B98" s="313" t="s">
        <v>1289</v>
      </c>
      <c r="C98" s="313" t="s">
        <v>1994</v>
      </c>
      <c r="D98" s="313" t="s">
        <v>1521</v>
      </c>
    </row>
    <row r="99" spans="1:4" x14ac:dyDescent="0.25">
      <c r="A99" s="313" t="s">
        <v>1309</v>
      </c>
      <c r="B99" s="313" t="s">
        <v>1306</v>
      </c>
      <c r="C99" s="313" t="s">
        <v>1994</v>
      </c>
      <c r="D99" s="313" t="s">
        <v>1521</v>
      </c>
    </row>
    <row r="100" spans="1:4" x14ac:dyDescent="0.25">
      <c r="A100" s="313" t="s">
        <v>65</v>
      </c>
      <c r="B100" s="313" t="s">
        <v>61</v>
      </c>
      <c r="C100" s="313" t="s">
        <v>1994</v>
      </c>
      <c r="D100" s="313" t="s">
        <v>2012</v>
      </c>
    </row>
    <row r="101" spans="1:4" x14ac:dyDescent="0.25">
      <c r="A101" s="313" t="s">
        <v>80</v>
      </c>
      <c r="B101" s="313" t="s">
        <v>76</v>
      </c>
      <c r="C101" s="313" t="s">
        <v>1994</v>
      </c>
      <c r="D101" s="313" t="s">
        <v>1996</v>
      </c>
    </row>
    <row r="102" spans="1:4" x14ac:dyDescent="0.25">
      <c r="A102" s="313" t="s">
        <v>96</v>
      </c>
      <c r="B102" s="313" t="s">
        <v>92</v>
      </c>
      <c r="C102" s="313" t="s">
        <v>1994</v>
      </c>
      <c r="D102" s="313" t="s">
        <v>70</v>
      </c>
    </row>
    <row r="103" spans="1:4" x14ac:dyDescent="0.25">
      <c r="A103" s="313" t="s">
        <v>99</v>
      </c>
      <c r="B103" s="313" t="s">
        <v>96</v>
      </c>
      <c r="C103" s="313" t="s">
        <v>1994</v>
      </c>
      <c r="D103" s="313" t="s">
        <v>70</v>
      </c>
    </row>
    <row r="104" spans="1:4" x14ac:dyDescent="0.25">
      <c r="A104" s="313" t="s">
        <v>868</v>
      </c>
      <c r="B104" s="313" t="s">
        <v>864</v>
      </c>
      <c r="C104" s="313" t="s">
        <v>1994</v>
      </c>
      <c r="D104" s="313" t="s">
        <v>865</v>
      </c>
    </row>
    <row r="105" spans="1:4" x14ac:dyDescent="0.25">
      <c r="A105" s="313" t="s">
        <v>870</v>
      </c>
      <c r="B105" s="313" t="s">
        <v>864</v>
      </c>
      <c r="C105" s="313" t="s">
        <v>1994</v>
      </c>
      <c r="D105" s="313" t="s">
        <v>1684</v>
      </c>
    </row>
    <row r="106" spans="1:4" x14ac:dyDescent="0.25">
      <c r="A106" s="313" t="s">
        <v>872</v>
      </c>
      <c r="B106" s="313" t="s">
        <v>864</v>
      </c>
      <c r="C106" s="313" t="s">
        <v>1994</v>
      </c>
      <c r="D106" s="313" t="s">
        <v>2003</v>
      </c>
    </row>
    <row r="107" spans="1:4" x14ac:dyDescent="0.25">
      <c r="A107" s="313" t="s">
        <v>874</v>
      </c>
      <c r="B107" s="313" t="s">
        <v>864</v>
      </c>
      <c r="C107" s="313" t="s">
        <v>1994</v>
      </c>
      <c r="D107" s="313" t="s">
        <v>2013</v>
      </c>
    </row>
    <row r="108" spans="1:4" x14ac:dyDescent="0.25">
      <c r="A108" s="313" t="s">
        <v>876</v>
      </c>
      <c r="B108" s="313" t="s">
        <v>864</v>
      </c>
      <c r="C108" s="313" t="s">
        <v>1994</v>
      </c>
      <c r="D108" s="313" t="s">
        <v>2003</v>
      </c>
    </row>
    <row r="109" spans="1:4" x14ac:dyDescent="0.25">
      <c r="A109" s="313" t="s">
        <v>879</v>
      </c>
      <c r="B109" s="313" t="s">
        <v>864</v>
      </c>
      <c r="C109" s="313" t="s">
        <v>1994</v>
      </c>
      <c r="D109" s="313" t="s">
        <v>2004</v>
      </c>
    </row>
    <row r="110" spans="1:4" x14ac:dyDescent="0.25">
      <c r="A110" s="313" t="s">
        <v>863</v>
      </c>
      <c r="B110" s="313" t="s">
        <v>862</v>
      </c>
      <c r="C110" s="313" t="s">
        <v>1994</v>
      </c>
      <c r="D110" s="313" t="s">
        <v>70</v>
      </c>
    </row>
    <row r="111" spans="1:4" x14ac:dyDescent="0.25">
      <c r="A111" s="313" t="s">
        <v>909</v>
      </c>
      <c r="B111" s="313" t="s">
        <v>61</v>
      </c>
      <c r="C111" s="313" t="s">
        <v>1994</v>
      </c>
      <c r="D111" s="313" t="s">
        <v>2002</v>
      </c>
    </row>
    <row r="112" spans="1:4" x14ac:dyDescent="0.25">
      <c r="A112" s="313" t="s">
        <v>913</v>
      </c>
      <c r="B112" s="313" t="s">
        <v>909</v>
      </c>
      <c r="C112" s="313" t="s">
        <v>1994</v>
      </c>
      <c r="D112" s="313" t="s">
        <v>1521</v>
      </c>
    </row>
    <row r="113" spans="1:4" x14ac:dyDescent="0.25">
      <c r="A113" s="313" t="s">
        <v>922</v>
      </c>
      <c r="B113" s="313" t="s">
        <v>918</v>
      </c>
      <c r="C113" s="313" t="s">
        <v>1994</v>
      </c>
      <c r="D113" s="313" t="s">
        <v>1521</v>
      </c>
    </row>
    <row r="114" spans="1:4" x14ac:dyDescent="0.25">
      <c r="A114" s="313" t="s">
        <v>936</v>
      </c>
      <c r="B114" s="313" t="s">
        <v>932</v>
      </c>
      <c r="C114" s="313" t="s">
        <v>1994</v>
      </c>
      <c r="D114" s="313" t="s">
        <v>1521</v>
      </c>
    </row>
    <row r="115" spans="1:4" x14ac:dyDescent="0.25">
      <c r="A115" s="313" t="s">
        <v>946</v>
      </c>
      <c r="B115" s="313" t="s">
        <v>942</v>
      </c>
      <c r="C115" s="313" t="s">
        <v>1994</v>
      </c>
      <c r="D115" s="313" t="s">
        <v>2014</v>
      </c>
    </row>
    <row r="116" spans="1:4" x14ac:dyDescent="0.25">
      <c r="A116" s="313" t="s">
        <v>949</v>
      </c>
      <c r="B116" s="313" t="s">
        <v>942</v>
      </c>
      <c r="C116" s="313" t="s">
        <v>1994</v>
      </c>
      <c r="D116" s="313" t="s">
        <v>2015</v>
      </c>
    </row>
    <row r="117" spans="1:4" x14ac:dyDescent="0.25">
      <c r="A117" s="313" t="s">
        <v>952</v>
      </c>
      <c r="B117" s="313" t="s">
        <v>942</v>
      </c>
      <c r="C117" s="313" t="s">
        <v>1994</v>
      </c>
      <c r="D117" s="313" t="s">
        <v>2016</v>
      </c>
    </row>
    <row r="118" spans="1:4" x14ac:dyDescent="0.25">
      <c r="A118" s="313" t="s">
        <v>954</v>
      </c>
      <c r="B118" s="313" t="s">
        <v>942</v>
      </c>
      <c r="C118" s="313" t="s">
        <v>1994</v>
      </c>
      <c r="D118" s="313" t="s">
        <v>2016</v>
      </c>
    </row>
    <row r="119" spans="1:4" x14ac:dyDescent="0.25">
      <c r="A119" s="313" t="s">
        <v>956</v>
      </c>
      <c r="B119" s="313" t="s">
        <v>942</v>
      </c>
      <c r="C119" s="313" t="s">
        <v>1994</v>
      </c>
      <c r="D119" s="313" t="s">
        <v>2016</v>
      </c>
    </row>
    <row r="120" spans="1:4" x14ac:dyDescent="0.25">
      <c r="A120" s="313" t="s">
        <v>959</v>
      </c>
      <c r="B120" s="313" t="s">
        <v>942</v>
      </c>
      <c r="C120" s="313" t="s">
        <v>1994</v>
      </c>
      <c r="D120" s="313" t="s">
        <v>2016</v>
      </c>
    </row>
    <row r="121" spans="1:4" x14ac:dyDescent="0.25">
      <c r="A121" s="313" t="s">
        <v>962</v>
      </c>
      <c r="B121" s="313" t="s">
        <v>959</v>
      </c>
      <c r="C121" s="313" t="s">
        <v>1994</v>
      </c>
      <c r="D121" s="313" t="s">
        <v>2017</v>
      </c>
    </row>
    <row r="122" spans="1:4" x14ac:dyDescent="0.25">
      <c r="A122" s="313" t="s">
        <v>964</v>
      </c>
      <c r="B122" s="313" t="s">
        <v>942</v>
      </c>
      <c r="C122" s="313" t="s">
        <v>1994</v>
      </c>
      <c r="D122" s="313" t="s">
        <v>2016</v>
      </c>
    </row>
    <row r="123" spans="1:4" x14ac:dyDescent="0.25">
      <c r="A123" s="313" t="s">
        <v>967</v>
      </c>
      <c r="B123" s="313" t="s">
        <v>942</v>
      </c>
      <c r="C123" s="313" t="s">
        <v>1994</v>
      </c>
      <c r="D123" s="313" t="s">
        <v>2018</v>
      </c>
    </row>
    <row r="124" spans="1:4" x14ac:dyDescent="0.25">
      <c r="A124" s="313" t="s">
        <v>969</v>
      </c>
      <c r="B124" s="313" t="s">
        <v>942</v>
      </c>
      <c r="C124" s="313" t="s">
        <v>1994</v>
      </c>
      <c r="D124" s="313" t="s">
        <v>2018</v>
      </c>
    </row>
    <row r="125" spans="1:4" x14ac:dyDescent="0.25">
      <c r="A125" s="313" t="s">
        <v>971</v>
      </c>
      <c r="B125" s="313" t="s">
        <v>942</v>
      </c>
      <c r="C125" s="313" t="s">
        <v>1994</v>
      </c>
      <c r="D125" s="313" t="s">
        <v>2018</v>
      </c>
    </row>
    <row r="126" spans="1:4" x14ac:dyDescent="0.25">
      <c r="A126" s="313" t="s">
        <v>974</v>
      </c>
      <c r="B126" s="313" t="s">
        <v>971</v>
      </c>
      <c r="C126" s="313" t="s">
        <v>1994</v>
      </c>
      <c r="D126" s="313" t="s">
        <v>2017</v>
      </c>
    </row>
    <row r="127" spans="1:4" x14ac:dyDescent="0.25">
      <c r="A127" s="313" t="s">
        <v>977</v>
      </c>
      <c r="B127" s="313" t="s">
        <v>942</v>
      </c>
      <c r="C127" s="313" t="s">
        <v>1994</v>
      </c>
      <c r="D127" s="313" t="s">
        <v>2018</v>
      </c>
    </row>
    <row r="128" spans="1:4" x14ac:dyDescent="0.25">
      <c r="A128" s="313" t="s">
        <v>980</v>
      </c>
      <c r="B128" s="313" t="s">
        <v>942</v>
      </c>
      <c r="C128" s="313" t="s">
        <v>1994</v>
      </c>
      <c r="D128" s="313" t="s">
        <v>2018</v>
      </c>
    </row>
    <row r="129" spans="1:4" x14ac:dyDescent="0.25">
      <c r="A129" s="313" t="s">
        <v>983</v>
      </c>
      <c r="B129" s="313" t="s">
        <v>980</v>
      </c>
      <c r="C129" s="313" t="s">
        <v>1994</v>
      </c>
      <c r="D129" s="313" t="s">
        <v>2017</v>
      </c>
    </row>
    <row r="130" spans="1:4" x14ac:dyDescent="0.25">
      <c r="A130" s="313" t="s">
        <v>991</v>
      </c>
      <c r="B130" s="313" t="s">
        <v>985</v>
      </c>
      <c r="C130" s="313" t="s">
        <v>1994</v>
      </c>
      <c r="D130" s="313" t="s">
        <v>1521</v>
      </c>
    </row>
    <row r="131" spans="1:4" x14ac:dyDescent="0.25">
      <c r="A131" s="313" t="s">
        <v>994</v>
      </c>
      <c r="B131" s="313" t="s">
        <v>985</v>
      </c>
      <c r="C131" s="313" t="s">
        <v>1994</v>
      </c>
      <c r="D131" s="313" t="s">
        <v>1521</v>
      </c>
    </row>
    <row r="132" spans="1:4" x14ac:dyDescent="0.25">
      <c r="A132" s="313" t="s">
        <v>997</v>
      </c>
      <c r="B132" s="313" t="s">
        <v>994</v>
      </c>
      <c r="C132" s="313" t="s">
        <v>1994</v>
      </c>
      <c r="D132" s="313" t="s">
        <v>70</v>
      </c>
    </row>
    <row r="133" spans="1:4" x14ac:dyDescent="0.25">
      <c r="A133" s="313" t="s">
        <v>1004</v>
      </c>
      <c r="B133" s="313" t="s">
        <v>1000</v>
      </c>
      <c r="C133" s="313" t="s">
        <v>1994</v>
      </c>
      <c r="D133" s="313" t="s">
        <v>1521</v>
      </c>
    </row>
    <row r="134" spans="1:4" x14ac:dyDescent="0.25">
      <c r="A134" s="313" t="s">
        <v>1008</v>
      </c>
      <c r="B134" s="313" t="s">
        <v>1004</v>
      </c>
      <c r="C134" s="313" t="s">
        <v>1994</v>
      </c>
      <c r="D134" s="313" t="s">
        <v>1700</v>
      </c>
    </row>
    <row r="135" spans="1:4" x14ac:dyDescent="0.25">
      <c r="A135" s="313" t="s">
        <v>1022</v>
      </c>
      <c r="B135" s="313" t="s">
        <v>1012</v>
      </c>
      <c r="C135" s="313" t="s">
        <v>1994</v>
      </c>
      <c r="D135" s="313" t="s">
        <v>1521</v>
      </c>
    </row>
    <row r="136" spans="1:4" x14ac:dyDescent="0.25">
      <c r="A136" s="313" t="s">
        <v>1015</v>
      </c>
      <c r="B136" s="313" t="s">
        <v>1012</v>
      </c>
      <c r="C136" s="313" t="s">
        <v>1994</v>
      </c>
      <c r="D136" s="313" t="s">
        <v>1521</v>
      </c>
    </row>
    <row r="137" spans="1:4" x14ac:dyDescent="0.25">
      <c r="A137" s="313" t="s">
        <v>1019</v>
      </c>
      <c r="B137" s="313" t="s">
        <v>1012</v>
      </c>
      <c r="C137" s="313" t="s">
        <v>1994</v>
      </c>
      <c r="D137" s="313" t="s">
        <v>1521</v>
      </c>
    </row>
    <row r="138" spans="1:4" x14ac:dyDescent="0.25">
      <c r="A138" s="313" t="s">
        <v>1032</v>
      </c>
      <c r="B138" s="313" t="s">
        <v>1028</v>
      </c>
      <c r="C138" s="313" t="s">
        <v>1994</v>
      </c>
      <c r="D138" s="313" t="s">
        <v>1521</v>
      </c>
    </row>
    <row r="139" spans="1:4" x14ac:dyDescent="0.25">
      <c r="A139" s="313" t="s">
        <v>1036</v>
      </c>
      <c r="B139" s="313" t="s">
        <v>1032</v>
      </c>
      <c r="C139" s="313" t="s">
        <v>1994</v>
      </c>
      <c r="D139" s="313" t="s">
        <v>70</v>
      </c>
    </row>
    <row r="140" spans="1:4" x14ac:dyDescent="0.25">
      <c r="A140" s="313" t="s">
        <v>1038</v>
      </c>
      <c r="B140" s="313" t="s">
        <v>1028</v>
      </c>
      <c r="C140" s="313" t="s">
        <v>1994</v>
      </c>
      <c r="D140" s="313" t="s">
        <v>1521</v>
      </c>
    </row>
    <row r="141" spans="1:4" x14ac:dyDescent="0.25">
      <c r="A141" s="313" t="s">
        <v>1042</v>
      </c>
      <c r="B141" s="313" t="s">
        <v>1028</v>
      </c>
      <c r="C141" s="313" t="s">
        <v>1994</v>
      </c>
      <c r="D141" s="313" t="s">
        <v>1521</v>
      </c>
    </row>
    <row r="142" spans="1:4" x14ac:dyDescent="0.25">
      <c r="A142" s="313" t="s">
        <v>1046</v>
      </c>
      <c r="B142" s="313" t="s">
        <v>1042</v>
      </c>
      <c r="C142" s="313" t="s">
        <v>1994</v>
      </c>
      <c r="D142" s="313" t="s">
        <v>1575</v>
      </c>
    </row>
    <row r="143" spans="1:4" x14ac:dyDescent="0.25">
      <c r="A143" s="313" t="s">
        <v>1114</v>
      </c>
      <c r="B143" s="313" t="s">
        <v>1108</v>
      </c>
      <c r="C143" s="313" t="s">
        <v>1994</v>
      </c>
      <c r="D143" s="313" t="s">
        <v>1521</v>
      </c>
    </row>
    <row r="144" spans="1:4" x14ac:dyDescent="0.25">
      <c r="A144" s="313" t="s">
        <v>1120</v>
      </c>
      <c r="B144" s="313" t="s">
        <v>1116</v>
      </c>
      <c r="C144" s="313" t="s">
        <v>1994</v>
      </c>
      <c r="D144" s="313" t="s">
        <v>1521</v>
      </c>
    </row>
    <row r="145" spans="1:4" x14ac:dyDescent="0.25">
      <c r="A145" s="313" t="s">
        <v>1431</v>
      </c>
      <c r="B145" s="313" t="s">
        <v>1425</v>
      </c>
      <c r="C145" s="313" t="s">
        <v>1994</v>
      </c>
      <c r="D145" s="313" t="s">
        <v>1575</v>
      </c>
    </row>
    <row r="146" spans="1:4" x14ac:dyDescent="0.25">
      <c r="A146" s="313" t="s">
        <v>1209</v>
      </c>
      <c r="B146" s="313" t="s">
        <v>1205</v>
      </c>
      <c r="C146" s="313" t="s">
        <v>1994</v>
      </c>
      <c r="D146" s="313" t="s">
        <v>1521</v>
      </c>
    </row>
    <row r="147" spans="1:4" x14ac:dyDescent="0.25">
      <c r="A147" s="313" t="s">
        <v>1211</v>
      </c>
      <c r="B147" s="313" t="s">
        <v>1205</v>
      </c>
      <c r="C147" s="313" t="s">
        <v>1994</v>
      </c>
      <c r="D147" s="313" t="s">
        <v>1521</v>
      </c>
    </row>
    <row r="148" spans="1:4" x14ac:dyDescent="0.25">
      <c r="A148" s="313" t="s">
        <v>1214</v>
      </c>
      <c r="B148" s="313" t="s">
        <v>61</v>
      </c>
      <c r="C148" s="313" t="s">
        <v>1994</v>
      </c>
      <c r="D148" s="313" t="s">
        <v>2002</v>
      </c>
    </row>
    <row r="149" spans="1:4" x14ac:dyDescent="0.25">
      <c r="A149" s="313" t="s">
        <v>1131</v>
      </c>
      <c r="B149" s="313" t="s">
        <v>1127</v>
      </c>
      <c r="C149" s="313" t="s">
        <v>1994</v>
      </c>
      <c r="D149" s="313" t="s">
        <v>1521</v>
      </c>
    </row>
    <row r="150" spans="1:4" x14ac:dyDescent="0.25">
      <c r="A150" s="313" t="s">
        <v>1134</v>
      </c>
      <c r="B150" s="313" t="s">
        <v>1127</v>
      </c>
      <c r="C150" s="313" t="s">
        <v>1994</v>
      </c>
      <c r="D150" s="313" t="s">
        <v>1521</v>
      </c>
    </row>
    <row r="151" spans="1:4" x14ac:dyDescent="0.25">
      <c r="A151" s="313" t="s">
        <v>1137</v>
      </c>
      <c r="B151" s="313" t="s">
        <v>61</v>
      </c>
      <c r="C151" s="313" t="s">
        <v>1994</v>
      </c>
      <c r="D151" s="313" t="s">
        <v>2002</v>
      </c>
    </row>
    <row r="152" spans="1:4" x14ac:dyDescent="0.25">
      <c r="A152" s="313" t="s">
        <v>1141</v>
      </c>
      <c r="B152" s="313" t="s">
        <v>1137</v>
      </c>
      <c r="C152" s="313" t="s">
        <v>1994</v>
      </c>
      <c r="D152" s="313" t="s">
        <v>1521</v>
      </c>
    </row>
    <row r="153" spans="1:4" x14ac:dyDescent="0.25">
      <c r="A153" s="313" t="s">
        <v>1147</v>
      </c>
      <c r="B153" s="313" t="s">
        <v>1143</v>
      </c>
      <c r="C153" s="313" t="s">
        <v>1994</v>
      </c>
      <c r="D153" s="313" t="s">
        <v>1521</v>
      </c>
    </row>
    <row r="154" spans="1:4" x14ac:dyDescent="0.25">
      <c r="A154" s="313" t="s">
        <v>1239</v>
      </c>
      <c r="B154" s="313" t="s">
        <v>1235</v>
      </c>
      <c r="C154" s="313" t="s">
        <v>1994</v>
      </c>
      <c r="D154" s="313" t="s">
        <v>2025</v>
      </c>
    </row>
    <row r="155" spans="1:4" x14ac:dyDescent="0.25">
      <c r="A155" s="313" t="s">
        <v>1261</v>
      </c>
      <c r="B155" s="313" t="s">
        <v>1257</v>
      </c>
      <c r="C155" s="313" t="s">
        <v>1994</v>
      </c>
      <c r="D155" s="313" t="s">
        <v>2026</v>
      </c>
    </row>
    <row r="156" spans="1:4" x14ac:dyDescent="0.25">
      <c r="A156" s="313" t="s">
        <v>1269</v>
      </c>
      <c r="B156" s="313" t="s">
        <v>1265</v>
      </c>
      <c r="C156" s="313" t="s">
        <v>1994</v>
      </c>
      <c r="D156" s="313" t="s">
        <v>2027</v>
      </c>
    </row>
    <row r="157" spans="1:4" x14ac:dyDescent="0.25">
      <c r="A157" s="313" t="s">
        <v>1277</v>
      </c>
      <c r="B157" s="313" t="s">
        <v>1274</v>
      </c>
      <c r="C157" s="313" t="s">
        <v>1994</v>
      </c>
      <c r="D157" s="313" t="s">
        <v>1521</v>
      </c>
    </row>
    <row r="158" spans="1:4" x14ac:dyDescent="0.25">
      <c r="A158" s="313" t="s">
        <v>1393</v>
      </c>
      <c r="B158" s="313" t="s">
        <v>1389</v>
      </c>
      <c r="C158" s="313" t="s">
        <v>1994</v>
      </c>
      <c r="D158" s="313" t="s">
        <v>2028</v>
      </c>
    </row>
    <row r="159" spans="1:4" x14ac:dyDescent="0.25">
      <c r="A159" s="313" t="s">
        <v>1321</v>
      </c>
      <c r="B159" s="313" t="s">
        <v>1317</v>
      </c>
      <c r="C159" s="313" t="s">
        <v>1994</v>
      </c>
      <c r="D159" s="313" t="s">
        <v>1521</v>
      </c>
    </row>
    <row r="160" spans="1:4" x14ac:dyDescent="0.25">
      <c r="A160" s="313" t="s">
        <v>1415</v>
      </c>
      <c r="B160" s="313" t="s">
        <v>1411</v>
      </c>
      <c r="C160" s="313" t="s">
        <v>1994</v>
      </c>
      <c r="D160" s="313" t="s">
        <v>1521</v>
      </c>
    </row>
    <row r="161" spans="1:4" x14ac:dyDescent="0.25">
      <c r="A161" s="313" t="s">
        <v>1327</v>
      </c>
      <c r="B161" s="313" t="s">
        <v>1323</v>
      </c>
      <c r="C161" s="313" t="s">
        <v>1994</v>
      </c>
      <c r="D161" s="313" t="s">
        <v>1521</v>
      </c>
    </row>
    <row r="162" spans="1:4" x14ac:dyDescent="0.25">
      <c r="A162" s="313" t="s">
        <v>358</v>
      </c>
      <c r="B162" s="313" t="s">
        <v>354</v>
      </c>
      <c r="C162" s="313" t="s">
        <v>1994</v>
      </c>
      <c r="D162" s="313" t="s">
        <v>1521</v>
      </c>
    </row>
    <row r="163" spans="1:4" x14ac:dyDescent="0.25">
      <c r="A163" s="313" t="s">
        <v>360</v>
      </c>
      <c r="B163" s="313" t="s">
        <v>354</v>
      </c>
      <c r="C163" s="313" t="s">
        <v>1994</v>
      </c>
      <c r="D163" s="313" t="s">
        <v>1521</v>
      </c>
    </row>
    <row r="164" spans="1:4" x14ac:dyDescent="0.25">
      <c r="A164" s="313" t="s">
        <v>754</v>
      </c>
      <c r="B164" s="313" t="s">
        <v>750</v>
      </c>
      <c r="C164" s="313" t="s">
        <v>1994</v>
      </c>
      <c r="D164" s="313" t="s">
        <v>70</v>
      </c>
    </row>
    <row r="165" spans="1:4" x14ac:dyDescent="0.25">
      <c r="A165" s="313" t="s">
        <v>73</v>
      </c>
      <c r="B165" s="313" t="s">
        <v>69</v>
      </c>
      <c r="C165" s="313" t="s">
        <v>1994</v>
      </c>
      <c r="D165" s="313" t="s">
        <v>1521</v>
      </c>
    </row>
    <row r="166" spans="1:4" x14ac:dyDescent="0.25">
      <c r="A166" s="313" t="s">
        <v>809</v>
      </c>
      <c r="B166" s="313" t="s">
        <v>805</v>
      </c>
      <c r="C166" s="313" t="s">
        <v>1994</v>
      </c>
      <c r="D166" s="313" t="s">
        <v>1521</v>
      </c>
    </row>
    <row r="167" spans="1:4" x14ac:dyDescent="0.25">
      <c r="A167" s="313" t="s">
        <v>1334</v>
      </c>
      <c r="B167" s="313" t="s">
        <v>1330</v>
      </c>
      <c r="C167" s="313" t="s">
        <v>1994</v>
      </c>
      <c r="D167" s="313" t="s">
        <v>1521</v>
      </c>
    </row>
    <row r="168" spans="1:4" x14ac:dyDescent="0.25">
      <c r="A168" s="313" t="s">
        <v>1338</v>
      </c>
      <c r="B168" s="313" t="s">
        <v>1334</v>
      </c>
      <c r="C168" s="313" t="s">
        <v>1994</v>
      </c>
      <c r="D168" s="313" t="s">
        <v>1521</v>
      </c>
    </row>
    <row r="169" spans="1:4" x14ac:dyDescent="0.25">
      <c r="A169" s="313" t="s">
        <v>615</v>
      </c>
      <c r="B169" s="313" t="s">
        <v>611</v>
      </c>
      <c r="C169" s="313" t="s">
        <v>1994</v>
      </c>
      <c r="D169" s="313" t="s">
        <v>1627</v>
      </c>
    </row>
    <row r="170" spans="1:4" x14ac:dyDescent="0.25">
      <c r="A170" s="313" t="s">
        <v>153</v>
      </c>
      <c r="B170" s="313" t="s">
        <v>149</v>
      </c>
      <c r="C170" s="313" t="s">
        <v>1994</v>
      </c>
      <c r="D170" s="313" t="s">
        <v>1521</v>
      </c>
    </row>
    <row r="171" spans="1:4" x14ac:dyDescent="0.25">
      <c r="A171" s="313" t="s">
        <v>1385</v>
      </c>
      <c r="B171" s="313" t="s">
        <v>1381</v>
      </c>
      <c r="C171" s="313" t="s">
        <v>1994</v>
      </c>
      <c r="D171" s="313" t="s">
        <v>1575</v>
      </c>
    </row>
    <row r="172" spans="1:4" x14ac:dyDescent="0.25">
      <c r="A172" s="313" t="s">
        <v>202</v>
      </c>
      <c r="B172" s="313" t="s">
        <v>198</v>
      </c>
      <c r="C172" s="313" t="s">
        <v>1994</v>
      </c>
      <c r="D172" s="313" t="s">
        <v>70</v>
      </c>
    </row>
    <row r="173" spans="1:4" x14ac:dyDescent="0.25">
      <c r="A173" s="313" t="s">
        <v>262</v>
      </c>
      <c r="B173" s="313" t="s">
        <v>205</v>
      </c>
      <c r="C173" s="313" t="s">
        <v>1994</v>
      </c>
      <c r="D173" s="313" t="s">
        <v>2029</v>
      </c>
    </row>
    <row r="174" spans="1:4" x14ac:dyDescent="0.25">
      <c r="A174" s="313" t="s">
        <v>222</v>
      </c>
      <c r="B174" s="313" t="s">
        <v>205</v>
      </c>
      <c r="C174" s="313" t="s">
        <v>1994</v>
      </c>
      <c r="D174" s="313" t="s">
        <v>2030</v>
      </c>
    </row>
    <row r="175" spans="1:4" x14ac:dyDescent="0.25">
      <c r="A175" s="313" t="s">
        <v>213</v>
      </c>
      <c r="B175" s="313" t="s">
        <v>209</v>
      </c>
      <c r="C175" s="313" t="s">
        <v>1994</v>
      </c>
      <c r="D175" s="313" t="s">
        <v>1549</v>
      </c>
    </row>
    <row r="176" spans="1:4" x14ac:dyDescent="0.25">
      <c r="A176" s="313" t="s">
        <v>262</v>
      </c>
      <c r="B176" s="313" t="s">
        <v>231</v>
      </c>
      <c r="C176" s="313" t="s">
        <v>1994</v>
      </c>
      <c r="D176" s="313" t="s">
        <v>232</v>
      </c>
    </row>
    <row r="177" spans="1:4" x14ac:dyDescent="0.25">
      <c r="A177" s="313" t="s">
        <v>266</v>
      </c>
      <c r="B177" s="313" t="s">
        <v>205</v>
      </c>
      <c r="C177" s="313" t="s">
        <v>1994</v>
      </c>
      <c r="D177" s="313" t="s">
        <v>2029</v>
      </c>
    </row>
    <row r="178" spans="1:4" x14ac:dyDescent="0.25">
      <c r="A178" s="313" t="s">
        <v>266</v>
      </c>
      <c r="B178" s="313" t="s">
        <v>231</v>
      </c>
      <c r="C178" s="313" t="s">
        <v>1994</v>
      </c>
      <c r="D178" s="313" t="s">
        <v>232</v>
      </c>
    </row>
    <row r="179" spans="1:4" x14ac:dyDescent="0.25">
      <c r="A179" s="313" t="s">
        <v>267</v>
      </c>
      <c r="B179" s="313" t="s">
        <v>205</v>
      </c>
      <c r="C179" s="313" t="s">
        <v>1994</v>
      </c>
      <c r="D179" s="313" t="s">
        <v>2029</v>
      </c>
    </row>
    <row r="180" spans="1:4" x14ac:dyDescent="0.25">
      <c r="A180" s="313" t="s">
        <v>257</v>
      </c>
      <c r="B180" s="313" t="s">
        <v>231</v>
      </c>
      <c r="C180" s="313" t="s">
        <v>1994</v>
      </c>
      <c r="D180" s="313" t="s">
        <v>232</v>
      </c>
    </row>
    <row r="181" spans="1:4" x14ac:dyDescent="0.25">
      <c r="A181" s="313" t="s">
        <v>259</v>
      </c>
      <c r="B181" s="313" t="s">
        <v>231</v>
      </c>
      <c r="C181" s="313" t="s">
        <v>1994</v>
      </c>
      <c r="D181" s="313" t="s">
        <v>232</v>
      </c>
    </row>
    <row r="182" spans="1:4" x14ac:dyDescent="0.25">
      <c r="A182" s="313" t="s">
        <v>267</v>
      </c>
      <c r="B182" s="313" t="s">
        <v>231</v>
      </c>
      <c r="C182" s="313" t="s">
        <v>1994</v>
      </c>
      <c r="D182" s="313" t="s">
        <v>232</v>
      </c>
    </row>
    <row r="183" spans="1:4" x14ac:dyDescent="0.25">
      <c r="A183" s="313" t="s">
        <v>270</v>
      </c>
      <c r="B183" s="313" t="s">
        <v>231</v>
      </c>
      <c r="C183" s="313" t="s">
        <v>1994</v>
      </c>
      <c r="D183" s="313" t="s">
        <v>232</v>
      </c>
    </row>
    <row r="184" spans="1:4" x14ac:dyDescent="0.25">
      <c r="A184" s="313" t="s">
        <v>272</v>
      </c>
      <c r="B184" s="313" t="s">
        <v>231</v>
      </c>
      <c r="C184" s="313" t="s">
        <v>1994</v>
      </c>
      <c r="D184" s="313" t="s">
        <v>232</v>
      </c>
    </row>
    <row r="185" spans="1:4" x14ac:dyDescent="0.25">
      <c r="A185" s="313" t="s">
        <v>276</v>
      </c>
      <c r="B185" s="313" t="s">
        <v>231</v>
      </c>
      <c r="C185" s="313" t="s">
        <v>1994</v>
      </c>
      <c r="D185" s="313" t="s">
        <v>232</v>
      </c>
    </row>
    <row r="186" spans="1:4" x14ac:dyDescent="0.25">
      <c r="A186" s="313" t="s">
        <v>235</v>
      </c>
      <c r="B186" s="313" t="s">
        <v>231</v>
      </c>
      <c r="C186" s="313" t="s">
        <v>1994</v>
      </c>
      <c r="D186" s="313" t="s">
        <v>2031</v>
      </c>
    </row>
    <row r="187" spans="1:4" x14ac:dyDescent="0.25">
      <c r="A187" s="313" t="s">
        <v>237</v>
      </c>
      <c r="B187" s="313" t="s">
        <v>231</v>
      </c>
      <c r="C187" s="314" t="s">
        <v>44</v>
      </c>
      <c r="D187" s="313" t="s">
        <v>2031</v>
      </c>
    </row>
    <row r="188" spans="1:4" x14ac:dyDescent="0.25">
      <c r="A188" s="313" t="s">
        <v>239</v>
      </c>
      <c r="B188" s="313" t="s">
        <v>231</v>
      </c>
      <c r="C188" s="313" t="s">
        <v>1994</v>
      </c>
      <c r="D188" s="313" t="s">
        <v>2031</v>
      </c>
    </row>
    <row r="189" spans="1:4" x14ac:dyDescent="0.25">
      <c r="A189" s="313" t="s">
        <v>243</v>
      </c>
      <c r="B189" s="313" t="s">
        <v>231</v>
      </c>
      <c r="C189" s="313" t="s">
        <v>1994</v>
      </c>
      <c r="D189" s="313" t="s">
        <v>2031</v>
      </c>
    </row>
    <row r="190" spans="1:4" x14ac:dyDescent="0.25">
      <c r="A190" s="313" t="s">
        <v>247</v>
      </c>
      <c r="B190" s="313" t="s">
        <v>205</v>
      </c>
      <c r="C190" s="313" t="s">
        <v>1994</v>
      </c>
      <c r="D190" s="313" t="s">
        <v>2029</v>
      </c>
    </row>
    <row r="191" spans="1:4" x14ac:dyDescent="0.25">
      <c r="A191" s="313" t="s">
        <v>247</v>
      </c>
      <c r="B191" s="313" t="s">
        <v>231</v>
      </c>
      <c r="C191" s="313" t="s">
        <v>1994</v>
      </c>
      <c r="D191" s="313" t="s">
        <v>2031</v>
      </c>
    </row>
    <row r="192" spans="1:4" x14ac:dyDescent="0.25">
      <c r="A192" s="313" t="s">
        <v>251</v>
      </c>
      <c r="B192" s="313" t="s">
        <v>231</v>
      </c>
      <c r="C192" s="313" t="s">
        <v>1994</v>
      </c>
      <c r="D192" s="313" t="s">
        <v>2031</v>
      </c>
    </row>
    <row r="193" spans="1:4" x14ac:dyDescent="0.25">
      <c r="A193" s="313" t="s">
        <v>253</v>
      </c>
      <c r="B193" s="313" t="s">
        <v>205</v>
      </c>
      <c r="C193" s="313" t="s">
        <v>1994</v>
      </c>
      <c r="D193" s="313" t="s">
        <v>2029</v>
      </c>
    </row>
    <row r="194" spans="1:4" x14ac:dyDescent="0.25">
      <c r="A194" s="313" t="s">
        <v>253</v>
      </c>
      <c r="B194" s="313" t="s">
        <v>231</v>
      </c>
      <c r="C194" s="313" t="s">
        <v>1994</v>
      </c>
      <c r="D194" s="313" t="s">
        <v>2031</v>
      </c>
    </row>
    <row r="195" spans="1:4" x14ac:dyDescent="0.25">
      <c r="A195" s="313" t="s">
        <v>280</v>
      </c>
      <c r="B195" s="313" t="s">
        <v>276</v>
      </c>
      <c r="C195" s="313" t="s">
        <v>1994</v>
      </c>
      <c r="D195" s="313" t="s">
        <v>1521</v>
      </c>
    </row>
    <row r="196" spans="1:4" x14ac:dyDescent="0.25">
      <c r="A196" s="313" t="s">
        <v>56</v>
      </c>
      <c r="B196" s="313" t="s">
        <v>50</v>
      </c>
      <c r="C196" s="313" t="s">
        <v>1994</v>
      </c>
      <c r="D196" s="313" t="s">
        <v>2032</v>
      </c>
    </row>
    <row r="197" spans="1:4" x14ac:dyDescent="0.25">
      <c r="A197" s="313" t="s">
        <v>288</v>
      </c>
      <c r="B197" s="313" t="s">
        <v>284</v>
      </c>
      <c r="C197" s="313" t="s">
        <v>1994</v>
      </c>
      <c r="D197" s="313" t="s">
        <v>70</v>
      </c>
    </row>
    <row r="198" spans="1:4" x14ac:dyDescent="0.25">
      <c r="A198" s="313" t="s">
        <v>296</v>
      </c>
      <c r="B198" s="313" t="s">
        <v>292</v>
      </c>
      <c r="C198" s="313" t="s">
        <v>1994</v>
      </c>
      <c r="D198" s="313" t="s">
        <v>1575</v>
      </c>
    </row>
    <row r="199" spans="1:4" x14ac:dyDescent="0.25">
      <c r="A199" s="313" t="s">
        <v>302</v>
      </c>
      <c r="B199" s="313" t="s">
        <v>298</v>
      </c>
      <c r="C199" s="313" t="s">
        <v>1994</v>
      </c>
      <c r="D199" s="313" t="s">
        <v>1521</v>
      </c>
    </row>
    <row r="200" spans="1:4" x14ac:dyDescent="0.25">
      <c r="A200" s="313" t="s">
        <v>306</v>
      </c>
      <c r="B200" s="313" t="s">
        <v>298</v>
      </c>
      <c r="C200" s="313" t="s">
        <v>1994</v>
      </c>
      <c r="D200" s="313" t="s">
        <v>1521</v>
      </c>
    </row>
    <row r="201" spans="1:4" x14ac:dyDescent="0.25">
      <c r="A201" s="313" t="s">
        <v>310</v>
      </c>
      <c r="B201" s="313" t="s">
        <v>298</v>
      </c>
      <c r="C201" s="313" t="s">
        <v>1994</v>
      </c>
      <c r="D201" s="313" t="s">
        <v>1521</v>
      </c>
    </row>
    <row r="202" spans="1:4" x14ac:dyDescent="0.25">
      <c r="A202" s="313" t="s">
        <v>314</v>
      </c>
      <c r="B202" s="313" t="s">
        <v>298</v>
      </c>
      <c r="C202" s="313" t="s">
        <v>1994</v>
      </c>
      <c r="D202" s="313" t="s">
        <v>1521</v>
      </c>
    </row>
    <row r="203" spans="1:4" x14ac:dyDescent="0.25">
      <c r="A203" s="313" t="s">
        <v>317</v>
      </c>
      <c r="B203" s="313" t="s">
        <v>314</v>
      </c>
      <c r="C203" s="313" t="s">
        <v>1994</v>
      </c>
      <c r="D203" s="313" t="s">
        <v>70</v>
      </c>
    </row>
    <row r="204" spans="1:4" x14ac:dyDescent="0.25">
      <c r="A204" s="313" t="s">
        <v>323</v>
      </c>
      <c r="B204" s="313" t="s">
        <v>319</v>
      </c>
      <c r="C204" s="313" t="s">
        <v>1994</v>
      </c>
      <c r="D204" s="313" t="s">
        <v>1521</v>
      </c>
    </row>
    <row r="205" spans="1:4" x14ac:dyDescent="0.25">
      <c r="A205" s="313" t="s">
        <v>325</v>
      </c>
      <c r="B205" s="313" t="s">
        <v>319</v>
      </c>
      <c r="C205" s="313" t="s">
        <v>1994</v>
      </c>
      <c r="D205" s="313" t="s">
        <v>1521</v>
      </c>
    </row>
    <row r="206" spans="1:4" x14ac:dyDescent="0.25">
      <c r="A206" s="313" t="s">
        <v>327</v>
      </c>
      <c r="B206" s="313" t="s">
        <v>325</v>
      </c>
      <c r="C206" s="313" t="s">
        <v>1994</v>
      </c>
      <c r="D206" s="313" t="s">
        <v>70</v>
      </c>
    </row>
    <row r="207" spans="1:4" x14ac:dyDescent="0.25">
      <c r="A207" s="313" t="s">
        <v>109</v>
      </c>
      <c r="B207" s="313" t="s">
        <v>105</v>
      </c>
      <c r="C207" s="313" t="s">
        <v>1994</v>
      </c>
      <c r="D207" s="313" t="s">
        <v>1521</v>
      </c>
    </row>
    <row r="208" spans="1:4" x14ac:dyDescent="0.25">
      <c r="A208" s="313" t="s">
        <v>121</v>
      </c>
      <c r="B208" s="313" t="s">
        <v>118</v>
      </c>
      <c r="C208" s="313" t="s">
        <v>1994</v>
      </c>
      <c r="D208" s="313" t="s">
        <v>1521</v>
      </c>
    </row>
    <row r="209" spans="1:4" x14ac:dyDescent="0.25">
      <c r="A209" s="313" t="s">
        <v>124</v>
      </c>
      <c r="B209" s="313" t="s">
        <v>118</v>
      </c>
      <c r="C209" s="313" t="s">
        <v>1994</v>
      </c>
      <c r="D209" s="313" t="s">
        <v>1521</v>
      </c>
    </row>
    <row r="210" spans="1:4" x14ac:dyDescent="0.25">
      <c r="A210" s="313" t="s">
        <v>130</v>
      </c>
      <c r="B210" s="313" t="s">
        <v>126</v>
      </c>
      <c r="C210" s="313" t="s">
        <v>1994</v>
      </c>
      <c r="D210" s="313" t="s">
        <v>1521</v>
      </c>
    </row>
    <row r="211" spans="1:4" x14ac:dyDescent="0.25">
      <c r="A211" s="313" t="s">
        <v>133</v>
      </c>
      <c r="B211" s="313" t="s">
        <v>126</v>
      </c>
      <c r="C211" s="313" t="s">
        <v>1994</v>
      </c>
      <c r="D211" s="313" t="s">
        <v>1521</v>
      </c>
    </row>
    <row r="212" spans="1:4" x14ac:dyDescent="0.25">
      <c r="A212" s="313" t="s">
        <v>626</v>
      </c>
      <c r="B212" s="313" t="s">
        <v>622</v>
      </c>
      <c r="C212" s="313" t="s">
        <v>1994</v>
      </c>
      <c r="D212" s="313" t="s">
        <v>70</v>
      </c>
    </row>
    <row r="213" spans="1:4" x14ac:dyDescent="0.25">
      <c r="A213" s="313" t="s">
        <v>408</v>
      </c>
      <c r="B213" s="313" t="s">
        <v>404</v>
      </c>
      <c r="C213" s="313" t="s">
        <v>1994</v>
      </c>
      <c r="D213" s="313" t="s">
        <v>1521</v>
      </c>
    </row>
    <row r="214" spans="1:4" x14ac:dyDescent="0.25">
      <c r="A214" s="313" t="s">
        <v>411</v>
      </c>
      <c r="B214" s="313" t="s">
        <v>404</v>
      </c>
      <c r="C214" s="313" t="s">
        <v>1994</v>
      </c>
      <c r="D214" s="313" t="s">
        <v>1521</v>
      </c>
    </row>
    <row r="215" spans="1:4" x14ac:dyDescent="0.25">
      <c r="A215" s="313" t="s">
        <v>524</v>
      </c>
      <c r="B215" s="313" t="s">
        <v>61</v>
      </c>
      <c r="C215" s="313" t="s">
        <v>1994</v>
      </c>
      <c r="D215" s="313" t="s">
        <v>2002</v>
      </c>
    </row>
    <row r="216" spans="1:4" x14ac:dyDescent="0.25">
      <c r="A216" s="313" t="s">
        <v>554</v>
      </c>
      <c r="B216" s="313" t="s">
        <v>551</v>
      </c>
      <c r="C216" s="313" t="s">
        <v>1994</v>
      </c>
      <c r="D216" s="313" t="s">
        <v>1575</v>
      </c>
    </row>
    <row r="217" spans="1:4" x14ac:dyDescent="0.25">
      <c r="A217" s="313" t="s">
        <v>575</v>
      </c>
      <c r="B217" s="313" t="s">
        <v>571</v>
      </c>
      <c r="C217" s="313" t="s">
        <v>1994</v>
      </c>
      <c r="D217" s="313" t="s">
        <v>1521</v>
      </c>
    </row>
    <row r="218" spans="1:4" x14ac:dyDescent="0.25">
      <c r="A218" s="313" t="s">
        <v>577</v>
      </c>
      <c r="B218" s="313" t="s">
        <v>571</v>
      </c>
      <c r="C218" s="313" t="s">
        <v>1994</v>
      </c>
      <c r="D218" s="313" t="s">
        <v>1521</v>
      </c>
    </row>
    <row r="219" spans="1:4" x14ac:dyDescent="0.25">
      <c r="A219" s="313" t="s">
        <v>601</v>
      </c>
      <c r="B219" s="313" t="s">
        <v>577</v>
      </c>
      <c r="C219" s="313" t="s">
        <v>1994</v>
      </c>
      <c r="D219" s="313" t="s">
        <v>2035</v>
      </c>
    </row>
    <row r="220" spans="1:4" x14ac:dyDescent="0.25">
      <c r="A220" s="313" t="s">
        <v>604</v>
      </c>
      <c r="B220" s="313" t="s">
        <v>571</v>
      </c>
      <c r="C220" s="313" t="s">
        <v>1994</v>
      </c>
      <c r="D220" s="313" t="s">
        <v>1521</v>
      </c>
    </row>
    <row r="221" spans="1:4" x14ac:dyDescent="0.25">
      <c r="A221" s="313" t="s">
        <v>606</v>
      </c>
      <c r="B221" s="313" t="s">
        <v>577</v>
      </c>
      <c r="C221" s="313" t="s">
        <v>1994</v>
      </c>
      <c r="D221" s="313" t="s">
        <v>2035</v>
      </c>
    </row>
    <row r="222" spans="1:4" x14ac:dyDescent="0.25">
      <c r="A222" s="313" t="s">
        <v>609</v>
      </c>
      <c r="B222" s="313" t="s">
        <v>606</v>
      </c>
      <c r="C222" s="313" t="s">
        <v>1994</v>
      </c>
      <c r="D222" s="313" t="s">
        <v>1575</v>
      </c>
    </row>
    <row r="223" spans="1:4" x14ac:dyDescent="0.25">
      <c r="A223" s="313" t="s">
        <v>611</v>
      </c>
      <c r="B223" s="313" t="s">
        <v>577</v>
      </c>
      <c r="C223" s="313" t="s">
        <v>1994</v>
      </c>
      <c r="D223" s="313" t="s">
        <v>2035</v>
      </c>
    </row>
    <row r="224" spans="1:4" x14ac:dyDescent="0.25">
      <c r="A224" s="313" t="s">
        <v>486</v>
      </c>
      <c r="B224" s="313" t="s">
        <v>482</v>
      </c>
      <c r="C224" s="313" t="s">
        <v>1994</v>
      </c>
      <c r="D224" s="313" t="s">
        <v>2036</v>
      </c>
    </row>
    <row r="225" spans="1:4" x14ac:dyDescent="0.25">
      <c r="A225" s="313" t="s">
        <v>488</v>
      </c>
      <c r="B225" s="313" t="s">
        <v>482</v>
      </c>
      <c r="C225" s="313" t="s">
        <v>1994</v>
      </c>
      <c r="D225" s="313" t="s">
        <v>2037</v>
      </c>
    </row>
    <row r="226" spans="1:4" x14ac:dyDescent="0.25">
      <c r="A226" s="313" t="s">
        <v>147</v>
      </c>
      <c r="B226" s="313" t="s">
        <v>140</v>
      </c>
      <c r="C226" s="313" t="s">
        <v>1994</v>
      </c>
      <c r="D226" s="313" t="s">
        <v>1996</v>
      </c>
    </row>
    <row r="227" spans="1:4" x14ac:dyDescent="0.25">
      <c r="A227" s="313" t="s">
        <v>144</v>
      </c>
      <c r="B227" s="313" t="s">
        <v>140</v>
      </c>
      <c r="C227" s="313" t="s">
        <v>1994</v>
      </c>
      <c r="D227" s="313" t="s">
        <v>2038</v>
      </c>
    </row>
    <row r="228" spans="1:4" x14ac:dyDescent="0.25">
      <c r="A228" s="313" t="s">
        <v>881</v>
      </c>
      <c r="B228" s="313" t="s">
        <v>140</v>
      </c>
      <c r="C228" s="313" t="s">
        <v>1994</v>
      </c>
      <c r="D228" s="313" t="s">
        <v>2039</v>
      </c>
    </row>
    <row r="229" spans="1:4" x14ac:dyDescent="0.25">
      <c r="A229" s="313" t="s">
        <v>147</v>
      </c>
      <c r="B229" s="313" t="s">
        <v>144</v>
      </c>
      <c r="C229" s="313" t="s">
        <v>1994</v>
      </c>
      <c r="D229" s="313" t="s">
        <v>1996</v>
      </c>
    </row>
    <row r="230" spans="1:4" x14ac:dyDescent="0.25">
      <c r="A230" s="313" t="s">
        <v>157</v>
      </c>
      <c r="B230" s="313" t="s">
        <v>153</v>
      </c>
      <c r="C230" s="313" t="s">
        <v>1994</v>
      </c>
      <c r="D230" s="313" t="s">
        <v>1996</v>
      </c>
    </row>
    <row r="231" spans="1:4" x14ac:dyDescent="0.25">
      <c r="A231" s="313" t="s">
        <v>155</v>
      </c>
      <c r="B231" s="313" t="s">
        <v>153</v>
      </c>
      <c r="C231" s="313" t="s">
        <v>1994</v>
      </c>
      <c r="D231" s="313" t="s">
        <v>2038</v>
      </c>
    </row>
    <row r="232" spans="1:4" x14ac:dyDescent="0.25">
      <c r="A232" s="313" t="s">
        <v>881</v>
      </c>
      <c r="B232" s="313" t="s">
        <v>153</v>
      </c>
      <c r="C232" s="313" t="s">
        <v>1994</v>
      </c>
      <c r="D232" s="313" t="s">
        <v>2039</v>
      </c>
    </row>
    <row r="233" spans="1:4" x14ac:dyDescent="0.25">
      <c r="A233" s="313" t="s">
        <v>157</v>
      </c>
      <c r="B233" s="313" t="s">
        <v>155</v>
      </c>
      <c r="C233" s="313" t="s">
        <v>1994</v>
      </c>
      <c r="D233" s="313" t="s">
        <v>1996</v>
      </c>
    </row>
    <row r="234" spans="1:4" x14ac:dyDescent="0.25">
      <c r="A234" s="313" t="s">
        <v>661</v>
      </c>
      <c r="B234" s="313" t="s">
        <v>651</v>
      </c>
      <c r="C234" s="313" t="s">
        <v>1994</v>
      </c>
      <c r="D234" s="313" t="s">
        <v>1521</v>
      </c>
    </row>
    <row r="235" spans="1:4" x14ac:dyDescent="0.25">
      <c r="A235" s="313" t="s">
        <v>581</v>
      </c>
      <c r="B235" s="313" t="s">
        <v>577</v>
      </c>
      <c r="C235" s="313" t="s">
        <v>1994</v>
      </c>
      <c r="D235" s="313" t="s">
        <v>2035</v>
      </c>
    </row>
    <row r="236" spans="1:4" x14ac:dyDescent="0.25">
      <c r="A236" s="313" t="s">
        <v>585</v>
      </c>
      <c r="B236" s="313" t="s">
        <v>581</v>
      </c>
      <c r="C236" s="313" t="s">
        <v>1994</v>
      </c>
      <c r="D236" s="313" t="s">
        <v>2035</v>
      </c>
    </row>
    <row r="237" spans="1:4" x14ac:dyDescent="0.25">
      <c r="A237" s="313" t="s">
        <v>594</v>
      </c>
      <c r="B237" s="313" t="s">
        <v>577</v>
      </c>
      <c r="C237" s="313" t="s">
        <v>1994</v>
      </c>
      <c r="D237" s="313" t="s">
        <v>2035</v>
      </c>
    </row>
    <row r="238" spans="1:4" x14ac:dyDescent="0.25">
      <c r="A238" s="313" t="s">
        <v>596</v>
      </c>
      <c r="B238" s="313" t="s">
        <v>577</v>
      </c>
      <c r="C238" s="313" t="s">
        <v>1994</v>
      </c>
      <c r="D238" s="313" t="s">
        <v>2035</v>
      </c>
    </row>
    <row r="239" spans="1:4" x14ac:dyDescent="0.25">
      <c r="A239" s="313" t="s">
        <v>598</v>
      </c>
      <c r="B239" s="313" t="s">
        <v>577</v>
      </c>
      <c r="C239" s="313" t="s">
        <v>1994</v>
      </c>
      <c r="D239" s="313" t="s">
        <v>2035</v>
      </c>
    </row>
    <row r="240" spans="1:4" x14ac:dyDescent="0.25">
      <c r="A240" s="313" t="s">
        <v>587</v>
      </c>
      <c r="B240" s="313" t="s">
        <v>581</v>
      </c>
      <c r="C240" s="313" t="s">
        <v>1994</v>
      </c>
      <c r="D240" s="313" t="s">
        <v>2040</v>
      </c>
    </row>
    <row r="241" spans="1:4" x14ac:dyDescent="0.25">
      <c r="A241" s="313" t="s">
        <v>591</v>
      </c>
      <c r="B241" s="313" t="s">
        <v>581</v>
      </c>
      <c r="C241" s="313" t="s">
        <v>1994</v>
      </c>
      <c r="D241" s="313" t="s">
        <v>2040</v>
      </c>
    </row>
    <row r="242" spans="1:4" x14ac:dyDescent="0.25">
      <c r="A242" s="313" t="s">
        <v>83</v>
      </c>
      <c r="B242" s="313" t="s">
        <v>80</v>
      </c>
      <c r="C242" s="313" t="s">
        <v>1994</v>
      </c>
      <c r="D242" s="313" t="s">
        <v>1575</v>
      </c>
    </row>
    <row r="243" spans="1:4" x14ac:dyDescent="0.25">
      <c r="A243" s="313" t="s">
        <v>1123</v>
      </c>
      <c r="B243" s="313" t="s">
        <v>1120</v>
      </c>
      <c r="C243" s="313" t="s">
        <v>1994</v>
      </c>
      <c r="D243" s="313" t="s">
        <v>1575</v>
      </c>
    </row>
    <row r="244" spans="1:4" x14ac:dyDescent="0.25">
      <c r="A244" s="313" t="s">
        <v>429</v>
      </c>
      <c r="B244" s="313" t="s">
        <v>425</v>
      </c>
      <c r="C244" s="313" t="s">
        <v>1994</v>
      </c>
      <c r="D244" s="313" t="s">
        <v>1521</v>
      </c>
    </row>
    <row r="245" spans="1:4" x14ac:dyDescent="0.25">
      <c r="A245" s="313" t="s">
        <v>430</v>
      </c>
      <c r="B245" s="313" t="s">
        <v>425</v>
      </c>
      <c r="C245" s="313" t="s">
        <v>1994</v>
      </c>
      <c r="D245" s="313" t="s">
        <v>1521</v>
      </c>
    </row>
    <row r="246" spans="1:4" x14ac:dyDescent="0.25">
      <c r="A246" s="313" t="s">
        <v>1423</v>
      </c>
      <c r="B246" s="313" t="s">
        <v>1419</v>
      </c>
      <c r="C246" s="313" t="s">
        <v>1994</v>
      </c>
      <c r="D246" s="313" t="s">
        <v>1575</v>
      </c>
    </row>
    <row r="247" spans="1:4" x14ac:dyDescent="0.25">
      <c r="A247" s="313" t="s">
        <v>1429</v>
      </c>
      <c r="B247" s="313" t="s">
        <v>1425</v>
      </c>
      <c r="C247" s="313" t="s">
        <v>1994</v>
      </c>
      <c r="D247" s="313" t="s">
        <v>1575</v>
      </c>
    </row>
    <row r="248" spans="1:4" x14ac:dyDescent="0.25">
      <c r="A248" s="313" t="s">
        <v>1361</v>
      </c>
      <c r="B248" s="313" t="s">
        <v>1357</v>
      </c>
      <c r="C248" s="313" t="s">
        <v>1994</v>
      </c>
      <c r="D248" s="313" t="s">
        <v>1575</v>
      </c>
    </row>
    <row r="249" spans="1:4" x14ac:dyDescent="0.25">
      <c r="A249" s="313" t="s">
        <v>136</v>
      </c>
      <c r="B249" s="313" t="s">
        <v>133</v>
      </c>
      <c r="C249" s="313" t="s">
        <v>1994</v>
      </c>
      <c r="D249" s="313" t="s">
        <v>1575</v>
      </c>
    </row>
    <row r="250" spans="1:4" x14ac:dyDescent="0.25">
      <c r="A250" s="313" t="s">
        <v>641</v>
      </c>
      <c r="B250" s="313" t="s">
        <v>638</v>
      </c>
      <c r="C250" s="313" t="s">
        <v>1994</v>
      </c>
      <c r="D250" s="313" t="s">
        <v>1575</v>
      </c>
    </row>
    <row r="251" spans="1:4" x14ac:dyDescent="0.25">
      <c r="A251" s="313" t="s">
        <v>726</v>
      </c>
      <c r="B251" s="313" t="s">
        <v>722</v>
      </c>
      <c r="C251" s="313" t="s">
        <v>1994</v>
      </c>
      <c r="D251" s="313" t="s">
        <v>70</v>
      </c>
    </row>
    <row r="252" spans="1:4" x14ac:dyDescent="0.25">
      <c r="A252" s="313" t="s">
        <v>506</v>
      </c>
      <c r="B252" s="313" t="s">
        <v>503</v>
      </c>
      <c r="C252" s="313" t="s">
        <v>1994</v>
      </c>
      <c r="D252" s="313" t="s">
        <v>2041</v>
      </c>
    </row>
    <row r="253" spans="1:4" x14ac:dyDescent="0.25">
      <c r="A253" s="313" t="s">
        <v>488</v>
      </c>
      <c r="B253" s="313" t="s">
        <v>478</v>
      </c>
      <c r="C253" s="313" t="s">
        <v>1994</v>
      </c>
      <c r="D253" s="313" t="s">
        <v>1521</v>
      </c>
    </row>
    <row r="254" spans="1:4" x14ac:dyDescent="0.25">
      <c r="A254" s="313" t="s">
        <v>486</v>
      </c>
      <c r="B254" s="313" t="s">
        <v>478</v>
      </c>
      <c r="C254" s="313" t="s">
        <v>1994</v>
      </c>
      <c r="D254" s="313" t="s">
        <v>70</v>
      </c>
    </row>
    <row r="255" spans="1:4" x14ac:dyDescent="0.25">
      <c r="A255" s="313" t="s">
        <v>1171</v>
      </c>
      <c r="B255" s="313" t="s">
        <v>1168</v>
      </c>
      <c r="C255" s="313" t="s">
        <v>1994</v>
      </c>
      <c r="D255" s="313" t="s">
        <v>2009</v>
      </c>
    </row>
    <row r="256" spans="1:4" x14ac:dyDescent="0.25">
      <c r="A256" s="313" t="s">
        <v>1192</v>
      </c>
      <c r="B256" s="313" t="s">
        <v>1189</v>
      </c>
      <c r="C256" s="313" t="s">
        <v>1994</v>
      </c>
      <c r="D256" s="313" t="s">
        <v>1521</v>
      </c>
    </row>
    <row r="257" spans="1:4" x14ac:dyDescent="0.25">
      <c r="A257" s="313" t="s">
        <v>1176</v>
      </c>
      <c r="B257" s="313" t="s">
        <v>1172</v>
      </c>
      <c r="C257" s="313" t="s">
        <v>1994</v>
      </c>
      <c r="D257" s="313" t="s">
        <v>1521</v>
      </c>
    </row>
    <row r="258" spans="1:4" x14ac:dyDescent="0.25">
      <c r="A258" s="313" t="s">
        <v>1301</v>
      </c>
      <c r="B258" s="313" t="s">
        <v>101</v>
      </c>
      <c r="C258" s="313" t="s">
        <v>1994</v>
      </c>
      <c r="D258" s="313" t="s">
        <v>1521</v>
      </c>
    </row>
    <row r="259" spans="1:4" x14ac:dyDescent="0.25">
      <c r="A259" s="313" t="s">
        <v>1348</v>
      </c>
      <c r="B259" s="313" t="s">
        <v>1330</v>
      </c>
      <c r="C259" s="313" t="s">
        <v>1994</v>
      </c>
      <c r="D259" s="313" t="s">
        <v>1521</v>
      </c>
    </row>
    <row r="260" spans="1:4" x14ac:dyDescent="0.25">
      <c r="A260" s="313" t="s">
        <v>1351</v>
      </c>
      <c r="B260" s="313" t="s">
        <v>1330</v>
      </c>
      <c r="C260" s="313" t="s">
        <v>1994</v>
      </c>
      <c r="D260" s="313" t="s">
        <v>1521</v>
      </c>
    </row>
    <row r="261" spans="1:4" x14ac:dyDescent="0.25">
      <c r="A261" s="313" t="s">
        <v>216</v>
      </c>
      <c r="B261" s="313" t="s">
        <v>213</v>
      </c>
      <c r="C261" s="313" t="s">
        <v>1994</v>
      </c>
      <c r="D261" s="313" t="s">
        <v>2017</v>
      </c>
    </row>
    <row r="262" spans="1:4" x14ac:dyDescent="0.25">
      <c r="A262" s="313" t="s">
        <v>218</v>
      </c>
      <c r="B262" s="313" t="s">
        <v>213</v>
      </c>
      <c r="C262" s="313" t="s">
        <v>1994</v>
      </c>
      <c r="D262" s="313" t="s">
        <v>2042</v>
      </c>
    </row>
    <row r="263" spans="1:4" x14ac:dyDescent="0.25">
      <c r="A263" s="313" t="s">
        <v>224</v>
      </c>
      <c r="B263" s="313" t="s">
        <v>209</v>
      </c>
      <c r="C263" s="313" t="s">
        <v>1994</v>
      </c>
      <c r="D263" s="313" t="s">
        <v>1549</v>
      </c>
    </row>
    <row r="264" spans="1:4" x14ac:dyDescent="0.25">
      <c r="A264" s="313" t="s">
        <v>227</v>
      </c>
      <c r="B264" s="313" t="s">
        <v>224</v>
      </c>
      <c r="C264" s="313" t="s">
        <v>1994</v>
      </c>
      <c r="D264" s="313" t="s">
        <v>2036</v>
      </c>
    </row>
    <row r="265" spans="1:4" x14ac:dyDescent="0.25">
      <c r="A265" s="313" t="s">
        <v>220</v>
      </c>
      <c r="B265" s="313" t="s">
        <v>209</v>
      </c>
      <c r="C265" s="313" t="s">
        <v>1994</v>
      </c>
      <c r="D265" s="313" t="s">
        <v>1549</v>
      </c>
    </row>
    <row r="266" spans="1:4" x14ac:dyDescent="0.25">
      <c r="A266" s="313" t="s">
        <v>266</v>
      </c>
      <c r="B266" s="313" t="s">
        <v>262</v>
      </c>
      <c r="C266" s="313" t="s">
        <v>1994</v>
      </c>
      <c r="D266" s="313" t="s">
        <v>2029</v>
      </c>
    </row>
    <row r="267" spans="1:4" x14ac:dyDescent="0.25">
      <c r="A267" s="313" t="s">
        <v>267</v>
      </c>
      <c r="B267" s="313" t="s">
        <v>262</v>
      </c>
      <c r="C267" s="313" t="s">
        <v>1994</v>
      </c>
      <c r="D267" s="313" t="s">
        <v>2029</v>
      </c>
    </row>
    <row r="268" spans="1:4" x14ac:dyDescent="0.25">
      <c r="A268" s="313" t="s">
        <v>1439</v>
      </c>
      <c r="B268" s="313" t="s">
        <v>1433</v>
      </c>
      <c r="C268" s="313" t="s">
        <v>1994</v>
      </c>
      <c r="D268" s="313" t="s">
        <v>2036</v>
      </c>
    </row>
    <row r="269" spans="1:4" x14ac:dyDescent="0.25">
      <c r="A269" s="313" t="s">
        <v>532</v>
      </c>
      <c r="B269" s="313" t="s">
        <v>18</v>
      </c>
      <c r="C269" s="313" t="s">
        <v>1994</v>
      </c>
      <c r="D269" s="313" t="s">
        <v>1466</v>
      </c>
    </row>
    <row r="270" spans="1:4" x14ac:dyDescent="0.25">
      <c r="A270" s="313" t="s">
        <v>537</v>
      </c>
      <c r="B270" s="313" t="s">
        <v>18</v>
      </c>
      <c r="C270" s="313" t="s">
        <v>1994</v>
      </c>
      <c r="D270" s="313" t="s">
        <v>1466</v>
      </c>
    </row>
    <row r="271" spans="1:4" x14ac:dyDescent="0.25">
      <c r="A271" s="313" t="s">
        <v>1449</v>
      </c>
      <c r="B271" s="313" t="s">
        <v>1446</v>
      </c>
      <c r="C271" s="313" t="s">
        <v>1994</v>
      </c>
      <c r="D271" s="313" t="s">
        <v>2043</v>
      </c>
    </row>
    <row r="272" spans="1:4" x14ac:dyDescent="0.25">
      <c r="A272" s="313" t="s">
        <v>985</v>
      </c>
      <c r="B272" s="313" t="s">
        <v>942</v>
      </c>
      <c r="C272" s="313" t="s">
        <v>1994</v>
      </c>
      <c r="D272" s="313" t="s">
        <v>2044</v>
      </c>
    </row>
    <row r="273" spans="1:4" x14ac:dyDescent="0.25">
      <c r="A273" s="313" t="s">
        <v>1157</v>
      </c>
      <c r="B273" s="313" t="s">
        <v>1151</v>
      </c>
      <c r="C273" s="313" t="s">
        <v>1994</v>
      </c>
      <c r="D273" s="313" t="s">
        <v>1521</v>
      </c>
    </row>
    <row r="274" spans="1:4" x14ac:dyDescent="0.25">
      <c r="A274" s="313" t="s">
        <v>1160</v>
      </c>
      <c r="B274" s="313" t="s">
        <v>1151</v>
      </c>
      <c r="C274" s="313" t="s">
        <v>1994</v>
      </c>
      <c r="D274" s="313" t="s">
        <v>1521</v>
      </c>
    </row>
    <row r="275" spans="1:4" x14ac:dyDescent="0.25">
      <c r="A275" s="313" t="s">
        <v>819</v>
      </c>
      <c r="B275" s="313" t="s">
        <v>815</v>
      </c>
      <c r="C275" s="313" t="s">
        <v>1994</v>
      </c>
      <c r="D275" s="313" t="s">
        <v>70</v>
      </c>
    </row>
    <row r="276" spans="1:4" x14ac:dyDescent="0.25">
      <c r="A276" s="313" t="s">
        <v>476</v>
      </c>
      <c r="B276" s="313" t="s">
        <v>472</v>
      </c>
      <c r="C276" s="313" t="s">
        <v>1994</v>
      </c>
      <c r="D276" s="313" t="s">
        <v>1521</v>
      </c>
    </row>
    <row r="277" spans="1:4" x14ac:dyDescent="0.25">
      <c r="A277" s="313" t="s">
        <v>478</v>
      </c>
      <c r="B277" s="313" t="s">
        <v>472</v>
      </c>
      <c r="C277" s="313" t="s">
        <v>1994</v>
      </c>
      <c r="D277" s="313" t="s">
        <v>1521</v>
      </c>
    </row>
    <row r="278" spans="1:4" x14ac:dyDescent="0.25">
      <c r="A278" s="313" t="s">
        <v>492</v>
      </c>
      <c r="B278" s="313" t="s">
        <v>472</v>
      </c>
      <c r="C278" s="313" t="s">
        <v>1994</v>
      </c>
      <c r="D278" s="313" t="s">
        <v>1521</v>
      </c>
    </row>
    <row r="279" spans="1:4" x14ac:dyDescent="0.25">
      <c r="A279" s="313" t="s">
        <v>497</v>
      </c>
      <c r="B279" s="313" t="s">
        <v>472</v>
      </c>
      <c r="C279" s="313" t="s">
        <v>1994</v>
      </c>
      <c r="D279" s="313" t="s">
        <v>1521</v>
      </c>
    </row>
    <row r="280" spans="1:4" x14ac:dyDescent="0.25">
      <c r="A280" s="313" t="s">
        <v>499</v>
      </c>
      <c r="B280" s="313" t="s">
        <v>472</v>
      </c>
      <c r="C280" s="313" t="s">
        <v>1994</v>
      </c>
      <c r="D280" s="313" t="s">
        <v>1521</v>
      </c>
    </row>
    <row r="281" spans="1:4" x14ac:dyDescent="0.25">
      <c r="A281" s="313" t="s">
        <v>503</v>
      </c>
      <c r="B281" s="313" t="s">
        <v>472</v>
      </c>
      <c r="C281" s="313" t="s">
        <v>1994</v>
      </c>
      <c r="D281" s="313" t="s">
        <v>1521</v>
      </c>
    </row>
    <row r="282" spans="1:4" x14ac:dyDescent="0.25">
      <c r="A282" s="313" t="s">
        <v>508</v>
      </c>
      <c r="B282" s="313" t="s">
        <v>472</v>
      </c>
      <c r="C282" s="313" t="s">
        <v>1994</v>
      </c>
      <c r="D282" s="313" t="s">
        <v>1521</v>
      </c>
    </row>
    <row r="283" spans="1:4" x14ac:dyDescent="0.25">
      <c r="A283" s="313" t="s">
        <v>510</v>
      </c>
      <c r="B283" s="313" t="s">
        <v>472</v>
      </c>
      <c r="C283" s="313" t="s">
        <v>1994</v>
      </c>
      <c r="D283" s="313" t="s">
        <v>1521</v>
      </c>
    </row>
    <row r="284" spans="1:4" x14ac:dyDescent="0.25">
      <c r="A284" s="313" t="s">
        <v>516</v>
      </c>
      <c r="B284" s="313" t="s">
        <v>472</v>
      </c>
      <c r="C284" s="313" t="s">
        <v>1994</v>
      </c>
      <c r="D284" s="313" t="s">
        <v>1521</v>
      </c>
    </row>
    <row r="285" spans="1:4" x14ac:dyDescent="0.25">
      <c r="A285" s="313" t="s">
        <v>520</v>
      </c>
      <c r="B285" s="313" t="s">
        <v>472</v>
      </c>
      <c r="C285" s="313" t="s">
        <v>1994</v>
      </c>
      <c r="D285" s="313" t="s">
        <v>1521</v>
      </c>
    </row>
    <row r="286" spans="1:4" x14ac:dyDescent="0.25">
      <c r="A286" s="313" t="s">
        <v>524</v>
      </c>
      <c r="B286" s="313" t="s">
        <v>472</v>
      </c>
      <c r="C286" s="313" t="s">
        <v>1994</v>
      </c>
      <c r="D286" s="313" t="s">
        <v>1521</v>
      </c>
    </row>
    <row r="287" spans="1:4" x14ac:dyDescent="0.25">
      <c r="A287" s="313" t="s">
        <v>537</v>
      </c>
      <c r="B287" s="313" t="s">
        <v>472</v>
      </c>
      <c r="C287" s="313" t="s">
        <v>1994</v>
      </c>
      <c r="D287" s="313" t="s">
        <v>1521</v>
      </c>
    </row>
    <row r="288" spans="1:4" x14ac:dyDescent="0.25">
      <c r="A288" s="313" t="s">
        <v>542</v>
      </c>
      <c r="B288" s="313" t="s">
        <v>472</v>
      </c>
      <c r="C288" s="313" t="s">
        <v>1994</v>
      </c>
      <c r="D288" s="313" t="s">
        <v>1521</v>
      </c>
    </row>
    <row r="289" spans="1:4" x14ac:dyDescent="0.25">
      <c r="A289" s="313" t="s">
        <v>547</v>
      </c>
      <c r="B289" s="313" t="s">
        <v>472</v>
      </c>
      <c r="C289" s="313" t="s">
        <v>1994</v>
      </c>
      <c r="D289" s="313" t="s">
        <v>1521</v>
      </c>
    </row>
    <row r="290" spans="1:4" x14ac:dyDescent="0.25">
      <c r="A290" s="313" t="s">
        <v>556</v>
      </c>
      <c r="B290" s="313" t="s">
        <v>472</v>
      </c>
      <c r="C290" s="313" t="s">
        <v>1994</v>
      </c>
      <c r="D290" s="313" t="s">
        <v>1521</v>
      </c>
    </row>
    <row r="291" spans="1:4" x14ac:dyDescent="0.25">
      <c r="A291" s="313" t="s">
        <v>558</v>
      </c>
      <c r="B291" s="313" t="s">
        <v>472</v>
      </c>
      <c r="C291" s="313" t="s">
        <v>1994</v>
      </c>
      <c r="D291" s="313" t="s">
        <v>1521</v>
      </c>
    </row>
    <row r="292" spans="1:4" x14ac:dyDescent="0.25">
      <c r="A292" s="313" t="s">
        <v>569</v>
      </c>
      <c r="B292" s="313" t="s">
        <v>472</v>
      </c>
      <c r="C292" s="313" t="s">
        <v>1994</v>
      </c>
      <c r="D292" s="313" t="s">
        <v>1521</v>
      </c>
    </row>
    <row r="293" spans="1:4" x14ac:dyDescent="0.25">
      <c r="A293" s="313" t="s">
        <v>571</v>
      </c>
      <c r="B293" s="313" t="s">
        <v>472</v>
      </c>
      <c r="C293" s="313" t="s">
        <v>1994</v>
      </c>
      <c r="D293" s="313" t="s">
        <v>1521</v>
      </c>
    </row>
    <row r="294" spans="1:4" x14ac:dyDescent="0.25">
      <c r="A294" s="313" t="s">
        <v>575</v>
      </c>
      <c r="B294" s="313" t="s">
        <v>472</v>
      </c>
      <c r="C294" s="313" t="s">
        <v>1994</v>
      </c>
      <c r="D294" s="313" t="s">
        <v>1521</v>
      </c>
    </row>
    <row r="295" spans="1:4" x14ac:dyDescent="0.25">
      <c r="A295" s="313" t="s">
        <v>581</v>
      </c>
      <c r="B295" s="313" t="s">
        <v>472</v>
      </c>
      <c r="C295" s="313" t="s">
        <v>1994</v>
      </c>
      <c r="D295" s="313" t="s">
        <v>1521</v>
      </c>
    </row>
    <row r="296" spans="1:4" x14ac:dyDescent="0.25">
      <c r="A296" s="313" t="s">
        <v>604</v>
      </c>
      <c r="B296" s="313" t="s">
        <v>472</v>
      </c>
      <c r="C296" s="313" t="s">
        <v>1994</v>
      </c>
      <c r="D296" s="313" t="s">
        <v>1521</v>
      </c>
    </row>
    <row r="297" spans="1:4" x14ac:dyDescent="0.25">
      <c r="A297" s="313" t="s">
        <v>1437</v>
      </c>
      <c r="B297" s="313" t="s">
        <v>1433</v>
      </c>
      <c r="C297" s="313" t="s">
        <v>1994</v>
      </c>
      <c r="D297" s="313" t="s">
        <v>2037</v>
      </c>
    </row>
    <row r="298" spans="1:4" x14ac:dyDescent="0.25">
      <c r="A298" s="313" t="s">
        <v>1354</v>
      </c>
      <c r="B298" s="313" t="s">
        <v>1330</v>
      </c>
      <c r="C298" s="313" t="s">
        <v>1994</v>
      </c>
      <c r="D298" s="313" t="s">
        <v>1521</v>
      </c>
    </row>
    <row r="299" spans="1:4" x14ac:dyDescent="0.25">
      <c r="A299" s="313" t="s">
        <v>1345</v>
      </c>
      <c r="B299" s="313" t="s">
        <v>1341</v>
      </c>
      <c r="C299" s="313" t="s">
        <v>1994</v>
      </c>
      <c r="D299" s="313" t="s">
        <v>1521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0B8D4-859E-4BFF-9B32-8B8FDDEAC8ED}">
  <sheetPr codeName="Feuil13"/>
  <dimension ref="A1:E4084"/>
  <sheetViews>
    <sheetView workbookViewId="0"/>
  </sheetViews>
  <sheetFormatPr baseColWidth="10" defaultRowHeight="15" x14ac:dyDescent="0.25"/>
  <sheetData>
    <row r="1" spans="1:5" x14ac:dyDescent="0.25">
      <c r="A1" s="313" t="s">
        <v>2925</v>
      </c>
      <c r="B1" s="313" t="s">
        <v>2080</v>
      </c>
      <c r="C1" s="313" t="s">
        <v>2926</v>
      </c>
      <c r="D1" s="313" t="s">
        <v>2927</v>
      </c>
      <c r="E1" s="313" t="s">
        <v>2928</v>
      </c>
    </row>
    <row r="2" spans="1:5" x14ac:dyDescent="0.25">
      <c r="A2" s="313" t="s">
        <v>18</v>
      </c>
      <c r="B2" s="313" t="s">
        <v>19</v>
      </c>
      <c r="C2" s="313" t="s">
        <v>1466</v>
      </c>
      <c r="D2" s="313" t="s">
        <v>19</v>
      </c>
      <c r="E2" s="313" t="s">
        <v>1497</v>
      </c>
    </row>
    <row r="3" spans="1:5" x14ac:dyDescent="0.25">
      <c r="A3" s="313" t="s">
        <v>18</v>
      </c>
      <c r="B3" s="313" t="s">
        <v>19</v>
      </c>
      <c r="C3" s="313" t="s">
        <v>1471</v>
      </c>
      <c r="D3" s="313" t="s">
        <v>19</v>
      </c>
      <c r="E3" s="313" t="s">
        <v>1498</v>
      </c>
    </row>
    <row r="4" spans="1:5" x14ac:dyDescent="0.25">
      <c r="A4" s="313" t="s">
        <v>18</v>
      </c>
      <c r="B4" s="313" t="s">
        <v>19</v>
      </c>
      <c r="C4" s="313" t="s">
        <v>1475</v>
      </c>
      <c r="D4" s="313" t="s">
        <v>19</v>
      </c>
      <c r="E4" s="313" t="s">
        <v>1475</v>
      </c>
    </row>
    <row r="5" spans="1:5" x14ac:dyDescent="0.25">
      <c r="A5" s="313" t="s">
        <v>18</v>
      </c>
      <c r="B5" s="313" t="s">
        <v>19</v>
      </c>
      <c r="C5" s="313" t="s">
        <v>20</v>
      </c>
      <c r="D5" s="313" t="s">
        <v>19</v>
      </c>
      <c r="E5" s="313" t="s">
        <v>20</v>
      </c>
    </row>
    <row r="6" spans="1:5" x14ac:dyDescent="0.25">
      <c r="A6" s="313" t="s">
        <v>18</v>
      </c>
      <c r="B6" s="313" t="s">
        <v>19</v>
      </c>
      <c r="C6" s="313" t="s">
        <v>1487</v>
      </c>
      <c r="D6" s="313" t="s">
        <v>19</v>
      </c>
      <c r="E6" s="313" t="s">
        <v>1487</v>
      </c>
    </row>
    <row r="7" spans="1:5" x14ac:dyDescent="0.25">
      <c r="A7" s="313" t="s">
        <v>18</v>
      </c>
      <c r="B7" s="313" t="s">
        <v>19</v>
      </c>
      <c r="C7" s="313" t="s">
        <v>1495</v>
      </c>
      <c r="D7" s="313" t="s">
        <v>19</v>
      </c>
      <c r="E7" s="313" t="s">
        <v>1500</v>
      </c>
    </row>
    <row r="8" spans="1:5" x14ac:dyDescent="0.25">
      <c r="A8" s="313" t="s">
        <v>18</v>
      </c>
      <c r="B8" s="313" t="s">
        <v>26</v>
      </c>
      <c r="C8" s="313" t="s">
        <v>2929</v>
      </c>
      <c r="D8" s="313" t="s">
        <v>24</v>
      </c>
      <c r="E8" s="313" t="s">
        <v>1499</v>
      </c>
    </row>
    <row r="9" spans="1:5" x14ac:dyDescent="0.25">
      <c r="A9" s="313" t="s">
        <v>25</v>
      </c>
      <c r="B9" s="313" t="s">
        <v>19</v>
      </c>
      <c r="C9" s="313" t="s">
        <v>1466</v>
      </c>
      <c r="D9" s="313" t="s">
        <v>26</v>
      </c>
      <c r="E9" s="313" t="s">
        <v>24</v>
      </c>
    </row>
    <row r="10" spans="1:5" x14ac:dyDescent="0.25">
      <c r="A10" s="313" t="s">
        <v>25</v>
      </c>
      <c r="B10" s="313" t="s">
        <v>19</v>
      </c>
      <c r="C10" s="313" t="s">
        <v>1471</v>
      </c>
      <c r="D10" s="313" t="s">
        <v>26</v>
      </c>
      <c r="E10" s="313" t="s">
        <v>24</v>
      </c>
    </row>
    <row r="11" spans="1:5" x14ac:dyDescent="0.25">
      <c r="A11" s="313" t="s">
        <v>25</v>
      </c>
      <c r="B11" s="313" t="s">
        <v>19</v>
      </c>
      <c r="C11" s="313" t="s">
        <v>1475</v>
      </c>
      <c r="D11" s="313" t="s">
        <v>26</v>
      </c>
      <c r="E11" s="313" t="s">
        <v>24</v>
      </c>
    </row>
    <row r="12" spans="1:5" x14ac:dyDescent="0.25">
      <c r="A12" s="313" t="s">
        <v>25</v>
      </c>
      <c r="B12" s="313" t="s">
        <v>19</v>
      </c>
      <c r="C12" s="313" t="s">
        <v>20</v>
      </c>
      <c r="D12" s="313" t="s">
        <v>26</v>
      </c>
      <c r="E12" s="313" t="s">
        <v>24</v>
      </c>
    </row>
    <row r="13" spans="1:5" x14ac:dyDescent="0.25">
      <c r="A13" s="313" t="s">
        <v>25</v>
      </c>
      <c r="B13" s="313" t="s">
        <v>19</v>
      </c>
      <c r="C13" s="313" t="s">
        <v>1487</v>
      </c>
      <c r="D13" s="313" t="s">
        <v>26</v>
      </c>
      <c r="E13" s="313" t="s">
        <v>24</v>
      </c>
    </row>
    <row r="14" spans="1:5" x14ac:dyDescent="0.25">
      <c r="A14" s="313" t="s">
        <v>25</v>
      </c>
      <c r="B14" s="313" t="s">
        <v>19</v>
      </c>
      <c r="C14" s="313" t="s">
        <v>1495</v>
      </c>
      <c r="D14" s="313" t="s">
        <v>26</v>
      </c>
      <c r="E14" s="313" t="s">
        <v>24</v>
      </c>
    </row>
    <row r="15" spans="1:5" x14ac:dyDescent="0.25">
      <c r="A15" s="313" t="s">
        <v>25</v>
      </c>
      <c r="B15" s="313" t="s">
        <v>26</v>
      </c>
      <c r="C15" s="313" t="s">
        <v>1501</v>
      </c>
      <c r="D15" s="313" t="s">
        <v>24</v>
      </c>
      <c r="E15" s="313" t="s">
        <v>1501</v>
      </c>
    </row>
    <row r="16" spans="1:5" x14ac:dyDescent="0.25">
      <c r="A16" s="313" t="s">
        <v>25</v>
      </c>
      <c r="B16" s="313" t="s">
        <v>26</v>
      </c>
      <c r="C16" s="313" t="s">
        <v>1502</v>
      </c>
      <c r="D16" s="313" t="s">
        <v>24</v>
      </c>
      <c r="E16" s="313" t="s">
        <v>1502</v>
      </c>
    </row>
    <row r="17" spans="1:5" x14ac:dyDescent="0.25">
      <c r="A17" s="313" t="s">
        <v>25</v>
      </c>
      <c r="B17" s="313" t="s">
        <v>26</v>
      </c>
      <c r="C17" s="313" t="s">
        <v>1503</v>
      </c>
      <c r="D17" s="313" t="s">
        <v>24</v>
      </c>
      <c r="E17" s="313" t="s">
        <v>1503</v>
      </c>
    </row>
    <row r="18" spans="1:5" x14ac:dyDescent="0.25">
      <c r="A18" s="313" t="s">
        <v>25</v>
      </c>
      <c r="B18" s="313" t="s">
        <v>26</v>
      </c>
      <c r="C18" s="313" t="s">
        <v>2929</v>
      </c>
      <c r="D18" s="313" t="s">
        <v>24</v>
      </c>
      <c r="E18" s="313" t="s">
        <v>1504</v>
      </c>
    </row>
    <row r="19" spans="1:5" x14ac:dyDescent="0.25">
      <c r="A19" s="313" t="s">
        <v>25</v>
      </c>
      <c r="B19" s="313" t="s">
        <v>26</v>
      </c>
      <c r="C19" s="313" t="s">
        <v>2930</v>
      </c>
      <c r="D19" s="313" t="s">
        <v>24</v>
      </c>
      <c r="E19" s="313" t="s">
        <v>1505</v>
      </c>
    </row>
    <row r="20" spans="1:5" x14ac:dyDescent="0.25">
      <c r="A20" s="313" t="s">
        <v>25</v>
      </c>
      <c r="B20" s="313" t="s">
        <v>26</v>
      </c>
      <c r="C20" s="313" t="s">
        <v>1506</v>
      </c>
      <c r="D20" s="313" t="s">
        <v>24</v>
      </c>
      <c r="E20" s="313" t="s">
        <v>1506</v>
      </c>
    </row>
    <row r="21" spans="1:5" x14ac:dyDescent="0.25">
      <c r="A21" s="313" t="s">
        <v>25</v>
      </c>
      <c r="B21" s="313" t="s">
        <v>26</v>
      </c>
      <c r="C21" s="313" t="s">
        <v>1507</v>
      </c>
      <c r="D21" s="313" t="s">
        <v>24</v>
      </c>
      <c r="E21" s="313" t="s">
        <v>1507</v>
      </c>
    </row>
    <row r="22" spans="1:5" x14ac:dyDescent="0.25">
      <c r="A22" s="313" t="s">
        <v>25</v>
      </c>
      <c r="B22" s="313" t="s">
        <v>26</v>
      </c>
      <c r="C22" s="313" t="s">
        <v>1508</v>
      </c>
      <c r="D22" s="313" t="s">
        <v>24</v>
      </c>
      <c r="E22" s="313" t="s">
        <v>1508</v>
      </c>
    </row>
    <row r="23" spans="1:5" x14ac:dyDescent="0.25">
      <c r="A23" s="313" t="s">
        <v>25</v>
      </c>
      <c r="B23" s="313" t="s">
        <v>26</v>
      </c>
      <c r="C23" s="313" t="s">
        <v>1509</v>
      </c>
      <c r="D23" s="313" t="s">
        <v>24</v>
      </c>
      <c r="E23" s="313" t="s">
        <v>1509</v>
      </c>
    </row>
    <row r="24" spans="1:5" x14ac:dyDescent="0.25">
      <c r="A24" s="313" t="s">
        <v>25</v>
      </c>
      <c r="B24" s="313" t="s">
        <v>26</v>
      </c>
      <c r="C24" s="313" t="s">
        <v>1510</v>
      </c>
      <c r="D24" s="313" t="s">
        <v>24</v>
      </c>
      <c r="E24" s="313" t="s">
        <v>1510</v>
      </c>
    </row>
    <row r="25" spans="1:5" x14ac:dyDescent="0.25">
      <c r="A25" s="313" t="s">
        <v>25</v>
      </c>
      <c r="B25" s="313" t="s">
        <v>26</v>
      </c>
      <c r="C25" s="313" t="s">
        <v>1511</v>
      </c>
      <c r="D25" s="313" t="s">
        <v>24</v>
      </c>
      <c r="E25" s="313" t="s">
        <v>1511</v>
      </c>
    </row>
    <row r="26" spans="1:5" x14ac:dyDescent="0.25">
      <c r="A26" s="313" t="s">
        <v>25</v>
      </c>
      <c r="B26" s="313" t="s">
        <v>26</v>
      </c>
      <c r="C26" s="313" t="s">
        <v>27</v>
      </c>
      <c r="D26" s="313" t="s">
        <v>24</v>
      </c>
      <c r="E26" s="313" t="s">
        <v>27</v>
      </c>
    </row>
    <row r="27" spans="1:5" x14ac:dyDescent="0.25">
      <c r="A27" s="313" t="s">
        <v>25</v>
      </c>
      <c r="B27" s="313" t="s">
        <v>26</v>
      </c>
      <c r="C27" s="313" t="s">
        <v>1512</v>
      </c>
      <c r="D27" s="313" t="s">
        <v>24</v>
      </c>
      <c r="E27" s="313" t="s">
        <v>1512</v>
      </c>
    </row>
    <row r="28" spans="1:5" x14ac:dyDescent="0.25">
      <c r="A28" s="313" t="s">
        <v>25</v>
      </c>
      <c r="B28" s="313" t="s">
        <v>26</v>
      </c>
      <c r="C28" s="313" t="s">
        <v>1513</v>
      </c>
      <c r="D28" s="313" t="s">
        <v>24</v>
      </c>
      <c r="E28" s="313" t="s">
        <v>1513</v>
      </c>
    </row>
    <row r="29" spans="1:5" x14ac:dyDescent="0.25">
      <c r="A29" s="313" t="s">
        <v>25</v>
      </c>
      <c r="B29" s="313" t="s">
        <v>26</v>
      </c>
      <c r="C29" s="313" t="s">
        <v>1514</v>
      </c>
      <c r="D29" s="313" t="s">
        <v>24</v>
      </c>
      <c r="E29" s="313" t="s">
        <v>1514</v>
      </c>
    </row>
    <row r="30" spans="1:5" x14ac:dyDescent="0.25">
      <c r="A30" s="313" t="s">
        <v>25</v>
      </c>
      <c r="B30" s="313" t="s">
        <v>26</v>
      </c>
      <c r="C30" s="313" t="s">
        <v>1515</v>
      </c>
      <c r="D30" s="313" t="s">
        <v>24</v>
      </c>
      <c r="E30" s="313" t="s">
        <v>1515</v>
      </c>
    </row>
    <row r="31" spans="1:5" x14ac:dyDescent="0.25">
      <c r="A31" s="313" t="s">
        <v>25</v>
      </c>
      <c r="B31" s="313" t="s">
        <v>26</v>
      </c>
      <c r="C31" s="313" t="s">
        <v>1516</v>
      </c>
      <c r="D31" s="313" t="s">
        <v>24</v>
      </c>
      <c r="E31" s="313" t="s">
        <v>1516</v>
      </c>
    </row>
    <row r="32" spans="1:5" x14ac:dyDescent="0.25">
      <c r="A32" s="313" t="s">
        <v>25</v>
      </c>
      <c r="B32" s="313" t="s">
        <v>26</v>
      </c>
      <c r="C32" s="313" t="s">
        <v>1517</v>
      </c>
      <c r="D32" s="313" t="s">
        <v>24</v>
      </c>
      <c r="E32" s="313" t="s">
        <v>1517</v>
      </c>
    </row>
    <row r="33" spans="1:5" x14ac:dyDescent="0.25">
      <c r="A33" s="313" t="s">
        <v>25</v>
      </c>
      <c r="B33" s="313" t="s">
        <v>26</v>
      </c>
      <c r="C33" s="313" t="s">
        <v>1518</v>
      </c>
      <c r="D33" s="313" t="s">
        <v>24</v>
      </c>
      <c r="E33" s="313" t="s">
        <v>1518</v>
      </c>
    </row>
    <row r="34" spans="1:5" x14ac:dyDescent="0.25">
      <c r="A34" s="313" t="s">
        <v>25</v>
      </c>
      <c r="B34" s="313" t="s">
        <v>26</v>
      </c>
      <c r="C34" s="313" t="s">
        <v>1519</v>
      </c>
      <c r="D34" s="313" t="s">
        <v>24</v>
      </c>
      <c r="E34" s="313" t="s">
        <v>1519</v>
      </c>
    </row>
    <row r="35" spans="1:5" x14ac:dyDescent="0.25">
      <c r="A35" s="313" t="s">
        <v>25</v>
      </c>
      <c r="B35" s="313" t="s">
        <v>26</v>
      </c>
      <c r="C35" s="313" t="s">
        <v>1495</v>
      </c>
      <c r="D35" s="313" t="s">
        <v>24</v>
      </c>
      <c r="E35" s="313" t="s">
        <v>1520</v>
      </c>
    </row>
    <row r="36" spans="1:5" x14ac:dyDescent="0.25">
      <c r="A36" s="313" t="s">
        <v>34</v>
      </c>
      <c r="B36" s="313" t="s">
        <v>19</v>
      </c>
      <c r="C36" s="313" t="s">
        <v>1466</v>
      </c>
      <c r="D36" s="313" t="s">
        <v>35</v>
      </c>
      <c r="E36" s="313" t="s">
        <v>24</v>
      </c>
    </row>
    <row r="37" spans="1:5" x14ac:dyDescent="0.25">
      <c r="A37" s="313" t="s">
        <v>34</v>
      </c>
      <c r="B37" s="313" t="s">
        <v>19</v>
      </c>
      <c r="C37" s="313" t="s">
        <v>1471</v>
      </c>
      <c r="D37" s="313" t="s">
        <v>35</v>
      </c>
      <c r="E37" s="313" t="s">
        <v>24</v>
      </c>
    </row>
    <row r="38" spans="1:5" x14ac:dyDescent="0.25">
      <c r="A38" s="313" t="s">
        <v>34</v>
      </c>
      <c r="B38" s="313" t="s">
        <v>19</v>
      </c>
      <c r="C38" s="313" t="s">
        <v>1475</v>
      </c>
      <c r="D38" s="313" t="s">
        <v>35</v>
      </c>
      <c r="E38" s="313" t="s">
        <v>24</v>
      </c>
    </row>
    <row r="39" spans="1:5" x14ac:dyDescent="0.25">
      <c r="A39" s="313" t="s">
        <v>34</v>
      </c>
      <c r="B39" s="313" t="s">
        <v>19</v>
      </c>
      <c r="C39" s="313" t="s">
        <v>20</v>
      </c>
      <c r="D39" s="313" t="s">
        <v>35</v>
      </c>
      <c r="E39" s="313" t="s">
        <v>24</v>
      </c>
    </row>
    <row r="40" spans="1:5" x14ac:dyDescent="0.25">
      <c r="A40" s="313" t="s">
        <v>34</v>
      </c>
      <c r="B40" s="313" t="s">
        <v>19</v>
      </c>
      <c r="C40" s="313" t="s">
        <v>1487</v>
      </c>
      <c r="D40" s="313" t="s">
        <v>35</v>
      </c>
      <c r="E40" s="313" t="s">
        <v>24</v>
      </c>
    </row>
    <row r="41" spans="1:5" x14ac:dyDescent="0.25">
      <c r="A41" s="313" t="s">
        <v>34</v>
      </c>
      <c r="B41" s="313" t="s">
        <v>19</v>
      </c>
      <c r="C41" s="313" t="s">
        <v>1495</v>
      </c>
      <c r="D41" s="313" t="s">
        <v>35</v>
      </c>
      <c r="E41" s="313" t="s">
        <v>24</v>
      </c>
    </row>
    <row r="42" spans="1:5" x14ac:dyDescent="0.25">
      <c r="A42" s="313" t="s">
        <v>40</v>
      </c>
      <c r="B42" s="313" t="s">
        <v>19</v>
      </c>
      <c r="C42" s="313" t="s">
        <v>1466</v>
      </c>
      <c r="D42" s="313" t="s">
        <v>35</v>
      </c>
      <c r="E42" s="313" t="s">
        <v>24</v>
      </c>
    </row>
    <row r="43" spans="1:5" x14ac:dyDescent="0.25">
      <c r="A43" s="313" t="s">
        <v>40</v>
      </c>
      <c r="B43" s="313" t="s">
        <v>19</v>
      </c>
      <c r="C43" s="313" t="s">
        <v>1471</v>
      </c>
      <c r="D43" s="313" t="s">
        <v>35</v>
      </c>
      <c r="E43" s="313" t="s">
        <v>24</v>
      </c>
    </row>
    <row r="44" spans="1:5" x14ac:dyDescent="0.25">
      <c r="A44" s="313" t="s">
        <v>40</v>
      </c>
      <c r="B44" s="313" t="s">
        <v>19</v>
      </c>
      <c r="C44" s="313" t="s">
        <v>1475</v>
      </c>
      <c r="D44" s="313" t="s">
        <v>35</v>
      </c>
      <c r="E44" s="313" t="s">
        <v>24</v>
      </c>
    </row>
    <row r="45" spans="1:5" x14ac:dyDescent="0.25">
      <c r="A45" s="313" t="s">
        <v>40</v>
      </c>
      <c r="B45" s="313" t="s">
        <v>19</v>
      </c>
      <c r="C45" s="313" t="s">
        <v>20</v>
      </c>
      <c r="D45" s="313" t="s">
        <v>35</v>
      </c>
      <c r="E45" s="313" t="s">
        <v>24</v>
      </c>
    </row>
    <row r="46" spans="1:5" x14ac:dyDescent="0.25">
      <c r="A46" s="313" t="s">
        <v>40</v>
      </c>
      <c r="B46" s="313" t="s">
        <v>19</v>
      </c>
      <c r="C46" s="313" t="s">
        <v>1487</v>
      </c>
      <c r="D46" s="313" t="s">
        <v>35</v>
      </c>
      <c r="E46" s="313" t="s">
        <v>24</v>
      </c>
    </row>
    <row r="47" spans="1:5" x14ac:dyDescent="0.25">
      <c r="A47" s="313" t="s">
        <v>40</v>
      </c>
      <c r="B47" s="313" t="s">
        <v>19</v>
      </c>
      <c r="C47" s="313" t="s">
        <v>1495</v>
      </c>
      <c r="D47" s="313" t="s">
        <v>35</v>
      </c>
      <c r="E47" s="313" t="s">
        <v>24</v>
      </c>
    </row>
    <row r="48" spans="1:5" x14ac:dyDescent="0.25">
      <c r="A48" s="313" t="s">
        <v>45</v>
      </c>
      <c r="B48" s="313" t="s">
        <v>19</v>
      </c>
      <c r="C48" s="313" t="s">
        <v>1466</v>
      </c>
      <c r="D48" s="313" t="s">
        <v>26</v>
      </c>
      <c r="E48" s="313" t="s">
        <v>24</v>
      </c>
    </row>
    <row r="49" spans="1:5" x14ac:dyDescent="0.25">
      <c r="A49" s="313" t="s">
        <v>45</v>
      </c>
      <c r="B49" s="313" t="s">
        <v>19</v>
      </c>
      <c r="C49" s="313" t="s">
        <v>1471</v>
      </c>
      <c r="D49" s="313" t="s">
        <v>26</v>
      </c>
      <c r="E49" s="313" t="s">
        <v>24</v>
      </c>
    </row>
    <row r="50" spans="1:5" x14ac:dyDescent="0.25">
      <c r="A50" s="313" t="s">
        <v>45</v>
      </c>
      <c r="B50" s="313" t="s">
        <v>19</v>
      </c>
      <c r="C50" s="313" t="s">
        <v>1475</v>
      </c>
      <c r="D50" s="313" t="s">
        <v>19</v>
      </c>
      <c r="E50" s="313" t="s">
        <v>46</v>
      </c>
    </row>
    <row r="51" spans="1:5" x14ac:dyDescent="0.25">
      <c r="A51" s="313" t="s">
        <v>45</v>
      </c>
      <c r="B51" s="313" t="s">
        <v>19</v>
      </c>
      <c r="C51" s="313" t="s">
        <v>20</v>
      </c>
      <c r="D51" s="313" t="s">
        <v>19</v>
      </c>
      <c r="E51" s="313" t="s">
        <v>46</v>
      </c>
    </row>
    <row r="52" spans="1:5" x14ac:dyDescent="0.25">
      <c r="A52" s="313" t="s">
        <v>45</v>
      </c>
      <c r="B52" s="313" t="s">
        <v>19</v>
      </c>
      <c r="C52" s="313" t="s">
        <v>1487</v>
      </c>
      <c r="D52" s="313" t="s">
        <v>19</v>
      </c>
      <c r="E52" s="313" t="s">
        <v>46</v>
      </c>
    </row>
    <row r="53" spans="1:5" x14ac:dyDescent="0.25">
      <c r="A53" s="313" t="s">
        <v>45</v>
      </c>
      <c r="B53" s="313" t="s">
        <v>19</v>
      </c>
      <c r="C53" s="313" t="s">
        <v>1495</v>
      </c>
      <c r="D53" s="313" t="s">
        <v>35</v>
      </c>
      <c r="E53" s="313" t="s">
        <v>24</v>
      </c>
    </row>
    <row r="54" spans="1:5" x14ac:dyDescent="0.25">
      <c r="A54" s="313" t="s">
        <v>45</v>
      </c>
      <c r="B54" s="313" t="s">
        <v>26</v>
      </c>
      <c r="C54" s="313" t="s">
        <v>1501</v>
      </c>
      <c r="D54" s="313" t="s">
        <v>24</v>
      </c>
      <c r="E54" s="313" t="s">
        <v>46</v>
      </c>
    </row>
    <row r="55" spans="1:5" x14ac:dyDescent="0.25">
      <c r="A55" s="313" t="s">
        <v>45</v>
      </c>
      <c r="B55" s="313" t="s">
        <v>26</v>
      </c>
      <c r="C55" s="313" t="s">
        <v>1502</v>
      </c>
      <c r="D55" s="313" t="s">
        <v>24</v>
      </c>
      <c r="E55" s="313" t="s">
        <v>1522</v>
      </c>
    </row>
    <row r="56" spans="1:5" x14ac:dyDescent="0.25">
      <c r="A56" s="313" t="s">
        <v>45</v>
      </c>
      <c r="B56" s="313" t="s">
        <v>26</v>
      </c>
      <c r="C56" s="313" t="s">
        <v>1503</v>
      </c>
      <c r="D56" s="313" t="s">
        <v>24</v>
      </c>
      <c r="E56" s="313" t="s">
        <v>1522</v>
      </c>
    </row>
    <row r="57" spans="1:5" x14ac:dyDescent="0.25">
      <c r="A57" s="313" t="s">
        <v>45</v>
      </c>
      <c r="B57" s="313" t="s">
        <v>26</v>
      </c>
      <c r="C57" s="313" t="s">
        <v>2929</v>
      </c>
      <c r="D57" s="313" t="s">
        <v>24</v>
      </c>
      <c r="E57" s="313" t="s">
        <v>46</v>
      </c>
    </row>
    <row r="58" spans="1:5" x14ac:dyDescent="0.25">
      <c r="A58" s="313" t="s">
        <v>45</v>
      </c>
      <c r="B58" s="313" t="s">
        <v>26</v>
      </c>
      <c r="C58" s="313" t="s">
        <v>2930</v>
      </c>
      <c r="D58" s="313" t="s">
        <v>24</v>
      </c>
      <c r="E58" s="313" t="s">
        <v>35</v>
      </c>
    </row>
    <row r="59" spans="1:5" x14ac:dyDescent="0.25">
      <c r="A59" s="313" t="s">
        <v>50</v>
      </c>
      <c r="B59" s="313" t="s">
        <v>51</v>
      </c>
      <c r="C59" s="313" t="s">
        <v>24</v>
      </c>
      <c r="D59" s="313" t="s">
        <v>24</v>
      </c>
      <c r="E59" s="313" t="s">
        <v>52</v>
      </c>
    </row>
    <row r="60" spans="1:5" x14ac:dyDescent="0.25">
      <c r="A60" s="313" t="s">
        <v>50</v>
      </c>
      <c r="B60" s="313" t="s">
        <v>19</v>
      </c>
      <c r="C60" s="313" t="s">
        <v>1466</v>
      </c>
      <c r="D60" s="313" t="s">
        <v>51</v>
      </c>
      <c r="E60" s="313" t="s">
        <v>24</v>
      </c>
    </row>
    <row r="61" spans="1:5" x14ac:dyDescent="0.25">
      <c r="A61" s="313" t="s">
        <v>50</v>
      </c>
      <c r="B61" s="313" t="s">
        <v>19</v>
      </c>
      <c r="C61" s="313" t="s">
        <v>1471</v>
      </c>
      <c r="D61" s="313" t="s">
        <v>51</v>
      </c>
      <c r="E61" s="313" t="s">
        <v>24</v>
      </c>
    </row>
    <row r="62" spans="1:5" x14ac:dyDescent="0.25">
      <c r="A62" s="313" t="s">
        <v>50</v>
      </c>
      <c r="B62" s="313" t="s">
        <v>19</v>
      </c>
      <c r="C62" s="313" t="s">
        <v>1475</v>
      </c>
      <c r="D62" s="313" t="s">
        <v>51</v>
      </c>
      <c r="E62" s="313" t="s">
        <v>24</v>
      </c>
    </row>
    <row r="63" spans="1:5" x14ac:dyDescent="0.25">
      <c r="A63" s="313" t="s">
        <v>50</v>
      </c>
      <c r="B63" s="313" t="s">
        <v>19</v>
      </c>
      <c r="C63" s="313" t="s">
        <v>20</v>
      </c>
      <c r="D63" s="313" t="s">
        <v>51</v>
      </c>
      <c r="E63" s="313" t="s">
        <v>24</v>
      </c>
    </row>
    <row r="64" spans="1:5" x14ac:dyDescent="0.25">
      <c r="A64" s="313" t="s">
        <v>50</v>
      </c>
      <c r="B64" s="313" t="s">
        <v>19</v>
      </c>
      <c r="C64" s="313" t="s">
        <v>1487</v>
      </c>
      <c r="D64" s="313" t="s">
        <v>51</v>
      </c>
      <c r="E64" s="313" t="s">
        <v>24</v>
      </c>
    </row>
    <row r="65" spans="1:5" x14ac:dyDescent="0.25">
      <c r="A65" s="313" t="s">
        <v>50</v>
      </c>
      <c r="B65" s="313" t="s">
        <v>19</v>
      </c>
      <c r="C65" s="313" t="s">
        <v>1495</v>
      </c>
      <c r="D65" s="313" t="s">
        <v>51</v>
      </c>
      <c r="E65" s="313" t="s">
        <v>24</v>
      </c>
    </row>
    <row r="66" spans="1:5" x14ac:dyDescent="0.25">
      <c r="A66" s="313" t="s">
        <v>56</v>
      </c>
      <c r="B66" s="313" t="s">
        <v>19</v>
      </c>
      <c r="C66" s="313" t="s">
        <v>1466</v>
      </c>
      <c r="D66" s="313" t="s">
        <v>35</v>
      </c>
      <c r="E66" s="313" t="s">
        <v>24</v>
      </c>
    </row>
    <row r="67" spans="1:5" x14ac:dyDescent="0.25">
      <c r="A67" s="313" t="s">
        <v>56</v>
      </c>
      <c r="B67" s="313" t="s">
        <v>19</v>
      </c>
      <c r="C67" s="313" t="s">
        <v>1471</v>
      </c>
      <c r="D67" s="313" t="s">
        <v>35</v>
      </c>
      <c r="E67" s="313" t="s">
        <v>24</v>
      </c>
    </row>
    <row r="68" spans="1:5" x14ac:dyDescent="0.25">
      <c r="A68" s="313" t="s">
        <v>56</v>
      </c>
      <c r="B68" s="313" t="s">
        <v>19</v>
      </c>
      <c r="C68" s="313" t="s">
        <v>1475</v>
      </c>
      <c r="D68" s="313" t="s">
        <v>35</v>
      </c>
      <c r="E68" s="313" t="s">
        <v>24</v>
      </c>
    </row>
    <row r="69" spans="1:5" x14ac:dyDescent="0.25">
      <c r="A69" s="313" t="s">
        <v>56</v>
      </c>
      <c r="B69" s="313" t="s">
        <v>19</v>
      </c>
      <c r="C69" s="313" t="s">
        <v>20</v>
      </c>
      <c r="D69" s="313" t="s">
        <v>35</v>
      </c>
      <c r="E69" s="313" t="s">
        <v>24</v>
      </c>
    </row>
    <row r="70" spans="1:5" x14ac:dyDescent="0.25">
      <c r="A70" s="313" t="s">
        <v>56</v>
      </c>
      <c r="B70" s="313" t="s">
        <v>19</v>
      </c>
      <c r="C70" s="313" t="s">
        <v>1487</v>
      </c>
      <c r="D70" s="313" t="s">
        <v>35</v>
      </c>
      <c r="E70" s="313" t="s">
        <v>24</v>
      </c>
    </row>
    <row r="71" spans="1:5" x14ac:dyDescent="0.25">
      <c r="A71" s="313" t="s">
        <v>56</v>
      </c>
      <c r="B71" s="313" t="s">
        <v>19</v>
      </c>
      <c r="C71" s="313" t="s">
        <v>1495</v>
      </c>
      <c r="D71" s="313" t="s">
        <v>35</v>
      </c>
      <c r="E71" s="313" t="s">
        <v>24</v>
      </c>
    </row>
    <row r="72" spans="1:5" x14ac:dyDescent="0.25">
      <c r="A72" s="313" t="s">
        <v>61</v>
      </c>
      <c r="B72" s="313" t="s">
        <v>19</v>
      </c>
      <c r="C72" s="313" t="s">
        <v>1466</v>
      </c>
      <c r="D72" s="313" t="s">
        <v>19</v>
      </c>
      <c r="E72" s="313" t="s">
        <v>62</v>
      </c>
    </row>
    <row r="73" spans="1:5" x14ac:dyDescent="0.25">
      <c r="A73" s="313" t="s">
        <v>61</v>
      </c>
      <c r="B73" s="313" t="s">
        <v>19</v>
      </c>
      <c r="C73" s="313" t="s">
        <v>1471</v>
      </c>
      <c r="D73" s="313" t="s">
        <v>26</v>
      </c>
      <c r="E73" s="313" t="s">
        <v>24</v>
      </c>
    </row>
    <row r="74" spans="1:5" x14ac:dyDescent="0.25">
      <c r="A74" s="313" t="s">
        <v>61</v>
      </c>
      <c r="B74" s="313" t="s">
        <v>19</v>
      </c>
      <c r="C74" s="313" t="s">
        <v>1475</v>
      </c>
      <c r="D74" s="313" t="s">
        <v>26</v>
      </c>
      <c r="E74" s="313" t="s">
        <v>24</v>
      </c>
    </row>
    <row r="75" spans="1:5" x14ac:dyDescent="0.25">
      <c r="A75" s="313" t="s">
        <v>61</v>
      </c>
      <c r="B75" s="313" t="s">
        <v>19</v>
      </c>
      <c r="C75" s="313" t="s">
        <v>20</v>
      </c>
      <c r="D75" s="313" t="s">
        <v>26</v>
      </c>
      <c r="E75" s="313" t="s">
        <v>24</v>
      </c>
    </row>
    <row r="76" spans="1:5" x14ac:dyDescent="0.25">
      <c r="A76" s="313" t="s">
        <v>61</v>
      </c>
      <c r="B76" s="313" t="s">
        <v>19</v>
      </c>
      <c r="C76" s="313" t="s">
        <v>1487</v>
      </c>
      <c r="D76" s="313" t="s">
        <v>19</v>
      </c>
      <c r="E76" s="313" t="s">
        <v>62</v>
      </c>
    </row>
    <row r="77" spans="1:5" x14ac:dyDescent="0.25">
      <c r="A77" s="313" t="s">
        <v>61</v>
      </c>
      <c r="B77" s="313" t="s">
        <v>19</v>
      </c>
      <c r="C77" s="313" t="s">
        <v>1495</v>
      </c>
      <c r="D77" s="313" t="s">
        <v>35</v>
      </c>
      <c r="E77" s="313" t="s">
        <v>24</v>
      </c>
    </row>
    <row r="78" spans="1:5" x14ac:dyDescent="0.25">
      <c r="A78" s="313" t="s">
        <v>61</v>
      </c>
      <c r="B78" s="313" t="s">
        <v>26</v>
      </c>
      <c r="C78" s="313" t="s">
        <v>2929</v>
      </c>
      <c r="D78" s="313" t="s">
        <v>24</v>
      </c>
      <c r="E78" s="313" t="s">
        <v>62</v>
      </c>
    </row>
    <row r="79" spans="1:5" x14ac:dyDescent="0.25">
      <c r="A79" s="313" t="s">
        <v>61</v>
      </c>
      <c r="B79" s="313" t="s">
        <v>26</v>
      </c>
      <c r="C79" s="313" t="s">
        <v>2930</v>
      </c>
      <c r="D79" s="313" t="s">
        <v>24</v>
      </c>
      <c r="E79" s="313" t="s">
        <v>35</v>
      </c>
    </row>
    <row r="80" spans="1:5" x14ac:dyDescent="0.25">
      <c r="A80" s="313" t="s">
        <v>61</v>
      </c>
      <c r="B80" s="313" t="s">
        <v>26</v>
      </c>
      <c r="C80" s="313" t="s">
        <v>1506</v>
      </c>
      <c r="D80" s="313" t="s">
        <v>24</v>
      </c>
      <c r="E80" s="313" t="s">
        <v>62</v>
      </c>
    </row>
    <row r="81" spans="1:5" x14ac:dyDescent="0.25">
      <c r="A81" s="313" t="s">
        <v>61</v>
      </c>
      <c r="B81" s="313" t="s">
        <v>26</v>
      </c>
      <c r="C81" s="313" t="s">
        <v>1507</v>
      </c>
      <c r="D81" s="313" t="s">
        <v>24</v>
      </c>
      <c r="E81" s="313" t="s">
        <v>62</v>
      </c>
    </row>
    <row r="82" spans="1:5" x14ac:dyDescent="0.25">
      <c r="A82" s="313" t="s">
        <v>61</v>
      </c>
      <c r="B82" s="313" t="s">
        <v>26</v>
      </c>
      <c r="C82" s="313" t="s">
        <v>1508</v>
      </c>
      <c r="D82" s="313" t="s">
        <v>24</v>
      </c>
      <c r="E82" s="313" t="s">
        <v>1523</v>
      </c>
    </row>
    <row r="83" spans="1:5" x14ac:dyDescent="0.25">
      <c r="A83" s="313" t="s">
        <v>61</v>
      </c>
      <c r="B83" s="313" t="s">
        <v>26</v>
      </c>
      <c r="C83" s="313" t="s">
        <v>1509</v>
      </c>
      <c r="D83" s="313" t="s">
        <v>24</v>
      </c>
      <c r="E83" s="313" t="s">
        <v>62</v>
      </c>
    </row>
    <row r="84" spans="1:5" x14ac:dyDescent="0.25">
      <c r="A84" s="313" t="s">
        <v>61</v>
      </c>
      <c r="B84" s="313" t="s">
        <v>26</v>
      </c>
      <c r="C84" s="313" t="s">
        <v>1510</v>
      </c>
      <c r="D84" s="313" t="s">
        <v>24</v>
      </c>
      <c r="E84" s="313" t="s">
        <v>1523</v>
      </c>
    </row>
    <row r="85" spans="1:5" x14ac:dyDescent="0.25">
      <c r="A85" s="313" t="s">
        <v>61</v>
      </c>
      <c r="B85" s="313" t="s">
        <v>26</v>
      </c>
      <c r="C85" s="313" t="s">
        <v>1511</v>
      </c>
      <c r="D85" s="313" t="s">
        <v>24</v>
      </c>
      <c r="E85" s="313" t="s">
        <v>1524</v>
      </c>
    </row>
    <row r="86" spans="1:5" x14ac:dyDescent="0.25">
      <c r="A86" s="313" t="s">
        <v>61</v>
      </c>
      <c r="B86" s="313" t="s">
        <v>26</v>
      </c>
      <c r="C86" s="313" t="s">
        <v>27</v>
      </c>
      <c r="D86" s="313" t="s">
        <v>24</v>
      </c>
      <c r="E86" s="313" t="s">
        <v>62</v>
      </c>
    </row>
    <row r="87" spans="1:5" x14ac:dyDescent="0.25">
      <c r="A87" s="313" t="s">
        <v>61</v>
      </c>
      <c r="B87" s="313" t="s">
        <v>26</v>
      </c>
      <c r="C87" s="313" t="s">
        <v>1512</v>
      </c>
      <c r="D87" s="313" t="s">
        <v>24</v>
      </c>
      <c r="E87" s="313" t="s">
        <v>1523</v>
      </c>
    </row>
    <row r="88" spans="1:5" x14ac:dyDescent="0.25">
      <c r="A88" s="313" t="s">
        <v>61</v>
      </c>
      <c r="B88" s="313" t="s">
        <v>26</v>
      </c>
      <c r="C88" s="313" t="s">
        <v>1513</v>
      </c>
      <c r="D88" s="313" t="s">
        <v>24</v>
      </c>
      <c r="E88" s="313" t="s">
        <v>62</v>
      </c>
    </row>
    <row r="89" spans="1:5" x14ac:dyDescent="0.25">
      <c r="A89" s="313" t="s">
        <v>65</v>
      </c>
      <c r="B89" s="313" t="s">
        <v>19</v>
      </c>
      <c r="C89" s="313" t="s">
        <v>1466</v>
      </c>
      <c r="D89" s="313" t="s">
        <v>19</v>
      </c>
      <c r="E89" s="313" t="s">
        <v>66</v>
      </c>
    </row>
    <row r="90" spans="1:5" x14ac:dyDescent="0.25">
      <c r="A90" s="313" t="s">
        <v>65</v>
      </c>
      <c r="B90" s="313" t="s">
        <v>19</v>
      </c>
      <c r="C90" s="313" t="s">
        <v>1471</v>
      </c>
      <c r="D90" s="313" t="s">
        <v>26</v>
      </c>
      <c r="E90" s="313" t="s">
        <v>24</v>
      </c>
    </row>
    <row r="91" spans="1:5" x14ac:dyDescent="0.25">
      <c r="A91" s="313" t="s">
        <v>65</v>
      </c>
      <c r="B91" s="313" t="s">
        <v>19</v>
      </c>
      <c r="C91" s="313" t="s">
        <v>1475</v>
      </c>
      <c r="D91" s="313" t="s">
        <v>26</v>
      </c>
      <c r="E91" s="313" t="s">
        <v>24</v>
      </c>
    </row>
    <row r="92" spans="1:5" x14ac:dyDescent="0.25">
      <c r="A92" s="313" t="s">
        <v>65</v>
      </c>
      <c r="B92" s="313" t="s">
        <v>19</v>
      </c>
      <c r="C92" s="313" t="s">
        <v>20</v>
      </c>
      <c r="D92" s="313" t="s">
        <v>26</v>
      </c>
      <c r="E92" s="313" t="s">
        <v>24</v>
      </c>
    </row>
    <row r="93" spans="1:5" x14ac:dyDescent="0.25">
      <c r="A93" s="313" t="s">
        <v>65</v>
      </c>
      <c r="B93" s="313" t="s">
        <v>19</v>
      </c>
      <c r="C93" s="313" t="s">
        <v>1487</v>
      </c>
      <c r="D93" s="313" t="s">
        <v>26</v>
      </c>
      <c r="E93" s="313" t="s">
        <v>24</v>
      </c>
    </row>
    <row r="94" spans="1:5" x14ac:dyDescent="0.25">
      <c r="A94" s="313" t="s">
        <v>65</v>
      </c>
      <c r="B94" s="313" t="s">
        <v>19</v>
      </c>
      <c r="C94" s="313" t="s">
        <v>1495</v>
      </c>
      <c r="D94" s="313" t="s">
        <v>35</v>
      </c>
      <c r="E94" s="313" t="s">
        <v>24</v>
      </c>
    </row>
    <row r="95" spans="1:5" x14ac:dyDescent="0.25">
      <c r="A95" s="313" t="s">
        <v>65</v>
      </c>
      <c r="B95" s="313" t="s">
        <v>26</v>
      </c>
      <c r="C95" s="313" t="s">
        <v>2929</v>
      </c>
      <c r="D95" s="313" t="s">
        <v>24</v>
      </c>
      <c r="E95" s="313" t="s">
        <v>66</v>
      </c>
    </row>
    <row r="96" spans="1:5" x14ac:dyDescent="0.25">
      <c r="A96" s="313" t="s">
        <v>65</v>
      </c>
      <c r="B96" s="313" t="s">
        <v>26</v>
      </c>
      <c r="C96" s="313" t="s">
        <v>2930</v>
      </c>
      <c r="D96" s="313" t="s">
        <v>24</v>
      </c>
      <c r="E96" s="313" t="s">
        <v>35</v>
      </c>
    </row>
    <row r="97" spans="1:5" x14ac:dyDescent="0.25">
      <c r="A97" s="313" t="s">
        <v>65</v>
      </c>
      <c r="B97" s="313" t="s">
        <v>26</v>
      </c>
      <c r="C97" s="313" t="s">
        <v>1506</v>
      </c>
      <c r="D97" s="313" t="s">
        <v>24</v>
      </c>
      <c r="E97" s="313" t="s">
        <v>66</v>
      </c>
    </row>
    <row r="98" spans="1:5" x14ac:dyDescent="0.25">
      <c r="A98" s="313" t="s">
        <v>65</v>
      </c>
      <c r="B98" s="313" t="s">
        <v>26</v>
      </c>
      <c r="C98" s="313" t="s">
        <v>1507</v>
      </c>
      <c r="D98" s="313" t="s">
        <v>24</v>
      </c>
      <c r="E98" s="313" t="s">
        <v>66</v>
      </c>
    </row>
    <row r="99" spans="1:5" x14ac:dyDescent="0.25">
      <c r="A99" s="313" t="s">
        <v>65</v>
      </c>
      <c r="B99" s="313" t="s">
        <v>26</v>
      </c>
      <c r="C99" s="313" t="s">
        <v>1508</v>
      </c>
      <c r="D99" s="313" t="s">
        <v>24</v>
      </c>
      <c r="E99" s="313" t="s">
        <v>66</v>
      </c>
    </row>
    <row r="100" spans="1:5" x14ac:dyDescent="0.25">
      <c r="A100" s="313" t="s">
        <v>65</v>
      </c>
      <c r="B100" s="313" t="s">
        <v>26</v>
      </c>
      <c r="C100" s="313" t="s">
        <v>1509</v>
      </c>
      <c r="D100" s="313" t="s">
        <v>24</v>
      </c>
      <c r="E100" s="313" t="s">
        <v>66</v>
      </c>
    </row>
    <row r="101" spans="1:5" x14ac:dyDescent="0.25">
      <c r="A101" s="313" t="s">
        <v>65</v>
      </c>
      <c r="B101" s="313" t="s">
        <v>26</v>
      </c>
      <c r="C101" s="313" t="s">
        <v>1510</v>
      </c>
      <c r="D101" s="313" t="s">
        <v>24</v>
      </c>
      <c r="E101" s="313" t="s">
        <v>1525</v>
      </c>
    </row>
    <row r="102" spans="1:5" x14ac:dyDescent="0.25">
      <c r="A102" s="313" t="s">
        <v>65</v>
      </c>
      <c r="B102" s="313" t="s">
        <v>26</v>
      </c>
      <c r="C102" s="313" t="s">
        <v>1511</v>
      </c>
      <c r="D102" s="313" t="s">
        <v>24</v>
      </c>
      <c r="E102" s="313" t="s">
        <v>66</v>
      </c>
    </row>
    <row r="103" spans="1:5" x14ac:dyDescent="0.25">
      <c r="A103" s="313" t="s">
        <v>65</v>
      </c>
      <c r="B103" s="313" t="s">
        <v>26</v>
      </c>
      <c r="C103" s="313" t="s">
        <v>27</v>
      </c>
      <c r="D103" s="313" t="s">
        <v>24</v>
      </c>
      <c r="E103" s="313" t="s">
        <v>66</v>
      </c>
    </row>
    <row r="104" spans="1:5" x14ac:dyDescent="0.25">
      <c r="A104" s="313" t="s">
        <v>65</v>
      </c>
      <c r="B104" s="313" t="s">
        <v>26</v>
      </c>
      <c r="C104" s="313" t="s">
        <v>1512</v>
      </c>
      <c r="D104" s="313" t="s">
        <v>24</v>
      </c>
      <c r="E104" s="313" t="s">
        <v>1525</v>
      </c>
    </row>
    <row r="105" spans="1:5" x14ac:dyDescent="0.25">
      <c r="A105" s="313" t="s">
        <v>65</v>
      </c>
      <c r="B105" s="313" t="s">
        <v>26</v>
      </c>
      <c r="C105" s="313" t="s">
        <v>1513</v>
      </c>
      <c r="D105" s="313" t="s">
        <v>24</v>
      </c>
      <c r="E105" s="313" t="s">
        <v>1525</v>
      </c>
    </row>
    <row r="106" spans="1:5" x14ac:dyDescent="0.25">
      <c r="A106" s="313" t="s">
        <v>65</v>
      </c>
      <c r="B106" s="313" t="s">
        <v>26</v>
      </c>
      <c r="C106" s="313" t="s">
        <v>1514</v>
      </c>
      <c r="D106" s="313" t="s">
        <v>24</v>
      </c>
      <c r="E106" s="313" t="s">
        <v>66</v>
      </c>
    </row>
    <row r="107" spans="1:5" x14ac:dyDescent="0.25">
      <c r="A107" s="313" t="s">
        <v>65</v>
      </c>
      <c r="B107" s="313" t="s">
        <v>26</v>
      </c>
      <c r="C107" s="313" t="s">
        <v>1515</v>
      </c>
      <c r="D107" s="313" t="s">
        <v>24</v>
      </c>
      <c r="E107" s="313" t="s">
        <v>66</v>
      </c>
    </row>
    <row r="108" spans="1:5" x14ac:dyDescent="0.25">
      <c r="A108" s="313" t="s">
        <v>65</v>
      </c>
      <c r="B108" s="313" t="s">
        <v>26</v>
      </c>
      <c r="C108" s="313" t="s">
        <v>1516</v>
      </c>
      <c r="D108" s="313" t="s">
        <v>24</v>
      </c>
      <c r="E108" s="313" t="s">
        <v>66</v>
      </c>
    </row>
    <row r="109" spans="1:5" x14ac:dyDescent="0.25">
      <c r="A109" s="313" t="s">
        <v>65</v>
      </c>
      <c r="B109" s="313" t="s">
        <v>26</v>
      </c>
      <c r="C109" s="313" t="s">
        <v>1517</v>
      </c>
      <c r="D109" s="313" t="s">
        <v>24</v>
      </c>
      <c r="E109" s="313" t="s">
        <v>66</v>
      </c>
    </row>
    <row r="110" spans="1:5" x14ac:dyDescent="0.25">
      <c r="A110" s="313" t="s">
        <v>65</v>
      </c>
      <c r="B110" s="313" t="s">
        <v>26</v>
      </c>
      <c r="C110" s="313" t="s">
        <v>1518</v>
      </c>
      <c r="D110" s="313" t="s">
        <v>24</v>
      </c>
      <c r="E110" s="313" t="s">
        <v>66</v>
      </c>
    </row>
    <row r="111" spans="1:5" x14ac:dyDescent="0.25">
      <c r="A111" s="313" t="s">
        <v>65</v>
      </c>
      <c r="B111" s="313" t="s">
        <v>26</v>
      </c>
      <c r="C111" s="313" t="s">
        <v>1519</v>
      </c>
      <c r="D111" s="313" t="s">
        <v>24</v>
      </c>
      <c r="E111" s="313" t="s">
        <v>1526</v>
      </c>
    </row>
    <row r="112" spans="1:5" x14ac:dyDescent="0.25">
      <c r="A112" s="313" t="s">
        <v>69</v>
      </c>
      <c r="B112" s="313" t="s">
        <v>51</v>
      </c>
      <c r="C112" s="313" t="s">
        <v>24</v>
      </c>
      <c r="D112" s="313" t="s">
        <v>24</v>
      </c>
      <c r="E112" s="313" t="s">
        <v>70</v>
      </c>
    </row>
    <row r="113" spans="1:5" x14ac:dyDescent="0.25">
      <c r="A113" s="313" t="s">
        <v>69</v>
      </c>
      <c r="B113" s="313" t="s">
        <v>19</v>
      </c>
      <c r="C113" s="313" t="s">
        <v>1466</v>
      </c>
      <c r="D113" s="313" t="s">
        <v>51</v>
      </c>
      <c r="E113" s="313" t="s">
        <v>24</v>
      </c>
    </row>
    <row r="114" spans="1:5" x14ac:dyDescent="0.25">
      <c r="A114" s="313" t="s">
        <v>69</v>
      </c>
      <c r="B114" s="313" t="s">
        <v>19</v>
      </c>
      <c r="C114" s="313" t="s">
        <v>1471</v>
      </c>
      <c r="D114" s="313" t="s">
        <v>51</v>
      </c>
      <c r="E114" s="313" t="s">
        <v>24</v>
      </c>
    </row>
    <row r="115" spans="1:5" x14ac:dyDescent="0.25">
      <c r="A115" s="313" t="s">
        <v>69</v>
      </c>
      <c r="B115" s="313" t="s">
        <v>19</v>
      </c>
      <c r="C115" s="313" t="s">
        <v>1475</v>
      </c>
      <c r="D115" s="313" t="s">
        <v>51</v>
      </c>
      <c r="E115" s="313" t="s">
        <v>24</v>
      </c>
    </row>
    <row r="116" spans="1:5" x14ac:dyDescent="0.25">
      <c r="A116" s="313" t="s">
        <v>69</v>
      </c>
      <c r="B116" s="313" t="s">
        <v>19</v>
      </c>
      <c r="C116" s="313" t="s">
        <v>20</v>
      </c>
      <c r="D116" s="313" t="s">
        <v>51</v>
      </c>
      <c r="E116" s="313" t="s">
        <v>24</v>
      </c>
    </row>
    <row r="117" spans="1:5" x14ac:dyDescent="0.25">
      <c r="A117" s="313" t="s">
        <v>69</v>
      </c>
      <c r="B117" s="313" t="s">
        <v>19</v>
      </c>
      <c r="C117" s="313" t="s">
        <v>1487</v>
      </c>
      <c r="D117" s="313" t="s">
        <v>51</v>
      </c>
      <c r="E117" s="313" t="s">
        <v>24</v>
      </c>
    </row>
    <row r="118" spans="1:5" x14ac:dyDescent="0.25">
      <c r="A118" s="313" t="s">
        <v>69</v>
      </c>
      <c r="B118" s="313" t="s">
        <v>19</v>
      </c>
      <c r="C118" s="313" t="s">
        <v>1495</v>
      </c>
      <c r="D118" s="313" t="s">
        <v>51</v>
      </c>
      <c r="E118" s="313" t="s">
        <v>24</v>
      </c>
    </row>
    <row r="119" spans="1:5" x14ac:dyDescent="0.25">
      <c r="A119" s="313" t="s">
        <v>73</v>
      </c>
      <c r="B119" s="313" t="s">
        <v>19</v>
      </c>
      <c r="C119" s="313" t="s">
        <v>1466</v>
      </c>
      <c r="D119" s="313" t="s">
        <v>35</v>
      </c>
      <c r="E119" s="313" t="s">
        <v>24</v>
      </c>
    </row>
    <row r="120" spans="1:5" x14ac:dyDescent="0.25">
      <c r="A120" s="313" t="s">
        <v>73</v>
      </c>
      <c r="B120" s="313" t="s">
        <v>19</v>
      </c>
      <c r="C120" s="313" t="s">
        <v>1471</v>
      </c>
      <c r="D120" s="313" t="s">
        <v>35</v>
      </c>
      <c r="E120" s="313" t="s">
        <v>24</v>
      </c>
    </row>
    <row r="121" spans="1:5" x14ac:dyDescent="0.25">
      <c r="A121" s="313" t="s">
        <v>73</v>
      </c>
      <c r="B121" s="313" t="s">
        <v>19</v>
      </c>
      <c r="C121" s="313" t="s">
        <v>1475</v>
      </c>
      <c r="D121" s="313" t="s">
        <v>35</v>
      </c>
      <c r="E121" s="313" t="s">
        <v>24</v>
      </c>
    </row>
    <row r="122" spans="1:5" x14ac:dyDescent="0.25">
      <c r="A122" s="313" t="s">
        <v>73</v>
      </c>
      <c r="B122" s="313" t="s">
        <v>19</v>
      </c>
      <c r="C122" s="313" t="s">
        <v>20</v>
      </c>
      <c r="D122" s="313" t="s">
        <v>35</v>
      </c>
      <c r="E122" s="313" t="s">
        <v>24</v>
      </c>
    </row>
    <row r="123" spans="1:5" x14ac:dyDescent="0.25">
      <c r="A123" s="313" t="s">
        <v>73</v>
      </c>
      <c r="B123" s="313" t="s">
        <v>19</v>
      </c>
      <c r="C123" s="313" t="s">
        <v>1487</v>
      </c>
      <c r="D123" s="313" t="s">
        <v>35</v>
      </c>
      <c r="E123" s="313" t="s">
        <v>24</v>
      </c>
    </row>
    <row r="124" spans="1:5" x14ac:dyDescent="0.25">
      <c r="A124" s="313" t="s">
        <v>73</v>
      </c>
      <c r="B124" s="313" t="s">
        <v>19</v>
      </c>
      <c r="C124" s="313" t="s">
        <v>1495</v>
      </c>
      <c r="D124" s="313" t="s">
        <v>35</v>
      </c>
      <c r="E124" s="313" t="s">
        <v>24</v>
      </c>
    </row>
    <row r="125" spans="1:5" x14ac:dyDescent="0.25">
      <c r="A125" s="313" t="s">
        <v>76</v>
      </c>
      <c r="B125" s="313" t="s">
        <v>19</v>
      </c>
      <c r="C125" s="313" t="s">
        <v>1466</v>
      </c>
      <c r="D125" s="313" t="s">
        <v>19</v>
      </c>
      <c r="E125" s="313" t="s">
        <v>1527</v>
      </c>
    </row>
    <row r="126" spans="1:5" x14ac:dyDescent="0.25">
      <c r="A126" s="313" t="s">
        <v>76</v>
      </c>
      <c r="B126" s="313" t="s">
        <v>19</v>
      </c>
      <c r="C126" s="313" t="s">
        <v>1471</v>
      </c>
      <c r="D126" s="313" t="s">
        <v>26</v>
      </c>
      <c r="E126" s="313" t="s">
        <v>24</v>
      </c>
    </row>
    <row r="127" spans="1:5" x14ac:dyDescent="0.25">
      <c r="A127" s="313" t="s">
        <v>76</v>
      </c>
      <c r="B127" s="313" t="s">
        <v>19</v>
      </c>
      <c r="C127" s="313" t="s">
        <v>1475</v>
      </c>
      <c r="D127" s="313" t="s">
        <v>26</v>
      </c>
      <c r="E127" s="313" t="s">
        <v>24</v>
      </c>
    </row>
    <row r="128" spans="1:5" x14ac:dyDescent="0.25">
      <c r="A128" s="313" t="s">
        <v>76</v>
      </c>
      <c r="B128" s="313" t="s">
        <v>19</v>
      </c>
      <c r="C128" s="313" t="s">
        <v>20</v>
      </c>
      <c r="D128" s="313" t="s">
        <v>19</v>
      </c>
      <c r="E128" s="313" t="s">
        <v>77</v>
      </c>
    </row>
    <row r="129" spans="1:5" x14ac:dyDescent="0.25">
      <c r="A129" s="313" t="s">
        <v>76</v>
      </c>
      <c r="B129" s="313" t="s">
        <v>19</v>
      </c>
      <c r="C129" s="313" t="s">
        <v>1487</v>
      </c>
      <c r="D129" s="313" t="s">
        <v>19</v>
      </c>
      <c r="E129" s="313" t="s">
        <v>1527</v>
      </c>
    </row>
    <row r="130" spans="1:5" x14ac:dyDescent="0.25">
      <c r="A130" s="313" t="s">
        <v>76</v>
      </c>
      <c r="B130" s="313" t="s">
        <v>19</v>
      </c>
      <c r="C130" s="313" t="s">
        <v>1495</v>
      </c>
      <c r="D130" s="313" t="s">
        <v>35</v>
      </c>
      <c r="E130" s="313" t="s">
        <v>24</v>
      </c>
    </row>
    <row r="131" spans="1:5" x14ac:dyDescent="0.25">
      <c r="A131" s="313" t="s">
        <v>76</v>
      </c>
      <c r="B131" s="313" t="s">
        <v>26</v>
      </c>
      <c r="C131" s="313" t="s">
        <v>2929</v>
      </c>
      <c r="D131" s="313" t="s">
        <v>24</v>
      </c>
      <c r="E131" s="313" t="s">
        <v>77</v>
      </c>
    </row>
    <row r="132" spans="1:5" x14ac:dyDescent="0.25">
      <c r="A132" s="313" t="s">
        <v>76</v>
      </c>
      <c r="B132" s="313" t="s">
        <v>26</v>
      </c>
      <c r="C132" s="313" t="s">
        <v>2930</v>
      </c>
      <c r="D132" s="313" t="s">
        <v>24</v>
      </c>
      <c r="E132" s="313" t="s">
        <v>35</v>
      </c>
    </row>
    <row r="133" spans="1:5" x14ac:dyDescent="0.25">
      <c r="A133" s="313" t="s">
        <v>76</v>
      </c>
      <c r="B133" s="313" t="s">
        <v>26</v>
      </c>
      <c r="C133" s="313" t="s">
        <v>1506</v>
      </c>
      <c r="D133" s="313" t="s">
        <v>24</v>
      </c>
      <c r="E133" s="313" t="s">
        <v>1527</v>
      </c>
    </row>
    <row r="134" spans="1:5" x14ac:dyDescent="0.25">
      <c r="A134" s="313" t="s">
        <v>76</v>
      </c>
      <c r="B134" s="313" t="s">
        <v>26</v>
      </c>
      <c r="C134" s="313" t="s">
        <v>1507</v>
      </c>
      <c r="D134" s="313" t="s">
        <v>24</v>
      </c>
      <c r="E134" s="313" t="s">
        <v>1527</v>
      </c>
    </row>
    <row r="135" spans="1:5" x14ac:dyDescent="0.25">
      <c r="A135" s="313" t="s">
        <v>76</v>
      </c>
      <c r="B135" s="313" t="s">
        <v>26</v>
      </c>
      <c r="C135" s="313" t="s">
        <v>1508</v>
      </c>
      <c r="D135" s="313" t="s">
        <v>24</v>
      </c>
      <c r="E135" s="313" t="s">
        <v>77</v>
      </c>
    </row>
    <row r="136" spans="1:5" x14ac:dyDescent="0.25">
      <c r="A136" s="313" t="s">
        <v>80</v>
      </c>
      <c r="B136" s="313" t="s">
        <v>19</v>
      </c>
      <c r="C136" s="313" t="s">
        <v>1466</v>
      </c>
      <c r="D136" s="313" t="s">
        <v>19</v>
      </c>
      <c r="E136" s="313" t="s">
        <v>1528</v>
      </c>
    </row>
    <row r="137" spans="1:5" x14ac:dyDescent="0.25">
      <c r="A137" s="313" t="s">
        <v>80</v>
      </c>
      <c r="B137" s="313" t="s">
        <v>19</v>
      </c>
      <c r="C137" s="313" t="s">
        <v>1471</v>
      </c>
      <c r="D137" s="313" t="s">
        <v>35</v>
      </c>
      <c r="E137" s="313" t="s">
        <v>24</v>
      </c>
    </row>
    <row r="138" spans="1:5" x14ac:dyDescent="0.25">
      <c r="A138" s="313" t="s">
        <v>80</v>
      </c>
      <c r="B138" s="313" t="s">
        <v>19</v>
      </c>
      <c r="C138" s="313" t="s">
        <v>1475</v>
      </c>
      <c r="D138" s="313" t="s">
        <v>35</v>
      </c>
      <c r="E138" s="313" t="s">
        <v>24</v>
      </c>
    </row>
    <row r="139" spans="1:5" x14ac:dyDescent="0.25">
      <c r="A139" s="313" t="s">
        <v>80</v>
      </c>
      <c r="B139" s="313" t="s">
        <v>19</v>
      </c>
      <c r="C139" s="313" t="s">
        <v>20</v>
      </c>
      <c r="D139" s="313" t="s">
        <v>35</v>
      </c>
      <c r="E139" s="313" t="s">
        <v>24</v>
      </c>
    </row>
    <row r="140" spans="1:5" x14ac:dyDescent="0.25">
      <c r="A140" s="313" t="s">
        <v>80</v>
      </c>
      <c r="B140" s="313" t="s">
        <v>19</v>
      </c>
      <c r="C140" s="313" t="s">
        <v>1487</v>
      </c>
      <c r="D140" s="313" t="s">
        <v>19</v>
      </c>
      <c r="E140" s="313" t="s">
        <v>1529</v>
      </c>
    </row>
    <row r="141" spans="1:5" x14ac:dyDescent="0.25">
      <c r="A141" s="313" t="s">
        <v>80</v>
      </c>
      <c r="B141" s="313" t="s">
        <v>19</v>
      </c>
      <c r="C141" s="313" t="s">
        <v>1495</v>
      </c>
      <c r="D141" s="313" t="s">
        <v>35</v>
      </c>
      <c r="E141" s="313" t="s">
        <v>24</v>
      </c>
    </row>
    <row r="142" spans="1:5" x14ac:dyDescent="0.25">
      <c r="A142" s="313" t="s">
        <v>83</v>
      </c>
      <c r="B142" s="313" t="s">
        <v>19</v>
      </c>
      <c r="C142" s="313" t="s">
        <v>1466</v>
      </c>
      <c r="D142" s="313" t="s">
        <v>35</v>
      </c>
      <c r="E142" s="313" t="s">
        <v>24</v>
      </c>
    </row>
    <row r="143" spans="1:5" x14ac:dyDescent="0.25">
      <c r="A143" s="313" t="s">
        <v>83</v>
      </c>
      <c r="B143" s="313" t="s">
        <v>19</v>
      </c>
      <c r="C143" s="313" t="s">
        <v>1471</v>
      </c>
      <c r="D143" s="313" t="s">
        <v>35</v>
      </c>
      <c r="E143" s="313" t="s">
        <v>24</v>
      </c>
    </row>
    <row r="144" spans="1:5" x14ac:dyDescent="0.25">
      <c r="A144" s="313" t="s">
        <v>83</v>
      </c>
      <c r="B144" s="313" t="s">
        <v>19</v>
      </c>
      <c r="C144" s="313" t="s">
        <v>1475</v>
      </c>
      <c r="D144" s="313" t="s">
        <v>35</v>
      </c>
      <c r="E144" s="313" t="s">
        <v>24</v>
      </c>
    </row>
    <row r="145" spans="1:5" x14ac:dyDescent="0.25">
      <c r="A145" s="313" t="s">
        <v>83</v>
      </c>
      <c r="B145" s="313" t="s">
        <v>19</v>
      </c>
      <c r="C145" s="313" t="s">
        <v>20</v>
      </c>
      <c r="D145" s="313" t="s">
        <v>35</v>
      </c>
      <c r="E145" s="313" t="s">
        <v>24</v>
      </c>
    </row>
    <row r="146" spans="1:5" x14ac:dyDescent="0.25">
      <c r="A146" s="313" t="s">
        <v>83</v>
      </c>
      <c r="B146" s="313" t="s">
        <v>19</v>
      </c>
      <c r="C146" s="313" t="s">
        <v>1487</v>
      </c>
      <c r="D146" s="313" t="s">
        <v>35</v>
      </c>
      <c r="E146" s="313" t="s">
        <v>24</v>
      </c>
    </row>
    <row r="147" spans="1:5" x14ac:dyDescent="0.25">
      <c r="A147" s="313" t="s">
        <v>83</v>
      </c>
      <c r="B147" s="313" t="s">
        <v>19</v>
      </c>
      <c r="C147" s="313" t="s">
        <v>1495</v>
      </c>
      <c r="D147" s="313" t="s">
        <v>35</v>
      </c>
      <c r="E147" s="313" t="s">
        <v>24</v>
      </c>
    </row>
    <row r="148" spans="1:5" x14ac:dyDescent="0.25">
      <c r="A148" s="313" t="s">
        <v>85</v>
      </c>
      <c r="B148" s="313" t="s">
        <v>51</v>
      </c>
      <c r="C148" s="313" t="s">
        <v>24</v>
      </c>
      <c r="D148" s="313" t="s">
        <v>24</v>
      </c>
      <c r="E148" s="313" t="s">
        <v>86</v>
      </c>
    </row>
    <row r="149" spans="1:5" x14ac:dyDescent="0.25">
      <c r="A149" s="313" t="s">
        <v>85</v>
      </c>
      <c r="B149" s="313" t="s">
        <v>19</v>
      </c>
      <c r="C149" s="313" t="s">
        <v>1466</v>
      </c>
      <c r="D149" s="313" t="s">
        <v>51</v>
      </c>
      <c r="E149" s="313" t="s">
        <v>24</v>
      </c>
    </row>
    <row r="150" spans="1:5" x14ac:dyDescent="0.25">
      <c r="A150" s="313" t="s">
        <v>85</v>
      </c>
      <c r="B150" s="313" t="s">
        <v>19</v>
      </c>
      <c r="C150" s="313" t="s">
        <v>1471</v>
      </c>
      <c r="D150" s="313" t="s">
        <v>51</v>
      </c>
      <c r="E150" s="313" t="s">
        <v>24</v>
      </c>
    </row>
    <row r="151" spans="1:5" x14ac:dyDescent="0.25">
      <c r="A151" s="313" t="s">
        <v>85</v>
      </c>
      <c r="B151" s="313" t="s">
        <v>19</v>
      </c>
      <c r="C151" s="313" t="s">
        <v>1475</v>
      </c>
      <c r="D151" s="313" t="s">
        <v>51</v>
      </c>
      <c r="E151" s="313" t="s">
        <v>24</v>
      </c>
    </row>
    <row r="152" spans="1:5" x14ac:dyDescent="0.25">
      <c r="A152" s="313" t="s">
        <v>85</v>
      </c>
      <c r="B152" s="313" t="s">
        <v>19</v>
      </c>
      <c r="C152" s="313" t="s">
        <v>20</v>
      </c>
      <c r="D152" s="313" t="s">
        <v>51</v>
      </c>
      <c r="E152" s="313" t="s">
        <v>24</v>
      </c>
    </row>
    <row r="153" spans="1:5" x14ac:dyDescent="0.25">
      <c r="A153" s="313" t="s">
        <v>85</v>
      </c>
      <c r="B153" s="313" t="s">
        <v>19</v>
      </c>
      <c r="C153" s="313" t="s">
        <v>1487</v>
      </c>
      <c r="D153" s="313" t="s">
        <v>51</v>
      </c>
      <c r="E153" s="313" t="s">
        <v>24</v>
      </c>
    </row>
    <row r="154" spans="1:5" x14ac:dyDescent="0.25">
      <c r="A154" s="313" t="s">
        <v>85</v>
      </c>
      <c r="B154" s="313" t="s">
        <v>19</v>
      </c>
      <c r="C154" s="313" t="s">
        <v>1495</v>
      </c>
      <c r="D154" s="313" t="s">
        <v>51</v>
      </c>
      <c r="E154" s="313" t="s">
        <v>24</v>
      </c>
    </row>
    <row r="155" spans="1:5" x14ac:dyDescent="0.25">
      <c r="A155" s="313" t="s">
        <v>85</v>
      </c>
      <c r="B155" s="313" t="s">
        <v>26</v>
      </c>
      <c r="C155" s="313" t="s">
        <v>1501</v>
      </c>
      <c r="D155" s="313" t="s">
        <v>24</v>
      </c>
      <c r="E155" s="313" t="s">
        <v>46</v>
      </c>
    </row>
    <row r="156" spans="1:5" x14ac:dyDescent="0.25">
      <c r="A156" s="313" t="s">
        <v>92</v>
      </c>
      <c r="B156" s="313" t="s">
        <v>51</v>
      </c>
      <c r="C156" s="313" t="s">
        <v>24</v>
      </c>
      <c r="D156" s="313" t="s">
        <v>24</v>
      </c>
      <c r="E156" s="313" t="s">
        <v>93</v>
      </c>
    </row>
    <row r="157" spans="1:5" x14ac:dyDescent="0.25">
      <c r="A157" s="313" t="s">
        <v>92</v>
      </c>
      <c r="B157" s="313" t="s">
        <v>19</v>
      </c>
      <c r="C157" s="313" t="s">
        <v>1466</v>
      </c>
      <c r="D157" s="313" t="s">
        <v>51</v>
      </c>
      <c r="E157" s="313" t="s">
        <v>24</v>
      </c>
    </row>
    <row r="158" spans="1:5" x14ac:dyDescent="0.25">
      <c r="A158" s="313" t="s">
        <v>92</v>
      </c>
      <c r="B158" s="313" t="s">
        <v>19</v>
      </c>
      <c r="C158" s="313" t="s">
        <v>1471</v>
      </c>
      <c r="D158" s="313" t="s">
        <v>51</v>
      </c>
      <c r="E158" s="313" t="s">
        <v>24</v>
      </c>
    </row>
    <row r="159" spans="1:5" x14ac:dyDescent="0.25">
      <c r="A159" s="313" t="s">
        <v>92</v>
      </c>
      <c r="B159" s="313" t="s">
        <v>19</v>
      </c>
      <c r="C159" s="313" t="s">
        <v>1475</v>
      </c>
      <c r="D159" s="313" t="s">
        <v>51</v>
      </c>
      <c r="E159" s="313" t="s">
        <v>24</v>
      </c>
    </row>
    <row r="160" spans="1:5" x14ac:dyDescent="0.25">
      <c r="A160" s="313" t="s">
        <v>92</v>
      </c>
      <c r="B160" s="313" t="s">
        <v>19</v>
      </c>
      <c r="C160" s="313" t="s">
        <v>20</v>
      </c>
      <c r="D160" s="313" t="s">
        <v>51</v>
      </c>
      <c r="E160" s="313" t="s">
        <v>24</v>
      </c>
    </row>
    <row r="161" spans="1:5" x14ac:dyDescent="0.25">
      <c r="A161" s="313" t="s">
        <v>92</v>
      </c>
      <c r="B161" s="313" t="s">
        <v>19</v>
      </c>
      <c r="C161" s="313" t="s">
        <v>1487</v>
      </c>
      <c r="D161" s="313" t="s">
        <v>51</v>
      </c>
      <c r="E161" s="313" t="s">
        <v>24</v>
      </c>
    </row>
    <row r="162" spans="1:5" x14ac:dyDescent="0.25">
      <c r="A162" s="313" t="s">
        <v>92</v>
      </c>
      <c r="B162" s="313" t="s">
        <v>19</v>
      </c>
      <c r="C162" s="313" t="s">
        <v>1495</v>
      </c>
      <c r="D162" s="313" t="s">
        <v>51</v>
      </c>
      <c r="E162" s="313" t="s">
        <v>24</v>
      </c>
    </row>
    <row r="163" spans="1:5" x14ac:dyDescent="0.25">
      <c r="A163" s="313" t="s">
        <v>96</v>
      </c>
      <c r="B163" s="313" t="s">
        <v>19</v>
      </c>
      <c r="C163" s="313" t="s">
        <v>1466</v>
      </c>
      <c r="D163" s="313" t="s">
        <v>35</v>
      </c>
      <c r="E163" s="313" t="s">
        <v>24</v>
      </c>
    </row>
    <row r="164" spans="1:5" x14ac:dyDescent="0.25">
      <c r="A164" s="313" t="s">
        <v>96</v>
      </c>
      <c r="B164" s="313" t="s">
        <v>19</v>
      </c>
      <c r="C164" s="313" t="s">
        <v>1471</v>
      </c>
      <c r="D164" s="313" t="s">
        <v>35</v>
      </c>
      <c r="E164" s="313" t="s">
        <v>24</v>
      </c>
    </row>
    <row r="165" spans="1:5" x14ac:dyDescent="0.25">
      <c r="A165" s="313" t="s">
        <v>96</v>
      </c>
      <c r="B165" s="313" t="s">
        <v>19</v>
      </c>
      <c r="C165" s="313" t="s">
        <v>1475</v>
      </c>
      <c r="D165" s="313" t="s">
        <v>35</v>
      </c>
      <c r="E165" s="313" t="s">
        <v>24</v>
      </c>
    </row>
    <row r="166" spans="1:5" x14ac:dyDescent="0.25">
      <c r="A166" s="313" t="s">
        <v>96</v>
      </c>
      <c r="B166" s="313" t="s">
        <v>19</v>
      </c>
      <c r="C166" s="313" t="s">
        <v>20</v>
      </c>
      <c r="D166" s="313" t="s">
        <v>35</v>
      </c>
      <c r="E166" s="313" t="s">
        <v>24</v>
      </c>
    </row>
    <row r="167" spans="1:5" x14ac:dyDescent="0.25">
      <c r="A167" s="313" t="s">
        <v>96</v>
      </c>
      <c r="B167" s="313" t="s">
        <v>19</v>
      </c>
      <c r="C167" s="313" t="s">
        <v>1487</v>
      </c>
      <c r="D167" s="313" t="s">
        <v>35</v>
      </c>
      <c r="E167" s="313" t="s">
        <v>24</v>
      </c>
    </row>
    <row r="168" spans="1:5" x14ac:dyDescent="0.25">
      <c r="A168" s="313" t="s">
        <v>96</v>
      </c>
      <c r="B168" s="313" t="s">
        <v>19</v>
      </c>
      <c r="C168" s="313" t="s">
        <v>1495</v>
      </c>
      <c r="D168" s="313" t="s">
        <v>35</v>
      </c>
      <c r="E168" s="313" t="s">
        <v>24</v>
      </c>
    </row>
    <row r="169" spans="1:5" x14ac:dyDescent="0.25">
      <c r="A169" s="313" t="s">
        <v>99</v>
      </c>
      <c r="B169" s="313" t="s">
        <v>19</v>
      </c>
      <c r="C169" s="313" t="s">
        <v>1466</v>
      </c>
      <c r="D169" s="313" t="s">
        <v>35</v>
      </c>
      <c r="E169" s="313" t="s">
        <v>24</v>
      </c>
    </row>
    <row r="170" spans="1:5" x14ac:dyDescent="0.25">
      <c r="A170" s="313" t="s">
        <v>99</v>
      </c>
      <c r="B170" s="313" t="s">
        <v>19</v>
      </c>
      <c r="C170" s="313" t="s">
        <v>1471</v>
      </c>
      <c r="D170" s="313" t="s">
        <v>35</v>
      </c>
      <c r="E170" s="313" t="s">
        <v>24</v>
      </c>
    </row>
    <row r="171" spans="1:5" x14ac:dyDescent="0.25">
      <c r="A171" s="313" t="s">
        <v>99</v>
      </c>
      <c r="B171" s="313" t="s">
        <v>19</v>
      </c>
      <c r="C171" s="313" t="s">
        <v>1475</v>
      </c>
      <c r="D171" s="313" t="s">
        <v>35</v>
      </c>
      <c r="E171" s="313" t="s">
        <v>24</v>
      </c>
    </row>
    <row r="172" spans="1:5" x14ac:dyDescent="0.25">
      <c r="A172" s="313" t="s">
        <v>99</v>
      </c>
      <c r="B172" s="313" t="s">
        <v>19</v>
      </c>
      <c r="C172" s="313" t="s">
        <v>20</v>
      </c>
      <c r="D172" s="313" t="s">
        <v>35</v>
      </c>
      <c r="E172" s="313" t="s">
        <v>24</v>
      </c>
    </row>
    <row r="173" spans="1:5" x14ac:dyDescent="0.25">
      <c r="A173" s="313" t="s">
        <v>99</v>
      </c>
      <c r="B173" s="313" t="s">
        <v>19</v>
      </c>
      <c r="C173" s="313" t="s">
        <v>1487</v>
      </c>
      <c r="D173" s="313" t="s">
        <v>35</v>
      </c>
      <c r="E173" s="313" t="s">
        <v>24</v>
      </c>
    </row>
    <row r="174" spans="1:5" x14ac:dyDescent="0.25">
      <c r="A174" s="313" t="s">
        <v>99</v>
      </c>
      <c r="B174" s="313" t="s">
        <v>19</v>
      </c>
      <c r="C174" s="313" t="s">
        <v>1495</v>
      </c>
      <c r="D174" s="313" t="s">
        <v>35</v>
      </c>
      <c r="E174" s="313" t="s">
        <v>24</v>
      </c>
    </row>
    <row r="175" spans="1:5" x14ac:dyDescent="0.25">
      <c r="A175" s="313" t="s">
        <v>2051</v>
      </c>
      <c r="B175" s="313" t="s">
        <v>19</v>
      </c>
      <c r="C175" s="313" t="s">
        <v>1466</v>
      </c>
      <c r="D175" s="313" t="s">
        <v>35</v>
      </c>
      <c r="E175" s="313" t="s">
        <v>24</v>
      </c>
    </row>
    <row r="176" spans="1:5" x14ac:dyDescent="0.25">
      <c r="A176" s="313" t="s">
        <v>2051</v>
      </c>
      <c r="B176" s="313" t="s">
        <v>19</v>
      </c>
      <c r="C176" s="313" t="s">
        <v>1471</v>
      </c>
      <c r="D176" s="313" t="s">
        <v>35</v>
      </c>
      <c r="E176" s="313" t="s">
        <v>24</v>
      </c>
    </row>
    <row r="177" spans="1:5" x14ac:dyDescent="0.25">
      <c r="A177" s="313" t="s">
        <v>2051</v>
      </c>
      <c r="B177" s="313" t="s">
        <v>19</v>
      </c>
      <c r="C177" s="313" t="s">
        <v>20</v>
      </c>
      <c r="D177" s="313" t="s">
        <v>35</v>
      </c>
      <c r="E177" s="313" t="s">
        <v>24</v>
      </c>
    </row>
    <row r="178" spans="1:5" x14ac:dyDescent="0.25">
      <c r="A178" s="313" t="s">
        <v>2051</v>
      </c>
      <c r="B178" s="313" t="s">
        <v>19</v>
      </c>
      <c r="C178" s="313" t="s">
        <v>1487</v>
      </c>
      <c r="D178" s="313" t="s">
        <v>35</v>
      </c>
      <c r="E178" s="313" t="s">
        <v>24</v>
      </c>
    </row>
    <row r="179" spans="1:5" x14ac:dyDescent="0.25">
      <c r="A179" s="313" t="s">
        <v>105</v>
      </c>
      <c r="B179" s="313" t="s">
        <v>51</v>
      </c>
      <c r="C179" s="313" t="s">
        <v>24</v>
      </c>
      <c r="D179" s="313" t="s">
        <v>24</v>
      </c>
      <c r="E179" s="313" t="s">
        <v>106</v>
      </c>
    </row>
    <row r="180" spans="1:5" x14ac:dyDescent="0.25">
      <c r="A180" s="313" t="s">
        <v>105</v>
      </c>
      <c r="B180" s="313" t="s">
        <v>19</v>
      </c>
      <c r="C180" s="313" t="s">
        <v>1466</v>
      </c>
      <c r="D180" s="313" t="s">
        <v>51</v>
      </c>
      <c r="E180" s="313" t="s">
        <v>24</v>
      </c>
    </row>
    <row r="181" spans="1:5" x14ac:dyDescent="0.25">
      <c r="A181" s="313" t="s">
        <v>105</v>
      </c>
      <c r="B181" s="313" t="s">
        <v>19</v>
      </c>
      <c r="C181" s="313" t="s">
        <v>1471</v>
      </c>
      <c r="D181" s="313" t="s">
        <v>51</v>
      </c>
      <c r="E181" s="313" t="s">
        <v>24</v>
      </c>
    </row>
    <row r="182" spans="1:5" x14ac:dyDescent="0.25">
      <c r="A182" s="313" t="s">
        <v>105</v>
      </c>
      <c r="B182" s="313" t="s">
        <v>19</v>
      </c>
      <c r="C182" s="313" t="s">
        <v>1475</v>
      </c>
      <c r="D182" s="313" t="s">
        <v>51</v>
      </c>
      <c r="E182" s="313" t="s">
        <v>24</v>
      </c>
    </row>
    <row r="183" spans="1:5" x14ac:dyDescent="0.25">
      <c r="A183" s="313" t="s">
        <v>105</v>
      </c>
      <c r="B183" s="313" t="s">
        <v>19</v>
      </c>
      <c r="C183" s="313" t="s">
        <v>20</v>
      </c>
      <c r="D183" s="313" t="s">
        <v>51</v>
      </c>
      <c r="E183" s="313" t="s">
        <v>24</v>
      </c>
    </row>
    <row r="184" spans="1:5" x14ac:dyDescent="0.25">
      <c r="A184" s="313" t="s">
        <v>105</v>
      </c>
      <c r="B184" s="313" t="s">
        <v>19</v>
      </c>
      <c r="C184" s="313" t="s">
        <v>1487</v>
      </c>
      <c r="D184" s="313" t="s">
        <v>51</v>
      </c>
      <c r="E184" s="313" t="s">
        <v>24</v>
      </c>
    </row>
    <row r="185" spans="1:5" x14ac:dyDescent="0.25">
      <c r="A185" s="313" t="s">
        <v>105</v>
      </c>
      <c r="B185" s="313" t="s">
        <v>19</v>
      </c>
      <c r="C185" s="313" t="s">
        <v>1495</v>
      </c>
      <c r="D185" s="313" t="s">
        <v>51</v>
      </c>
      <c r="E185" s="313" t="s">
        <v>24</v>
      </c>
    </row>
    <row r="186" spans="1:5" x14ac:dyDescent="0.25">
      <c r="A186" s="313" t="s">
        <v>109</v>
      </c>
      <c r="B186" s="313" t="s">
        <v>19</v>
      </c>
      <c r="C186" s="313" t="s">
        <v>1466</v>
      </c>
      <c r="D186" s="313" t="s">
        <v>35</v>
      </c>
      <c r="E186" s="313" t="s">
        <v>24</v>
      </c>
    </row>
    <row r="187" spans="1:5" x14ac:dyDescent="0.25">
      <c r="A187" s="313" t="s">
        <v>109</v>
      </c>
      <c r="B187" s="313" t="s">
        <v>19</v>
      </c>
      <c r="C187" s="313" t="s">
        <v>1471</v>
      </c>
      <c r="D187" s="313" t="s">
        <v>35</v>
      </c>
      <c r="E187" s="313" t="s">
        <v>24</v>
      </c>
    </row>
    <row r="188" spans="1:5" x14ac:dyDescent="0.25">
      <c r="A188" s="313" t="s">
        <v>109</v>
      </c>
      <c r="B188" s="313" t="s">
        <v>19</v>
      </c>
      <c r="C188" s="313" t="s">
        <v>1475</v>
      </c>
      <c r="D188" s="313" t="s">
        <v>35</v>
      </c>
      <c r="E188" s="313" t="s">
        <v>24</v>
      </c>
    </row>
    <row r="189" spans="1:5" x14ac:dyDescent="0.25">
      <c r="A189" s="313" t="s">
        <v>109</v>
      </c>
      <c r="B189" s="313" t="s">
        <v>19</v>
      </c>
      <c r="C189" s="313" t="s">
        <v>20</v>
      </c>
      <c r="D189" s="313" t="s">
        <v>35</v>
      </c>
      <c r="E189" s="313" t="s">
        <v>24</v>
      </c>
    </row>
    <row r="190" spans="1:5" x14ac:dyDescent="0.25">
      <c r="A190" s="313" t="s">
        <v>109</v>
      </c>
      <c r="B190" s="313" t="s">
        <v>19</v>
      </c>
      <c r="C190" s="313" t="s">
        <v>1487</v>
      </c>
      <c r="D190" s="313" t="s">
        <v>35</v>
      </c>
      <c r="E190" s="313" t="s">
        <v>24</v>
      </c>
    </row>
    <row r="191" spans="1:5" x14ac:dyDescent="0.25">
      <c r="A191" s="313" t="s">
        <v>109</v>
      </c>
      <c r="B191" s="313" t="s">
        <v>19</v>
      </c>
      <c r="C191" s="313" t="s">
        <v>1495</v>
      </c>
      <c r="D191" s="313" t="s">
        <v>35</v>
      </c>
      <c r="E191" s="313" t="s">
        <v>24</v>
      </c>
    </row>
    <row r="192" spans="1:5" x14ac:dyDescent="0.25">
      <c r="A192" s="313" t="s">
        <v>112</v>
      </c>
      <c r="B192" s="313" t="s">
        <v>19</v>
      </c>
      <c r="C192" s="313" t="s">
        <v>1466</v>
      </c>
      <c r="D192" s="313" t="s">
        <v>35</v>
      </c>
      <c r="E192" s="313" t="s">
        <v>24</v>
      </c>
    </row>
    <row r="193" spans="1:5" x14ac:dyDescent="0.25">
      <c r="A193" s="313" t="s">
        <v>112</v>
      </c>
      <c r="B193" s="313" t="s">
        <v>19</v>
      </c>
      <c r="C193" s="313" t="s">
        <v>1471</v>
      </c>
      <c r="D193" s="313" t="s">
        <v>35</v>
      </c>
      <c r="E193" s="313" t="s">
        <v>24</v>
      </c>
    </row>
    <row r="194" spans="1:5" x14ac:dyDescent="0.25">
      <c r="A194" s="313" t="s">
        <v>112</v>
      </c>
      <c r="B194" s="313" t="s">
        <v>19</v>
      </c>
      <c r="C194" s="313" t="s">
        <v>1475</v>
      </c>
      <c r="D194" s="313" t="s">
        <v>35</v>
      </c>
      <c r="E194" s="313" t="s">
        <v>24</v>
      </c>
    </row>
    <row r="195" spans="1:5" x14ac:dyDescent="0.25">
      <c r="A195" s="313" t="s">
        <v>112</v>
      </c>
      <c r="B195" s="313" t="s">
        <v>19</v>
      </c>
      <c r="C195" s="313" t="s">
        <v>20</v>
      </c>
      <c r="D195" s="313" t="s">
        <v>35</v>
      </c>
      <c r="E195" s="313" t="s">
        <v>24</v>
      </c>
    </row>
    <row r="196" spans="1:5" x14ac:dyDescent="0.25">
      <c r="A196" s="313" t="s">
        <v>112</v>
      </c>
      <c r="B196" s="313" t="s">
        <v>19</v>
      </c>
      <c r="C196" s="313" t="s">
        <v>1487</v>
      </c>
      <c r="D196" s="313" t="s">
        <v>35</v>
      </c>
      <c r="E196" s="313" t="s">
        <v>24</v>
      </c>
    </row>
    <row r="197" spans="1:5" x14ac:dyDescent="0.25">
      <c r="A197" s="313" t="s">
        <v>112</v>
      </c>
      <c r="B197" s="313" t="s">
        <v>19</v>
      </c>
      <c r="C197" s="313" t="s">
        <v>1495</v>
      </c>
      <c r="D197" s="313" t="s">
        <v>35</v>
      </c>
      <c r="E197" s="313" t="s">
        <v>24</v>
      </c>
    </row>
    <row r="198" spans="1:5" x14ac:dyDescent="0.25">
      <c r="A198" s="313" t="s">
        <v>118</v>
      </c>
      <c r="B198" s="313" t="s">
        <v>19</v>
      </c>
      <c r="C198" s="313" t="s">
        <v>1466</v>
      </c>
      <c r="D198" s="313" t="s">
        <v>35</v>
      </c>
      <c r="E198" s="313" t="s">
        <v>24</v>
      </c>
    </row>
    <row r="199" spans="1:5" x14ac:dyDescent="0.25">
      <c r="A199" s="313" t="s">
        <v>118</v>
      </c>
      <c r="B199" s="313" t="s">
        <v>19</v>
      </c>
      <c r="C199" s="313" t="s">
        <v>1471</v>
      </c>
      <c r="D199" s="313" t="s">
        <v>35</v>
      </c>
      <c r="E199" s="313" t="s">
        <v>24</v>
      </c>
    </row>
    <row r="200" spans="1:5" x14ac:dyDescent="0.25">
      <c r="A200" s="313" t="s">
        <v>118</v>
      </c>
      <c r="B200" s="313" t="s">
        <v>19</v>
      </c>
      <c r="C200" s="313" t="s">
        <v>1475</v>
      </c>
      <c r="D200" s="313" t="s">
        <v>35</v>
      </c>
      <c r="E200" s="313" t="s">
        <v>24</v>
      </c>
    </row>
    <row r="201" spans="1:5" x14ac:dyDescent="0.25">
      <c r="A201" s="313" t="s">
        <v>118</v>
      </c>
      <c r="B201" s="313" t="s">
        <v>19</v>
      </c>
      <c r="C201" s="313" t="s">
        <v>20</v>
      </c>
      <c r="D201" s="313" t="s">
        <v>35</v>
      </c>
      <c r="E201" s="313" t="s">
        <v>24</v>
      </c>
    </row>
    <row r="202" spans="1:5" x14ac:dyDescent="0.25">
      <c r="A202" s="313" t="s">
        <v>118</v>
      </c>
      <c r="B202" s="313" t="s">
        <v>19</v>
      </c>
      <c r="C202" s="313" t="s">
        <v>1487</v>
      </c>
      <c r="D202" s="313" t="s">
        <v>19</v>
      </c>
      <c r="E202" s="313" t="s">
        <v>1531</v>
      </c>
    </row>
    <row r="203" spans="1:5" x14ac:dyDescent="0.25">
      <c r="A203" s="313" t="s">
        <v>118</v>
      </c>
      <c r="B203" s="313" t="s">
        <v>19</v>
      </c>
      <c r="C203" s="313" t="s">
        <v>1495</v>
      </c>
      <c r="D203" s="313" t="s">
        <v>35</v>
      </c>
      <c r="E203" s="313" t="s">
        <v>24</v>
      </c>
    </row>
    <row r="204" spans="1:5" x14ac:dyDescent="0.25">
      <c r="A204" s="313" t="s">
        <v>121</v>
      </c>
      <c r="B204" s="313" t="s">
        <v>19</v>
      </c>
      <c r="C204" s="313" t="s">
        <v>1466</v>
      </c>
      <c r="D204" s="313" t="s">
        <v>35</v>
      </c>
      <c r="E204" s="313" t="s">
        <v>24</v>
      </c>
    </row>
    <row r="205" spans="1:5" x14ac:dyDescent="0.25">
      <c r="A205" s="313" t="s">
        <v>121</v>
      </c>
      <c r="B205" s="313" t="s">
        <v>19</v>
      </c>
      <c r="C205" s="313" t="s">
        <v>1471</v>
      </c>
      <c r="D205" s="313" t="s">
        <v>35</v>
      </c>
      <c r="E205" s="313" t="s">
        <v>24</v>
      </c>
    </row>
    <row r="206" spans="1:5" x14ac:dyDescent="0.25">
      <c r="A206" s="313" t="s">
        <v>121</v>
      </c>
      <c r="B206" s="313" t="s">
        <v>19</v>
      </c>
      <c r="C206" s="313" t="s">
        <v>1475</v>
      </c>
      <c r="D206" s="313" t="s">
        <v>35</v>
      </c>
      <c r="E206" s="313" t="s">
        <v>24</v>
      </c>
    </row>
    <row r="207" spans="1:5" x14ac:dyDescent="0.25">
      <c r="A207" s="313" t="s">
        <v>121</v>
      </c>
      <c r="B207" s="313" t="s">
        <v>19</v>
      </c>
      <c r="C207" s="313" t="s">
        <v>20</v>
      </c>
      <c r="D207" s="313" t="s">
        <v>35</v>
      </c>
      <c r="E207" s="313" t="s">
        <v>24</v>
      </c>
    </row>
    <row r="208" spans="1:5" x14ac:dyDescent="0.25">
      <c r="A208" s="313" t="s">
        <v>121</v>
      </c>
      <c r="B208" s="313" t="s">
        <v>19</v>
      </c>
      <c r="C208" s="313" t="s">
        <v>1487</v>
      </c>
      <c r="D208" s="313" t="s">
        <v>19</v>
      </c>
      <c r="E208" s="313" t="s">
        <v>123</v>
      </c>
    </row>
    <row r="209" spans="1:5" x14ac:dyDescent="0.25">
      <c r="A209" s="313" t="s">
        <v>121</v>
      </c>
      <c r="B209" s="313" t="s">
        <v>19</v>
      </c>
      <c r="C209" s="313" t="s">
        <v>1495</v>
      </c>
      <c r="D209" s="313" t="s">
        <v>35</v>
      </c>
      <c r="E209" s="313" t="s">
        <v>24</v>
      </c>
    </row>
    <row r="210" spans="1:5" x14ac:dyDescent="0.25">
      <c r="A210" s="313" t="s">
        <v>124</v>
      </c>
      <c r="B210" s="313" t="s">
        <v>19</v>
      </c>
      <c r="C210" s="313" t="s">
        <v>1466</v>
      </c>
      <c r="D210" s="313" t="s">
        <v>35</v>
      </c>
      <c r="E210" s="313" t="s">
        <v>24</v>
      </c>
    </row>
    <row r="211" spans="1:5" x14ac:dyDescent="0.25">
      <c r="A211" s="313" t="s">
        <v>124</v>
      </c>
      <c r="B211" s="313" t="s">
        <v>19</v>
      </c>
      <c r="C211" s="313" t="s">
        <v>1471</v>
      </c>
      <c r="D211" s="313" t="s">
        <v>35</v>
      </c>
      <c r="E211" s="313" t="s">
        <v>24</v>
      </c>
    </row>
    <row r="212" spans="1:5" x14ac:dyDescent="0.25">
      <c r="A212" s="313" t="s">
        <v>124</v>
      </c>
      <c r="B212" s="313" t="s">
        <v>19</v>
      </c>
      <c r="C212" s="313" t="s">
        <v>1475</v>
      </c>
      <c r="D212" s="313" t="s">
        <v>35</v>
      </c>
      <c r="E212" s="313" t="s">
        <v>24</v>
      </c>
    </row>
    <row r="213" spans="1:5" x14ac:dyDescent="0.25">
      <c r="A213" s="313" t="s">
        <v>124</v>
      </c>
      <c r="B213" s="313" t="s">
        <v>19</v>
      </c>
      <c r="C213" s="313" t="s">
        <v>20</v>
      </c>
      <c r="D213" s="313" t="s">
        <v>35</v>
      </c>
      <c r="E213" s="313" t="s">
        <v>24</v>
      </c>
    </row>
    <row r="214" spans="1:5" x14ac:dyDescent="0.25">
      <c r="A214" s="313" t="s">
        <v>124</v>
      </c>
      <c r="B214" s="313" t="s">
        <v>19</v>
      </c>
      <c r="C214" s="313" t="s">
        <v>1487</v>
      </c>
      <c r="D214" s="313" t="s">
        <v>35</v>
      </c>
      <c r="E214" s="313" t="s">
        <v>24</v>
      </c>
    </row>
    <row r="215" spans="1:5" x14ac:dyDescent="0.25">
      <c r="A215" s="313" t="s">
        <v>124</v>
      </c>
      <c r="B215" s="313" t="s">
        <v>19</v>
      </c>
      <c r="C215" s="313" t="s">
        <v>1495</v>
      </c>
      <c r="D215" s="313" t="s">
        <v>35</v>
      </c>
      <c r="E215" s="313" t="s">
        <v>24</v>
      </c>
    </row>
    <row r="216" spans="1:5" x14ac:dyDescent="0.25">
      <c r="A216" s="313" t="s">
        <v>126</v>
      </c>
      <c r="B216" s="313" t="s">
        <v>51</v>
      </c>
      <c r="C216" s="313" t="s">
        <v>24</v>
      </c>
      <c r="D216" s="313" t="s">
        <v>24</v>
      </c>
      <c r="E216" s="313" t="s">
        <v>127</v>
      </c>
    </row>
    <row r="217" spans="1:5" x14ac:dyDescent="0.25">
      <c r="A217" s="313" t="s">
        <v>126</v>
      </c>
      <c r="B217" s="313" t="s">
        <v>19</v>
      </c>
      <c r="C217" s="313" t="s">
        <v>1466</v>
      </c>
      <c r="D217" s="313" t="s">
        <v>51</v>
      </c>
      <c r="E217" s="313" t="s">
        <v>24</v>
      </c>
    </row>
    <row r="218" spans="1:5" x14ac:dyDescent="0.25">
      <c r="A218" s="313" t="s">
        <v>126</v>
      </c>
      <c r="B218" s="313" t="s">
        <v>19</v>
      </c>
      <c r="C218" s="313" t="s">
        <v>1471</v>
      </c>
      <c r="D218" s="313" t="s">
        <v>51</v>
      </c>
      <c r="E218" s="313" t="s">
        <v>24</v>
      </c>
    </row>
    <row r="219" spans="1:5" x14ac:dyDescent="0.25">
      <c r="A219" s="313" t="s">
        <v>126</v>
      </c>
      <c r="B219" s="313" t="s">
        <v>19</v>
      </c>
      <c r="C219" s="313" t="s">
        <v>1475</v>
      </c>
      <c r="D219" s="313" t="s">
        <v>51</v>
      </c>
      <c r="E219" s="313" t="s">
        <v>24</v>
      </c>
    </row>
    <row r="220" spans="1:5" x14ac:dyDescent="0.25">
      <c r="A220" s="313" t="s">
        <v>126</v>
      </c>
      <c r="B220" s="313" t="s">
        <v>19</v>
      </c>
      <c r="C220" s="313" t="s">
        <v>20</v>
      </c>
      <c r="D220" s="313" t="s">
        <v>51</v>
      </c>
      <c r="E220" s="313" t="s">
        <v>24</v>
      </c>
    </row>
    <row r="221" spans="1:5" x14ac:dyDescent="0.25">
      <c r="A221" s="313" t="s">
        <v>126</v>
      </c>
      <c r="B221" s="313" t="s">
        <v>19</v>
      </c>
      <c r="C221" s="313" t="s">
        <v>1487</v>
      </c>
      <c r="D221" s="313" t="s">
        <v>51</v>
      </c>
      <c r="E221" s="313" t="s">
        <v>24</v>
      </c>
    </row>
    <row r="222" spans="1:5" x14ac:dyDescent="0.25">
      <c r="A222" s="313" t="s">
        <v>126</v>
      </c>
      <c r="B222" s="313" t="s">
        <v>19</v>
      </c>
      <c r="C222" s="313" t="s">
        <v>1495</v>
      </c>
      <c r="D222" s="313" t="s">
        <v>51</v>
      </c>
      <c r="E222" s="313" t="s">
        <v>24</v>
      </c>
    </row>
    <row r="223" spans="1:5" x14ac:dyDescent="0.25">
      <c r="A223" s="313" t="s">
        <v>130</v>
      </c>
      <c r="B223" s="313" t="s">
        <v>19</v>
      </c>
      <c r="C223" s="313" t="s">
        <v>1466</v>
      </c>
      <c r="D223" s="313" t="s">
        <v>35</v>
      </c>
      <c r="E223" s="313" t="s">
        <v>24</v>
      </c>
    </row>
    <row r="224" spans="1:5" x14ac:dyDescent="0.25">
      <c r="A224" s="313" t="s">
        <v>130</v>
      </c>
      <c r="B224" s="313" t="s">
        <v>19</v>
      </c>
      <c r="C224" s="313" t="s">
        <v>1471</v>
      </c>
      <c r="D224" s="313" t="s">
        <v>35</v>
      </c>
      <c r="E224" s="313" t="s">
        <v>24</v>
      </c>
    </row>
    <row r="225" spans="1:5" x14ac:dyDescent="0.25">
      <c r="A225" s="313" t="s">
        <v>130</v>
      </c>
      <c r="B225" s="313" t="s">
        <v>19</v>
      </c>
      <c r="C225" s="313" t="s">
        <v>1475</v>
      </c>
      <c r="D225" s="313" t="s">
        <v>35</v>
      </c>
      <c r="E225" s="313" t="s">
        <v>24</v>
      </c>
    </row>
    <row r="226" spans="1:5" x14ac:dyDescent="0.25">
      <c r="A226" s="313" t="s">
        <v>130</v>
      </c>
      <c r="B226" s="313" t="s">
        <v>19</v>
      </c>
      <c r="C226" s="313" t="s">
        <v>20</v>
      </c>
      <c r="D226" s="313" t="s">
        <v>35</v>
      </c>
      <c r="E226" s="313" t="s">
        <v>24</v>
      </c>
    </row>
    <row r="227" spans="1:5" x14ac:dyDescent="0.25">
      <c r="A227" s="313" t="s">
        <v>130</v>
      </c>
      <c r="B227" s="313" t="s">
        <v>19</v>
      </c>
      <c r="C227" s="313" t="s">
        <v>1487</v>
      </c>
      <c r="D227" s="313" t="s">
        <v>35</v>
      </c>
      <c r="E227" s="313" t="s">
        <v>24</v>
      </c>
    </row>
    <row r="228" spans="1:5" x14ac:dyDescent="0.25">
      <c r="A228" s="313" t="s">
        <v>130</v>
      </c>
      <c r="B228" s="313" t="s">
        <v>19</v>
      </c>
      <c r="C228" s="313" t="s">
        <v>1495</v>
      </c>
      <c r="D228" s="313" t="s">
        <v>35</v>
      </c>
      <c r="E228" s="313" t="s">
        <v>24</v>
      </c>
    </row>
    <row r="229" spans="1:5" x14ac:dyDescent="0.25">
      <c r="A229" s="313" t="s">
        <v>133</v>
      </c>
      <c r="B229" s="313" t="s">
        <v>19</v>
      </c>
      <c r="C229" s="313" t="s">
        <v>1466</v>
      </c>
      <c r="D229" s="313" t="s">
        <v>35</v>
      </c>
      <c r="E229" s="313" t="s">
        <v>24</v>
      </c>
    </row>
    <row r="230" spans="1:5" x14ac:dyDescent="0.25">
      <c r="A230" s="313" t="s">
        <v>133</v>
      </c>
      <c r="B230" s="313" t="s">
        <v>19</v>
      </c>
      <c r="C230" s="313" t="s">
        <v>1471</v>
      </c>
      <c r="D230" s="313" t="s">
        <v>35</v>
      </c>
      <c r="E230" s="313" t="s">
        <v>24</v>
      </c>
    </row>
    <row r="231" spans="1:5" x14ac:dyDescent="0.25">
      <c r="A231" s="313" t="s">
        <v>133</v>
      </c>
      <c r="B231" s="313" t="s">
        <v>19</v>
      </c>
      <c r="C231" s="313" t="s">
        <v>1475</v>
      </c>
      <c r="D231" s="313" t="s">
        <v>35</v>
      </c>
      <c r="E231" s="313" t="s">
        <v>24</v>
      </c>
    </row>
    <row r="232" spans="1:5" x14ac:dyDescent="0.25">
      <c r="A232" s="313" t="s">
        <v>133</v>
      </c>
      <c r="B232" s="313" t="s">
        <v>19</v>
      </c>
      <c r="C232" s="313" t="s">
        <v>20</v>
      </c>
      <c r="D232" s="313" t="s">
        <v>35</v>
      </c>
      <c r="E232" s="313" t="s">
        <v>24</v>
      </c>
    </row>
    <row r="233" spans="1:5" x14ac:dyDescent="0.25">
      <c r="A233" s="313" t="s">
        <v>133</v>
      </c>
      <c r="B233" s="313" t="s">
        <v>19</v>
      </c>
      <c r="C233" s="313" t="s">
        <v>1487</v>
      </c>
      <c r="D233" s="313" t="s">
        <v>19</v>
      </c>
      <c r="E233" s="313" t="s">
        <v>1532</v>
      </c>
    </row>
    <row r="234" spans="1:5" x14ac:dyDescent="0.25">
      <c r="A234" s="313" t="s">
        <v>133</v>
      </c>
      <c r="B234" s="313" t="s">
        <v>19</v>
      </c>
      <c r="C234" s="313" t="s">
        <v>1495</v>
      </c>
      <c r="D234" s="313" t="s">
        <v>35</v>
      </c>
      <c r="E234" s="313" t="s">
        <v>24</v>
      </c>
    </row>
    <row r="235" spans="1:5" x14ac:dyDescent="0.25">
      <c r="A235" s="313" t="s">
        <v>136</v>
      </c>
      <c r="B235" s="313" t="s">
        <v>19</v>
      </c>
      <c r="C235" s="313" t="s">
        <v>1466</v>
      </c>
      <c r="D235" s="313" t="s">
        <v>35</v>
      </c>
      <c r="E235" s="313" t="s">
        <v>24</v>
      </c>
    </row>
    <row r="236" spans="1:5" x14ac:dyDescent="0.25">
      <c r="A236" s="313" t="s">
        <v>136</v>
      </c>
      <c r="B236" s="313" t="s">
        <v>19</v>
      </c>
      <c r="C236" s="313" t="s">
        <v>1471</v>
      </c>
      <c r="D236" s="313" t="s">
        <v>35</v>
      </c>
      <c r="E236" s="313" t="s">
        <v>24</v>
      </c>
    </row>
    <row r="237" spans="1:5" x14ac:dyDescent="0.25">
      <c r="A237" s="313" t="s">
        <v>136</v>
      </c>
      <c r="B237" s="313" t="s">
        <v>19</v>
      </c>
      <c r="C237" s="313" t="s">
        <v>1475</v>
      </c>
      <c r="D237" s="313" t="s">
        <v>35</v>
      </c>
      <c r="E237" s="313" t="s">
        <v>24</v>
      </c>
    </row>
    <row r="238" spans="1:5" x14ac:dyDescent="0.25">
      <c r="A238" s="313" t="s">
        <v>136</v>
      </c>
      <c r="B238" s="313" t="s">
        <v>19</v>
      </c>
      <c r="C238" s="313" t="s">
        <v>20</v>
      </c>
      <c r="D238" s="313" t="s">
        <v>35</v>
      </c>
      <c r="E238" s="313" t="s">
        <v>24</v>
      </c>
    </row>
    <row r="239" spans="1:5" x14ac:dyDescent="0.25">
      <c r="A239" s="313" t="s">
        <v>136</v>
      </c>
      <c r="B239" s="313" t="s">
        <v>19</v>
      </c>
      <c r="C239" s="313" t="s">
        <v>1487</v>
      </c>
      <c r="D239" s="313" t="s">
        <v>35</v>
      </c>
      <c r="E239" s="313" t="s">
        <v>24</v>
      </c>
    </row>
    <row r="240" spans="1:5" x14ac:dyDescent="0.25">
      <c r="A240" s="313" t="s">
        <v>136</v>
      </c>
      <c r="B240" s="313" t="s">
        <v>19</v>
      </c>
      <c r="C240" s="313" t="s">
        <v>1495</v>
      </c>
      <c r="D240" s="313" t="s">
        <v>35</v>
      </c>
      <c r="E240" s="313" t="s">
        <v>24</v>
      </c>
    </row>
    <row r="241" spans="1:5" x14ac:dyDescent="0.25">
      <c r="A241" s="313" t="s">
        <v>140</v>
      </c>
      <c r="B241" s="313" t="s">
        <v>19</v>
      </c>
      <c r="C241" s="313" t="s">
        <v>1466</v>
      </c>
      <c r="D241" s="313" t="s">
        <v>19</v>
      </c>
      <c r="E241" s="313" t="s">
        <v>141</v>
      </c>
    </row>
    <row r="242" spans="1:5" x14ac:dyDescent="0.25">
      <c r="A242" s="313" t="s">
        <v>140</v>
      </c>
      <c r="B242" s="313" t="s">
        <v>19</v>
      </c>
      <c r="C242" s="313" t="s">
        <v>1471</v>
      </c>
      <c r="D242" s="313" t="s">
        <v>26</v>
      </c>
      <c r="E242" s="313" t="s">
        <v>24</v>
      </c>
    </row>
    <row r="243" spans="1:5" x14ac:dyDescent="0.25">
      <c r="A243" s="313" t="s">
        <v>140</v>
      </c>
      <c r="B243" s="313" t="s">
        <v>19</v>
      </c>
      <c r="C243" s="313" t="s">
        <v>1475</v>
      </c>
      <c r="D243" s="313" t="s">
        <v>26</v>
      </c>
      <c r="E243" s="313" t="s">
        <v>24</v>
      </c>
    </row>
    <row r="244" spans="1:5" x14ac:dyDescent="0.25">
      <c r="A244" s="313" t="s">
        <v>140</v>
      </c>
      <c r="B244" s="313" t="s">
        <v>19</v>
      </c>
      <c r="C244" s="313" t="s">
        <v>20</v>
      </c>
      <c r="D244" s="313" t="s">
        <v>19</v>
      </c>
      <c r="E244" s="313" t="s">
        <v>141</v>
      </c>
    </row>
    <row r="245" spans="1:5" x14ac:dyDescent="0.25">
      <c r="A245" s="313" t="s">
        <v>140</v>
      </c>
      <c r="B245" s="313" t="s">
        <v>19</v>
      </c>
      <c r="C245" s="313" t="s">
        <v>1487</v>
      </c>
      <c r="D245" s="313" t="s">
        <v>26</v>
      </c>
      <c r="E245" s="313" t="s">
        <v>24</v>
      </c>
    </row>
    <row r="246" spans="1:5" x14ac:dyDescent="0.25">
      <c r="A246" s="313" t="s">
        <v>140</v>
      </c>
      <c r="B246" s="313" t="s">
        <v>19</v>
      </c>
      <c r="C246" s="313" t="s">
        <v>1495</v>
      </c>
      <c r="D246" s="313" t="s">
        <v>35</v>
      </c>
      <c r="E246" s="313" t="s">
        <v>24</v>
      </c>
    </row>
    <row r="247" spans="1:5" x14ac:dyDescent="0.25">
      <c r="A247" s="313" t="s">
        <v>140</v>
      </c>
      <c r="B247" s="313" t="s">
        <v>26</v>
      </c>
      <c r="C247" s="313" t="s">
        <v>2929</v>
      </c>
      <c r="D247" s="313" t="s">
        <v>24</v>
      </c>
      <c r="E247" s="313" t="s">
        <v>1533</v>
      </c>
    </row>
    <row r="248" spans="1:5" x14ac:dyDescent="0.25">
      <c r="A248" s="313" t="s">
        <v>140</v>
      </c>
      <c r="B248" s="313" t="s">
        <v>26</v>
      </c>
      <c r="C248" s="313" t="s">
        <v>2930</v>
      </c>
      <c r="D248" s="313" t="s">
        <v>24</v>
      </c>
      <c r="E248" s="313" t="s">
        <v>35</v>
      </c>
    </row>
    <row r="249" spans="1:5" x14ac:dyDescent="0.25">
      <c r="A249" s="313" t="s">
        <v>140</v>
      </c>
      <c r="B249" s="313" t="s">
        <v>26</v>
      </c>
      <c r="C249" s="313" t="s">
        <v>1506</v>
      </c>
      <c r="D249" s="313" t="s">
        <v>24</v>
      </c>
      <c r="E249" s="313" t="s">
        <v>1534</v>
      </c>
    </row>
    <row r="250" spans="1:5" x14ac:dyDescent="0.25">
      <c r="A250" s="313" t="s">
        <v>140</v>
      </c>
      <c r="B250" s="313" t="s">
        <v>26</v>
      </c>
      <c r="C250" s="313" t="s">
        <v>1507</v>
      </c>
      <c r="D250" s="313" t="s">
        <v>24</v>
      </c>
      <c r="E250" s="313" t="s">
        <v>1534</v>
      </c>
    </row>
    <row r="251" spans="1:5" x14ac:dyDescent="0.25">
      <c r="A251" s="313" t="s">
        <v>140</v>
      </c>
      <c r="B251" s="313" t="s">
        <v>26</v>
      </c>
      <c r="C251" s="313" t="s">
        <v>1508</v>
      </c>
      <c r="D251" s="313" t="s">
        <v>24</v>
      </c>
      <c r="E251" s="313" t="s">
        <v>1534</v>
      </c>
    </row>
    <row r="252" spans="1:5" x14ac:dyDescent="0.25">
      <c r="A252" s="313" t="s">
        <v>140</v>
      </c>
      <c r="B252" s="313" t="s">
        <v>26</v>
      </c>
      <c r="C252" s="313" t="s">
        <v>1514</v>
      </c>
      <c r="D252" s="313" t="s">
        <v>24</v>
      </c>
      <c r="E252" s="313" t="s">
        <v>141</v>
      </c>
    </row>
    <row r="253" spans="1:5" x14ac:dyDescent="0.25">
      <c r="A253" s="313" t="s">
        <v>140</v>
      </c>
      <c r="B253" s="313" t="s">
        <v>26</v>
      </c>
      <c r="C253" s="313" t="s">
        <v>1515</v>
      </c>
      <c r="D253" s="313" t="s">
        <v>24</v>
      </c>
      <c r="E253" s="313" t="s">
        <v>1535</v>
      </c>
    </row>
    <row r="254" spans="1:5" x14ac:dyDescent="0.25">
      <c r="A254" s="313" t="s">
        <v>140</v>
      </c>
      <c r="B254" s="313" t="s">
        <v>26</v>
      </c>
      <c r="C254" s="313" t="s">
        <v>1516</v>
      </c>
      <c r="D254" s="313" t="s">
        <v>24</v>
      </c>
      <c r="E254" s="313" t="s">
        <v>141</v>
      </c>
    </row>
    <row r="255" spans="1:5" x14ac:dyDescent="0.25">
      <c r="A255" s="313" t="s">
        <v>140</v>
      </c>
      <c r="B255" s="313" t="s">
        <v>26</v>
      </c>
      <c r="C255" s="313" t="s">
        <v>1517</v>
      </c>
      <c r="D255" s="313" t="s">
        <v>24</v>
      </c>
      <c r="E255" s="313" t="s">
        <v>1536</v>
      </c>
    </row>
    <row r="256" spans="1:5" x14ac:dyDescent="0.25">
      <c r="A256" s="313" t="s">
        <v>140</v>
      </c>
      <c r="B256" s="313" t="s">
        <v>26</v>
      </c>
      <c r="C256" s="313" t="s">
        <v>1518</v>
      </c>
      <c r="D256" s="313" t="s">
        <v>24</v>
      </c>
      <c r="E256" s="313" t="s">
        <v>141</v>
      </c>
    </row>
    <row r="257" spans="1:5" x14ac:dyDescent="0.25">
      <c r="A257" s="313" t="s">
        <v>140</v>
      </c>
      <c r="B257" s="313" t="s">
        <v>26</v>
      </c>
      <c r="C257" s="313" t="s">
        <v>1519</v>
      </c>
      <c r="D257" s="313" t="s">
        <v>24</v>
      </c>
      <c r="E257" s="313" t="s">
        <v>1535</v>
      </c>
    </row>
    <row r="258" spans="1:5" x14ac:dyDescent="0.25">
      <c r="A258" s="313" t="s">
        <v>144</v>
      </c>
      <c r="B258" s="313" t="s">
        <v>19</v>
      </c>
      <c r="C258" s="313" t="s">
        <v>1466</v>
      </c>
      <c r="D258" s="313" t="s">
        <v>35</v>
      </c>
      <c r="E258" s="313" t="s">
        <v>24</v>
      </c>
    </row>
    <row r="259" spans="1:5" x14ac:dyDescent="0.25">
      <c r="A259" s="313" t="s">
        <v>144</v>
      </c>
      <c r="B259" s="313" t="s">
        <v>19</v>
      </c>
      <c r="C259" s="313" t="s">
        <v>1471</v>
      </c>
      <c r="D259" s="313" t="s">
        <v>35</v>
      </c>
      <c r="E259" s="313" t="s">
        <v>24</v>
      </c>
    </row>
    <row r="260" spans="1:5" x14ac:dyDescent="0.25">
      <c r="A260" s="313" t="s">
        <v>144</v>
      </c>
      <c r="B260" s="313" t="s">
        <v>19</v>
      </c>
      <c r="C260" s="313" t="s">
        <v>1475</v>
      </c>
      <c r="D260" s="313" t="s">
        <v>35</v>
      </c>
      <c r="E260" s="313" t="s">
        <v>24</v>
      </c>
    </row>
    <row r="261" spans="1:5" x14ac:dyDescent="0.25">
      <c r="A261" s="313" t="s">
        <v>144</v>
      </c>
      <c r="B261" s="313" t="s">
        <v>19</v>
      </c>
      <c r="C261" s="313" t="s">
        <v>20</v>
      </c>
      <c r="D261" s="313" t="s">
        <v>35</v>
      </c>
      <c r="E261" s="313" t="s">
        <v>35</v>
      </c>
    </row>
    <row r="262" spans="1:5" x14ac:dyDescent="0.25">
      <c r="A262" s="313" t="s">
        <v>144</v>
      </c>
      <c r="B262" s="313" t="s">
        <v>19</v>
      </c>
      <c r="C262" s="313" t="s">
        <v>1487</v>
      </c>
      <c r="D262" s="313" t="s">
        <v>26</v>
      </c>
      <c r="E262" s="313" t="s">
        <v>24</v>
      </c>
    </row>
    <row r="263" spans="1:5" x14ac:dyDescent="0.25">
      <c r="A263" s="313" t="s">
        <v>144</v>
      </c>
      <c r="B263" s="313" t="s">
        <v>19</v>
      </c>
      <c r="C263" s="313" t="s">
        <v>1495</v>
      </c>
      <c r="D263" s="313" t="s">
        <v>35</v>
      </c>
      <c r="E263" s="313" t="s">
        <v>24</v>
      </c>
    </row>
    <row r="264" spans="1:5" x14ac:dyDescent="0.25">
      <c r="A264" s="313" t="s">
        <v>144</v>
      </c>
      <c r="B264" s="313" t="s">
        <v>26</v>
      </c>
      <c r="C264" s="313" t="s">
        <v>1514</v>
      </c>
      <c r="D264" s="313" t="s">
        <v>24</v>
      </c>
      <c r="E264" s="313" t="s">
        <v>46</v>
      </c>
    </row>
    <row r="265" spans="1:5" x14ac:dyDescent="0.25">
      <c r="A265" s="313" t="s">
        <v>144</v>
      </c>
      <c r="B265" s="313" t="s">
        <v>26</v>
      </c>
      <c r="C265" s="313" t="s">
        <v>1515</v>
      </c>
      <c r="D265" s="313" t="s">
        <v>24</v>
      </c>
      <c r="E265" s="313" t="s">
        <v>46</v>
      </c>
    </row>
    <row r="266" spans="1:5" x14ac:dyDescent="0.25">
      <c r="A266" s="313" t="s">
        <v>144</v>
      </c>
      <c r="B266" s="313" t="s">
        <v>26</v>
      </c>
      <c r="C266" s="313" t="s">
        <v>1516</v>
      </c>
      <c r="D266" s="313" t="s">
        <v>24</v>
      </c>
      <c r="E266" s="313" t="s">
        <v>46</v>
      </c>
    </row>
    <row r="267" spans="1:5" x14ac:dyDescent="0.25">
      <c r="A267" s="313" t="s">
        <v>144</v>
      </c>
      <c r="B267" s="313" t="s">
        <v>26</v>
      </c>
      <c r="C267" s="313" t="s">
        <v>1517</v>
      </c>
      <c r="D267" s="313" t="s">
        <v>24</v>
      </c>
      <c r="E267" s="313" t="s">
        <v>1537</v>
      </c>
    </row>
    <row r="268" spans="1:5" x14ac:dyDescent="0.25">
      <c r="A268" s="313" t="s">
        <v>144</v>
      </c>
      <c r="B268" s="313" t="s">
        <v>26</v>
      </c>
      <c r="C268" s="313" t="s">
        <v>1518</v>
      </c>
      <c r="D268" s="313" t="s">
        <v>24</v>
      </c>
      <c r="E268" s="313" t="s">
        <v>46</v>
      </c>
    </row>
    <row r="269" spans="1:5" x14ac:dyDescent="0.25">
      <c r="A269" s="313" t="s">
        <v>144</v>
      </c>
      <c r="B269" s="313" t="s">
        <v>26</v>
      </c>
      <c r="C269" s="313" t="s">
        <v>1519</v>
      </c>
      <c r="D269" s="313" t="s">
        <v>24</v>
      </c>
      <c r="E269" s="313" t="s">
        <v>46</v>
      </c>
    </row>
    <row r="270" spans="1:5" x14ac:dyDescent="0.25">
      <c r="A270" s="313" t="s">
        <v>147</v>
      </c>
      <c r="B270" s="313" t="s">
        <v>19</v>
      </c>
      <c r="C270" s="313" t="s">
        <v>1466</v>
      </c>
      <c r="D270" s="313" t="s">
        <v>35</v>
      </c>
      <c r="E270" s="313" t="s">
        <v>24</v>
      </c>
    </row>
    <row r="271" spans="1:5" x14ac:dyDescent="0.25">
      <c r="A271" s="313" t="s">
        <v>147</v>
      </c>
      <c r="B271" s="313" t="s">
        <v>19</v>
      </c>
      <c r="C271" s="313" t="s">
        <v>1471</v>
      </c>
      <c r="D271" s="313" t="s">
        <v>35</v>
      </c>
      <c r="E271" s="313" t="s">
        <v>24</v>
      </c>
    </row>
    <row r="272" spans="1:5" x14ac:dyDescent="0.25">
      <c r="A272" s="313" t="s">
        <v>147</v>
      </c>
      <c r="B272" s="313" t="s">
        <v>19</v>
      </c>
      <c r="C272" s="313" t="s">
        <v>1475</v>
      </c>
      <c r="D272" s="313" t="s">
        <v>35</v>
      </c>
      <c r="E272" s="313" t="s">
        <v>24</v>
      </c>
    </row>
    <row r="273" spans="1:5" x14ac:dyDescent="0.25">
      <c r="A273" s="313" t="s">
        <v>147</v>
      </c>
      <c r="B273" s="313" t="s">
        <v>19</v>
      </c>
      <c r="C273" s="313" t="s">
        <v>20</v>
      </c>
      <c r="D273" s="313" t="s">
        <v>35</v>
      </c>
      <c r="E273" s="313" t="s">
        <v>35</v>
      </c>
    </row>
    <row r="274" spans="1:5" x14ac:dyDescent="0.25">
      <c r="A274" s="313" t="s">
        <v>147</v>
      </c>
      <c r="B274" s="313" t="s">
        <v>19</v>
      </c>
      <c r="C274" s="313" t="s">
        <v>1487</v>
      </c>
      <c r="D274" s="313" t="s">
        <v>35</v>
      </c>
      <c r="E274" s="313" t="s">
        <v>24</v>
      </c>
    </row>
    <row r="275" spans="1:5" x14ac:dyDescent="0.25">
      <c r="A275" s="313" t="s">
        <v>147</v>
      </c>
      <c r="B275" s="313" t="s">
        <v>19</v>
      </c>
      <c r="C275" s="313" t="s">
        <v>1495</v>
      </c>
      <c r="D275" s="313" t="s">
        <v>35</v>
      </c>
      <c r="E275" s="313" t="s">
        <v>24</v>
      </c>
    </row>
    <row r="276" spans="1:5" x14ac:dyDescent="0.25">
      <c r="A276" s="313" t="s">
        <v>149</v>
      </c>
      <c r="B276" s="313" t="s">
        <v>19</v>
      </c>
      <c r="C276" s="313" t="s">
        <v>1466</v>
      </c>
      <c r="D276" s="313" t="s">
        <v>19</v>
      </c>
      <c r="E276" s="313" t="s">
        <v>1538</v>
      </c>
    </row>
    <row r="277" spans="1:5" x14ac:dyDescent="0.25">
      <c r="A277" s="313" t="s">
        <v>149</v>
      </c>
      <c r="B277" s="313" t="s">
        <v>19</v>
      </c>
      <c r="C277" s="313" t="s">
        <v>1471</v>
      </c>
      <c r="D277" s="313" t="s">
        <v>26</v>
      </c>
      <c r="E277" s="313" t="s">
        <v>24</v>
      </c>
    </row>
    <row r="278" spans="1:5" x14ac:dyDescent="0.25">
      <c r="A278" s="313" t="s">
        <v>149</v>
      </c>
      <c r="B278" s="313" t="s">
        <v>19</v>
      </c>
      <c r="C278" s="313" t="s">
        <v>1475</v>
      </c>
      <c r="D278" s="313" t="s">
        <v>26</v>
      </c>
      <c r="E278" s="313" t="s">
        <v>24</v>
      </c>
    </row>
    <row r="279" spans="1:5" x14ac:dyDescent="0.25">
      <c r="A279" s="313" t="s">
        <v>149</v>
      </c>
      <c r="B279" s="313" t="s">
        <v>19</v>
      </c>
      <c r="C279" s="313" t="s">
        <v>20</v>
      </c>
      <c r="D279" s="313" t="s">
        <v>19</v>
      </c>
      <c r="E279" s="313" t="s">
        <v>150</v>
      </c>
    </row>
    <row r="280" spans="1:5" x14ac:dyDescent="0.25">
      <c r="A280" s="313" t="s">
        <v>149</v>
      </c>
      <c r="B280" s="313" t="s">
        <v>19</v>
      </c>
      <c r="C280" s="313" t="s">
        <v>1487</v>
      </c>
      <c r="D280" s="313" t="s">
        <v>19</v>
      </c>
      <c r="E280" s="313" t="s">
        <v>1538</v>
      </c>
    </row>
    <row r="281" spans="1:5" x14ac:dyDescent="0.25">
      <c r="A281" s="313" t="s">
        <v>149</v>
      </c>
      <c r="B281" s="313" t="s">
        <v>19</v>
      </c>
      <c r="C281" s="313" t="s">
        <v>1495</v>
      </c>
      <c r="D281" s="313" t="s">
        <v>35</v>
      </c>
      <c r="E281" s="313" t="s">
        <v>24</v>
      </c>
    </row>
    <row r="282" spans="1:5" x14ac:dyDescent="0.25">
      <c r="A282" s="313" t="s">
        <v>149</v>
      </c>
      <c r="B282" s="313" t="s">
        <v>26</v>
      </c>
      <c r="C282" s="313" t="s">
        <v>2929</v>
      </c>
      <c r="D282" s="313" t="s">
        <v>24</v>
      </c>
      <c r="E282" s="313" t="s">
        <v>1538</v>
      </c>
    </row>
    <row r="283" spans="1:5" x14ac:dyDescent="0.25">
      <c r="A283" s="313" t="s">
        <v>149</v>
      </c>
      <c r="B283" s="313" t="s">
        <v>26</v>
      </c>
      <c r="C283" s="313" t="s">
        <v>2930</v>
      </c>
      <c r="D283" s="313" t="s">
        <v>24</v>
      </c>
      <c r="E283" s="313" t="s">
        <v>35</v>
      </c>
    </row>
    <row r="284" spans="1:5" x14ac:dyDescent="0.25">
      <c r="A284" s="313" t="s">
        <v>149</v>
      </c>
      <c r="B284" s="313" t="s">
        <v>26</v>
      </c>
      <c r="C284" s="313" t="s">
        <v>1506</v>
      </c>
      <c r="D284" s="313" t="s">
        <v>24</v>
      </c>
      <c r="E284" s="313" t="s">
        <v>150</v>
      </c>
    </row>
    <row r="285" spans="1:5" x14ac:dyDescent="0.25">
      <c r="A285" s="313" t="s">
        <v>149</v>
      </c>
      <c r="B285" s="313" t="s">
        <v>26</v>
      </c>
      <c r="C285" s="313" t="s">
        <v>1507</v>
      </c>
      <c r="D285" s="313" t="s">
        <v>24</v>
      </c>
      <c r="E285" s="313" t="s">
        <v>150</v>
      </c>
    </row>
    <row r="286" spans="1:5" x14ac:dyDescent="0.25">
      <c r="A286" s="313" t="s">
        <v>149</v>
      </c>
      <c r="B286" s="313" t="s">
        <v>26</v>
      </c>
      <c r="C286" s="313" t="s">
        <v>1508</v>
      </c>
      <c r="D286" s="313" t="s">
        <v>24</v>
      </c>
      <c r="E286" s="313" t="s">
        <v>1538</v>
      </c>
    </row>
    <row r="287" spans="1:5" x14ac:dyDescent="0.25">
      <c r="A287" s="313" t="s">
        <v>153</v>
      </c>
      <c r="B287" s="313" t="s">
        <v>19</v>
      </c>
      <c r="C287" s="313" t="s">
        <v>1466</v>
      </c>
      <c r="D287" s="313" t="s">
        <v>19</v>
      </c>
      <c r="E287" s="313" t="s">
        <v>1539</v>
      </c>
    </row>
    <row r="288" spans="1:5" x14ac:dyDescent="0.25">
      <c r="A288" s="313" t="s">
        <v>153</v>
      </c>
      <c r="B288" s="313" t="s">
        <v>19</v>
      </c>
      <c r="C288" s="313" t="s">
        <v>1471</v>
      </c>
      <c r="D288" s="313" t="s">
        <v>26</v>
      </c>
      <c r="E288" s="313" t="s">
        <v>24</v>
      </c>
    </row>
    <row r="289" spans="1:5" x14ac:dyDescent="0.25">
      <c r="A289" s="313" t="s">
        <v>153</v>
      </c>
      <c r="B289" s="313" t="s">
        <v>19</v>
      </c>
      <c r="C289" s="313" t="s">
        <v>1475</v>
      </c>
      <c r="D289" s="313" t="s">
        <v>35</v>
      </c>
      <c r="E289" s="313" t="s">
        <v>24</v>
      </c>
    </row>
    <row r="290" spans="1:5" x14ac:dyDescent="0.25">
      <c r="A290" s="313" t="s">
        <v>153</v>
      </c>
      <c r="B290" s="313" t="s">
        <v>19</v>
      </c>
      <c r="C290" s="313" t="s">
        <v>20</v>
      </c>
      <c r="D290" s="313" t="s">
        <v>19</v>
      </c>
      <c r="E290" s="313" t="s">
        <v>46</v>
      </c>
    </row>
    <row r="291" spans="1:5" x14ac:dyDescent="0.25">
      <c r="A291" s="313" t="s">
        <v>153</v>
      </c>
      <c r="B291" s="313" t="s">
        <v>19</v>
      </c>
      <c r="C291" s="313" t="s">
        <v>1487</v>
      </c>
      <c r="D291" s="313" t="s">
        <v>26</v>
      </c>
      <c r="E291" s="313" t="s">
        <v>24</v>
      </c>
    </row>
    <row r="292" spans="1:5" x14ac:dyDescent="0.25">
      <c r="A292" s="313" t="s">
        <v>153</v>
      </c>
      <c r="B292" s="313" t="s">
        <v>19</v>
      </c>
      <c r="C292" s="313" t="s">
        <v>1495</v>
      </c>
      <c r="D292" s="313" t="s">
        <v>35</v>
      </c>
      <c r="E292" s="313" t="s">
        <v>24</v>
      </c>
    </row>
    <row r="293" spans="1:5" x14ac:dyDescent="0.25">
      <c r="A293" s="313" t="s">
        <v>153</v>
      </c>
      <c r="B293" s="313" t="s">
        <v>26</v>
      </c>
      <c r="C293" s="313" t="s">
        <v>2929</v>
      </c>
      <c r="D293" s="313" t="s">
        <v>24</v>
      </c>
      <c r="E293" s="313" t="s">
        <v>1540</v>
      </c>
    </row>
    <row r="294" spans="1:5" x14ac:dyDescent="0.25">
      <c r="A294" s="313" t="s">
        <v>153</v>
      </c>
      <c r="B294" s="313" t="s">
        <v>26</v>
      </c>
      <c r="C294" s="313" t="s">
        <v>2930</v>
      </c>
      <c r="D294" s="313" t="s">
        <v>24</v>
      </c>
      <c r="E294" s="313" t="s">
        <v>35</v>
      </c>
    </row>
    <row r="295" spans="1:5" x14ac:dyDescent="0.25">
      <c r="A295" s="313" t="s">
        <v>153</v>
      </c>
      <c r="B295" s="313" t="s">
        <v>26</v>
      </c>
      <c r="C295" s="313" t="s">
        <v>1514</v>
      </c>
      <c r="D295" s="313" t="s">
        <v>24</v>
      </c>
      <c r="E295" s="313" t="s">
        <v>1541</v>
      </c>
    </row>
    <row r="296" spans="1:5" x14ac:dyDescent="0.25">
      <c r="A296" s="313" t="s">
        <v>153</v>
      </c>
      <c r="B296" s="313" t="s">
        <v>26</v>
      </c>
      <c r="C296" s="313" t="s">
        <v>1515</v>
      </c>
      <c r="D296" s="313" t="s">
        <v>24</v>
      </c>
      <c r="E296" s="313" t="s">
        <v>1542</v>
      </c>
    </row>
    <row r="297" spans="1:5" x14ac:dyDescent="0.25">
      <c r="A297" s="313" t="s">
        <v>153</v>
      </c>
      <c r="B297" s="313" t="s">
        <v>26</v>
      </c>
      <c r="C297" s="313" t="s">
        <v>1516</v>
      </c>
      <c r="D297" s="313" t="s">
        <v>24</v>
      </c>
      <c r="E297" s="313" t="s">
        <v>1540</v>
      </c>
    </row>
    <row r="298" spans="1:5" x14ac:dyDescent="0.25">
      <c r="A298" s="313" t="s">
        <v>153</v>
      </c>
      <c r="B298" s="313" t="s">
        <v>26</v>
      </c>
      <c r="C298" s="313" t="s">
        <v>1517</v>
      </c>
      <c r="D298" s="313" t="s">
        <v>24</v>
      </c>
      <c r="E298" s="313" t="s">
        <v>1539</v>
      </c>
    </row>
    <row r="299" spans="1:5" x14ac:dyDescent="0.25">
      <c r="A299" s="313" t="s">
        <v>153</v>
      </c>
      <c r="B299" s="313" t="s">
        <v>26</v>
      </c>
      <c r="C299" s="313" t="s">
        <v>1518</v>
      </c>
      <c r="D299" s="313" t="s">
        <v>24</v>
      </c>
      <c r="E299" s="313" t="s">
        <v>1540</v>
      </c>
    </row>
    <row r="300" spans="1:5" x14ac:dyDescent="0.25">
      <c r="A300" s="313" t="s">
        <v>153</v>
      </c>
      <c r="B300" s="313" t="s">
        <v>26</v>
      </c>
      <c r="C300" s="313" t="s">
        <v>1519</v>
      </c>
      <c r="D300" s="313" t="s">
        <v>24</v>
      </c>
      <c r="E300" s="313" t="s">
        <v>1542</v>
      </c>
    </row>
    <row r="301" spans="1:5" x14ac:dyDescent="0.25">
      <c r="A301" s="313" t="s">
        <v>155</v>
      </c>
      <c r="B301" s="313" t="s">
        <v>19</v>
      </c>
      <c r="C301" s="313" t="s">
        <v>1466</v>
      </c>
      <c r="D301" s="313" t="s">
        <v>19</v>
      </c>
      <c r="E301" s="313" t="s">
        <v>1543</v>
      </c>
    </row>
    <row r="302" spans="1:5" x14ac:dyDescent="0.25">
      <c r="A302" s="313" t="s">
        <v>155</v>
      </c>
      <c r="B302" s="313" t="s">
        <v>19</v>
      </c>
      <c r="C302" s="313" t="s">
        <v>1471</v>
      </c>
      <c r="D302" s="313" t="s">
        <v>26</v>
      </c>
      <c r="E302" s="313" t="s">
        <v>24</v>
      </c>
    </row>
    <row r="303" spans="1:5" x14ac:dyDescent="0.25">
      <c r="A303" s="313" t="s">
        <v>155</v>
      </c>
      <c r="B303" s="313" t="s">
        <v>19</v>
      </c>
      <c r="C303" s="313" t="s">
        <v>1475</v>
      </c>
      <c r="D303" s="313" t="s">
        <v>35</v>
      </c>
      <c r="E303" s="313" t="s">
        <v>24</v>
      </c>
    </row>
    <row r="304" spans="1:5" x14ac:dyDescent="0.25">
      <c r="A304" s="313" t="s">
        <v>155</v>
      </c>
      <c r="B304" s="313" t="s">
        <v>19</v>
      </c>
      <c r="C304" s="313" t="s">
        <v>20</v>
      </c>
      <c r="D304" s="313" t="s">
        <v>35</v>
      </c>
      <c r="E304" s="313" t="s">
        <v>35</v>
      </c>
    </row>
    <row r="305" spans="1:5" x14ac:dyDescent="0.25">
      <c r="A305" s="313" t="s">
        <v>155</v>
      </c>
      <c r="B305" s="313" t="s">
        <v>19</v>
      </c>
      <c r="C305" s="313" t="s">
        <v>1487</v>
      </c>
      <c r="D305" s="313" t="s">
        <v>26</v>
      </c>
      <c r="E305" s="313" t="s">
        <v>24</v>
      </c>
    </row>
    <row r="306" spans="1:5" x14ac:dyDescent="0.25">
      <c r="A306" s="313" t="s">
        <v>155</v>
      </c>
      <c r="B306" s="313" t="s">
        <v>19</v>
      </c>
      <c r="C306" s="313" t="s">
        <v>1495</v>
      </c>
      <c r="D306" s="313" t="s">
        <v>35</v>
      </c>
      <c r="E306" s="313" t="s">
        <v>24</v>
      </c>
    </row>
    <row r="307" spans="1:5" x14ac:dyDescent="0.25">
      <c r="A307" s="313" t="s">
        <v>155</v>
      </c>
      <c r="B307" s="313" t="s">
        <v>26</v>
      </c>
      <c r="C307" s="313" t="s">
        <v>2929</v>
      </c>
      <c r="D307" s="313" t="s">
        <v>24</v>
      </c>
      <c r="E307" s="313" t="s">
        <v>1537</v>
      </c>
    </row>
    <row r="308" spans="1:5" x14ac:dyDescent="0.25">
      <c r="A308" s="313" t="s">
        <v>155</v>
      </c>
      <c r="B308" s="313" t="s">
        <v>26</v>
      </c>
      <c r="C308" s="313" t="s">
        <v>1514</v>
      </c>
      <c r="D308" s="313" t="s">
        <v>24</v>
      </c>
      <c r="E308" s="313" t="s">
        <v>1543</v>
      </c>
    </row>
    <row r="309" spans="1:5" x14ac:dyDescent="0.25">
      <c r="A309" s="313" t="s">
        <v>155</v>
      </c>
      <c r="B309" s="313" t="s">
        <v>26</v>
      </c>
      <c r="C309" s="313" t="s">
        <v>1515</v>
      </c>
      <c r="D309" s="313" t="s">
        <v>24</v>
      </c>
      <c r="E309" s="313" t="s">
        <v>46</v>
      </c>
    </row>
    <row r="310" spans="1:5" x14ac:dyDescent="0.25">
      <c r="A310" s="313" t="s">
        <v>155</v>
      </c>
      <c r="B310" s="313" t="s">
        <v>26</v>
      </c>
      <c r="C310" s="313" t="s">
        <v>1516</v>
      </c>
      <c r="D310" s="313" t="s">
        <v>24</v>
      </c>
      <c r="E310" s="313" t="s">
        <v>1543</v>
      </c>
    </row>
    <row r="311" spans="1:5" x14ac:dyDescent="0.25">
      <c r="A311" s="313" t="s">
        <v>155</v>
      </c>
      <c r="B311" s="313" t="s">
        <v>26</v>
      </c>
      <c r="C311" s="313" t="s">
        <v>1517</v>
      </c>
      <c r="D311" s="313" t="s">
        <v>24</v>
      </c>
      <c r="E311" s="313" t="s">
        <v>1543</v>
      </c>
    </row>
    <row r="312" spans="1:5" x14ac:dyDescent="0.25">
      <c r="A312" s="313" t="s">
        <v>155</v>
      </c>
      <c r="B312" s="313" t="s">
        <v>26</v>
      </c>
      <c r="C312" s="313" t="s">
        <v>1518</v>
      </c>
      <c r="D312" s="313" t="s">
        <v>24</v>
      </c>
      <c r="E312" s="313" t="s">
        <v>1543</v>
      </c>
    </row>
    <row r="313" spans="1:5" x14ac:dyDescent="0.25">
      <c r="A313" s="313" t="s">
        <v>155</v>
      </c>
      <c r="B313" s="313" t="s">
        <v>26</v>
      </c>
      <c r="C313" s="313" t="s">
        <v>1519</v>
      </c>
      <c r="D313" s="313" t="s">
        <v>24</v>
      </c>
      <c r="E313" s="313" t="s">
        <v>46</v>
      </c>
    </row>
    <row r="314" spans="1:5" x14ac:dyDescent="0.25">
      <c r="A314" s="313" t="s">
        <v>157</v>
      </c>
      <c r="B314" s="313" t="s">
        <v>19</v>
      </c>
      <c r="C314" s="313" t="s">
        <v>1466</v>
      </c>
      <c r="D314" s="313" t="s">
        <v>35</v>
      </c>
      <c r="E314" s="313" t="s">
        <v>24</v>
      </c>
    </row>
    <row r="315" spans="1:5" x14ac:dyDescent="0.25">
      <c r="A315" s="313" t="s">
        <v>157</v>
      </c>
      <c r="B315" s="313" t="s">
        <v>19</v>
      </c>
      <c r="C315" s="313" t="s">
        <v>1471</v>
      </c>
      <c r="D315" s="313" t="s">
        <v>35</v>
      </c>
      <c r="E315" s="313" t="s">
        <v>24</v>
      </c>
    </row>
    <row r="316" spans="1:5" x14ac:dyDescent="0.25">
      <c r="A316" s="313" t="s">
        <v>157</v>
      </c>
      <c r="B316" s="313" t="s">
        <v>19</v>
      </c>
      <c r="C316" s="313" t="s">
        <v>1475</v>
      </c>
      <c r="D316" s="313" t="s">
        <v>35</v>
      </c>
      <c r="E316" s="313" t="s">
        <v>24</v>
      </c>
    </row>
    <row r="317" spans="1:5" x14ac:dyDescent="0.25">
      <c r="A317" s="313" t="s">
        <v>157</v>
      </c>
      <c r="B317" s="313" t="s">
        <v>19</v>
      </c>
      <c r="C317" s="313" t="s">
        <v>20</v>
      </c>
      <c r="D317" s="313" t="s">
        <v>35</v>
      </c>
      <c r="E317" s="313" t="s">
        <v>35</v>
      </c>
    </row>
    <row r="318" spans="1:5" x14ac:dyDescent="0.25">
      <c r="A318" s="313" t="s">
        <v>157</v>
      </c>
      <c r="B318" s="313" t="s">
        <v>19</v>
      </c>
      <c r="C318" s="313" t="s">
        <v>1487</v>
      </c>
      <c r="D318" s="313" t="s">
        <v>35</v>
      </c>
      <c r="E318" s="313" t="s">
        <v>24</v>
      </c>
    </row>
    <row r="319" spans="1:5" x14ac:dyDescent="0.25">
      <c r="A319" s="313" t="s">
        <v>157</v>
      </c>
      <c r="B319" s="313" t="s">
        <v>19</v>
      </c>
      <c r="C319" s="313" t="s">
        <v>1495</v>
      </c>
      <c r="D319" s="313" t="s">
        <v>35</v>
      </c>
      <c r="E319" s="313" t="s">
        <v>24</v>
      </c>
    </row>
    <row r="320" spans="1:5" x14ac:dyDescent="0.25">
      <c r="A320" s="313" t="s">
        <v>158</v>
      </c>
      <c r="B320" s="313" t="s">
        <v>19</v>
      </c>
      <c r="C320" s="313" t="s">
        <v>1466</v>
      </c>
      <c r="D320" s="313" t="s">
        <v>35</v>
      </c>
      <c r="E320" s="313" t="s">
        <v>24</v>
      </c>
    </row>
    <row r="321" spans="1:5" x14ac:dyDescent="0.25">
      <c r="A321" s="313" t="s">
        <v>158</v>
      </c>
      <c r="B321" s="313" t="s">
        <v>19</v>
      </c>
      <c r="C321" s="313" t="s">
        <v>1471</v>
      </c>
      <c r="D321" s="313" t="s">
        <v>35</v>
      </c>
      <c r="E321" s="313" t="s">
        <v>24</v>
      </c>
    </row>
    <row r="322" spans="1:5" x14ac:dyDescent="0.25">
      <c r="A322" s="313" t="s">
        <v>158</v>
      </c>
      <c r="B322" s="313" t="s">
        <v>19</v>
      </c>
      <c r="C322" s="313" t="s">
        <v>1475</v>
      </c>
      <c r="D322" s="313" t="s">
        <v>35</v>
      </c>
      <c r="E322" s="313" t="s">
        <v>24</v>
      </c>
    </row>
    <row r="323" spans="1:5" x14ac:dyDescent="0.25">
      <c r="A323" s="313" t="s">
        <v>158</v>
      </c>
      <c r="B323" s="313" t="s">
        <v>19</v>
      </c>
      <c r="C323" s="313" t="s">
        <v>20</v>
      </c>
      <c r="D323" s="313" t="s">
        <v>35</v>
      </c>
      <c r="E323" s="313" t="s">
        <v>24</v>
      </c>
    </row>
    <row r="324" spans="1:5" x14ac:dyDescent="0.25">
      <c r="A324" s="313" t="s">
        <v>158</v>
      </c>
      <c r="B324" s="313" t="s">
        <v>19</v>
      </c>
      <c r="C324" s="313" t="s">
        <v>1487</v>
      </c>
      <c r="D324" s="313" t="s">
        <v>35</v>
      </c>
      <c r="E324" s="313" t="s">
        <v>24</v>
      </c>
    </row>
    <row r="325" spans="1:5" x14ac:dyDescent="0.25">
      <c r="A325" s="313" t="s">
        <v>158</v>
      </c>
      <c r="B325" s="313" t="s">
        <v>19</v>
      </c>
      <c r="C325" s="313" t="s">
        <v>1495</v>
      </c>
      <c r="D325" s="313" t="s">
        <v>35</v>
      </c>
      <c r="E325" s="313" t="s">
        <v>24</v>
      </c>
    </row>
    <row r="326" spans="1:5" x14ac:dyDescent="0.25">
      <c r="A326" s="313" t="s">
        <v>167</v>
      </c>
      <c r="B326" s="313" t="s">
        <v>19</v>
      </c>
      <c r="C326" s="313" t="s">
        <v>1466</v>
      </c>
      <c r="D326" s="313" t="s">
        <v>19</v>
      </c>
      <c r="E326" s="313" t="s">
        <v>168</v>
      </c>
    </row>
    <row r="327" spans="1:5" x14ac:dyDescent="0.25">
      <c r="A327" s="313" t="s">
        <v>167</v>
      </c>
      <c r="B327" s="313" t="s">
        <v>19</v>
      </c>
      <c r="C327" s="313" t="s">
        <v>1471</v>
      </c>
      <c r="D327" s="313" t="s">
        <v>26</v>
      </c>
      <c r="E327" s="313" t="s">
        <v>24</v>
      </c>
    </row>
    <row r="328" spans="1:5" x14ac:dyDescent="0.25">
      <c r="A328" s="313" t="s">
        <v>167</v>
      </c>
      <c r="B328" s="313" t="s">
        <v>19</v>
      </c>
      <c r="C328" s="313" t="s">
        <v>1475</v>
      </c>
      <c r="D328" s="313" t="s">
        <v>26</v>
      </c>
      <c r="E328" s="313" t="s">
        <v>24</v>
      </c>
    </row>
    <row r="329" spans="1:5" x14ac:dyDescent="0.25">
      <c r="A329" s="313" t="s">
        <v>167</v>
      </c>
      <c r="B329" s="313" t="s">
        <v>19</v>
      </c>
      <c r="C329" s="313" t="s">
        <v>20</v>
      </c>
      <c r="D329" s="313" t="s">
        <v>26</v>
      </c>
      <c r="E329" s="313" t="s">
        <v>24</v>
      </c>
    </row>
    <row r="330" spans="1:5" x14ac:dyDescent="0.25">
      <c r="A330" s="313" t="s">
        <v>167</v>
      </c>
      <c r="B330" s="313" t="s">
        <v>19</v>
      </c>
      <c r="C330" s="313" t="s">
        <v>1487</v>
      </c>
      <c r="D330" s="313" t="s">
        <v>19</v>
      </c>
      <c r="E330" s="313" t="s">
        <v>1544</v>
      </c>
    </row>
    <row r="331" spans="1:5" x14ac:dyDescent="0.25">
      <c r="A331" s="313" t="s">
        <v>167</v>
      </c>
      <c r="B331" s="313" t="s">
        <v>19</v>
      </c>
      <c r="C331" s="313" t="s">
        <v>1495</v>
      </c>
      <c r="D331" s="313" t="s">
        <v>35</v>
      </c>
      <c r="E331" s="313" t="s">
        <v>24</v>
      </c>
    </row>
    <row r="332" spans="1:5" x14ac:dyDescent="0.25">
      <c r="A332" s="313" t="s">
        <v>167</v>
      </c>
      <c r="B332" s="313" t="s">
        <v>26</v>
      </c>
      <c r="C332" s="313" t="s">
        <v>2929</v>
      </c>
      <c r="D332" s="313" t="s">
        <v>24</v>
      </c>
      <c r="E332" s="313" t="s">
        <v>1544</v>
      </c>
    </row>
    <row r="333" spans="1:5" x14ac:dyDescent="0.25">
      <c r="A333" s="313" t="s">
        <v>167</v>
      </c>
      <c r="B333" s="313" t="s">
        <v>26</v>
      </c>
      <c r="C333" s="313" t="s">
        <v>2930</v>
      </c>
      <c r="D333" s="313" t="s">
        <v>24</v>
      </c>
      <c r="E333" s="313" t="s">
        <v>35</v>
      </c>
    </row>
    <row r="334" spans="1:5" x14ac:dyDescent="0.25">
      <c r="A334" s="313" t="s">
        <v>167</v>
      </c>
      <c r="B334" s="313" t="s">
        <v>26</v>
      </c>
      <c r="C334" s="313" t="s">
        <v>1506</v>
      </c>
      <c r="D334" s="313" t="s">
        <v>24</v>
      </c>
      <c r="E334" s="313" t="s">
        <v>1544</v>
      </c>
    </row>
    <row r="335" spans="1:5" x14ac:dyDescent="0.25">
      <c r="A335" s="313" t="s">
        <v>167</v>
      </c>
      <c r="B335" s="313" t="s">
        <v>26</v>
      </c>
      <c r="C335" s="313" t="s">
        <v>1507</v>
      </c>
      <c r="D335" s="313" t="s">
        <v>24</v>
      </c>
      <c r="E335" s="313" t="s">
        <v>168</v>
      </c>
    </row>
    <row r="336" spans="1:5" x14ac:dyDescent="0.25">
      <c r="A336" s="313" t="s">
        <v>167</v>
      </c>
      <c r="B336" s="313" t="s">
        <v>26</v>
      </c>
      <c r="C336" s="313" t="s">
        <v>1508</v>
      </c>
      <c r="D336" s="313" t="s">
        <v>24</v>
      </c>
      <c r="E336" s="313" t="s">
        <v>168</v>
      </c>
    </row>
    <row r="337" spans="1:5" x14ac:dyDescent="0.25">
      <c r="A337" s="313" t="s">
        <v>167</v>
      </c>
      <c r="B337" s="313" t="s">
        <v>26</v>
      </c>
      <c r="C337" s="313" t="s">
        <v>1509</v>
      </c>
      <c r="D337" s="313" t="s">
        <v>24</v>
      </c>
      <c r="E337" s="313" t="s">
        <v>168</v>
      </c>
    </row>
    <row r="338" spans="1:5" x14ac:dyDescent="0.25">
      <c r="A338" s="313" t="s">
        <v>167</v>
      </c>
      <c r="B338" s="313" t="s">
        <v>26</v>
      </c>
      <c r="C338" s="313" t="s">
        <v>1510</v>
      </c>
      <c r="D338" s="313" t="s">
        <v>24</v>
      </c>
      <c r="E338" s="313" t="s">
        <v>168</v>
      </c>
    </row>
    <row r="339" spans="1:5" x14ac:dyDescent="0.25">
      <c r="A339" s="313" t="s">
        <v>167</v>
      </c>
      <c r="B339" s="313" t="s">
        <v>26</v>
      </c>
      <c r="C339" s="313" t="s">
        <v>1511</v>
      </c>
      <c r="D339" s="313" t="s">
        <v>24</v>
      </c>
      <c r="E339" s="313" t="s">
        <v>1544</v>
      </c>
    </row>
    <row r="340" spans="1:5" x14ac:dyDescent="0.25">
      <c r="A340" s="313" t="s">
        <v>167</v>
      </c>
      <c r="B340" s="313" t="s">
        <v>26</v>
      </c>
      <c r="C340" s="313" t="s">
        <v>27</v>
      </c>
      <c r="D340" s="313" t="s">
        <v>24</v>
      </c>
      <c r="E340" s="313" t="s">
        <v>168</v>
      </c>
    </row>
    <row r="341" spans="1:5" x14ac:dyDescent="0.25">
      <c r="A341" s="313" t="s">
        <v>167</v>
      </c>
      <c r="B341" s="313" t="s">
        <v>26</v>
      </c>
      <c r="C341" s="313" t="s">
        <v>1512</v>
      </c>
      <c r="D341" s="313" t="s">
        <v>24</v>
      </c>
      <c r="E341" s="313" t="s">
        <v>1544</v>
      </c>
    </row>
    <row r="342" spans="1:5" x14ac:dyDescent="0.25">
      <c r="A342" s="313" t="s">
        <v>167</v>
      </c>
      <c r="B342" s="313" t="s">
        <v>26</v>
      </c>
      <c r="C342" s="313" t="s">
        <v>1513</v>
      </c>
      <c r="D342" s="313" t="s">
        <v>24</v>
      </c>
      <c r="E342" s="313" t="s">
        <v>168</v>
      </c>
    </row>
    <row r="343" spans="1:5" x14ac:dyDescent="0.25">
      <c r="A343" s="313" t="s">
        <v>171</v>
      </c>
      <c r="B343" s="313" t="s">
        <v>19</v>
      </c>
      <c r="C343" s="313" t="s">
        <v>1466</v>
      </c>
      <c r="D343" s="313" t="s">
        <v>19</v>
      </c>
      <c r="E343" s="313" t="s">
        <v>172</v>
      </c>
    </row>
    <row r="344" spans="1:5" x14ac:dyDescent="0.25">
      <c r="A344" s="313" t="s">
        <v>171</v>
      </c>
      <c r="B344" s="313" t="s">
        <v>19</v>
      </c>
      <c r="C344" s="313" t="s">
        <v>1471</v>
      </c>
      <c r="D344" s="313" t="s">
        <v>26</v>
      </c>
      <c r="E344" s="313" t="s">
        <v>24</v>
      </c>
    </row>
    <row r="345" spans="1:5" x14ac:dyDescent="0.25">
      <c r="A345" s="313" t="s">
        <v>171</v>
      </c>
      <c r="B345" s="313" t="s">
        <v>19</v>
      </c>
      <c r="C345" s="313" t="s">
        <v>1475</v>
      </c>
      <c r="D345" s="313" t="s">
        <v>26</v>
      </c>
      <c r="E345" s="313" t="s">
        <v>24</v>
      </c>
    </row>
    <row r="346" spans="1:5" x14ac:dyDescent="0.25">
      <c r="A346" s="313" t="s">
        <v>171</v>
      </c>
      <c r="B346" s="313" t="s">
        <v>19</v>
      </c>
      <c r="C346" s="313" t="s">
        <v>20</v>
      </c>
      <c r="D346" s="313" t="s">
        <v>26</v>
      </c>
      <c r="E346" s="313" t="s">
        <v>24</v>
      </c>
    </row>
    <row r="347" spans="1:5" x14ac:dyDescent="0.25">
      <c r="A347" s="313" t="s">
        <v>171</v>
      </c>
      <c r="B347" s="313" t="s">
        <v>19</v>
      </c>
      <c r="C347" s="313" t="s">
        <v>1487</v>
      </c>
      <c r="D347" s="313" t="s">
        <v>26</v>
      </c>
      <c r="E347" s="313" t="s">
        <v>24</v>
      </c>
    </row>
    <row r="348" spans="1:5" x14ac:dyDescent="0.25">
      <c r="A348" s="313" t="s">
        <v>171</v>
      </c>
      <c r="B348" s="313" t="s">
        <v>19</v>
      </c>
      <c r="C348" s="313" t="s">
        <v>1495</v>
      </c>
      <c r="D348" s="313" t="s">
        <v>35</v>
      </c>
      <c r="E348" s="313" t="s">
        <v>24</v>
      </c>
    </row>
    <row r="349" spans="1:5" x14ac:dyDescent="0.25">
      <c r="A349" s="313" t="s">
        <v>171</v>
      </c>
      <c r="B349" s="313" t="s">
        <v>26</v>
      </c>
      <c r="C349" s="313" t="s">
        <v>2929</v>
      </c>
      <c r="D349" s="313" t="s">
        <v>24</v>
      </c>
      <c r="E349" s="313" t="s">
        <v>1545</v>
      </c>
    </row>
    <row r="350" spans="1:5" x14ac:dyDescent="0.25">
      <c r="A350" s="313" t="s">
        <v>171</v>
      </c>
      <c r="B350" s="313" t="s">
        <v>26</v>
      </c>
      <c r="C350" s="313" t="s">
        <v>2930</v>
      </c>
      <c r="D350" s="313" t="s">
        <v>24</v>
      </c>
      <c r="E350" s="313" t="s">
        <v>35</v>
      </c>
    </row>
    <row r="351" spans="1:5" x14ac:dyDescent="0.25">
      <c r="A351" s="313" t="s">
        <v>171</v>
      </c>
      <c r="B351" s="313" t="s">
        <v>26</v>
      </c>
      <c r="C351" s="313" t="s">
        <v>1506</v>
      </c>
      <c r="D351" s="313" t="s">
        <v>24</v>
      </c>
      <c r="E351" s="313" t="s">
        <v>172</v>
      </c>
    </row>
    <row r="352" spans="1:5" x14ac:dyDescent="0.25">
      <c r="A352" s="313" t="s">
        <v>171</v>
      </c>
      <c r="B352" s="313" t="s">
        <v>26</v>
      </c>
      <c r="C352" s="313" t="s">
        <v>1507</v>
      </c>
      <c r="D352" s="313" t="s">
        <v>24</v>
      </c>
      <c r="E352" s="313" t="s">
        <v>1545</v>
      </c>
    </row>
    <row r="353" spans="1:5" x14ac:dyDescent="0.25">
      <c r="A353" s="313" t="s">
        <v>171</v>
      </c>
      <c r="B353" s="313" t="s">
        <v>26</v>
      </c>
      <c r="C353" s="313" t="s">
        <v>1508</v>
      </c>
      <c r="D353" s="313" t="s">
        <v>24</v>
      </c>
      <c r="E353" s="313" t="s">
        <v>172</v>
      </c>
    </row>
    <row r="354" spans="1:5" x14ac:dyDescent="0.25">
      <c r="A354" s="313" t="s">
        <v>171</v>
      </c>
      <c r="B354" s="313" t="s">
        <v>26</v>
      </c>
      <c r="C354" s="313" t="s">
        <v>1509</v>
      </c>
      <c r="D354" s="313" t="s">
        <v>24</v>
      </c>
      <c r="E354" s="313" t="s">
        <v>172</v>
      </c>
    </row>
    <row r="355" spans="1:5" x14ac:dyDescent="0.25">
      <c r="A355" s="313" t="s">
        <v>171</v>
      </c>
      <c r="B355" s="313" t="s">
        <v>26</v>
      </c>
      <c r="C355" s="313" t="s">
        <v>1510</v>
      </c>
      <c r="D355" s="313" t="s">
        <v>24</v>
      </c>
      <c r="E355" s="313" t="s">
        <v>172</v>
      </c>
    </row>
    <row r="356" spans="1:5" x14ac:dyDescent="0.25">
      <c r="A356" s="313" t="s">
        <v>171</v>
      </c>
      <c r="B356" s="313" t="s">
        <v>26</v>
      </c>
      <c r="C356" s="313" t="s">
        <v>1511</v>
      </c>
      <c r="D356" s="313" t="s">
        <v>24</v>
      </c>
      <c r="E356" s="313" t="s">
        <v>172</v>
      </c>
    </row>
    <row r="357" spans="1:5" x14ac:dyDescent="0.25">
      <c r="A357" s="313" t="s">
        <v>171</v>
      </c>
      <c r="B357" s="313" t="s">
        <v>26</v>
      </c>
      <c r="C357" s="313" t="s">
        <v>27</v>
      </c>
      <c r="D357" s="313" t="s">
        <v>24</v>
      </c>
      <c r="E357" s="313" t="s">
        <v>172</v>
      </c>
    </row>
    <row r="358" spans="1:5" x14ac:dyDescent="0.25">
      <c r="A358" s="313" t="s">
        <v>171</v>
      </c>
      <c r="B358" s="313" t="s">
        <v>26</v>
      </c>
      <c r="C358" s="313" t="s">
        <v>1512</v>
      </c>
      <c r="D358" s="313" t="s">
        <v>24</v>
      </c>
      <c r="E358" s="313" t="s">
        <v>1545</v>
      </c>
    </row>
    <row r="359" spans="1:5" x14ac:dyDescent="0.25">
      <c r="A359" s="313" t="s">
        <v>171</v>
      </c>
      <c r="B359" s="313" t="s">
        <v>26</v>
      </c>
      <c r="C359" s="313" t="s">
        <v>1513</v>
      </c>
      <c r="D359" s="313" t="s">
        <v>24</v>
      </c>
      <c r="E359" s="313" t="s">
        <v>172</v>
      </c>
    </row>
    <row r="360" spans="1:5" x14ac:dyDescent="0.25">
      <c r="A360" s="313" t="s">
        <v>171</v>
      </c>
      <c r="B360" s="313" t="s">
        <v>26</v>
      </c>
      <c r="C360" s="313" t="s">
        <v>1514</v>
      </c>
      <c r="D360" s="313" t="s">
        <v>24</v>
      </c>
      <c r="E360" s="313" t="s">
        <v>172</v>
      </c>
    </row>
    <row r="361" spans="1:5" x14ac:dyDescent="0.25">
      <c r="A361" s="313" t="s">
        <v>171</v>
      </c>
      <c r="B361" s="313" t="s">
        <v>26</v>
      </c>
      <c r="C361" s="313" t="s">
        <v>1515</v>
      </c>
      <c r="D361" s="313" t="s">
        <v>24</v>
      </c>
      <c r="E361" s="313" t="s">
        <v>1545</v>
      </c>
    </row>
    <row r="362" spans="1:5" x14ac:dyDescent="0.25">
      <c r="A362" s="313" t="s">
        <v>171</v>
      </c>
      <c r="B362" s="313" t="s">
        <v>26</v>
      </c>
      <c r="C362" s="313" t="s">
        <v>1516</v>
      </c>
      <c r="D362" s="313" t="s">
        <v>24</v>
      </c>
      <c r="E362" s="313" t="s">
        <v>172</v>
      </c>
    </row>
    <row r="363" spans="1:5" x14ac:dyDescent="0.25">
      <c r="A363" s="313" t="s">
        <v>171</v>
      </c>
      <c r="B363" s="313" t="s">
        <v>26</v>
      </c>
      <c r="C363" s="313" t="s">
        <v>1517</v>
      </c>
      <c r="D363" s="313" t="s">
        <v>24</v>
      </c>
      <c r="E363" s="313" t="s">
        <v>172</v>
      </c>
    </row>
    <row r="364" spans="1:5" x14ac:dyDescent="0.25">
      <c r="A364" s="313" t="s">
        <v>171</v>
      </c>
      <c r="B364" s="313" t="s">
        <v>26</v>
      </c>
      <c r="C364" s="313" t="s">
        <v>1518</v>
      </c>
      <c r="D364" s="313" t="s">
        <v>24</v>
      </c>
      <c r="E364" s="313" t="s">
        <v>172</v>
      </c>
    </row>
    <row r="365" spans="1:5" x14ac:dyDescent="0.25">
      <c r="A365" s="313" t="s">
        <v>171</v>
      </c>
      <c r="B365" s="313" t="s">
        <v>26</v>
      </c>
      <c r="C365" s="313" t="s">
        <v>1519</v>
      </c>
      <c r="D365" s="313" t="s">
        <v>24</v>
      </c>
      <c r="E365" s="313" t="s">
        <v>1545</v>
      </c>
    </row>
    <row r="366" spans="1:5" x14ac:dyDescent="0.25">
      <c r="A366" s="313" t="s">
        <v>175</v>
      </c>
      <c r="B366" s="313" t="s">
        <v>19</v>
      </c>
      <c r="C366" s="313" t="s">
        <v>1466</v>
      </c>
      <c r="D366" s="313" t="s">
        <v>35</v>
      </c>
      <c r="E366" s="313" t="s">
        <v>24</v>
      </c>
    </row>
    <row r="367" spans="1:5" x14ac:dyDescent="0.25">
      <c r="A367" s="313" t="s">
        <v>175</v>
      </c>
      <c r="B367" s="313" t="s">
        <v>19</v>
      </c>
      <c r="C367" s="313" t="s">
        <v>1471</v>
      </c>
      <c r="D367" s="313" t="s">
        <v>35</v>
      </c>
      <c r="E367" s="313" t="s">
        <v>24</v>
      </c>
    </row>
    <row r="368" spans="1:5" x14ac:dyDescent="0.25">
      <c r="A368" s="313" t="s">
        <v>175</v>
      </c>
      <c r="B368" s="313" t="s">
        <v>19</v>
      </c>
      <c r="C368" s="313" t="s">
        <v>1475</v>
      </c>
      <c r="D368" s="313" t="s">
        <v>35</v>
      </c>
      <c r="E368" s="313" t="s">
        <v>24</v>
      </c>
    </row>
    <row r="369" spans="1:5" x14ac:dyDescent="0.25">
      <c r="A369" s="313" t="s">
        <v>175</v>
      </c>
      <c r="B369" s="313" t="s">
        <v>19</v>
      </c>
      <c r="C369" s="313" t="s">
        <v>20</v>
      </c>
      <c r="D369" s="313" t="s">
        <v>26</v>
      </c>
      <c r="E369" s="313" t="s">
        <v>24</v>
      </c>
    </row>
    <row r="370" spans="1:5" x14ac:dyDescent="0.25">
      <c r="A370" s="313" t="s">
        <v>175</v>
      </c>
      <c r="B370" s="313" t="s">
        <v>19</v>
      </c>
      <c r="C370" s="313" t="s">
        <v>1487</v>
      </c>
      <c r="D370" s="313" t="s">
        <v>26</v>
      </c>
      <c r="E370" s="313" t="s">
        <v>24</v>
      </c>
    </row>
    <row r="371" spans="1:5" x14ac:dyDescent="0.25">
      <c r="A371" s="313" t="s">
        <v>175</v>
      </c>
      <c r="B371" s="313" t="s">
        <v>19</v>
      </c>
      <c r="C371" s="313" t="s">
        <v>1495</v>
      </c>
      <c r="D371" s="313" t="s">
        <v>35</v>
      </c>
      <c r="E371" s="313" t="s">
        <v>24</v>
      </c>
    </row>
    <row r="372" spans="1:5" x14ac:dyDescent="0.25">
      <c r="A372" s="313" t="s">
        <v>175</v>
      </c>
      <c r="B372" s="313" t="s">
        <v>26</v>
      </c>
      <c r="C372" s="313" t="s">
        <v>1509</v>
      </c>
      <c r="D372" s="313" t="s">
        <v>24</v>
      </c>
      <c r="E372" s="313" t="s">
        <v>176</v>
      </c>
    </row>
    <row r="373" spans="1:5" x14ac:dyDescent="0.25">
      <c r="A373" s="313" t="s">
        <v>175</v>
      </c>
      <c r="B373" s="313" t="s">
        <v>26</v>
      </c>
      <c r="C373" s="313" t="s">
        <v>1510</v>
      </c>
      <c r="D373" s="313" t="s">
        <v>24</v>
      </c>
      <c r="E373" s="313" t="s">
        <v>176</v>
      </c>
    </row>
    <row r="374" spans="1:5" x14ac:dyDescent="0.25">
      <c r="A374" s="313" t="s">
        <v>175</v>
      </c>
      <c r="B374" s="313" t="s">
        <v>26</v>
      </c>
      <c r="C374" s="313" t="s">
        <v>1511</v>
      </c>
      <c r="D374" s="313" t="s">
        <v>24</v>
      </c>
      <c r="E374" s="313" t="s">
        <v>176</v>
      </c>
    </row>
    <row r="375" spans="1:5" x14ac:dyDescent="0.25">
      <c r="A375" s="313" t="s">
        <v>175</v>
      </c>
      <c r="B375" s="313" t="s">
        <v>26</v>
      </c>
      <c r="C375" s="313" t="s">
        <v>27</v>
      </c>
      <c r="D375" s="313" t="s">
        <v>24</v>
      </c>
      <c r="E375" s="313" t="s">
        <v>176</v>
      </c>
    </row>
    <row r="376" spans="1:5" x14ac:dyDescent="0.25">
      <c r="A376" s="313" t="s">
        <v>175</v>
      </c>
      <c r="B376" s="313" t="s">
        <v>26</v>
      </c>
      <c r="C376" s="313" t="s">
        <v>1512</v>
      </c>
      <c r="D376" s="313" t="s">
        <v>24</v>
      </c>
      <c r="E376" s="313" t="s">
        <v>1546</v>
      </c>
    </row>
    <row r="377" spans="1:5" x14ac:dyDescent="0.25">
      <c r="A377" s="313" t="s">
        <v>175</v>
      </c>
      <c r="B377" s="313" t="s">
        <v>26</v>
      </c>
      <c r="C377" s="313" t="s">
        <v>1513</v>
      </c>
      <c r="D377" s="313" t="s">
        <v>24</v>
      </c>
      <c r="E377" s="313" t="s">
        <v>176</v>
      </c>
    </row>
    <row r="378" spans="1:5" x14ac:dyDescent="0.25">
      <c r="A378" s="313" t="s">
        <v>175</v>
      </c>
      <c r="B378" s="313" t="s">
        <v>26</v>
      </c>
      <c r="C378" s="313" t="s">
        <v>1514</v>
      </c>
      <c r="D378" s="313" t="s">
        <v>24</v>
      </c>
      <c r="E378" s="313" t="s">
        <v>46</v>
      </c>
    </row>
    <row r="379" spans="1:5" x14ac:dyDescent="0.25">
      <c r="A379" s="313" t="s">
        <v>175</v>
      </c>
      <c r="B379" s="313" t="s">
        <v>26</v>
      </c>
      <c r="C379" s="313" t="s">
        <v>1515</v>
      </c>
      <c r="D379" s="313" t="s">
        <v>24</v>
      </c>
      <c r="E379" s="313" t="s">
        <v>1546</v>
      </c>
    </row>
    <row r="380" spans="1:5" x14ac:dyDescent="0.25">
      <c r="A380" s="313" t="s">
        <v>175</v>
      </c>
      <c r="B380" s="313" t="s">
        <v>26</v>
      </c>
      <c r="C380" s="313" t="s">
        <v>1516</v>
      </c>
      <c r="D380" s="313" t="s">
        <v>24</v>
      </c>
      <c r="E380" s="313" t="s">
        <v>46</v>
      </c>
    </row>
    <row r="381" spans="1:5" x14ac:dyDescent="0.25">
      <c r="A381" s="313" t="s">
        <v>175</v>
      </c>
      <c r="B381" s="313" t="s">
        <v>26</v>
      </c>
      <c r="C381" s="313" t="s">
        <v>1517</v>
      </c>
      <c r="D381" s="313" t="s">
        <v>24</v>
      </c>
      <c r="E381" s="313" t="s">
        <v>46</v>
      </c>
    </row>
    <row r="382" spans="1:5" x14ac:dyDescent="0.25">
      <c r="A382" s="313" t="s">
        <v>175</v>
      </c>
      <c r="B382" s="313" t="s">
        <v>26</v>
      </c>
      <c r="C382" s="313" t="s">
        <v>1518</v>
      </c>
      <c r="D382" s="313" t="s">
        <v>24</v>
      </c>
      <c r="E382" s="313" t="s">
        <v>46</v>
      </c>
    </row>
    <row r="383" spans="1:5" x14ac:dyDescent="0.25">
      <c r="A383" s="313" t="s">
        <v>175</v>
      </c>
      <c r="B383" s="313" t="s">
        <v>26</v>
      </c>
      <c r="C383" s="313" t="s">
        <v>1519</v>
      </c>
      <c r="D383" s="313" t="s">
        <v>24</v>
      </c>
      <c r="E383" s="313" t="s">
        <v>1546</v>
      </c>
    </row>
    <row r="384" spans="1:5" x14ac:dyDescent="0.25">
      <c r="A384" s="313" t="s">
        <v>180</v>
      </c>
      <c r="B384" s="313" t="s">
        <v>19</v>
      </c>
      <c r="C384" s="313" t="s">
        <v>1466</v>
      </c>
      <c r="D384" s="313" t="s">
        <v>35</v>
      </c>
      <c r="E384" s="313" t="s">
        <v>24</v>
      </c>
    </row>
    <row r="385" spans="1:5" x14ac:dyDescent="0.25">
      <c r="A385" s="313" t="s">
        <v>180</v>
      </c>
      <c r="B385" s="313" t="s">
        <v>19</v>
      </c>
      <c r="C385" s="313" t="s">
        <v>1471</v>
      </c>
      <c r="D385" s="313" t="s">
        <v>35</v>
      </c>
      <c r="E385" s="313" t="s">
        <v>24</v>
      </c>
    </row>
    <row r="386" spans="1:5" x14ac:dyDescent="0.25">
      <c r="A386" s="313" t="s">
        <v>180</v>
      </c>
      <c r="B386" s="313" t="s">
        <v>19</v>
      </c>
      <c r="C386" s="313" t="s">
        <v>1475</v>
      </c>
      <c r="D386" s="313" t="s">
        <v>35</v>
      </c>
      <c r="E386" s="313" t="s">
        <v>24</v>
      </c>
    </row>
    <row r="387" spans="1:5" x14ac:dyDescent="0.25">
      <c r="A387" s="313" t="s">
        <v>180</v>
      </c>
      <c r="B387" s="313" t="s">
        <v>19</v>
      </c>
      <c r="C387" s="313" t="s">
        <v>20</v>
      </c>
      <c r="D387" s="313" t="s">
        <v>35</v>
      </c>
      <c r="E387" s="313" t="s">
        <v>24</v>
      </c>
    </row>
    <row r="388" spans="1:5" x14ac:dyDescent="0.25">
      <c r="A388" s="313" t="s">
        <v>180</v>
      </c>
      <c r="B388" s="313" t="s">
        <v>19</v>
      </c>
      <c r="C388" s="313" t="s">
        <v>1487</v>
      </c>
      <c r="D388" s="313" t="s">
        <v>35</v>
      </c>
      <c r="E388" s="313" t="s">
        <v>24</v>
      </c>
    </row>
    <row r="389" spans="1:5" x14ac:dyDescent="0.25">
      <c r="A389" s="313" t="s">
        <v>180</v>
      </c>
      <c r="B389" s="313" t="s">
        <v>19</v>
      </c>
      <c r="C389" s="313" t="s">
        <v>1495</v>
      </c>
      <c r="D389" s="313" t="s">
        <v>35</v>
      </c>
      <c r="E389" s="313" t="s">
        <v>24</v>
      </c>
    </row>
    <row r="390" spans="1:5" x14ac:dyDescent="0.25">
      <c r="A390" s="313" t="s">
        <v>182</v>
      </c>
      <c r="B390" s="313" t="s">
        <v>19</v>
      </c>
      <c r="C390" s="313" t="s">
        <v>1466</v>
      </c>
      <c r="D390" s="313" t="s">
        <v>35</v>
      </c>
      <c r="E390" s="313" t="s">
        <v>24</v>
      </c>
    </row>
    <row r="391" spans="1:5" x14ac:dyDescent="0.25">
      <c r="A391" s="313" t="s">
        <v>182</v>
      </c>
      <c r="B391" s="313" t="s">
        <v>19</v>
      </c>
      <c r="C391" s="313" t="s">
        <v>1471</v>
      </c>
      <c r="D391" s="313" t="s">
        <v>35</v>
      </c>
      <c r="E391" s="313" t="s">
        <v>24</v>
      </c>
    </row>
    <row r="392" spans="1:5" x14ac:dyDescent="0.25">
      <c r="A392" s="313" t="s">
        <v>182</v>
      </c>
      <c r="B392" s="313" t="s">
        <v>19</v>
      </c>
      <c r="C392" s="313" t="s">
        <v>1475</v>
      </c>
      <c r="D392" s="313" t="s">
        <v>35</v>
      </c>
      <c r="E392" s="313" t="s">
        <v>24</v>
      </c>
    </row>
    <row r="393" spans="1:5" x14ac:dyDescent="0.25">
      <c r="A393" s="313" t="s">
        <v>182</v>
      </c>
      <c r="B393" s="313" t="s">
        <v>19</v>
      </c>
      <c r="C393" s="313" t="s">
        <v>20</v>
      </c>
      <c r="D393" s="313" t="s">
        <v>35</v>
      </c>
      <c r="E393" s="313" t="s">
        <v>24</v>
      </c>
    </row>
    <row r="394" spans="1:5" x14ac:dyDescent="0.25">
      <c r="A394" s="313" t="s">
        <v>182</v>
      </c>
      <c r="B394" s="313" t="s">
        <v>19</v>
      </c>
      <c r="C394" s="313" t="s">
        <v>1487</v>
      </c>
      <c r="D394" s="313" t="s">
        <v>35</v>
      </c>
      <c r="E394" s="313" t="s">
        <v>24</v>
      </c>
    </row>
    <row r="395" spans="1:5" x14ac:dyDescent="0.25">
      <c r="A395" s="313" t="s">
        <v>182</v>
      </c>
      <c r="B395" s="313" t="s">
        <v>19</v>
      </c>
      <c r="C395" s="313" t="s">
        <v>1495</v>
      </c>
      <c r="D395" s="313" t="s">
        <v>35</v>
      </c>
      <c r="E395" s="313" t="s">
        <v>24</v>
      </c>
    </row>
    <row r="396" spans="1:5" x14ac:dyDescent="0.25">
      <c r="A396" s="313" t="s">
        <v>186</v>
      </c>
      <c r="B396" s="313" t="s">
        <v>19</v>
      </c>
      <c r="C396" s="313" t="s">
        <v>1466</v>
      </c>
      <c r="D396" s="313" t="s">
        <v>35</v>
      </c>
      <c r="E396" s="313" t="s">
        <v>24</v>
      </c>
    </row>
    <row r="397" spans="1:5" x14ac:dyDescent="0.25">
      <c r="A397" s="313" t="s">
        <v>186</v>
      </c>
      <c r="B397" s="313" t="s">
        <v>19</v>
      </c>
      <c r="C397" s="313" t="s">
        <v>1471</v>
      </c>
      <c r="D397" s="313" t="s">
        <v>35</v>
      </c>
      <c r="E397" s="313" t="s">
        <v>24</v>
      </c>
    </row>
    <row r="398" spans="1:5" x14ac:dyDescent="0.25">
      <c r="A398" s="313" t="s">
        <v>186</v>
      </c>
      <c r="B398" s="313" t="s">
        <v>19</v>
      </c>
      <c r="C398" s="313" t="s">
        <v>1475</v>
      </c>
      <c r="D398" s="313" t="s">
        <v>35</v>
      </c>
      <c r="E398" s="313" t="s">
        <v>24</v>
      </c>
    </row>
    <row r="399" spans="1:5" x14ac:dyDescent="0.25">
      <c r="A399" s="313" t="s">
        <v>186</v>
      </c>
      <c r="B399" s="313" t="s">
        <v>19</v>
      </c>
      <c r="C399" s="313" t="s">
        <v>20</v>
      </c>
      <c r="D399" s="313" t="s">
        <v>35</v>
      </c>
      <c r="E399" s="313" t="s">
        <v>24</v>
      </c>
    </row>
    <row r="400" spans="1:5" x14ac:dyDescent="0.25">
      <c r="A400" s="313" t="s">
        <v>186</v>
      </c>
      <c r="B400" s="313" t="s">
        <v>19</v>
      </c>
      <c r="C400" s="313" t="s">
        <v>1487</v>
      </c>
      <c r="D400" s="313" t="s">
        <v>35</v>
      </c>
      <c r="E400" s="313" t="s">
        <v>24</v>
      </c>
    </row>
    <row r="401" spans="1:5" x14ac:dyDescent="0.25">
      <c r="A401" s="313" t="s">
        <v>186</v>
      </c>
      <c r="B401" s="313" t="s">
        <v>19</v>
      </c>
      <c r="C401" s="313" t="s">
        <v>1495</v>
      </c>
      <c r="D401" s="313" t="s">
        <v>35</v>
      </c>
      <c r="E401" s="313" t="s">
        <v>24</v>
      </c>
    </row>
    <row r="402" spans="1:5" x14ac:dyDescent="0.25">
      <c r="A402" s="313" t="s">
        <v>190</v>
      </c>
      <c r="B402" s="313" t="s">
        <v>19</v>
      </c>
      <c r="C402" s="313" t="s">
        <v>1466</v>
      </c>
      <c r="D402" s="313" t="s">
        <v>35</v>
      </c>
      <c r="E402" s="313" t="s">
        <v>24</v>
      </c>
    </row>
    <row r="403" spans="1:5" x14ac:dyDescent="0.25">
      <c r="A403" s="313" t="s">
        <v>190</v>
      </c>
      <c r="B403" s="313" t="s">
        <v>19</v>
      </c>
      <c r="C403" s="313" t="s">
        <v>1471</v>
      </c>
      <c r="D403" s="313" t="s">
        <v>35</v>
      </c>
      <c r="E403" s="313" t="s">
        <v>24</v>
      </c>
    </row>
    <row r="404" spans="1:5" x14ac:dyDescent="0.25">
      <c r="A404" s="313" t="s">
        <v>190</v>
      </c>
      <c r="B404" s="313" t="s">
        <v>19</v>
      </c>
      <c r="C404" s="313" t="s">
        <v>1475</v>
      </c>
      <c r="D404" s="313" t="s">
        <v>35</v>
      </c>
      <c r="E404" s="313" t="s">
        <v>24</v>
      </c>
    </row>
    <row r="405" spans="1:5" x14ac:dyDescent="0.25">
      <c r="A405" s="313" t="s">
        <v>190</v>
      </c>
      <c r="B405" s="313" t="s">
        <v>19</v>
      </c>
      <c r="C405" s="313" t="s">
        <v>20</v>
      </c>
      <c r="D405" s="313" t="s">
        <v>35</v>
      </c>
      <c r="E405" s="313" t="s">
        <v>24</v>
      </c>
    </row>
    <row r="406" spans="1:5" x14ac:dyDescent="0.25">
      <c r="A406" s="313" t="s">
        <v>190</v>
      </c>
      <c r="B406" s="313" t="s">
        <v>19</v>
      </c>
      <c r="C406" s="313" t="s">
        <v>1487</v>
      </c>
      <c r="D406" s="313" t="s">
        <v>35</v>
      </c>
      <c r="E406" s="313" t="s">
        <v>24</v>
      </c>
    </row>
    <row r="407" spans="1:5" x14ac:dyDescent="0.25">
      <c r="A407" s="313" t="s">
        <v>190</v>
      </c>
      <c r="B407" s="313" t="s">
        <v>19</v>
      </c>
      <c r="C407" s="313" t="s">
        <v>1495</v>
      </c>
      <c r="D407" s="313" t="s">
        <v>35</v>
      </c>
      <c r="E407" s="313" t="s">
        <v>24</v>
      </c>
    </row>
    <row r="408" spans="1:5" x14ac:dyDescent="0.25">
      <c r="A408" s="313" t="s">
        <v>192</v>
      </c>
      <c r="B408" s="313" t="s">
        <v>19</v>
      </c>
      <c r="C408" s="313" t="s">
        <v>1466</v>
      </c>
      <c r="D408" s="313" t="s">
        <v>35</v>
      </c>
      <c r="E408" s="313" t="s">
        <v>24</v>
      </c>
    </row>
    <row r="409" spans="1:5" x14ac:dyDescent="0.25">
      <c r="A409" s="313" t="s">
        <v>192</v>
      </c>
      <c r="B409" s="313" t="s">
        <v>19</v>
      </c>
      <c r="C409" s="313" t="s">
        <v>1471</v>
      </c>
      <c r="D409" s="313" t="s">
        <v>35</v>
      </c>
      <c r="E409" s="313" t="s">
        <v>24</v>
      </c>
    </row>
    <row r="410" spans="1:5" x14ac:dyDescent="0.25">
      <c r="A410" s="313" t="s">
        <v>192</v>
      </c>
      <c r="B410" s="313" t="s">
        <v>19</v>
      </c>
      <c r="C410" s="313" t="s">
        <v>1475</v>
      </c>
      <c r="D410" s="313" t="s">
        <v>35</v>
      </c>
      <c r="E410" s="313" t="s">
        <v>24</v>
      </c>
    </row>
    <row r="411" spans="1:5" x14ac:dyDescent="0.25">
      <c r="A411" s="313" t="s">
        <v>192</v>
      </c>
      <c r="B411" s="313" t="s">
        <v>19</v>
      </c>
      <c r="C411" s="313" t="s">
        <v>20</v>
      </c>
      <c r="D411" s="313" t="s">
        <v>35</v>
      </c>
      <c r="E411" s="313" t="s">
        <v>24</v>
      </c>
    </row>
    <row r="412" spans="1:5" x14ac:dyDescent="0.25">
      <c r="A412" s="313" t="s">
        <v>192</v>
      </c>
      <c r="B412" s="313" t="s">
        <v>19</v>
      </c>
      <c r="C412" s="313" t="s">
        <v>1487</v>
      </c>
      <c r="D412" s="313" t="s">
        <v>35</v>
      </c>
      <c r="E412" s="313" t="s">
        <v>24</v>
      </c>
    </row>
    <row r="413" spans="1:5" x14ac:dyDescent="0.25">
      <c r="A413" s="313" t="s">
        <v>192</v>
      </c>
      <c r="B413" s="313" t="s">
        <v>19</v>
      </c>
      <c r="C413" s="313" t="s">
        <v>1495</v>
      </c>
      <c r="D413" s="313" t="s">
        <v>35</v>
      </c>
      <c r="E413" s="313" t="s">
        <v>24</v>
      </c>
    </row>
    <row r="414" spans="1:5" x14ac:dyDescent="0.25">
      <c r="A414" s="313" t="s">
        <v>198</v>
      </c>
      <c r="B414" s="313" t="s">
        <v>51</v>
      </c>
      <c r="C414" s="313" t="s">
        <v>24</v>
      </c>
      <c r="D414" s="313" t="s">
        <v>24</v>
      </c>
      <c r="E414" s="313" t="s">
        <v>199</v>
      </c>
    </row>
    <row r="415" spans="1:5" x14ac:dyDescent="0.25">
      <c r="A415" s="313" t="s">
        <v>198</v>
      </c>
      <c r="B415" s="313" t="s">
        <v>19</v>
      </c>
      <c r="C415" s="313" t="s">
        <v>1466</v>
      </c>
      <c r="D415" s="313" t="s">
        <v>51</v>
      </c>
      <c r="E415" s="313" t="s">
        <v>24</v>
      </c>
    </row>
    <row r="416" spans="1:5" x14ac:dyDescent="0.25">
      <c r="A416" s="313" t="s">
        <v>198</v>
      </c>
      <c r="B416" s="313" t="s">
        <v>19</v>
      </c>
      <c r="C416" s="313" t="s">
        <v>1471</v>
      </c>
      <c r="D416" s="313" t="s">
        <v>51</v>
      </c>
      <c r="E416" s="313" t="s">
        <v>24</v>
      </c>
    </row>
    <row r="417" spans="1:5" x14ac:dyDescent="0.25">
      <c r="A417" s="313" t="s">
        <v>198</v>
      </c>
      <c r="B417" s="313" t="s">
        <v>19</v>
      </c>
      <c r="C417" s="313" t="s">
        <v>1475</v>
      </c>
      <c r="D417" s="313" t="s">
        <v>51</v>
      </c>
      <c r="E417" s="313" t="s">
        <v>24</v>
      </c>
    </row>
    <row r="418" spans="1:5" x14ac:dyDescent="0.25">
      <c r="A418" s="313" t="s">
        <v>198</v>
      </c>
      <c r="B418" s="313" t="s">
        <v>19</v>
      </c>
      <c r="C418" s="313" t="s">
        <v>20</v>
      </c>
      <c r="D418" s="313" t="s">
        <v>51</v>
      </c>
      <c r="E418" s="313" t="s">
        <v>24</v>
      </c>
    </row>
    <row r="419" spans="1:5" x14ac:dyDescent="0.25">
      <c r="A419" s="313" t="s">
        <v>198</v>
      </c>
      <c r="B419" s="313" t="s">
        <v>19</v>
      </c>
      <c r="C419" s="313" t="s">
        <v>1487</v>
      </c>
      <c r="D419" s="313" t="s">
        <v>51</v>
      </c>
      <c r="E419" s="313" t="s">
        <v>24</v>
      </c>
    </row>
    <row r="420" spans="1:5" x14ac:dyDescent="0.25">
      <c r="A420" s="313" t="s">
        <v>198</v>
      </c>
      <c r="B420" s="313" t="s">
        <v>19</v>
      </c>
      <c r="C420" s="313" t="s">
        <v>1495</v>
      </c>
      <c r="D420" s="313" t="s">
        <v>51</v>
      </c>
      <c r="E420" s="313" t="s">
        <v>24</v>
      </c>
    </row>
    <row r="421" spans="1:5" x14ac:dyDescent="0.25">
      <c r="A421" s="313" t="s">
        <v>202</v>
      </c>
      <c r="B421" s="313" t="s">
        <v>19</v>
      </c>
      <c r="C421" s="313" t="s">
        <v>1466</v>
      </c>
      <c r="D421" s="313" t="s">
        <v>35</v>
      </c>
      <c r="E421" s="313" t="s">
        <v>24</v>
      </c>
    </row>
    <row r="422" spans="1:5" x14ac:dyDescent="0.25">
      <c r="A422" s="313" t="s">
        <v>202</v>
      </c>
      <c r="B422" s="313" t="s">
        <v>19</v>
      </c>
      <c r="C422" s="313" t="s">
        <v>1471</v>
      </c>
      <c r="D422" s="313" t="s">
        <v>35</v>
      </c>
      <c r="E422" s="313" t="s">
        <v>24</v>
      </c>
    </row>
    <row r="423" spans="1:5" x14ac:dyDescent="0.25">
      <c r="A423" s="313" t="s">
        <v>202</v>
      </c>
      <c r="B423" s="313" t="s">
        <v>19</v>
      </c>
      <c r="C423" s="313" t="s">
        <v>1475</v>
      </c>
      <c r="D423" s="313" t="s">
        <v>35</v>
      </c>
      <c r="E423" s="313" t="s">
        <v>24</v>
      </c>
    </row>
    <row r="424" spans="1:5" x14ac:dyDescent="0.25">
      <c r="A424" s="313" t="s">
        <v>202</v>
      </c>
      <c r="B424" s="313" t="s">
        <v>19</v>
      </c>
      <c r="C424" s="313" t="s">
        <v>20</v>
      </c>
      <c r="D424" s="313" t="s">
        <v>35</v>
      </c>
      <c r="E424" s="313" t="s">
        <v>24</v>
      </c>
    </row>
    <row r="425" spans="1:5" x14ac:dyDescent="0.25">
      <c r="A425" s="313" t="s">
        <v>202</v>
      </c>
      <c r="B425" s="313" t="s">
        <v>19</v>
      </c>
      <c r="C425" s="313" t="s">
        <v>1487</v>
      </c>
      <c r="D425" s="313" t="s">
        <v>35</v>
      </c>
      <c r="E425" s="313" t="s">
        <v>24</v>
      </c>
    </row>
    <row r="426" spans="1:5" x14ac:dyDescent="0.25">
      <c r="A426" s="313" t="s">
        <v>202</v>
      </c>
      <c r="B426" s="313" t="s">
        <v>19</v>
      </c>
      <c r="C426" s="313" t="s">
        <v>1495</v>
      </c>
      <c r="D426" s="313" t="s">
        <v>35</v>
      </c>
      <c r="E426" s="313" t="s">
        <v>24</v>
      </c>
    </row>
    <row r="427" spans="1:5" x14ac:dyDescent="0.25">
      <c r="A427" s="313" t="s">
        <v>202</v>
      </c>
      <c r="B427" s="313" t="s">
        <v>26</v>
      </c>
      <c r="C427" s="313" t="s">
        <v>1514</v>
      </c>
      <c r="D427" s="313" t="s">
        <v>24</v>
      </c>
      <c r="E427" s="313" t="s">
        <v>46</v>
      </c>
    </row>
    <row r="428" spans="1:5" x14ac:dyDescent="0.25">
      <c r="A428" s="313" t="s">
        <v>202</v>
      </c>
      <c r="B428" s="313" t="s">
        <v>26</v>
      </c>
      <c r="C428" s="313" t="s">
        <v>1515</v>
      </c>
      <c r="D428" s="313" t="s">
        <v>24</v>
      </c>
      <c r="E428" s="313" t="s">
        <v>46</v>
      </c>
    </row>
    <row r="429" spans="1:5" x14ac:dyDescent="0.25">
      <c r="A429" s="313" t="s">
        <v>202</v>
      </c>
      <c r="B429" s="313" t="s">
        <v>26</v>
      </c>
      <c r="C429" s="313" t="s">
        <v>1516</v>
      </c>
      <c r="D429" s="313" t="s">
        <v>24</v>
      </c>
      <c r="E429" s="313" t="s">
        <v>46</v>
      </c>
    </row>
    <row r="430" spans="1:5" x14ac:dyDescent="0.25">
      <c r="A430" s="313" t="s">
        <v>202</v>
      </c>
      <c r="B430" s="313" t="s">
        <v>26</v>
      </c>
      <c r="C430" s="313" t="s">
        <v>1517</v>
      </c>
      <c r="D430" s="313" t="s">
        <v>24</v>
      </c>
      <c r="E430" s="313" t="s">
        <v>46</v>
      </c>
    </row>
    <row r="431" spans="1:5" x14ac:dyDescent="0.25">
      <c r="A431" s="313" t="s">
        <v>202</v>
      </c>
      <c r="B431" s="313" t="s">
        <v>26</v>
      </c>
      <c r="C431" s="313" t="s">
        <v>1518</v>
      </c>
      <c r="D431" s="313" t="s">
        <v>24</v>
      </c>
      <c r="E431" s="313" t="s">
        <v>1547</v>
      </c>
    </row>
    <row r="432" spans="1:5" x14ac:dyDescent="0.25">
      <c r="A432" s="313" t="s">
        <v>202</v>
      </c>
      <c r="B432" s="313" t="s">
        <v>26</v>
      </c>
      <c r="C432" s="313" t="s">
        <v>1519</v>
      </c>
      <c r="D432" s="313" t="s">
        <v>24</v>
      </c>
      <c r="E432" s="313" t="s">
        <v>46</v>
      </c>
    </row>
    <row r="433" spans="1:5" x14ac:dyDescent="0.25">
      <c r="A433" s="313" t="s">
        <v>205</v>
      </c>
      <c r="B433" s="313" t="s">
        <v>51</v>
      </c>
      <c r="C433" s="313" t="s">
        <v>24</v>
      </c>
      <c r="D433" s="313" t="s">
        <v>24</v>
      </c>
      <c r="E433" s="313" t="s">
        <v>206</v>
      </c>
    </row>
    <row r="434" spans="1:5" x14ac:dyDescent="0.25">
      <c r="A434" s="313" t="s">
        <v>205</v>
      </c>
      <c r="B434" s="313" t="s">
        <v>19</v>
      </c>
      <c r="C434" s="313" t="s">
        <v>1466</v>
      </c>
      <c r="D434" s="313" t="s">
        <v>51</v>
      </c>
      <c r="E434" s="313" t="s">
        <v>24</v>
      </c>
    </row>
    <row r="435" spans="1:5" x14ac:dyDescent="0.25">
      <c r="A435" s="313" t="s">
        <v>205</v>
      </c>
      <c r="B435" s="313" t="s">
        <v>19</v>
      </c>
      <c r="C435" s="313" t="s">
        <v>1471</v>
      </c>
      <c r="D435" s="313" t="s">
        <v>51</v>
      </c>
      <c r="E435" s="313" t="s">
        <v>24</v>
      </c>
    </row>
    <row r="436" spans="1:5" x14ac:dyDescent="0.25">
      <c r="A436" s="313" t="s">
        <v>205</v>
      </c>
      <c r="B436" s="313" t="s">
        <v>19</v>
      </c>
      <c r="C436" s="313" t="s">
        <v>1475</v>
      </c>
      <c r="D436" s="313" t="s">
        <v>51</v>
      </c>
      <c r="E436" s="313" t="s">
        <v>24</v>
      </c>
    </row>
    <row r="437" spans="1:5" x14ac:dyDescent="0.25">
      <c r="A437" s="313" t="s">
        <v>205</v>
      </c>
      <c r="B437" s="313" t="s">
        <v>19</v>
      </c>
      <c r="C437" s="313" t="s">
        <v>20</v>
      </c>
      <c r="D437" s="313" t="s">
        <v>51</v>
      </c>
      <c r="E437" s="313" t="s">
        <v>24</v>
      </c>
    </row>
    <row r="438" spans="1:5" x14ac:dyDescent="0.25">
      <c r="A438" s="313" t="s">
        <v>205</v>
      </c>
      <c r="B438" s="313" t="s">
        <v>19</v>
      </c>
      <c r="C438" s="313" t="s">
        <v>1487</v>
      </c>
      <c r="D438" s="313" t="s">
        <v>51</v>
      </c>
      <c r="E438" s="313" t="s">
        <v>24</v>
      </c>
    </row>
    <row r="439" spans="1:5" x14ac:dyDescent="0.25">
      <c r="A439" s="313" t="s">
        <v>205</v>
      </c>
      <c r="B439" s="313" t="s">
        <v>19</v>
      </c>
      <c r="C439" s="313" t="s">
        <v>1495</v>
      </c>
      <c r="D439" s="313" t="s">
        <v>51</v>
      </c>
      <c r="E439" s="313" t="s">
        <v>24</v>
      </c>
    </row>
    <row r="440" spans="1:5" x14ac:dyDescent="0.25">
      <c r="A440" s="313" t="s">
        <v>209</v>
      </c>
      <c r="B440" s="313" t="s">
        <v>19</v>
      </c>
      <c r="C440" s="313" t="s">
        <v>1466</v>
      </c>
      <c r="D440" s="313" t="s">
        <v>19</v>
      </c>
      <c r="E440" s="313" t="s">
        <v>1548</v>
      </c>
    </row>
    <row r="441" spans="1:5" x14ac:dyDescent="0.25">
      <c r="A441" s="313" t="s">
        <v>209</v>
      </c>
      <c r="B441" s="313" t="s">
        <v>19</v>
      </c>
      <c r="C441" s="313" t="s">
        <v>1471</v>
      </c>
      <c r="D441" s="313" t="s">
        <v>26</v>
      </c>
      <c r="E441" s="313" t="s">
        <v>24</v>
      </c>
    </row>
    <row r="442" spans="1:5" x14ac:dyDescent="0.25">
      <c r="A442" s="313" t="s">
        <v>209</v>
      </c>
      <c r="B442" s="313" t="s">
        <v>19</v>
      </c>
      <c r="C442" s="313" t="s">
        <v>1475</v>
      </c>
      <c r="D442" s="313" t="s">
        <v>26</v>
      </c>
      <c r="E442" s="313" t="s">
        <v>24</v>
      </c>
    </row>
    <row r="443" spans="1:5" x14ac:dyDescent="0.25">
      <c r="A443" s="313" t="s">
        <v>209</v>
      </c>
      <c r="B443" s="313" t="s">
        <v>19</v>
      </c>
      <c r="C443" s="313" t="s">
        <v>20</v>
      </c>
      <c r="D443" s="313" t="s">
        <v>26</v>
      </c>
      <c r="E443" s="313" t="s">
        <v>24</v>
      </c>
    </row>
    <row r="444" spans="1:5" x14ac:dyDescent="0.25">
      <c r="A444" s="313" t="s">
        <v>209</v>
      </c>
      <c r="B444" s="313" t="s">
        <v>19</v>
      </c>
      <c r="C444" s="313" t="s">
        <v>1487</v>
      </c>
      <c r="D444" s="313" t="s">
        <v>26</v>
      </c>
      <c r="E444" s="313" t="s">
        <v>24</v>
      </c>
    </row>
    <row r="445" spans="1:5" x14ac:dyDescent="0.25">
      <c r="A445" s="313" t="s">
        <v>209</v>
      </c>
      <c r="B445" s="313" t="s">
        <v>19</v>
      </c>
      <c r="C445" s="313" t="s">
        <v>1495</v>
      </c>
      <c r="D445" s="313" t="s">
        <v>35</v>
      </c>
      <c r="E445" s="313" t="s">
        <v>24</v>
      </c>
    </row>
    <row r="446" spans="1:5" x14ac:dyDescent="0.25">
      <c r="A446" s="313" t="s">
        <v>209</v>
      </c>
      <c r="B446" s="313" t="s">
        <v>26</v>
      </c>
      <c r="C446" s="313" t="s">
        <v>2929</v>
      </c>
      <c r="D446" s="313" t="s">
        <v>24</v>
      </c>
      <c r="E446" s="313" t="s">
        <v>1548</v>
      </c>
    </row>
    <row r="447" spans="1:5" x14ac:dyDescent="0.25">
      <c r="A447" s="313" t="s">
        <v>209</v>
      </c>
      <c r="B447" s="313" t="s">
        <v>26</v>
      </c>
      <c r="C447" s="313" t="s">
        <v>2930</v>
      </c>
      <c r="D447" s="313" t="s">
        <v>24</v>
      </c>
      <c r="E447" s="313" t="s">
        <v>35</v>
      </c>
    </row>
    <row r="448" spans="1:5" x14ac:dyDescent="0.25">
      <c r="A448" s="313" t="s">
        <v>209</v>
      </c>
      <c r="B448" s="313" t="s">
        <v>26</v>
      </c>
      <c r="C448" s="313" t="s">
        <v>1506</v>
      </c>
      <c r="D448" s="313" t="s">
        <v>24</v>
      </c>
      <c r="E448" s="313" t="s">
        <v>1549</v>
      </c>
    </row>
    <row r="449" spans="1:5" x14ac:dyDescent="0.25">
      <c r="A449" s="313" t="s">
        <v>209</v>
      </c>
      <c r="B449" s="313" t="s">
        <v>26</v>
      </c>
      <c r="C449" s="313" t="s">
        <v>1507</v>
      </c>
      <c r="D449" s="313" t="s">
        <v>24</v>
      </c>
      <c r="E449" s="313" t="s">
        <v>1549</v>
      </c>
    </row>
    <row r="450" spans="1:5" x14ac:dyDescent="0.25">
      <c r="A450" s="313" t="s">
        <v>209</v>
      </c>
      <c r="B450" s="313" t="s">
        <v>26</v>
      </c>
      <c r="C450" s="313" t="s">
        <v>1508</v>
      </c>
      <c r="D450" s="313" t="s">
        <v>24</v>
      </c>
      <c r="E450" s="313" t="s">
        <v>210</v>
      </c>
    </row>
    <row r="451" spans="1:5" x14ac:dyDescent="0.25">
      <c r="A451" s="313" t="s">
        <v>209</v>
      </c>
      <c r="B451" s="313" t="s">
        <v>26</v>
      </c>
      <c r="C451" s="313" t="s">
        <v>1509</v>
      </c>
      <c r="D451" s="313" t="s">
        <v>24</v>
      </c>
      <c r="E451" s="313" t="s">
        <v>1549</v>
      </c>
    </row>
    <row r="452" spans="1:5" x14ac:dyDescent="0.25">
      <c r="A452" s="313" t="s">
        <v>209</v>
      </c>
      <c r="B452" s="313" t="s">
        <v>26</v>
      </c>
      <c r="C452" s="313" t="s">
        <v>1510</v>
      </c>
      <c r="D452" s="313" t="s">
        <v>24</v>
      </c>
      <c r="E452" s="313" t="s">
        <v>1549</v>
      </c>
    </row>
    <row r="453" spans="1:5" x14ac:dyDescent="0.25">
      <c r="A453" s="313" t="s">
        <v>209</v>
      </c>
      <c r="B453" s="313" t="s">
        <v>26</v>
      </c>
      <c r="C453" s="313" t="s">
        <v>1511</v>
      </c>
      <c r="D453" s="313" t="s">
        <v>24</v>
      </c>
      <c r="E453" s="313" t="s">
        <v>1549</v>
      </c>
    </row>
    <row r="454" spans="1:5" x14ac:dyDescent="0.25">
      <c r="A454" s="313" t="s">
        <v>209</v>
      </c>
      <c r="B454" s="313" t="s">
        <v>26</v>
      </c>
      <c r="C454" s="313" t="s">
        <v>27</v>
      </c>
      <c r="D454" s="313" t="s">
        <v>24</v>
      </c>
      <c r="E454" s="313" t="s">
        <v>210</v>
      </c>
    </row>
    <row r="455" spans="1:5" x14ac:dyDescent="0.25">
      <c r="A455" s="313" t="s">
        <v>209</v>
      </c>
      <c r="B455" s="313" t="s">
        <v>26</v>
      </c>
      <c r="C455" s="313" t="s">
        <v>1512</v>
      </c>
      <c r="D455" s="313" t="s">
        <v>24</v>
      </c>
      <c r="E455" s="313" t="s">
        <v>1549</v>
      </c>
    </row>
    <row r="456" spans="1:5" x14ac:dyDescent="0.25">
      <c r="A456" s="313" t="s">
        <v>209</v>
      </c>
      <c r="B456" s="313" t="s">
        <v>26</v>
      </c>
      <c r="C456" s="313" t="s">
        <v>1513</v>
      </c>
      <c r="D456" s="313" t="s">
        <v>24</v>
      </c>
      <c r="E456" s="313" t="s">
        <v>210</v>
      </c>
    </row>
    <row r="457" spans="1:5" x14ac:dyDescent="0.25">
      <c r="A457" s="313" t="s">
        <v>209</v>
      </c>
      <c r="B457" s="313" t="s">
        <v>26</v>
      </c>
      <c r="C457" s="313" t="s">
        <v>1514</v>
      </c>
      <c r="D457" s="313" t="s">
        <v>24</v>
      </c>
      <c r="E457" s="313" t="s">
        <v>210</v>
      </c>
    </row>
    <row r="458" spans="1:5" x14ac:dyDescent="0.25">
      <c r="A458" s="313" t="s">
        <v>209</v>
      </c>
      <c r="B458" s="313" t="s">
        <v>26</v>
      </c>
      <c r="C458" s="313" t="s">
        <v>1515</v>
      </c>
      <c r="D458" s="313" t="s">
        <v>24</v>
      </c>
      <c r="E458" s="313" t="s">
        <v>210</v>
      </c>
    </row>
    <row r="459" spans="1:5" x14ac:dyDescent="0.25">
      <c r="A459" s="313" t="s">
        <v>209</v>
      </c>
      <c r="B459" s="313" t="s">
        <v>26</v>
      </c>
      <c r="C459" s="313" t="s">
        <v>1516</v>
      </c>
      <c r="D459" s="313" t="s">
        <v>24</v>
      </c>
      <c r="E459" s="313" t="s">
        <v>210</v>
      </c>
    </row>
    <row r="460" spans="1:5" x14ac:dyDescent="0.25">
      <c r="A460" s="313" t="s">
        <v>209</v>
      </c>
      <c r="B460" s="313" t="s">
        <v>26</v>
      </c>
      <c r="C460" s="313" t="s">
        <v>1517</v>
      </c>
      <c r="D460" s="313" t="s">
        <v>24</v>
      </c>
      <c r="E460" s="313" t="s">
        <v>210</v>
      </c>
    </row>
    <row r="461" spans="1:5" x14ac:dyDescent="0.25">
      <c r="A461" s="313" t="s">
        <v>209</v>
      </c>
      <c r="B461" s="313" t="s">
        <v>26</v>
      </c>
      <c r="C461" s="313" t="s">
        <v>1518</v>
      </c>
      <c r="D461" s="313" t="s">
        <v>24</v>
      </c>
      <c r="E461" s="313" t="s">
        <v>210</v>
      </c>
    </row>
    <row r="462" spans="1:5" x14ac:dyDescent="0.25">
      <c r="A462" s="313" t="s">
        <v>209</v>
      </c>
      <c r="B462" s="313" t="s">
        <v>26</v>
      </c>
      <c r="C462" s="313" t="s">
        <v>1519</v>
      </c>
      <c r="D462" s="313" t="s">
        <v>24</v>
      </c>
      <c r="E462" s="313" t="s">
        <v>1549</v>
      </c>
    </row>
    <row r="463" spans="1:5" x14ac:dyDescent="0.25">
      <c r="A463" s="313" t="s">
        <v>213</v>
      </c>
      <c r="B463" s="313" t="s">
        <v>19</v>
      </c>
      <c r="C463" s="313" t="s">
        <v>1466</v>
      </c>
      <c r="D463" s="313" t="s">
        <v>35</v>
      </c>
      <c r="E463" s="313" t="s">
        <v>24</v>
      </c>
    </row>
    <row r="464" spans="1:5" x14ac:dyDescent="0.25">
      <c r="A464" s="313" t="s">
        <v>213</v>
      </c>
      <c r="B464" s="313" t="s">
        <v>19</v>
      </c>
      <c r="C464" s="313" t="s">
        <v>1471</v>
      </c>
      <c r="D464" s="313" t="s">
        <v>35</v>
      </c>
      <c r="E464" s="313" t="s">
        <v>24</v>
      </c>
    </row>
    <row r="465" spans="1:5" x14ac:dyDescent="0.25">
      <c r="A465" s="313" t="s">
        <v>213</v>
      </c>
      <c r="B465" s="313" t="s">
        <v>19</v>
      </c>
      <c r="C465" s="313" t="s">
        <v>1475</v>
      </c>
      <c r="D465" s="313" t="s">
        <v>35</v>
      </c>
      <c r="E465" s="313" t="s">
        <v>24</v>
      </c>
    </row>
    <row r="466" spans="1:5" x14ac:dyDescent="0.25">
      <c r="A466" s="313" t="s">
        <v>213</v>
      </c>
      <c r="B466" s="313" t="s">
        <v>19</v>
      </c>
      <c r="C466" s="313" t="s">
        <v>20</v>
      </c>
      <c r="D466" s="313" t="s">
        <v>35</v>
      </c>
      <c r="E466" s="313" t="s">
        <v>24</v>
      </c>
    </row>
    <row r="467" spans="1:5" x14ac:dyDescent="0.25">
      <c r="A467" s="313" t="s">
        <v>213</v>
      </c>
      <c r="B467" s="313" t="s">
        <v>19</v>
      </c>
      <c r="C467" s="313" t="s">
        <v>1487</v>
      </c>
      <c r="D467" s="313" t="s">
        <v>35</v>
      </c>
      <c r="E467" s="313" t="s">
        <v>24</v>
      </c>
    </row>
    <row r="468" spans="1:5" x14ac:dyDescent="0.25">
      <c r="A468" s="313" t="s">
        <v>213</v>
      </c>
      <c r="B468" s="313" t="s">
        <v>19</v>
      </c>
      <c r="C468" s="313" t="s">
        <v>1495</v>
      </c>
      <c r="D468" s="313" t="s">
        <v>35</v>
      </c>
      <c r="E468" s="313" t="s">
        <v>24</v>
      </c>
    </row>
    <row r="469" spans="1:5" x14ac:dyDescent="0.25">
      <c r="A469" s="313" t="s">
        <v>216</v>
      </c>
      <c r="B469" s="313" t="s">
        <v>19</v>
      </c>
      <c r="C469" s="313" t="s">
        <v>1466</v>
      </c>
      <c r="D469" s="313" t="s">
        <v>35</v>
      </c>
      <c r="E469" s="313" t="s">
        <v>24</v>
      </c>
    </row>
    <row r="470" spans="1:5" x14ac:dyDescent="0.25">
      <c r="A470" s="313" t="s">
        <v>216</v>
      </c>
      <c r="B470" s="313" t="s">
        <v>19</v>
      </c>
      <c r="C470" s="313" t="s">
        <v>1471</v>
      </c>
      <c r="D470" s="313" t="s">
        <v>35</v>
      </c>
      <c r="E470" s="313" t="s">
        <v>24</v>
      </c>
    </row>
    <row r="471" spans="1:5" x14ac:dyDescent="0.25">
      <c r="A471" s="313" t="s">
        <v>216</v>
      </c>
      <c r="B471" s="313" t="s">
        <v>19</v>
      </c>
      <c r="C471" s="313" t="s">
        <v>1475</v>
      </c>
      <c r="D471" s="313" t="s">
        <v>35</v>
      </c>
      <c r="E471" s="313" t="s">
        <v>24</v>
      </c>
    </row>
    <row r="472" spans="1:5" x14ac:dyDescent="0.25">
      <c r="A472" s="313" t="s">
        <v>216</v>
      </c>
      <c r="B472" s="313" t="s">
        <v>19</v>
      </c>
      <c r="C472" s="313" t="s">
        <v>20</v>
      </c>
      <c r="D472" s="313" t="s">
        <v>35</v>
      </c>
      <c r="E472" s="313" t="s">
        <v>24</v>
      </c>
    </row>
    <row r="473" spans="1:5" x14ac:dyDescent="0.25">
      <c r="A473" s="313" t="s">
        <v>216</v>
      </c>
      <c r="B473" s="313" t="s">
        <v>19</v>
      </c>
      <c r="C473" s="313" t="s">
        <v>1487</v>
      </c>
      <c r="D473" s="313" t="s">
        <v>35</v>
      </c>
      <c r="E473" s="313" t="s">
        <v>24</v>
      </c>
    </row>
    <row r="474" spans="1:5" x14ac:dyDescent="0.25">
      <c r="A474" s="313" t="s">
        <v>216</v>
      </c>
      <c r="B474" s="313" t="s">
        <v>19</v>
      </c>
      <c r="C474" s="313" t="s">
        <v>1495</v>
      </c>
      <c r="D474" s="313" t="s">
        <v>35</v>
      </c>
      <c r="E474" s="313" t="s">
        <v>24</v>
      </c>
    </row>
    <row r="475" spans="1:5" x14ac:dyDescent="0.25">
      <c r="A475" s="313" t="s">
        <v>218</v>
      </c>
      <c r="B475" s="313" t="s">
        <v>19</v>
      </c>
      <c r="C475" s="313" t="s">
        <v>1466</v>
      </c>
      <c r="D475" s="313" t="s">
        <v>35</v>
      </c>
      <c r="E475" s="313" t="s">
        <v>24</v>
      </c>
    </row>
    <row r="476" spans="1:5" x14ac:dyDescent="0.25">
      <c r="A476" s="313" t="s">
        <v>218</v>
      </c>
      <c r="B476" s="313" t="s">
        <v>19</v>
      </c>
      <c r="C476" s="313" t="s">
        <v>1471</v>
      </c>
      <c r="D476" s="313" t="s">
        <v>35</v>
      </c>
      <c r="E476" s="313" t="s">
        <v>24</v>
      </c>
    </row>
    <row r="477" spans="1:5" x14ac:dyDescent="0.25">
      <c r="A477" s="313" t="s">
        <v>218</v>
      </c>
      <c r="B477" s="313" t="s">
        <v>19</v>
      </c>
      <c r="C477" s="313" t="s">
        <v>1475</v>
      </c>
      <c r="D477" s="313" t="s">
        <v>35</v>
      </c>
      <c r="E477" s="313" t="s">
        <v>24</v>
      </c>
    </row>
    <row r="478" spans="1:5" x14ac:dyDescent="0.25">
      <c r="A478" s="313" t="s">
        <v>218</v>
      </c>
      <c r="B478" s="313" t="s">
        <v>19</v>
      </c>
      <c r="C478" s="313" t="s">
        <v>20</v>
      </c>
      <c r="D478" s="313" t="s">
        <v>35</v>
      </c>
      <c r="E478" s="313" t="s">
        <v>24</v>
      </c>
    </row>
    <row r="479" spans="1:5" x14ac:dyDescent="0.25">
      <c r="A479" s="313" t="s">
        <v>218</v>
      </c>
      <c r="B479" s="313" t="s">
        <v>19</v>
      </c>
      <c r="C479" s="313" t="s">
        <v>1487</v>
      </c>
      <c r="D479" s="313" t="s">
        <v>35</v>
      </c>
      <c r="E479" s="313" t="s">
        <v>24</v>
      </c>
    </row>
    <row r="480" spans="1:5" x14ac:dyDescent="0.25">
      <c r="A480" s="313" t="s">
        <v>218</v>
      </c>
      <c r="B480" s="313" t="s">
        <v>19</v>
      </c>
      <c r="C480" s="313" t="s">
        <v>1495</v>
      </c>
      <c r="D480" s="313" t="s">
        <v>35</v>
      </c>
      <c r="E480" s="313" t="s">
        <v>24</v>
      </c>
    </row>
    <row r="481" spans="1:5" x14ac:dyDescent="0.25">
      <c r="A481" s="313" t="s">
        <v>220</v>
      </c>
      <c r="B481" s="313" t="s">
        <v>19</v>
      </c>
      <c r="C481" s="313" t="s">
        <v>1466</v>
      </c>
      <c r="D481" s="313" t="s">
        <v>35</v>
      </c>
      <c r="E481" s="313" t="s">
        <v>24</v>
      </c>
    </row>
    <row r="482" spans="1:5" x14ac:dyDescent="0.25">
      <c r="A482" s="313" t="s">
        <v>220</v>
      </c>
      <c r="B482" s="313" t="s">
        <v>19</v>
      </c>
      <c r="C482" s="313" t="s">
        <v>1471</v>
      </c>
      <c r="D482" s="313" t="s">
        <v>35</v>
      </c>
      <c r="E482" s="313" t="s">
        <v>24</v>
      </c>
    </row>
    <row r="483" spans="1:5" x14ac:dyDescent="0.25">
      <c r="A483" s="313" t="s">
        <v>220</v>
      </c>
      <c r="B483" s="313" t="s">
        <v>19</v>
      </c>
      <c r="C483" s="313" t="s">
        <v>1475</v>
      </c>
      <c r="D483" s="313" t="s">
        <v>35</v>
      </c>
      <c r="E483" s="313" t="s">
        <v>24</v>
      </c>
    </row>
    <row r="484" spans="1:5" x14ac:dyDescent="0.25">
      <c r="A484" s="313" t="s">
        <v>220</v>
      </c>
      <c r="B484" s="313" t="s">
        <v>19</v>
      </c>
      <c r="C484" s="313" t="s">
        <v>20</v>
      </c>
      <c r="D484" s="313" t="s">
        <v>35</v>
      </c>
      <c r="E484" s="313" t="s">
        <v>24</v>
      </c>
    </row>
    <row r="485" spans="1:5" x14ac:dyDescent="0.25">
      <c r="A485" s="313" t="s">
        <v>220</v>
      </c>
      <c r="B485" s="313" t="s">
        <v>19</v>
      </c>
      <c r="C485" s="313" t="s">
        <v>1487</v>
      </c>
      <c r="D485" s="313" t="s">
        <v>35</v>
      </c>
      <c r="E485" s="313" t="s">
        <v>24</v>
      </c>
    </row>
    <row r="486" spans="1:5" x14ac:dyDescent="0.25">
      <c r="A486" s="313" t="s">
        <v>220</v>
      </c>
      <c r="B486" s="313" t="s">
        <v>19</v>
      </c>
      <c r="C486" s="313" t="s">
        <v>1495</v>
      </c>
      <c r="D486" s="313" t="s">
        <v>35</v>
      </c>
      <c r="E486" s="313" t="s">
        <v>24</v>
      </c>
    </row>
    <row r="487" spans="1:5" x14ac:dyDescent="0.25">
      <c r="A487" s="313" t="s">
        <v>222</v>
      </c>
      <c r="B487" s="313" t="s">
        <v>19</v>
      </c>
      <c r="C487" s="313" t="s">
        <v>1466</v>
      </c>
      <c r="D487" s="313" t="s">
        <v>35</v>
      </c>
      <c r="E487" s="313" t="s">
        <v>24</v>
      </c>
    </row>
    <row r="488" spans="1:5" x14ac:dyDescent="0.25">
      <c r="A488" s="313" t="s">
        <v>222</v>
      </c>
      <c r="B488" s="313" t="s">
        <v>19</v>
      </c>
      <c r="C488" s="313" t="s">
        <v>1471</v>
      </c>
      <c r="D488" s="313" t="s">
        <v>35</v>
      </c>
      <c r="E488" s="313" t="s">
        <v>24</v>
      </c>
    </row>
    <row r="489" spans="1:5" x14ac:dyDescent="0.25">
      <c r="A489" s="313" t="s">
        <v>222</v>
      </c>
      <c r="B489" s="313" t="s">
        <v>19</v>
      </c>
      <c r="C489" s="313" t="s">
        <v>1475</v>
      </c>
      <c r="D489" s="313" t="s">
        <v>35</v>
      </c>
      <c r="E489" s="313" t="s">
        <v>24</v>
      </c>
    </row>
    <row r="490" spans="1:5" x14ac:dyDescent="0.25">
      <c r="A490" s="313" t="s">
        <v>222</v>
      </c>
      <c r="B490" s="313" t="s">
        <v>19</v>
      </c>
      <c r="C490" s="313" t="s">
        <v>20</v>
      </c>
      <c r="D490" s="313" t="s">
        <v>35</v>
      </c>
      <c r="E490" s="313" t="s">
        <v>24</v>
      </c>
    </row>
    <row r="491" spans="1:5" x14ac:dyDescent="0.25">
      <c r="A491" s="313" t="s">
        <v>222</v>
      </c>
      <c r="B491" s="313" t="s">
        <v>19</v>
      </c>
      <c r="C491" s="313" t="s">
        <v>1487</v>
      </c>
      <c r="D491" s="313" t="s">
        <v>35</v>
      </c>
      <c r="E491" s="313" t="s">
        <v>24</v>
      </c>
    </row>
    <row r="492" spans="1:5" x14ac:dyDescent="0.25">
      <c r="A492" s="313" t="s">
        <v>222</v>
      </c>
      <c r="B492" s="313" t="s">
        <v>19</v>
      </c>
      <c r="C492" s="313" t="s">
        <v>1495</v>
      </c>
      <c r="D492" s="313" t="s">
        <v>35</v>
      </c>
      <c r="E492" s="313" t="s">
        <v>24</v>
      </c>
    </row>
    <row r="493" spans="1:5" x14ac:dyDescent="0.25">
      <c r="A493" s="313" t="s">
        <v>224</v>
      </c>
      <c r="B493" s="313" t="s">
        <v>19</v>
      </c>
      <c r="C493" s="313" t="s">
        <v>1466</v>
      </c>
      <c r="D493" s="313" t="s">
        <v>35</v>
      </c>
      <c r="E493" s="313" t="s">
        <v>24</v>
      </c>
    </row>
    <row r="494" spans="1:5" x14ac:dyDescent="0.25">
      <c r="A494" s="313" t="s">
        <v>224</v>
      </c>
      <c r="B494" s="313" t="s">
        <v>19</v>
      </c>
      <c r="C494" s="313" t="s">
        <v>1471</v>
      </c>
      <c r="D494" s="313" t="s">
        <v>35</v>
      </c>
      <c r="E494" s="313" t="s">
        <v>24</v>
      </c>
    </row>
    <row r="495" spans="1:5" x14ac:dyDescent="0.25">
      <c r="A495" s="313" t="s">
        <v>224</v>
      </c>
      <c r="B495" s="313" t="s">
        <v>19</v>
      </c>
      <c r="C495" s="313" t="s">
        <v>1475</v>
      </c>
      <c r="D495" s="313" t="s">
        <v>35</v>
      </c>
      <c r="E495" s="313" t="s">
        <v>24</v>
      </c>
    </row>
    <row r="496" spans="1:5" x14ac:dyDescent="0.25">
      <c r="A496" s="313" t="s">
        <v>224</v>
      </c>
      <c r="B496" s="313" t="s">
        <v>19</v>
      </c>
      <c r="C496" s="313" t="s">
        <v>20</v>
      </c>
      <c r="D496" s="313" t="s">
        <v>35</v>
      </c>
      <c r="E496" s="313" t="s">
        <v>24</v>
      </c>
    </row>
    <row r="497" spans="1:5" x14ac:dyDescent="0.25">
      <c r="A497" s="313" t="s">
        <v>224</v>
      </c>
      <c r="B497" s="313" t="s">
        <v>19</v>
      </c>
      <c r="C497" s="313" t="s">
        <v>1487</v>
      </c>
      <c r="D497" s="313" t="s">
        <v>35</v>
      </c>
      <c r="E497" s="313" t="s">
        <v>24</v>
      </c>
    </row>
    <row r="498" spans="1:5" x14ac:dyDescent="0.25">
      <c r="A498" s="313" t="s">
        <v>224</v>
      </c>
      <c r="B498" s="313" t="s">
        <v>19</v>
      </c>
      <c r="C498" s="313" t="s">
        <v>1495</v>
      </c>
      <c r="D498" s="313" t="s">
        <v>35</v>
      </c>
      <c r="E498" s="313" t="s">
        <v>24</v>
      </c>
    </row>
    <row r="499" spans="1:5" x14ac:dyDescent="0.25">
      <c r="A499" s="313" t="s">
        <v>227</v>
      </c>
      <c r="B499" s="313" t="s">
        <v>19</v>
      </c>
      <c r="C499" s="313" t="s">
        <v>1466</v>
      </c>
      <c r="D499" s="313" t="s">
        <v>35</v>
      </c>
      <c r="E499" s="313" t="s">
        <v>24</v>
      </c>
    </row>
    <row r="500" spans="1:5" x14ac:dyDescent="0.25">
      <c r="A500" s="313" t="s">
        <v>227</v>
      </c>
      <c r="B500" s="313" t="s">
        <v>19</v>
      </c>
      <c r="C500" s="313" t="s">
        <v>1471</v>
      </c>
      <c r="D500" s="313" t="s">
        <v>35</v>
      </c>
      <c r="E500" s="313" t="s">
        <v>24</v>
      </c>
    </row>
    <row r="501" spans="1:5" x14ac:dyDescent="0.25">
      <c r="A501" s="313" t="s">
        <v>227</v>
      </c>
      <c r="B501" s="313" t="s">
        <v>19</v>
      </c>
      <c r="C501" s="313" t="s">
        <v>1475</v>
      </c>
      <c r="D501" s="313" t="s">
        <v>35</v>
      </c>
      <c r="E501" s="313" t="s">
        <v>24</v>
      </c>
    </row>
    <row r="502" spans="1:5" x14ac:dyDescent="0.25">
      <c r="A502" s="313" t="s">
        <v>227</v>
      </c>
      <c r="B502" s="313" t="s">
        <v>19</v>
      </c>
      <c r="C502" s="313" t="s">
        <v>20</v>
      </c>
      <c r="D502" s="313" t="s">
        <v>35</v>
      </c>
      <c r="E502" s="313" t="s">
        <v>24</v>
      </c>
    </row>
    <row r="503" spans="1:5" x14ac:dyDescent="0.25">
      <c r="A503" s="313" t="s">
        <v>227</v>
      </c>
      <c r="B503" s="313" t="s">
        <v>19</v>
      </c>
      <c r="C503" s="313" t="s">
        <v>1487</v>
      </c>
      <c r="D503" s="313" t="s">
        <v>35</v>
      </c>
      <c r="E503" s="313" t="s">
        <v>24</v>
      </c>
    </row>
    <row r="504" spans="1:5" x14ac:dyDescent="0.25">
      <c r="A504" s="313" t="s">
        <v>227</v>
      </c>
      <c r="B504" s="313" t="s">
        <v>19</v>
      </c>
      <c r="C504" s="313" t="s">
        <v>1495</v>
      </c>
      <c r="D504" s="313" t="s">
        <v>35</v>
      </c>
      <c r="E504" s="313" t="s">
        <v>24</v>
      </c>
    </row>
    <row r="505" spans="1:5" x14ac:dyDescent="0.25">
      <c r="A505" s="313" t="s">
        <v>231</v>
      </c>
      <c r="B505" s="313" t="s">
        <v>51</v>
      </c>
      <c r="C505" s="313" t="s">
        <v>24</v>
      </c>
      <c r="D505" s="313" t="s">
        <v>24</v>
      </c>
      <c r="E505" s="313" t="s">
        <v>232</v>
      </c>
    </row>
    <row r="506" spans="1:5" x14ac:dyDescent="0.25">
      <c r="A506" s="313" t="s">
        <v>231</v>
      </c>
      <c r="B506" s="313" t="s">
        <v>19</v>
      </c>
      <c r="C506" s="313" t="s">
        <v>1466</v>
      </c>
      <c r="D506" s="313" t="s">
        <v>51</v>
      </c>
      <c r="E506" s="313" t="s">
        <v>24</v>
      </c>
    </row>
    <row r="507" spans="1:5" x14ac:dyDescent="0.25">
      <c r="A507" s="313" t="s">
        <v>231</v>
      </c>
      <c r="B507" s="313" t="s">
        <v>19</v>
      </c>
      <c r="C507" s="313" t="s">
        <v>1471</v>
      </c>
      <c r="D507" s="313" t="s">
        <v>51</v>
      </c>
      <c r="E507" s="313" t="s">
        <v>24</v>
      </c>
    </row>
    <row r="508" spans="1:5" x14ac:dyDescent="0.25">
      <c r="A508" s="313" t="s">
        <v>231</v>
      </c>
      <c r="B508" s="313" t="s">
        <v>19</v>
      </c>
      <c r="C508" s="313" t="s">
        <v>1475</v>
      </c>
      <c r="D508" s="313" t="s">
        <v>51</v>
      </c>
      <c r="E508" s="313" t="s">
        <v>24</v>
      </c>
    </row>
    <row r="509" spans="1:5" x14ac:dyDescent="0.25">
      <c r="A509" s="313" t="s">
        <v>231</v>
      </c>
      <c r="B509" s="313" t="s">
        <v>19</v>
      </c>
      <c r="C509" s="313" t="s">
        <v>20</v>
      </c>
      <c r="D509" s="313" t="s">
        <v>51</v>
      </c>
      <c r="E509" s="313" t="s">
        <v>24</v>
      </c>
    </row>
    <row r="510" spans="1:5" x14ac:dyDescent="0.25">
      <c r="A510" s="313" t="s">
        <v>231</v>
      </c>
      <c r="B510" s="313" t="s">
        <v>19</v>
      </c>
      <c r="C510" s="313" t="s">
        <v>1487</v>
      </c>
      <c r="D510" s="313" t="s">
        <v>51</v>
      </c>
      <c r="E510" s="313" t="s">
        <v>24</v>
      </c>
    </row>
    <row r="511" spans="1:5" x14ac:dyDescent="0.25">
      <c r="A511" s="313" t="s">
        <v>231</v>
      </c>
      <c r="B511" s="313" t="s">
        <v>19</v>
      </c>
      <c r="C511" s="313" t="s">
        <v>1495</v>
      </c>
      <c r="D511" s="313" t="s">
        <v>51</v>
      </c>
      <c r="E511" s="313" t="s">
        <v>24</v>
      </c>
    </row>
    <row r="512" spans="1:5" x14ac:dyDescent="0.25">
      <c r="A512" s="313" t="s">
        <v>237</v>
      </c>
      <c r="B512" s="313" t="s">
        <v>19</v>
      </c>
      <c r="C512" s="313" t="s">
        <v>1466</v>
      </c>
      <c r="D512" s="313" t="s">
        <v>35</v>
      </c>
      <c r="E512" s="313" t="s">
        <v>24</v>
      </c>
    </row>
    <row r="513" spans="1:5" x14ac:dyDescent="0.25">
      <c r="A513" s="313" t="s">
        <v>237</v>
      </c>
      <c r="B513" s="313" t="s">
        <v>19</v>
      </c>
      <c r="C513" s="313" t="s">
        <v>1471</v>
      </c>
      <c r="D513" s="313" t="s">
        <v>35</v>
      </c>
      <c r="E513" s="313" t="s">
        <v>24</v>
      </c>
    </row>
    <row r="514" spans="1:5" x14ac:dyDescent="0.25">
      <c r="A514" s="313" t="s">
        <v>237</v>
      </c>
      <c r="B514" s="313" t="s">
        <v>19</v>
      </c>
      <c r="C514" s="313" t="s">
        <v>1475</v>
      </c>
      <c r="D514" s="313" t="s">
        <v>35</v>
      </c>
      <c r="E514" s="313" t="s">
        <v>24</v>
      </c>
    </row>
    <row r="515" spans="1:5" x14ac:dyDescent="0.25">
      <c r="A515" s="313" t="s">
        <v>237</v>
      </c>
      <c r="B515" s="313" t="s">
        <v>19</v>
      </c>
      <c r="C515" s="313" t="s">
        <v>20</v>
      </c>
      <c r="D515" s="313" t="s">
        <v>35</v>
      </c>
      <c r="E515" s="313" t="s">
        <v>24</v>
      </c>
    </row>
    <row r="516" spans="1:5" x14ac:dyDescent="0.25">
      <c r="A516" s="313" t="s">
        <v>237</v>
      </c>
      <c r="B516" s="313" t="s">
        <v>19</v>
      </c>
      <c r="C516" s="313" t="s">
        <v>1487</v>
      </c>
      <c r="D516" s="313" t="s">
        <v>19</v>
      </c>
      <c r="E516" s="313" t="s">
        <v>46</v>
      </c>
    </row>
    <row r="517" spans="1:5" x14ac:dyDescent="0.25">
      <c r="A517" s="313" t="s">
        <v>237</v>
      </c>
      <c r="B517" s="313" t="s">
        <v>19</v>
      </c>
      <c r="C517" s="313" t="s">
        <v>1495</v>
      </c>
      <c r="D517" s="313" t="s">
        <v>35</v>
      </c>
      <c r="E517" s="313" t="s">
        <v>24</v>
      </c>
    </row>
    <row r="518" spans="1:5" x14ac:dyDescent="0.25">
      <c r="A518" s="313" t="s">
        <v>239</v>
      </c>
      <c r="B518" s="313" t="s">
        <v>51</v>
      </c>
      <c r="C518" s="313" t="s">
        <v>24</v>
      </c>
      <c r="D518" s="313" t="s">
        <v>24</v>
      </c>
      <c r="E518" s="313" t="s">
        <v>240</v>
      </c>
    </row>
    <row r="519" spans="1:5" x14ac:dyDescent="0.25">
      <c r="A519" s="313" t="s">
        <v>239</v>
      </c>
      <c r="B519" s="313" t="s">
        <v>19</v>
      </c>
      <c r="C519" s="313" t="s">
        <v>1466</v>
      </c>
      <c r="D519" s="313" t="s">
        <v>51</v>
      </c>
      <c r="E519" s="313" t="s">
        <v>24</v>
      </c>
    </row>
    <row r="520" spans="1:5" x14ac:dyDescent="0.25">
      <c r="A520" s="313" t="s">
        <v>239</v>
      </c>
      <c r="B520" s="313" t="s">
        <v>19</v>
      </c>
      <c r="C520" s="313" t="s">
        <v>1471</v>
      </c>
      <c r="D520" s="313" t="s">
        <v>51</v>
      </c>
      <c r="E520" s="313" t="s">
        <v>24</v>
      </c>
    </row>
    <row r="521" spans="1:5" x14ac:dyDescent="0.25">
      <c r="A521" s="313" t="s">
        <v>239</v>
      </c>
      <c r="B521" s="313" t="s">
        <v>19</v>
      </c>
      <c r="C521" s="313" t="s">
        <v>1475</v>
      </c>
      <c r="D521" s="313" t="s">
        <v>51</v>
      </c>
      <c r="E521" s="313" t="s">
        <v>24</v>
      </c>
    </row>
    <row r="522" spans="1:5" x14ac:dyDescent="0.25">
      <c r="A522" s="313" t="s">
        <v>239</v>
      </c>
      <c r="B522" s="313" t="s">
        <v>19</v>
      </c>
      <c r="C522" s="313" t="s">
        <v>20</v>
      </c>
      <c r="D522" s="313" t="s">
        <v>51</v>
      </c>
      <c r="E522" s="313" t="s">
        <v>24</v>
      </c>
    </row>
    <row r="523" spans="1:5" x14ac:dyDescent="0.25">
      <c r="A523" s="313" t="s">
        <v>239</v>
      </c>
      <c r="B523" s="313" t="s">
        <v>19</v>
      </c>
      <c r="C523" s="313" t="s">
        <v>1487</v>
      </c>
      <c r="D523" s="313" t="s">
        <v>51</v>
      </c>
      <c r="E523" s="313" t="s">
        <v>24</v>
      </c>
    </row>
    <row r="524" spans="1:5" x14ac:dyDescent="0.25">
      <c r="A524" s="313" t="s">
        <v>239</v>
      </c>
      <c r="B524" s="313" t="s">
        <v>19</v>
      </c>
      <c r="C524" s="313" t="s">
        <v>1495</v>
      </c>
      <c r="D524" s="313" t="s">
        <v>51</v>
      </c>
      <c r="E524" s="313" t="s">
        <v>24</v>
      </c>
    </row>
    <row r="525" spans="1:5" x14ac:dyDescent="0.25">
      <c r="A525" s="313" t="s">
        <v>243</v>
      </c>
      <c r="B525" s="313" t="s">
        <v>51</v>
      </c>
      <c r="C525" s="313" t="s">
        <v>24</v>
      </c>
      <c r="D525" s="313" t="s">
        <v>24</v>
      </c>
      <c r="E525" s="313" t="s">
        <v>244</v>
      </c>
    </row>
    <row r="526" spans="1:5" x14ac:dyDescent="0.25">
      <c r="A526" s="313" t="s">
        <v>243</v>
      </c>
      <c r="B526" s="313" t="s">
        <v>19</v>
      </c>
      <c r="C526" s="313" t="s">
        <v>1466</v>
      </c>
      <c r="D526" s="313" t="s">
        <v>51</v>
      </c>
      <c r="E526" s="313" t="s">
        <v>24</v>
      </c>
    </row>
    <row r="527" spans="1:5" x14ac:dyDescent="0.25">
      <c r="A527" s="313" t="s">
        <v>243</v>
      </c>
      <c r="B527" s="313" t="s">
        <v>19</v>
      </c>
      <c r="C527" s="313" t="s">
        <v>1471</v>
      </c>
      <c r="D527" s="313" t="s">
        <v>51</v>
      </c>
      <c r="E527" s="313" t="s">
        <v>24</v>
      </c>
    </row>
    <row r="528" spans="1:5" x14ac:dyDescent="0.25">
      <c r="A528" s="313" t="s">
        <v>243</v>
      </c>
      <c r="B528" s="313" t="s">
        <v>19</v>
      </c>
      <c r="C528" s="313" t="s">
        <v>1475</v>
      </c>
      <c r="D528" s="313" t="s">
        <v>51</v>
      </c>
      <c r="E528" s="313" t="s">
        <v>24</v>
      </c>
    </row>
    <row r="529" spans="1:5" x14ac:dyDescent="0.25">
      <c r="A529" s="313" t="s">
        <v>243</v>
      </c>
      <c r="B529" s="313" t="s">
        <v>19</v>
      </c>
      <c r="C529" s="313" t="s">
        <v>20</v>
      </c>
      <c r="D529" s="313" t="s">
        <v>51</v>
      </c>
      <c r="E529" s="313" t="s">
        <v>24</v>
      </c>
    </row>
    <row r="530" spans="1:5" x14ac:dyDescent="0.25">
      <c r="A530" s="313" t="s">
        <v>243</v>
      </c>
      <c r="B530" s="313" t="s">
        <v>19</v>
      </c>
      <c r="C530" s="313" t="s">
        <v>1487</v>
      </c>
      <c r="D530" s="313" t="s">
        <v>51</v>
      </c>
      <c r="E530" s="313" t="s">
        <v>24</v>
      </c>
    </row>
    <row r="531" spans="1:5" x14ac:dyDescent="0.25">
      <c r="A531" s="313" t="s">
        <v>243</v>
      </c>
      <c r="B531" s="313" t="s">
        <v>19</v>
      </c>
      <c r="C531" s="313" t="s">
        <v>1495</v>
      </c>
      <c r="D531" s="313" t="s">
        <v>51</v>
      </c>
      <c r="E531" s="313" t="s">
        <v>24</v>
      </c>
    </row>
    <row r="532" spans="1:5" x14ac:dyDescent="0.25">
      <c r="A532" s="313" t="s">
        <v>247</v>
      </c>
      <c r="B532" s="313" t="s">
        <v>51</v>
      </c>
      <c r="C532" s="313" t="s">
        <v>24</v>
      </c>
      <c r="D532" s="313" t="s">
        <v>24</v>
      </c>
      <c r="E532" s="313" t="s">
        <v>248</v>
      </c>
    </row>
    <row r="533" spans="1:5" x14ac:dyDescent="0.25">
      <c r="A533" s="313" t="s">
        <v>247</v>
      </c>
      <c r="B533" s="313" t="s">
        <v>19</v>
      </c>
      <c r="C533" s="313" t="s">
        <v>1466</v>
      </c>
      <c r="D533" s="313" t="s">
        <v>51</v>
      </c>
      <c r="E533" s="313" t="s">
        <v>24</v>
      </c>
    </row>
    <row r="534" spans="1:5" x14ac:dyDescent="0.25">
      <c r="A534" s="313" t="s">
        <v>247</v>
      </c>
      <c r="B534" s="313" t="s">
        <v>19</v>
      </c>
      <c r="C534" s="313" t="s">
        <v>1471</v>
      </c>
      <c r="D534" s="313" t="s">
        <v>51</v>
      </c>
      <c r="E534" s="313" t="s">
        <v>24</v>
      </c>
    </row>
    <row r="535" spans="1:5" x14ac:dyDescent="0.25">
      <c r="A535" s="313" t="s">
        <v>247</v>
      </c>
      <c r="B535" s="313" t="s">
        <v>19</v>
      </c>
      <c r="C535" s="313" t="s">
        <v>1475</v>
      </c>
      <c r="D535" s="313" t="s">
        <v>51</v>
      </c>
      <c r="E535" s="313" t="s">
        <v>24</v>
      </c>
    </row>
    <row r="536" spans="1:5" x14ac:dyDescent="0.25">
      <c r="A536" s="313" t="s">
        <v>247</v>
      </c>
      <c r="B536" s="313" t="s">
        <v>19</v>
      </c>
      <c r="C536" s="313" t="s">
        <v>20</v>
      </c>
      <c r="D536" s="313" t="s">
        <v>51</v>
      </c>
      <c r="E536" s="313" t="s">
        <v>24</v>
      </c>
    </row>
    <row r="537" spans="1:5" x14ac:dyDescent="0.25">
      <c r="A537" s="313" t="s">
        <v>247</v>
      </c>
      <c r="B537" s="313" t="s">
        <v>19</v>
      </c>
      <c r="C537" s="313" t="s">
        <v>1487</v>
      </c>
      <c r="D537" s="313" t="s">
        <v>51</v>
      </c>
      <c r="E537" s="313" t="s">
        <v>24</v>
      </c>
    </row>
    <row r="538" spans="1:5" x14ac:dyDescent="0.25">
      <c r="A538" s="313" t="s">
        <v>247</v>
      </c>
      <c r="B538" s="313" t="s">
        <v>19</v>
      </c>
      <c r="C538" s="313" t="s">
        <v>1495</v>
      </c>
      <c r="D538" s="313" t="s">
        <v>51</v>
      </c>
      <c r="E538" s="313" t="s">
        <v>24</v>
      </c>
    </row>
    <row r="539" spans="1:5" x14ac:dyDescent="0.25">
      <c r="A539" s="313" t="s">
        <v>251</v>
      </c>
      <c r="B539" s="313" t="s">
        <v>19</v>
      </c>
      <c r="C539" s="313" t="s">
        <v>1466</v>
      </c>
      <c r="D539" s="313" t="s">
        <v>35</v>
      </c>
      <c r="E539" s="313" t="s">
        <v>24</v>
      </c>
    </row>
    <row r="540" spans="1:5" x14ac:dyDescent="0.25">
      <c r="A540" s="313" t="s">
        <v>251</v>
      </c>
      <c r="B540" s="313" t="s">
        <v>19</v>
      </c>
      <c r="C540" s="313" t="s">
        <v>1471</v>
      </c>
      <c r="D540" s="313" t="s">
        <v>35</v>
      </c>
      <c r="E540" s="313" t="s">
        <v>24</v>
      </c>
    </row>
    <row r="541" spans="1:5" x14ac:dyDescent="0.25">
      <c r="A541" s="313" t="s">
        <v>251</v>
      </c>
      <c r="B541" s="313" t="s">
        <v>19</v>
      </c>
      <c r="C541" s="313" t="s">
        <v>1475</v>
      </c>
      <c r="D541" s="313" t="s">
        <v>35</v>
      </c>
      <c r="E541" s="313" t="s">
        <v>24</v>
      </c>
    </row>
    <row r="542" spans="1:5" x14ac:dyDescent="0.25">
      <c r="A542" s="313" t="s">
        <v>251</v>
      </c>
      <c r="B542" s="313" t="s">
        <v>19</v>
      </c>
      <c r="C542" s="313" t="s">
        <v>20</v>
      </c>
      <c r="D542" s="313" t="s">
        <v>35</v>
      </c>
      <c r="E542" s="313" t="s">
        <v>24</v>
      </c>
    </row>
    <row r="543" spans="1:5" x14ac:dyDescent="0.25">
      <c r="A543" s="313" t="s">
        <v>251</v>
      </c>
      <c r="B543" s="313" t="s">
        <v>19</v>
      </c>
      <c r="C543" s="313" t="s">
        <v>1487</v>
      </c>
      <c r="D543" s="313" t="s">
        <v>35</v>
      </c>
      <c r="E543" s="313" t="s">
        <v>24</v>
      </c>
    </row>
    <row r="544" spans="1:5" x14ac:dyDescent="0.25">
      <c r="A544" s="313" t="s">
        <v>251</v>
      </c>
      <c r="B544" s="313" t="s">
        <v>19</v>
      </c>
      <c r="C544" s="313" t="s">
        <v>1495</v>
      </c>
      <c r="D544" s="313" t="s">
        <v>35</v>
      </c>
      <c r="E544" s="313" t="s">
        <v>24</v>
      </c>
    </row>
    <row r="545" spans="1:5" x14ac:dyDescent="0.25">
      <c r="A545" s="313" t="s">
        <v>253</v>
      </c>
      <c r="B545" s="313" t="s">
        <v>51</v>
      </c>
      <c r="C545" s="313" t="s">
        <v>24</v>
      </c>
      <c r="D545" s="313" t="s">
        <v>24</v>
      </c>
      <c r="E545" s="313" t="s">
        <v>254</v>
      </c>
    </row>
    <row r="546" spans="1:5" x14ac:dyDescent="0.25">
      <c r="A546" s="313" t="s">
        <v>253</v>
      </c>
      <c r="B546" s="313" t="s">
        <v>19</v>
      </c>
      <c r="C546" s="313" t="s">
        <v>1466</v>
      </c>
      <c r="D546" s="313" t="s">
        <v>51</v>
      </c>
      <c r="E546" s="313" t="s">
        <v>24</v>
      </c>
    </row>
    <row r="547" spans="1:5" x14ac:dyDescent="0.25">
      <c r="A547" s="313" t="s">
        <v>253</v>
      </c>
      <c r="B547" s="313" t="s">
        <v>19</v>
      </c>
      <c r="C547" s="313" t="s">
        <v>1471</v>
      </c>
      <c r="D547" s="313" t="s">
        <v>51</v>
      </c>
      <c r="E547" s="313" t="s">
        <v>24</v>
      </c>
    </row>
    <row r="548" spans="1:5" x14ac:dyDescent="0.25">
      <c r="A548" s="313" t="s">
        <v>253</v>
      </c>
      <c r="B548" s="313" t="s">
        <v>19</v>
      </c>
      <c r="C548" s="313" t="s">
        <v>1475</v>
      </c>
      <c r="D548" s="313" t="s">
        <v>51</v>
      </c>
      <c r="E548" s="313" t="s">
        <v>24</v>
      </c>
    </row>
    <row r="549" spans="1:5" x14ac:dyDescent="0.25">
      <c r="A549" s="313" t="s">
        <v>253</v>
      </c>
      <c r="B549" s="313" t="s">
        <v>19</v>
      </c>
      <c r="C549" s="313" t="s">
        <v>20</v>
      </c>
      <c r="D549" s="313" t="s">
        <v>51</v>
      </c>
      <c r="E549" s="313" t="s">
        <v>24</v>
      </c>
    </row>
    <row r="550" spans="1:5" x14ac:dyDescent="0.25">
      <c r="A550" s="313" t="s">
        <v>253</v>
      </c>
      <c r="B550" s="313" t="s">
        <v>19</v>
      </c>
      <c r="C550" s="313" t="s">
        <v>1487</v>
      </c>
      <c r="D550" s="313" t="s">
        <v>51</v>
      </c>
      <c r="E550" s="313" t="s">
        <v>24</v>
      </c>
    </row>
    <row r="551" spans="1:5" x14ac:dyDescent="0.25">
      <c r="A551" s="313" t="s">
        <v>253</v>
      </c>
      <c r="B551" s="313" t="s">
        <v>19</v>
      </c>
      <c r="C551" s="313" t="s">
        <v>1495</v>
      </c>
      <c r="D551" s="313" t="s">
        <v>51</v>
      </c>
      <c r="E551" s="313" t="s">
        <v>24</v>
      </c>
    </row>
    <row r="552" spans="1:5" x14ac:dyDescent="0.25">
      <c r="A552" s="313" t="s">
        <v>259</v>
      </c>
      <c r="B552" s="313" t="s">
        <v>19</v>
      </c>
      <c r="C552" s="313" t="s">
        <v>1466</v>
      </c>
      <c r="D552" s="313" t="s">
        <v>35</v>
      </c>
      <c r="E552" s="313" t="s">
        <v>24</v>
      </c>
    </row>
    <row r="553" spans="1:5" x14ac:dyDescent="0.25">
      <c r="A553" s="313" t="s">
        <v>259</v>
      </c>
      <c r="B553" s="313" t="s">
        <v>19</v>
      </c>
      <c r="C553" s="313" t="s">
        <v>1471</v>
      </c>
      <c r="D553" s="313" t="s">
        <v>35</v>
      </c>
      <c r="E553" s="313" t="s">
        <v>24</v>
      </c>
    </row>
    <row r="554" spans="1:5" x14ac:dyDescent="0.25">
      <c r="A554" s="313" t="s">
        <v>259</v>
      </c>
      <c r="B554" s="313" t="s">
        <v>19</v>
      </c>
      <c r="C554" s="313" t="s">
        <v>1475</v>
      </c>
      <c r="D554" s="313" t="s">
        <v>35</v>
      </c>
      <c r="E554" s="313" t="s">
        <v>24</v>
      </c>
    </row>
    <row r="555" spans="1:5" x14ac:dyDescent="0.25">
      <c r="A555" s="313" t="s">
        <v>259</v>
      </c>
      <c r="B555" s="313" t="s">
        <v>19</v>
      </c>
      <c r="C555" s="313" t="s">
        <v>20</v>
      </c>
      <c r="D555" s="313" t="s">
        <v>35</v>
      </c>
      <c r="E555" s="313" t="s">
        <v>24</v>
      </c>
    </row>
    <row r="556" spans="1:5" x14ac:dyDescent="0.25">
      <c r="A556" s="313" t="s">
        <v>259</v>
      </c>
      <c r="B556" s="313" t="s">
        <v>19</v>
      </c>
      <c r="C556" s="313" t="s">
        <v>1487</v>
      </c>
      <c r="D556" s="313" t="s">
        <v>35</v>
      </c>
      <c r="E556" s="313" t="s">
        <v>24</v>
      </c>
    </row>
    <row r="557" spans="1:5" x14ac:dyDescent="0.25">
      <c r="A557" s="313" t="s">
        <v>259</v>
      </c>
      <c r="B557" s="313" t="s">
        <v>19</v>
      </c>
      <c r="C557" s="313" t="s">
        <v>1495</v>
      </c>
      <c r="D557" s="313" t="s">
        <v>35</v>
      </c>
      <c r="E557" s="313" t="s">
        <v>24</v>
      </c>
    </row>
    <row r="558" spans="1:5" x14ac:dyDescent="0.25">
      <c r="A558" s="313" t="s">
        <v>262</v>
      </c>
      <c r="B558" s="313" t="s">
        <v>51</v>
      </c>
      <c r="C558" s="313" t="s">
        <v>24</v>
      </c>
      <c r="D558" s="313" t="s">
        <v>24</v>
      </c>
      <c r="E558" s="313" t="s">
        <v>263</v>
      </c>
    </row>
    <row r="559" spans="1:5" x14ac:dyDescent="0.25">
      <c r="A559" s="313" t="s">
        <v>262</v>
      </c>
      <c r="B559" s="313" t="s">
        <v>19</v>
      </c>
      <c r="C559" s="313" t="s">
        <v>1466</v>
      </c>
      <c r="D559" s="313" t="s">
        <v>51</v>
      </c>
      <c r="E559" s="313" t="s">
        <v>24</v>
      </c>
    </row>
    <row r="560" spans="1:5" x14ac:dyDescent="0.25">
      <c r="A560" s="313" t="s">
        <v>262</v>
      </c>
      <c r="B560" s="313" t="s">
        <v>19</v>
      </c>
      <c r="C560" s="313" t="s">
        <v>1471</v>
      </c>
      <c r="D560" s="313" t="s">
        <v>51</v>
      </c>
      <c r="E560" s="313" t="s">
        <v>24</v>
      </c>
    </row>
    <row r="561" spans="1:5" x14ac:dyDescent="0.25">
      <c r="A561" s="313" t="s">
        <v>262</v>
      </c>
      <c r="B561" s="313" t="s">
        <v>19</v>
      </c>
      <c r="C561" s="313" t="s">
        <v>1475</v>
      </c>
      <c r="D561" s="313" t="s">
        <v>51</v>
      </c>
      <c r="E561" s="313" t="s">
        <v>24</v>
      </c>
    </row>
    <row r="562" spans="1:5" x14ac:dyDescent="0.25">
      <c r="A562" s="313" t="s">
        <v>262</v>
      </c>
      <c r="B562" s="313" t="s">
        <v>19</v>
      </c>
      <c r="C562" s="313" t="s">
        <v>20</v>
      </c>
      <c r="D562" s="313" t="s">
        <v>51</v>
      </c>
      <c r="E562" s="313" t="s">
        <v>24</v>
      </c>
    </row>
    <row r="563" spans="1:5" x14ac:dyDescent="0.25">
      <c r="A563" s="313" t="s">
        <v>262</v>
      </c>
      <c r="B563" s="313" t="s">
        <v>19</v>
      </c>
      <c r="C563" s="313" t="s">
        <v>1487</v>
      </c>
      <c r="D563" s="313" t="s">
        <v>51</v>
      </c>
      <c r="E563" s="313" t="s">
        <v>24</v>
      </c>
    </row>
    <row r="564" spans="1:5" x14ac:dyDescent="0.25">
      <c r="A564" s="313" t="s">
        <v>262</v>
      </c>
      <c r="B564" s="313" t="s">
        <v>19</v>
      </c>
      <c r="C564" s="313" t="s">
        <v>1495</v>
      </c>
      <c r="D564" s="313" t="s">
        <v>51</v>
      </c>
      <c r="E564" s="313" t="s">
        <v>24</v>
      </c>
    </row>
    <row r="565" spans="1:5" x14ac:dyDescent="0.25">
      <c r="A565" s="313" t="s">
        <v>266</v>
      </c>
      <c r="B565" s="313" t="s">
        <v>19</v>
      </c>
      <c r="C565" s="313" t="s">
        <v>1466</v>
      </c>
      <c r="D565" s="313" t="s">
        <v>35</v>
      </c>
      <c r="E565" s="313" t="s">
        <v>24</v>
      </c>
    </row>
    <row r="566" spans="1:5" x14ac:dyDescent="0.25">
      <c r="A566" s="313" t="s">
        <v>266</v>
      </c>
      <c r="B566" s="313" t="s">
        <v>19</v>
      </c>
      <c r="C566" s="313" t="s">
        <v>1471</v>
      </c>
      <c r="D566" s="313" t="s">
        <v>35</v>
      </c>
      <c r="E566" s="313" t="s">
        <v>24</v>
      </c>
    </row>
    <row r="567" spans="1:5" x14ac:dyDescent="0.25">
      <c r="A567" s="313" t="s">
        <v>266</v>
      </c>
      <c r="B567" s="313" t="s">
        <v>19</v>
      </c>
      <c r="C567" s="313" t="s">
        <v>1475</v>
      </c>
      <c r="D567" s="313" t="s">
        <v>35</v>
      </c>
      <c r="E567" s="313" t="s">
        <v>24</v>
      </c>
    </row>
    <row r="568" spans="1:5" x14ac:dyDescent="0.25">
      <c r="A568" s="313" t="s">
        <v>266</v>
      </c>
      <c r="B568" s="313" t="s">
        <v>19</v>
      </c>
      <c r="C568" s="313" t="s">
        <v>20</v>
      </c>
      <c r="D568" s="313" t="s">
        <v>35</v>
      </c>
      <c r="E568" s="313" t="s">
        <v>24</v>
      </c>
    </row>
    <row r="569" spans="1:5" x14ac:dyDescent="0.25">
      <c r="A569" s="313" t="s">
        <v>266</v>
      </c>
      <c r="B569" s="313" t="s">
        <v>19</v>
      </c>
      <c r="C569" s="313" t="s">
        <v>1487</v>
      </c>
      <c r="D569" s="313" t="s">
        <v>35</v>
      </c>
      <c r="E569" s="313" t="s">
        <v>24</v>
      </c>
    </row>
    <row r="570" spans="1:5" x14ac:dyDescent="0.25">
      <c r="A570" s="313" t="s">
        <v>266</v>
      </c>
      <c r="B570" s="313" t="s">
        <v>19</v>
      </c>
      <c r="C570" s="313" t="s">
        <v>1495</v>
      </c>
      <c r="D570" s="313" t="s">
        <v>35</v>
      </c>
      <c r="E570" s="313" t="s">
        <v>24</v>
      </c>
    </row>
    <row r="571" spans="1:5" x14ac:dyDescent="0.25">
      <c r="A571" s="313" t="s">
        <v>267</v>
      </c>
      <c r="B571" s="313" t="s">
        <v>19</v>
      </c>
      <c r="C571" s="313" t="s">
        <v>1466</v>
      </c>
      <c r="D571" s="313" t="s">
        <v>35</v>
      </c>
      <c r="E571" s="313" t="s">
        <v>24</v>
      </c>
    </row>
    <row r="572" spans="1:5" x14ac:dyDescent="0.25">
      <c r="A572" s="313" t="s">
        <v>267</v>
      </c>
      <c r="B572" s="313" t="s">
        <v>19</v>
      </c>
      <c r="C572" s="313" t="s">
        <v>1471</v>
      </c>
      <c r="D572" s="313" t="s">
        <v>35</v>
      </c>
      <c r="E572" s="313" t="s">
        <v>24</v>
      </c>
    </row>
    <row r="573" spans="1:5" x14ac:dyDescent="0.25">
      <c r="A573" s="313" t="s">
        <v>267</v>
      </c>
      <c r="B573" s="313" t="s">
        <v>19</v>
      </c>
      <c r="C573" s="313" t="s">
        <v>1475</v>
      </c>
      <c r="D573" s="313" t="s">
        <v>35</v>
      </c>
      <c r="E573" s="313" t="s">
        <v>24</v>
      </c>
    </row>
    <row r="574" spans="1:5" x14ac:dyDescent="0.25">
      <c r="A574" s="313" t="s">
        <v>267</v>
      </c>
      <c r="B574" s="313" t="s">
        <v>19</v>
      </c>
      <c r="C574" s="313" t="s">
        <v>20</v>
      </c>
      <c r="D574" s="313" t="s">
        <v>35</v>
      </c>
      <c r="E574" s="313" t="s">
        <v>24</v>
      </c>
    </row>
    <row r="575" spans="1:5" x14ac:dyDescent="0.25">
      <c r="A575" s="313" t="s">
        <v>267</v>
      </c>
      <c r="B575" s="313" t="s">
        <v>19</v>
      </c>
      <c r="C575" s="313" t="s">
        <v>1487</v>
      </c>
      <c r="D575" s="313" t="s">
        <v>19</v>
      </c>
      <c r="E575" s="313" t="s">
        <v>46</v>
      </c>
    </row>
    <row r="576" spans="1:5" x14ac:dyDescent="0.25">
      <c r="A576" s="313" t="s">
        <v>267</v>
      </c>
      <c r="B576" s="313" t="s">
        <v>19</v>
      </c>
      <c r="C576" s="313" t="s">
        <v>1495</v>
      </c>
      <c r="D576" s="313" t="s">
        <v>35</v>
      </c>
      <c r="E576" s="313" t="s">
        <v>24</v>
      </c>
    </row>
    <row r="577" spans="1:5" x14ac:dyDescent="0.25">
      <c r="A577" s="313" t="s">
        <v>270</v>
      </c>
      <c r="B577" s="313" t="s">
        <v>19</v>
      </c>
      <c r="C577" s="313" t="s">
        <v>1466</v>
      </c>
      <c r="D577" s="313" t="s">
        <v>35</v>
      </c>
      <c r="E577" s="313" t="s">
        <v>24</v>
      </c>
    </row>
    <row r="578" spans="1:5" x14ac:dyDescent="0.25">
      <c r="A578" s="313" t="s">
        <v>270</v>
      </c>
      <c r="B578" s="313" t="s">
        <v>19</v>
      </c>
      <c r="C578" s="313" t="s">
        <v>1471</v>
      </c>
      <c r="D578" s="313" t="s">
        <v>35</v>
      </c>
      <c r="E578" s="313" t="s">
        <v>24</v>
      </c>
    </row>
    <row r="579" spans="1:5" x14ac:dyDescent="0.25">
      <c r="A579" s="313" t="s">
        <v>270</v>
      </c>
      <c r="B579" s="313" t="s">
        <v>19</v>
      </c>
      <c r="C579" s="313" t="s">
        <v>1475</v>
      </c>
      <c r="D579" s="313" t="s">
        <v>35</v>
      </c>
      <c r="E579" s="313" t="s">
        <v>24</v>
      </c>
    </row>
    <row r="580" spans="1:5" x14ac:dyDescent="0.25">
      <c r="A580" s="313" t="s">
        <v>270</v>
      </c>
      <c r="B580" s="313" t="s">
        <v>19</v>
      </c>
      <c r="C580" s="313" t="s">
        <v>20</v>
      </c>
      <c r="D580" s="313" t="s">
        <v>35</v>
      </c>
      <c r="E580" s="313" t="s">
        <v>24</v>
      </c>
    </row>
    <row r="581" spans="1:5" x14ac:dyDescent="0.25">
      <c r="A581" s="313" t="s">
        <v>270</v>
      </c>
      <c r="B581" s="313" t="s">
        <v>19</v>
      </c>
      <c r="C581" s="313" t="s">
        <v>1487</v>
      </c>
      <c r="D581" s="313" t="s">
        <v>35</v>
      </c>
      <c r="E581" s="313" t="s">
        <v>24</v>
      </c>
    </row>
    <row r="582" spans="1:5" x14ac:dyDescent="0.25">
      <c r="A582" s="313" t="s">
        <v>270</v>
      </c>
      <c r="B582" s="313" t="s">
        <v>19</v>
      </c>
      <c r="C582" s="313" t="s">
        <v>1495</v>
      </c>
      <c r="D582" s="313" t="s">
        <v>35</v>
      </c>
      <c r="E582" s="313" t="s">
        <v>24</v>
      </c>
    </row>
    <row r="583" spans="1:5" x14ac:dyDescent="0.25">
      <c r="A583" s="313" t="s">
        <v>272</v>
      </c>
      <c r="B583" s="313" t="s">
        <v>51</v>
      </c>
      <c r="C583" s="313" t="s">
        <v>24</v>
      </c>
      <c r="D583" s="313" t="s">
        <v>24</v>
      </c>
      <c r="E583" s="313" t="s">
        <v>273</v>
      </c>
    </row>
    <row r="584" spans="1:5" x14ac:dyDescent="0.25">
      <c r="A584" s="313" t="s">
        <v>272</v>
      </c>
      <c r="B584" s="313" t="s">
        <v>19</v>
      </c>
      <c r="C584" s="313" t="s">
        <v>1466</v>
      </c>
      <c r="D584" s="313" t="s">
        <v>51</v>
      </c>
      <c r="E584" s="313" t="s">
        <v>24</v>
      </c>
    </row>
    <row r="585" spans="1:5" x14ac:dyDescent="0.25">
      <c r="A585" s="313" t="s">
        <v>272</v>
      </c>
      <c r="B585" s="313" t="s">
        <v>19</v>
      </c>
      <c r="C585" s="313" t="s">
        <v>1471</v>
      </c>
      <c r="D585" s="313" t="s">
        <v>51</v>
      </c>
      <c r="E585" s="313" t="s">
        <v>24</v>
      </c>
    </row>
    <row r="586" spans="1:5" x14ac:dyDescent="0.25">
      <c r="A586" s="313" t="s">
        <v>272</v>
      </c>
      <c r="B586" s="313" t="s">
        <v>19</v>
      </c>
      <c r="C586" s="313" t="s">
        <v>1475</v>
      </c>
      <c r="D586" s="313" t="s">
        <v>51</v>
      </c>
      <c r="E586" s="313" t="s">
        <v>24</v>
      </c>
    </row>
    <row r="587" spans="1:5" x14ac:dyDescent="0.25">
      <c r="A587" s="313" t="s">
        <v>272</v>
      </c>
      <c r="B587" s="313" t="s">
        <v>19</v>
      </c>
      <c r="C587" s="313" t="s">
        <v>20</v>
      </c>
      <c r="D587" s="313" t="s">
        <v>51</v>
      </c>
      <c r="E587" s="313" t="s">
        <v>24</v>
      </c>
    </row>
    <row r="588" spans="1:5" x14ac:dyDescent="0.25">
      <c r="A588" s="313" t="s">
        <v>272</v>
      </c>
      <c r="B588" s="313" t="s">
        <v>19</v>
      </c>
      <c r="C588" s="313" t="s">
        <v>1487</v>
      </c>
      <c r="D588" s="313" t="s">
        <v>51</v>
      </c>
      <c r="E588" s="313" t="s">
        <v>24</v>
      </c>
    </row>
    <row r="589" spans="1:5" x14ac:dyDescent="0.25">
      <c r="A589" s="313" t="s">
        <v>272</v>
      </c>
      <c r="B589" s="313" t="s">
        <v>19</v>
      </c>
      <c r="C589" s="313" t="s">
        <v>1495</v>
      </c>
      <c r="D589" s="313" t="s">
        <v>51</v>
      </c>
      <c r="E589" s="313" t="s">
        <v>24</v>
      </c>
    </row>
    <row r="590" spans="1:5" x14ac:dyDescent="0.25">
      <c r="A590" s="313" t="s">
        <v>276</v>
      </c>
      <c r="B590" s="313" t="s">
        <v>51</v>
      </c>
      <c r="C590" s="313" t="s">
        <v>24</v>
      </c>
      <c r="D590" s="313" t="s">
        <v>24</v>
      </c>
      <c r="E590" s="313" t="s">
        <v>277</v>
      </c>
    </row>
    <row r="591" spans="1:5" x14ac:dyDescent="0.25">
      <c r="A591" s="313" t="s">
        <v>276</v>
      </c>
      <c r="B591" s="313" t="s">
        <v>19</v>
      </c>
      <c r="C591" s="313" t="s">
        <v>1466</v>
      </c>
      <c r="D591" s="313" t="s">
        <v>51</v>
      </c>
      <c r="E591" s="313" t="s">
        <v>24</v>
      </c>
    </row>
    <row r="592" spans="1:5" x14ac:dyDescent="0.25">
      <c r="A592" s="313" t="s">
        <v>276</v>
      </c>
      <c r="B592" s="313" t="s">
        <v>19</v>
      </c>
      <c r="C592" s="313" t="s">
        <v>1471</v>
      </c>
      <c r="D592" s="313" t="s">
        <v>51</v>
      </c>
      <c r="E592" s="313" t="s">
        <v>24</v>
      </c>
    </row>
    <row r="593" spans="1:5" x14ac:dyDescent="0.25">
      <c r="A593" s="313" t="s">
        <v>276</v>
      </c>
      <c r="B593" s="313" t="s">
        <v>19</v>
      </c>
      <c r="C593" s="313" t="s">
        <v>1475</v>
      </c>
      <c r="D593" s="313" t="s">
        <v>51</v>
      </c>
      <c r="E593" s="313" t="s">
        <v>24</v>
      </c>
    </row>
    <row r="594" spans="1:5" x14ac:dyDescent="0.25">
      <c r="A594" s="313" t="s">
        <v>276</v>
      </c>
      <c r="B594" s="313" t="s">
        <v>19</v>
      </c>
      <c r="C594" s="313" t="s">
        <v>20</v>
      </c>
      <c r="D594" s="313" t="s">
        <v>51</v>
      </c>
      <c r="E594" s="313" t="s">
        <v>24</v>
      </c>
    </row>
    <row r="595" spans="1:5" x14ac:dyDescent="0.25">
      <c r="A595" s="313" t="s">
        <v>276</v>
      </c>
      <c r="B595" s="313" t="s">
        <v>19</v>
      </c>
      <c r="C595" s="313" t="s">
        <v>1487</v>
      </c>
      <c r="D595" s="313" t="s">
        <v>51</v>
      </c>
      <c r="E595" s="313" t="s">
        <v>24</v>
      </c>
    </row>
    <row r="596" spans="1:5" x14ac:dyDescent="0.25">
      <c r="A596" s="313" t="s">
        <v>276</v>
      </c>
      <c r="B596" s="313" t="s">
        <v>19</v>
      </c>
      <c r="C596" s="313" t="s">
        <v>1495</v>
      </c>
      <c r="D596" s="313" t="s">
        <v>51</v>
      </c>
      <c r="E596" s="313" t="s">
        <v>24</v>
      </c>
    </row>
    <row r="597" spans="1:5" x14ac:dyDescent="0.25">
      <c r="A597" s="313" t="s">
        <v>280</v>
      </c>
      <c r="B597" s="313" t="s">
        <v>19</v>
      </c>
      <c r="C597" s="313" t="s">
        <v>1466</v>
      </c>
      <c r="D597" s="313" t="s">
        <v>35</v>
      </c>
      <c r="E597" s="313" t="s">
        <v>24</v>
      </c>
    </row>
    <row r="598" spans="1:5" x14ac:dyDescent="0.25">
      <c r="A598" s="313" t="s">
        <v>280</v>
      </c>
      <c r="B598" s="313" t="s">
        <v>19</v>
      </c>
      <c r="C598" s="313" t="s">
        <v>1471</v>
      </c>
      <c r="D598" s="313" t="s">
        <v>35</v>
      </c>
      <c r="E598" s="313" t="s">
        <v>24</v>
      </c>
    </row>
    <row r="599" spans="1:5" x14ac:dyDescent="0.25">
      <c r="A599" s="313" t="s">
        <v>280</v>
      </c>
      <c r="B599" s="313" t="s">
        <v>19</v>
      </c>
      <c r="C599" s="313" t="s">
        <v>1475</v>
      </c>
      <c r="D599" s="313" t="s">
        <v>35</v>
      </c>
      <c r="E599" s="313" t="s">
        <v>24</v>
      </c>
    </row>
    <row r="600" spans="1:5" x14ac:dyDescent="0.25">
      <c r="A600" s="313" t="s">
        <v>280</v>
      </c>
      <c r="B600" s="313" t="s">
        <v>19</v>
      </c>
      <c r="C600" s="313" t="s">
        <v>20</v>
      </c>
      <c r="D600" s="313" t="s">
        <v>35</v>
      </c>
      <c r="E600" s="313" t="s">
        <v>24</v>
      </c>
    </row>
    <row r="601" spans="1:5" x14ac:dyDescent="0.25">
      <c r="A601" s="313" t="s">
        <v>280</v>
      </c>
      <c r="B601" s="313" t="s">
        <v>19</v>
      </c>
      <c r="C601" s="313" t="s">
        <v>1487</v>
      </c>
      <c r="D601" s="313" t="s">
        <v>35</v>
      </c>
      <c r="E601" s="313" t="s">
        <v>24</v>
      </c>
    </row>
    <row r="602" spans="1:5" x14ac:dyDescent="0.25">
      <c r="A602" s="313" t="s">
        <v>280</v>
      </c>
      <c r="B602" s="313" t="s">
        <v>19</v>
      </c>
      <c r="C602" s="313" t="s">
        <v>1495</v>
      </c>
      <c r="D602" s="313" t="s">
        <v>35</v>
      </c>
      <c r="E602" s="313" t="s">
        <v>24</v>
      </c>
    </row>
    <row r="603" spans="1:5" x14ac:dyDescent="0.25">
      <c r="A603" s="313" t="s">
        <v>284</v>
      </c>
      <c r="B603" s="313" t="s">
        <v>51</v>
      </c>
      <c r="C603" s="313" t="s">
        <v>24</v>
      </c>
      <c r="D603" s="313" t="s">
        <v>24</v>
      </c>
      <c r="E603" s="313" t="s">
        <v>285</v>
      </c>
    </row>
    <row r="604" spans="1:5" x14ac:dyDescent="0.25">
      <c r="A604" s="313" t="s">
        <v>284</v>
      </c>
      <c r="B604" s="313" t="s">
        <v>19</v>
      </c>
      <c r="C604" s="313" t="s">
        <v>1466</v>
      </c>
      <c r="D604" s="313" t="s">
        <v>51</v>
      </c>
      <c r="E604" s="313" t="s">
        <v>24</v>
      </c>
    </row>
    <row r="605" spans="1:5" x14ac:dyDescent="0.25">
      <c r="A605" s="313" t="s">
        <v>284</v>
      </c>
      <c r="B605" s="313" t="s">
        <v>19</v>
      </c>
      <c r="C605" s="313" t="s">
        <v>1471</v>
      </c>
      <c r="D605" s="313" t="s">
        <v>51</v>
      </c>
      <c r="E605" s="313" t="s">
        <v>24</v>
      </c>
    </row>
    <row r="606" spans="1:5" x14ac:dyDescent="0.25">
      <c r="A606" s="313" t="s">
        <v>284</v>
      </c>
      <c r="B606" s="313" t="s">
        <v>19</v>
      </c>
      <c r="C606" s="313" t="s">
        <v>1475</v>
      </c>
      <c r="D606" s="313" t="s">
        <v>51</v>
      </c>
      <c r="E606" s="313" t="s">
        <v>24</v>
      </c>
    </row>
    <row r="607" spans="1:5" x14ac:dyDescent="0.25">
      <c r="A607" s="313" t="s">
        <v>284</v>
      </c>
      <c r="B607" s="313" t="s">
        <v>19</v>
      </c>
      <c r="C607" s="313" t="s">
        <v>20</v>
      </c>
      <c r="D607" s="313" t="s">
        <v>51</v>
      </c>
      <c r="E607" s="313" t="s">
        <v>24</v>
      </c>
    </row>
    <row r="608" spans="1:5" x14ac:dyDescent="0.25">
      <c r="A608" s="313" t="s">
        <v>284</v>
      </c>
      <c r="B608" s="313" t="s">
        <v>19</v>
      </c>
      <c r="C608" s="313" t="s">
        <v>1487</v>
      </c>
      <c r="D608" s="313" t="s">
        <v>51</v>
      </c>
      <c r="E608" s="313" t="s">
        <v>24</v>
      </c>
    </row>
    <row r="609" spans="1:5" x14ac:dyDescent="0.25">
      <c r="A609" s="313" t="s">
        <v>284</v>
      </c>
      <c r="B609" s="313" t="s">
        <v>19</v>
      </c>
      <c r="C609" s="313" t="s">
        <v>1495</v>
      </c>
      <c r="D609" s="313" t="s">
        <v>51</v>
      </c>
      <c r="E609" s="313" t="s">
        <v>24</v>
      </c>
    </row>
    <row r="610" spans="1:5" x14ac:dyDescent="0.25">
      <c r="A610" s="313" t="s">
        <v>288</v>
      </c>
      <c r="B610" s="313" t="s">
        <v>19</v>
      </c>
      <c r="C610" s="313" t="s">
        <v>1466</v>
      </c>
      <c r="D610" s="313" t="s">
        <v>35</v>
      </c>
      <c r="E610" s="313" t="s">
        <v>24</v>
      </c>
    </row>
    <row r="611" spans="1:5" x14ac:dyDescent="0.25">
      <c r="A611" s="313" t="s">
        <v>288</v>
      </c>
      <c r="B611" s="313" t="s">
        <v>19</v>
      </c>
      <c r="C611" s="313" t="s">
        <v>1471</v>
      </c>
      <c r="D611" s="313" t="s">
        <v>35</v>
      </c>
      <c r="E611" s="313" t="s">
        <v>24</v>
      </c>
    </row>
    <row r="612" spans="1:5" x14ac:dyDescent="0.25">
      <c r="A612" s="313" t="s">
        <v>288</v>
      </c>
      <c r="B612" s="313" t="s">
        <v>19</v>
      </c>
      <c r="C612" s="313" t="s">
        <v>1475</v>
      </c>
      <c r="D612" s="313" t="s">
        <v>35</v>
      </c>
      <c r="E612" s="313" t="s">
        <v>24</v>
      </c>
    </row>
    <row r="613" spans="1:5" x14ac:dyDescent="0.25">
      <c r="A613" s="313" t="s">
        <v>288</v>
      </c>
      <c r="B613" s="313" t="s">
        <v>19</v>
      </c>
      <c r="C613" s="313" t="s">
        <v>20</v>
      </c>
      <c r="D613" s="313" t="s">
        <v>35</v>
      </c>
      <c r="E613" s="313" t="s">
        <v>24</v>
      </c>
    </row>
    <row r="614" spans="1:5" x14ac:dyDescent="0.25">
      <c r="A614" s="313" t="s">
        <v>288</v>
      </c>
      <c r="B614" s="313" t="s">
        <v>19</v>
      </c>
      <c r="C614" s="313" t="s">
        <v>1487</v>
      </c>
      <c r="D614" s="313" t="s">
        <v>26</v>
      </c>
      <c r="E614" s="313" t="s">
        <v>24</v>
      </c>
    </row>
    <row r="615" spans="1:5" x14ac:dyDescent="0.25">
      <c r="A615" s="313" t="s">
        <v>288</v>
      </c>
      <c r="B615" s="313" t="s">
        <v>19</v>
      </c>
      <c r="C615" s="313" t="s">
        <v>1495</v>
      </c>
      <c r="D615" s="313" t="s">
        <v>35</v>
      </c>
      <c r="E615" s="313" t="s">
        <v>24</v>
      </c>
    </row>
    <row r="616" spans="1:5" x14ac:dyDescent="0.25">
      <c r="A616" s="313" t="s">
        <v>288</v>
      </c>
      <c r="B616" s="313" t="s">
        <v>26</v>
      </c>
      <c r="C616" s="313" t="s">
        <v>1514</v>
      </c>
      <c r="D616" s="313" t="s">
        <v>24</v>
      </c>
      <c r="E616" s="313" t="s">
        <v>46</v>
      </c>
    </row>
    <row r="617" spans="1:5" ht="375" x14ac:dyDescent="0.25">
      <c r="A617" s="313" t="s">
        <v>288</v>
      </c>
      <c r="B617" s="313" t="s">
        <v>26</v>
      </c>
      <c r="C617" s="313" t="s">
        <v>1515</v>
      </c>
      <c r="D617" s="313" t="s">
        <v>24</v>
      </c>
      <c r="E617" s="315" t="s">
        <v>1550</v>
      </c>
    </row>
    <row r="618" spans="1:5" x14ac:dyDescent="0.25">
      <c r="A618" s="313" t="s">
        <v>288</v>
      </c>
      <c r="B618" s="313" t="s">
        <v>26</v>
      </c>
      <c r="C618" s="313" t="s">
        <v>1516</v>
      </c>
      <c r="D618" s="313" t="s">
        <v>24</v>
      </c>
      <c r="E618" s="313" t="s">
        <v>46</v>
      </c>
    </row>
    <row r="619" spans="1:5" ht="409.5" x14ac:dyDescent="0.25">
      <c r="A619" s="313" t="s">
        <v>288</v>
      </c>
      <c r="B619" s="313" t="s">
        <v>26</v>
      </c>
      <c r="C619" s="313" t="s">
        <v>1517</v>
      </c>
      <c r="D619" s="313" t="s">
        <v>24</v>
      </c>
      <c r="E619" s="315" t="s">
        <v>1551</v>
      </c>
    </row>
    <row r="620" spans="1:5" x14ac:dyDescent="0.25">
      <c r="A620" s="313" t="s">
        <v>288</v>
      </c>
      <c r="B620" s="313" t="s">
        <v>26</v>
      </c>
      <c r="C620" s="313" t="s">
        <v>1518</v>
      </c>
      <c r="D620" s="313" t="s">
        <v>24</v>
      </c>
      <c r="E620" s="313" t="s">
        <v>46</v>
      </c>
    </row>
    <row r="621" spans="1:5" x14ac:dyDescent="0.25">
      <c r="A621" s="313" t="s">
        <v>288</v>
      </c>
      <c r="B621" s="313" t="s">
        <v>26</v>
      </c>
      <c r="C621" s="313" t="s">
        <v>1519</v>
      </c>
      <c r="D621" s="313" t="s">
        <v>24</v>
      </c>
      <c r="E621" s="313" t="s">
        <v>46</v>
      </c>
    </row>
    <row r="622" spans="1:5" x14ac:dyDescent="0.25">
      <c r="A622" s="313" t="s">
        <v>292</v>
      </c>
      <c r="B622" s="313" t="s">
        <v>51</v>
      </c>
      <c r="C622" s="313" t="s">
        <v>24</v>
      </c>
      <c r="D622" s="313" t="s">
        <v>24</v>
      </c>
      <c r="E622" s="313" t="s">
        <v>293</v>
      </c>
    </row>
    <row r="623" spans="1:5" x14ac:dyDescent="0.25">
      <c r="A623" s="313" t="s">
        <v>292</v>
      </c>
      <c r="B623" s="313" t="s">
        <v>19</v>
      </c>
      <c r="C623" s="313" t="s">
        <v>1466</v>
      </c>
      <c r="D623" s="313" t="s">
        <v>51</v>
      </c>
      <c r="E623" s="313" t="s">
        <v>24</v>
      </c>
    </row>
    <row r="624" spans="1:5" x14ac:dyDescent="0.25">
      <c r="A624" s="313" t="s">
        <v>292</v>
      </c>
      <c r="B624" s="313" t="s">
        <v>19</v>
      </c>
      <c r="C624" s="313" t="s">
        <v>1471</v>
      </c>
      <c r="D624" s="313" t="s">
        <v>51</v>
      </c>
      <c r="E624" s="313" t="s">
        <v>24</v>
      </c>
    </row>
    <row r="625" spans="1:5" x14ac:dyDescent="0.25">
      <c r="A625" s="313" t="s">
        <v>292</v>
      </c>
      <c r="B625" s="313" t="s">
        <v>19</v>
      </c>
      <c r="C625" s="313" t="s">
        <v>1475</v>
      </c>
      <c r="D625" s="313" t="s">
        <v>51</v>
      </c>
      <c r="E625" s="313" t="s">
        <v>24</v>
      </c>
    </row>
    <row r="626" spans="1:5" x14ac:dyDescent="0.25">
      <c r="A626" s="313" t="s">
        <v>292</v>
      </c>
      <c r="B626" s="313" t="s">
        <v>19</v>
      </c>
      <c r="C626" s="313" t="s">
        <v>20</v>
      </c>
      <c r="D626" s="313" t="s">
        <v>51</v>
      </c>
      <c r="E626" s="313" t="s">
        <v>24</v>
      </c>
    </row>
    <row r="627" spans="1:5" x14ac:dyDescent="0.25">
      <c r="A627" s="313" t="s">
        <v>292</v>
      </c>
      <c r="B627" s="313" t="s">
        <v>19</v>
      </c>
      <c r="C627" s="313" t="s">
        <v>1487</v>
      </c>
      <c r="D627" s="313" t="s">
        <v>51</v>
      </c>
      <c r="E627" s="313" t="s">
        <v>24</v>
      </c>
    </row>
    <row r="628" spans="1:5" x14ac:dyDescent="0.25">
      <c r="A628" s="313" t="s">
        <v>292</v>
      </c>
      <c r="B628" s="313" t="s">
        <v>19</v>
      </c>
      <c r="C628" s="313" t="s">
        <v>1495</v>
      </c>
      <c r="D628" s="313" t="s">
        <v>51</v>
      </c>
      <c r="E628" s="313" t="s">
        <v>24</v>
      </c>
    </row>
    <row r="629" spans="1:5" x14ac:dyDescent="0.25">
      <c r="A629" s="313" t="s">
        <v>296</v>
      </c>
      <c r="B629" s="313" t="s">
        <v>19</v>
      </c>
      <c r="C629" s="313" t="s">
        <v>1466</v>
      </c>
      <c r="D629" s="313" t="s">
        <v>35</v>
      </c>
      <c r="E629" s="313" t="s">
        <v>24</v>
      </c>
    </row>
    <row r="630" spans="1:5" x14ac:dyDescent="0.25">
      <c r="A630" s="313" t="s">
        <v>296</v>
      </c>
      <c r="B630" s="313" t="s">
        <v>19</v>
      </c>
      <c r="C630" s="313" t="s">
        <v>1471</v>
      </c>
      <c r="D630" s="313" t="s">
        <v>35</v>
      </c>
      <c r="E630" s="313" t="s">
        <v>24</v>
      </c>
    </row>
    <row r="631" spans="1:5" x14ac:dyDescent="0.25">
      <c r="A631" s="313" t="s">
        <v>296</v>
      </c>
      <c r="B631" s="313" t="s">
        <v>19</v>
      </c>
      <c r="C631" s="313" t="s">
        <v>1475</v>
      </c>
      <c r="D631" s="313" t="s">
        <v>35</v>
      </c>
      <c r="E631" s="313" t="s">
        <v>24</v>
      </c>
    </row>
    <row r="632" spans="1:5" x14ac:dyDescent="0.25">
      <c r="A632" s="313" t="s">
        <v>296</v>
      </c>
      <c r="B632" s="313" t="s">
        <v>19</v>
      </c>
      <c r="C632" s="313" t="s">
        <v>20</v>
      </c>
      <c r="D632" s="313" t="s">
        <v>35</v>
      </c>
      <c r="E632" s="313" t="s">
        <v>24</v>
      </c>
    </row>
    <row r="633" spans="1:5" x14ac:dyDescent="0.25">
      <c r="A633" s="313" t="s">
        <v>296</v>
      </c>
      <c r="B633" s="313" t="s">
        <v>19</v>
      </c>
      <c r="C633" s="313" t="s">
        <v>1487</v>
      </c>
      <c r="D633" s="313" t="s">
        <v>35</v>
      </c>
      <c r="E633" s="313" t="s">
        <v>24</v>
      </c>
    </row>
    <row r="634" spans="1:5" x14ac:dyDescent="0.25">
      <c r="A634" s="313" t="s">
        <v>296</v>
      </c>
      <c r="B634" s="313" t="s">
        <v>19</v>
      </c>
      <c r="C634" s="313" t="s">
        <v>1495</v>
      </c>
      <c r="D634" s="313" t="s">
        <v>35</v>
      </c>
      <c r="E634" s="313" t="s">
        <v>24</v>
      </c>
    </row>
    <row r="635" spans="1:5" x14ac:dyDescent="0.25">
      <c r="A635" s="313" t="s">
        <v>298</v>
      </c>
      <c r="B635" s="313" t="s">
        <v>51</v>
      </c>
      <c r="C635" s="313" t="s">
        <v>24</v>
      </c>
      <c r="D635" s="313" t="s">
        <v>24</v>
      </c>
      <c r="E635" s="313" t="s">
        <v>299</v>
      </c>
    </row>
    <row r="636" spans="1:5" x14ac:dyDescent="0.25">
      <c r="A636" s="313" t="s">
        <v>298</v>
      </c>
      <c r="B636" s="313" t="s">
        <v>19</v>
      </c>
      <c r="C636" s="313" t="s">
        <v>1466</v>
      </c>
      <c r="D636" s="313" t="s">
        <v>51</v>
      </c>
      <c r="E636" s="313" t="s">
        <v>24</v>
      </c>
    </row>
    <row r="637" spans="1:5" x14ac:dyDescent="0.25">
      <c r="A637" s="313" t="s">
        <v>298</v>
      </c>
      <c r="B637" s="313" t="s">
        <v>19</v>
      </c>
      <c r="C637" s="313" t="s">
        <v>1471</v>
      </c>
      <c r="D637" s="313" t="s">
        <v>51</v>
      </c>
      <c r="E637" s="313" t="s">
        <v>24</v>
      </c>
    </row>
    <row r="638" spans="1:5" x14ac:dyDescent="0.25">
      <c r="A638" s="313" t="s">
        <v>298</v>
      </c>
      <c r="B638" s="313" t="s">
        <v>19</v>
      </c>
      <c r="C638" s="313" t="s">
        <v>1475</v>
      </c>
      <c r="D638" s="313" t="s">
        <v>51</v>
      </c>
      <c r="E638" s="313" t="s">
        <v>24</v>
      </c>
    </row>
    <row r="639" spans="1:5" x14ac:dyDescent="0.25">
      <c r="A639" s="313" t="s">
        <v>298</v>
      </c>
      <c r="B639" s="313" t="s">
        <v>19</v>
      </c>
      <c r="C639" s="313" t="s">
        <v>20</v>
      </c>
      <c r="D639" s="313" t="s">
        <v>51</v>
      </c>
      <c r="E639" s="313" t="s">
        <v>24</v>
      </c>
    </row>
    <row r="640" spans="1:5" x14ac:dyDescent="0.25">
      <c r="A640" s="313" t="s">
        <v>298</v>
      </c>
      <c r="B640" s="313" t="s">
        <v>19</v>
      </c>
      <c r="C640" s="313" t="s">
        <v>1487</v>
      </c>
      <c r="D640" s="313" t="s">
        <v>51</v>
      </c>
      <c r="E640" s="313" t="s">
        <v>24</v>
      </c>
    </row>
    <row r="641" spans="1:5" x14ac:dyDescent="0.25">
      <c r="A641" s="313" t="s">
        <v>298</v>
      </c>
      <c r="B641" s="313" t="s">
        <v>19</v>
      </c>
      <c r="C641" s="313" t="s">
        <v>1495</v>
      </c>
      <c r="D641" s="313" t="s">
        <v>51</v>
      </c>
      <c r="E641" s="313" t="s">
        <v>24</v>
      </c>
    </row>
    <row r="642" spans="1:5" x14ac:dyDescent="0.25">
      <c r="A642" s="313" t="s">
        <v>302</v>
      </c>
      <c r="B642" s="313" t="s">
        <v>51</v>
      </c>
      <c r="C642" s="313" t="s">
        <v>24</v>
      </c>
      <c r="D642" s="313" t="s">
        <v>24</v>
      </c>
      <c r="E642" s="313" t="s">
        <v>303</v>
      </c>
    </row>
    <row r="643" spans="1:5" x14ac:dyDescent="0.25">
      <c r="A643" s="313" t="s">
        <v>302</v>
      </c>
      <c r="B643" s="313" t="s">
        <v>19</v>
      </c>
      <c r="C643" s="313" t="s">
        <v>1466</v>
      </c>
      <c r="D643" s="313" t="s">
        <v>51</v>
      </c>
      <c r="E643" s="313" t="s">
        <v>24</v>
      </c>
    </row>
    <row r="644" spans="1:5" x14ac:dyDescent="0.25">
      <c r="A644" s="313" t="s">
        <v>302</v>
      </c>
      <c r="B644" s="313" t="s">
        <v>19</v>
      </c>
      <c r="C644" s="313" t="s">
        <v>1471</v>
      </c>
      <c r="D644" s="313" t="s">
        <v>51</v>
      </c>
      <c r="E644" s="313" t="s">
        <v>24</v>
      </c>
    </row>
    <row r="645" spans="1:5" x14ac:dyDescent="0.25">
      <c r="A645" s="313" t="s">
        <v>302</v>
      </c>
      <c r="B645" s="313" t="s">
        <v>19</v>
      </c>
      <c r="C645" s="313" t="s">
        <v>1475</v>
      </c>
      <c r="D645" s="313" t="s">
        <v>51</v>
      </c>
      <c r="E645" s="313" t="s">
        <v>24</v>
      </c>
    </row>
    <row r="646" spans="1:5" x14ac:dyDescent="0.25">
      <c r="A646" s="313" t="s">
        <v>302</v>
      </c>
      <c r="B646" s="313" t="s">
        <v>19</v>
      </c>
      <c r="C646" s="313" t="s">
        <v>20</v>
      </c>
      <c r="D646" s="313" t="s">
        <v>51</v>
      </c>
      <c r="E646" s="313" t="s">
        <v>24</v>
      </c>
    </row>
    <row r="647" spans="1:5" x14ac:dyDescent="0.25">
      <c r="A647" s="313" t="s">
        <v>302</v>
      </c>
      <c r="B647" s="313" t="s">
        <v>19</v>
      </c>
      <c r="C647" s="313" t="s">
        <v>1487</v>
      </c>
      <c r="D647" s="313" t="s">
        <v>51</v>
      </c>
      <c r="E647" s="313" t="s">
        <v>24</v>
      </c>
    </row>
    <row r="648" spans="1:5" x14ac:dyDescent="0.25">
      <c r="A648" s="313" t="s">
        <v>302</v>
      </c>
      <c r="B648" s="313" t="s">
        <v>19</v>
      </c>
      <c r="C648" s="313" t="s">
        <v>1495</v>
      </c>
      <c r="D648" s="313" t="s">
        <v>51</v>
      </c>
      <c r="E648" s="313" t="s">
        <v>24</v>
      </c>
    </row>
    <row r="649" spans="1:5" x14ac:dyDescent="0.25">
      <c r="A649" s="313" t="s">
        <v>306</v>
      </c>
      <c r="B649" s="313" t="s">
        <v>51</v>
      </c>
      <c r="C649" s="313" t="s">
        <v>24</v>
      </c>
      <c r="D649" s="313" t="s">
        <v>24</v>
      </c>
      <c r="E649" s="313" t="s">
        <v>307</v>
      </c>
    </row>
    <row r="650" spans="1:5" x14ac:dyDescent="0.25">
      <c r="A650" s="313" t="s">
        <v>306</v>
      </c>
      <c r="B650" s="313" t="s">
        <v>19</v>
      </c>
      <c r="C650" s="313" t="s">
        <v>1466</v>
      </c>
      <c r="D650" s="313" t="s">
        <v>51</v>
      </c>
      <c r="E650" s="313" t="s">
        <v>24</v>
      </c>
    </row>
    <row r="651" spans="1:5" x14ac:dyDescent="0.25">
      <c r="A651" s="313" t="s">
        <v>306</v>
      </c>
      <c r="B651" s="313" t="s">
        <v>19</v>
      </c>
      <c r="C651" s="313" t="s">
        <v>1471</v>
      </c>
      <c r="D651" s="313" t="s">
        <v>51</v>
      </c>
      <c r="E651" s="313" t="s">
        <v>24</v>
      </c>
    </row>
    <row r="652" spans="1:5" x14ac:dyDescent="0.25">
      <c r="A652" s="313" t="s">
        <v>306</v>
      </c>
      <c r="B652" s="313" t="s">
        <v>19</v>
      </c>
      <c r="C652" s="313" t="s">
        <v>1475</v>
      </c>
      <c r="D652" s="313" t="s">
        <v>51</v>
      </c>
      <c r="E652" s="313" t="s">
        <v>24</v>
      </c>
    </row>
    <row r="653" spans="1:5" x14ac:dyDescent="0.25">
      <c r="A653" s="313" t="s">
        <v>306</v>
      </c>
      <c r="B653" s="313" t="s">
        <v>19</v>
      </c>
      <c r="C653" s="313" t="s">
        <v>20</v>
      </c>
      <c r="D653" s="313" t="s">
        <v>51</v>
      </c>
      <c r="E653" s="313" t="s">
        <v>24</v>
      </c>
    </row>
    <row r="654" spans="1:5" x14ac:dyDescent="0.25">
      <c r="A654" s="313" t="s">
        <v>306</v>
      </c>
      <c r="B654" s="313" t="s">
        <v>19</v>
      </c>
      <c r="C654" s="313" t="s">
        <v>1487</v>
      </c>
      <c r="D654" s="313" t="s">
        <v>51</v>
      </c>
      <c r="E654" s="313" t="s">
        <v>24</v>
      </c>
    </row>
    <row r="655" spans="1:5" x14ac:dyDescent="0.25">
      <c r="A655" s="313" t="s">
        <v>306</v>
      </c>
      <c r="B655" s="313" t="s">
        <v>19</v>
      </c>
      <c r="C655" s="313" t="s">
        <v>1495</v>
      </c>
      <c r="D655" s="313" t="s">
        <v>51</v>
      </c>
      <c r="E655" s="313" t="s">
        <v>24</v>
      </c>
    </row>
    <row r="656" spans="1:5" x14ac:dyDescent="0.25">
      <c r="A656" s="313" t="s">
        <v>310</v>
      </c>
      <c r="B656" s="313" t="s">
        <v>51</v>
      </c>
      <c r="C656" s="313" t="s">
        <v>24</v>
      </c>
      <c r="D656" s="313" t="s">
        <v>24</v>
      </c>
      <c r="E656" s="313" t="s">
        <v>311</v>
      </c>
    </row>
    <row r="657" spans="1:5" x14ac:dyDescent="0.25">
      <c r="A657" s="313" t="s">
        <v>310</v>
      </c>
      <c r="B657" s="313" t="s">
        <v>19</v>
      </c>
      <c r="C657" s="313" t="s">
        <v>1466</v>
      </c>
      <c r="D657" s="313" t="s">
        <v>51</v>
      </c>
      <c r="E657" s="313" t="s">
        <v>24</v>
      </c>
    </row>
    <row r="658" spans="1:5" x14ac:dyDescent="0.25">
      <c r="A658" s="313" t="s">
        <v>310</v>
      </c>
      <c r="B658" s="313" t="s">
        <v>19</v>
      </c>
      <c r="C658" s="313" t="s">
        <v>1471</v>
      </c>
      <c r="D658" s="313" t="s">
        <v>51</v>
      </c>
      <c r="E658" s="313" t="s">
        <v>24</v>
      </c>
    </row>
    <row r="659" spans="1:5" x14ac:dyDescent="0.25">
      <c r="A659" s="313" t="s">
        <v>310</v>
      </c>
      <c r="B659" s="313" t="s">
        <v>19</v>
      </c>
      <c r="C659" s="313" t="s">
        <v>1475</v>
      </c>
      <c r="D659" s="313" t="s">
        <v>51</v>
      </c>
      <c r="E659" s="313" t="s">
        <v>24</v>
      </c>
    </row>
    <row r="660" spans="1:5" x14ac:dyDescent="0.25">
      <c r="A660" s="313" t="s">
        <v>310</v>
      </c>
      <c r="B660" s="313" t="s">
        <v>19</v>
      </c>
      <c r="C660" s="313" t="s">
        <v>20</v>
      </c>
      <c r="D660" s="313" t="s">
        <v>51</v>
      </c>
      <c r="E660" s="313" t="s">
        <v>24</v>
      </c>
    </row>
    <row r="661" spans="1:5" x14ac:dyDescent="0.25">
      <c r="A661" s="313" t="s">
        <v>310</v>
      </c>
      <c r="B661" s="313" t="s">
        <v>19</v>
      </c>
      <c r="C661" s="313" t="s">
        <v>1487</v>
      </c>
      <c r="D661" s="313" t="s">
        <v>51</v>
      </c>
      <c r="E661" s="313" t="s">
        <v>24</v>
      </c>
    </row>
    <row r="662" spans="1:5" x14ac:dyDescent="0.25">
      <c r="A662" s="313" t="s">
        <v>310</v>
      </c>
      <c r="B662" s="313" t="s">
        <v>19</v>
      </c>
      <c r="C662" s="313" t="s">
        <v>1495</v>
      </c>
      <c r="D662" s="313" t="s">
        <v>51</v>
      </c>
      <c r="E662" s="313" t="s">
        <v>24</v>
      </c>
    </row>
    <row r="663" spans="1:5" x14ac:dyDescent="0.25">
      <c r="A663" s="313" t="s">
        <v>314</v>
      </c>
      <c r="B663" s="313" t="s">
        <v>19</v>
      </c>
      <c r="C663" s="313" t="s">
        <v>1466</v>
      </c>
      <c r="D663" s="313" t="s">
        <v>35</v>
      </c>
      <c r="E663" s="313" t="s">
        <v>24</v>
      </c>
    </row>
    <row r="664" spans="1:5" x14ac:dyDescent="0.25">
      <c r="A664" s="313" t="s">
        <v>314</v>
      </c>
      <c r="B664" s="313" t="s">
        <v>19</v>
      </c>
      <c r="C664" s="313" t="s">
        <v>1471</v>
      </c>
      <c r="D664" s="313" t="s">
        <v>35</v>
      </c>
      <c r="E664" s="313" t="s">
        <v>24</v>
      </c>
    </row>
    <row r="665" spans="1:5" x14ac:dyDescent="0.25">
      <c r="A665" s="313" t="s">
        <v>314</v>
      </c>
      <c r="B665" s="313" t="s">
        <v>19</v>
      </c>
      <c r="C665" s="313" t="s">
        <v>1475</v>
      </c>
      <c r="D665" s="313" t="s">
        <v>35</v>
      </c>
      <c r="E665" s="313" t="s">
        <v>24</v>
      </c>
    </row>
    <row r="666" spans="1:5" x14ac:dyDescent="0.25">
      <c r="A666" s="313" t="s">
        <v>314</v>
      </c>
      <c r="B666" s="313" t="s">
        <v>19</v>
      </c>
      <c r="C666" s="313" t="s">
        <v>20</v>
      </c>
      <c r="D666" s="313" t="s">
        <v>35</v>
      </c>
      <c r="E666" s="313" t="s">
        <v>24</v>
      </c>
    </row>
    <row r="667" spans="1:5" x14ac:dyDescent="0.25">
      <c r="A667" s="313" t="s">
        <v>314</v>
      </c>
      <c r="B667" s="313" t="s">
        <v>19</v>
      </c>
      <c r="C667" s="313" t="s">
        <v>1487</v>
      </c>
      <c r="D667" s="313" t="s">
        <v>35</v>
      </c>
      <c r="E667" s="313" t="s">
        <v>24</v>
      </c>
    </row>
    <row r="668" spans="1:5" x14ac:dyDescent="0.25">
      <c r="A668" s="313" t="s">
        <v>314</v>
      </c>
      <c r="B668" s="313" t="s">
        <v>19</v>
      </c>
      <c r="C668" s="313" t="s">
        <v>1495</v>
      </c>
      <c r="D668" s="313" t="s">
        <v>35</v>
      </c>
      <c r="E668" s="313" t="s">
        <v>24</v>
      </c>
    </row>
    <row r="669" spans="1:5" x14ac:dyDescent="0.25">
      <c r="A669" s="313" t="s">
        <v>317</v>
      </c>
      <c r="B669" s="313" t="s">
        <v>19</v>
      </c>
      <c r="C669" s="313" t="s">
        <v>1466</v>
      </c>
      <c r="D669" s="313" t="s">
        <v>35</v>
      </c>
      <c r="E669" s="313" t="s">
        <v>24</v>
      </c>
    </row>
    <row r="670" spans="1:5" x14ac:dyDescent="0.25">
      <c r="A670" s="313" t="s">
        <v>317</v>
      </c>
      <c r="B670" s="313" t="s">
        <v>19</v>
      </c>
      <c r="C670" s="313" t="s">
        <v>1471</v>
      </c>
      <c r="D670" s="313" t="s">
        <v>35</v>
      </c>
      <c r="E670" s="313" t="s">
        <v>24</v>
      </c>
    </row>
    <row r="671" spans="1:5" x14ac:dyDescent="0.25">
      <c r="A671" s="313" t="s">
        <v>317</v>
      </c>
      <c r="B671" s="313" t="s">
        <v>19</v>
      </c>
      <c r="C671" s="313" t="s">
        <v>1475</v>
      </c>
      <c r="D671" s="313" t="s">
        <v>35</v>
      </c>
      <c r="E671" s="313" t="s">
        <v>24</v>
      </c>
    </row>
    <row r="672" spans="1:5" x14ac:dyDescent="0.25">
      <c r="A672" s="313" t="s">
        <v>317</v>
      </c>
      <c r="B672" s="313" t="s">
        <v>19</v>
      </c>
      <c r="C672" s="313" t="s">
        <v>20</v>
      </c>
      <c r="D672" s="313" t="s">
        <v>35</v>
      </c>
      <c r="E672" s="313" t="s">
        <v>24</v>
      </c>
    </row>
    <row r="673" spans="1:5" x14ac:dyDescent="0.25">
      <c r="A673" s="313" t="s">
        <v>317</v>
      </c>
      <c r="B673" s="313" t="s">
        <v>19</v>
      </c>
      <c r="C673" s="313" t="s">
        <v>1487</v>
      </c>
      <c r="D673" s="313" t="s">
        <v>35</v>
      </c>
      <c r="E673" s="313" t="s">
        <v>24</v>
      </c>
    </row>
    <row r="674" spans="1:5" x14ac:dyDescent="0.25">
      <c r="A674" s="313" t="s">
        <v>317</v>
      </c>
      <c r="B674" s="313" t="s">
        <v>19</v>
      </c>
      <c r="C674" s="313" t="s">
        <v>1495</v>
      </c>
      <c r="D674" s="313" t="s">
        <v>35</v>
      </c>
      <c r="E674" s="313" t="s">
        <v>24</v>
      </c>
    </row>
    <row r="675" spans="1:5" x14ac:dyDescent="0.25">
      <c r="A675" s="313" t="s">
        <v>319</v>
      </c>
      <c r="B675" s="313" t="s">
        <v>51</v>
      </c>
      <c r="C675" s="313" t="s">
        <v>24</v>
      </c>
      <c r="D675" s="313" t="s">
        <v>24</v>
      </c>
      <c r="E675" s="313" t="s">
        <v>320</v>
      </c>
    </row>
    <row r="676" spans="1:5" x14ac:dyDescent="0.25">
      <c r="A676" s="313" t="s">
        <v>319</v>
      </c>
      <c r="B676" s="313" t="s">
        <v>19</v>
      </c>
      <c r="C676" s="313" t="s">
        <v>1466</v>
      </c>
      <c r="D676" s="313" t="s">
        <v>51</v>
      </c>
      <c r="E676" s="313" t="s">
        <v>24</v>
      </c>
    </row>
    <row r="677" spans="1:5" x14ac:dyDescent="0.25">
      <c r="A677" s="313" t="s">
        <v>319</v>
      </c>
      <c r="B677" s="313" t="s">
        <v>19</v>
      </c>
      <c r="C677" s="313" t="s">
        <v>1471</v>
      </c>
      <c r="D677" s="313" t="s">
        <v>51</v>
      </c>
      <c r="E677" s="313" t="s">
        <v>24</v>
      </c>
    </row>
    <row r="678" spans="1:5" x14ac:dyDescent="0.25">
      <c r="A678" s="313" t="s">
        <v>319</v>
      </c>
      <c r="B678" s="313" t="s">
        <v>19</v>
      </c>
      <c r="C678" s="313" t="s">
        <v>1475</v>
      </c>
      <c r="D678" s="313" t="s">
        <v>51</v>
      </c>
      <c r="E678" s="313" t="s">
        <v>24</v>
      </c>
    </row>
    <row r="679" spans="1:5" x14ac:dyDescent="0.25">
      <c r="A679" s="313" t="s">
        <v>319</v>
      </c>
      <c r="B679" s="313" t="s">
        <v>19</v>
      </c>
      <c r="C679" s="313" t="s">
        <v>20</v>
      </c>
      <c r="D679" s="313" t="s">
        <v>51</v>
      </c>
      <c r="E679" s="313" t="s">
        <v>24</v>
      </c>
    </row>
    <row r="680" spans="1:5" x14ac:dyDescent="0.25">
      <c r="A680" s="313" t="s">
        <v>319</v>
      </c>
      <c r="B680" s="313" t="s">
        <v>19</v>
      </c>
      <c r="C680" s="313" t="s">
        <v>1487</v>
      </c>
      <c r="D680" s="313" t="s">
        <v>51</v>
      </c>
      <c r="E680" s="313" t="s">
        <v>24</v>
      </c>
    </row>
    <row r="681" spans="1:5" x14ac:dyDescent="0.25">
      <c r="A681" s="313" t="s">
        <v>319</v>
      </c>
      <c r="B681" s="313" t="s">
        <v>19</v>
      </c>
      <c r="C681" s="313" t="s">
        <v>1495</v>
      </c>
      <c r="D681" s="313" t="s">
        <v>51</v>
      </c>
      <c r="E681" s="313" t="s">
        <v>24</v>
      </c>
    </row>
    <row r="682" spans="1:5" x14ac:dyDescent="0.25">
      <c r="A682" s="313" t="s">
        <v>323</v>
      </c>
      <c r="B682" s="313" t="s">
        <v>19</v>
      </c>
      <c r="C682" s="313" t="s">
        <v>1466</v>
      </c>
      <c r="D682" s="313" t="s">
        <v>35</v>
      </c>
      <c r="E682" s="313" t="s">
        <v>24</v>
      </c>
    </row>
    <row r="683" spans="1:5" x14ac:dyDescent="0.25">
      <c r="A683" s="313" t="s">
        <v>323</v>
      </c>
      <c r="B683" s="313" t="s">
        <v>19</v>
      </c>
      <c r="C683" s="313" t="s">
        <v>1471</v>
      </c>
      <c r="D683" s="313" t="s">
        <v>35</v>
      </c>
      <c r="E683" s="313" t="s">
        <v>24</v>
      </c>
    </row>
    <row r="684" spans="1:5" x14ac:dyDescent="0.25">
      <c r="A684" s="313" t="s">
        <v>323</v>
      </c>
      <c r="B684" s="313" t="s">
        <v>19</v>
      </c>
      <c r="C684" s="313" t="s">
        <v>1475</v>
      </c>
      <c r="D684" s="313" t="s">
        <v>35</v>
      </c>
      <c r="E684" s="313" t="s">
        <v>24</v>
      </c>
    </row>
    <row r="685" spans="1:5" x14ac:dyDescent="0.25">
      <c r="A685" s="313" t="s">
        <v>323</v>
      </c>
      <c r="B685" s="313" t="s">
        <v>19</v>
      </c>
      <c r="C685" s="313" t="s">
        <v>20</v>
      </c>
      <c r="D685" s="313" t="s">
        <v>35</v>
      </c>
      <c r="E685" s="313" t="s">
        <v>24</v>
      </c>
    </row>
    <row r="686" spans="1:5" x14ac:dyDescent="0.25">
      <c r="A686" s="313" t="s">
        <v>323</v>
      </c>
      <c r="B686" s="313" t="s">
        <v>19</v>
      </c>
      <c r="C686" s="313" t="s">
        <v>1487</v>
      </c>
      <c r="D686" s="313" t="s">
        <v>35</v>
      </c>
      <c r="E686" s="313" t="s">
        <v>24</v>
      </c>
    </row>
    <row r="687" spans="1:5" x14ac:dyDescent="0.25">
      <c r="A687" s="313" t="s">
        <v>323</v>
      </c>
      <c r="B687" s="313" t="s">
        <v>19</v>
      </c>
      <c r="C687" s="313" t="s">
        <v>1495</v>
      </c>
      <c r="D687" s="313" t="s">
        <v>35</v>
      </c>
      <c r="E687" s="313" t="s">
        <v>24</v>
      </c>
    </row>
    <row r="688" spans="1:5" x14ac:dyDescent="0.25">
      <c r="A688" s="313" t="s">
        <v>325</v>
      </c>
      <c r="B688" s="313" t="s">
        <v>19</v>
      </c>
      <c r="C688" s="313" t="s">
        <v>1466</v>
      </c>
      <c r="D688" s="313" t="s">
        <v>35</v>
      </c>
      <c r="E688" s="313" t="s">
        <v>24</v>
      </c>
    </row>
    <row r="689" spans="1:5" x14ac:dyDescent="0.25">
      <c r="A689" s="313" t="s">
        <v>325</v>
      </c>
      <c r="B689" s="313" t="s">
        <v>19</v>
      </c>
      <c r="C689" s="313" t="s">
        <v>1471</v>
      </c>
      <c r="D689" s="313" t="s">
        <v>35</v>
      </c>
      <c r="E689" s="313" t="s">
        <v>24</v>
      </c>
    </row>
    <row r="690" spans="1:5" x14ac:dyDescent="0.25">
      <c r="A690" s="313" t="s">
        <v>325</v>
      </c>
      <c r="B690" s="313" t="s">
        <v>19</v>
      </c>
      <c r="C690" s="313" t="s">
        <v>1475</v>
      </c>
      <c r="D690" s="313" t="s">
        <v>35</v>
      </c>
      <c r="E690" s="313" t="s">
        <v>24</v>
      </c>
    </row>
    <row r="691" spans="1:5" x14ac:dyDescent="0.25">
      <c r="A691" s="313" t="s">
        <v>325</v>
      </c>
      <c r="B691" s="313" t="s">
        <v>19</v>
      </c>
      <c r="C691" s="313" t="s">
        <v>20</v>
      </c>
      <c r="D691" s="313" t="s">
        <v>35</v>
      </c>
      <c r="E691" s="313" t="s">
        <v>24</v>
      </c>
    </row>
    <row r="692" spans="1:5" x14ac:dyDescent="0.25">
      <c r="A692" s="313" t="s">
        <v>325</v>
      </c>
      <c r="B692" s="313" t="s">
        <v>19</v>
      </c>
      <c r="C692" s="313" t="s">
        <v>1487</v>
      </c>
      <c r="D692" s="313" t="s">
        <v>35</v>
      </c>
      <c r="E692" s="313" t="s">
        <v>24</v>
      </c>
    </row>
    <row r="693" spans="1:5" x14ac:dyDescent="0.25">
      <c r="A693" s="313" t="s">
        <v>325</v>
      </c>
      <c r="B693" s="313" t="s">
        <v>19</v>
      </c>
      <c r="C693" s="313" t="s">
        <v>1495</v>
      </c>
      <c r="D693" s="313" t="s">
        <v>35</v>
      </c>
      <c r="E693" s="313" t="s">
        <v>24</v>
      </c>
    </row>
    <row r="694" spans="1:5" x14ac:dyDescent="0.25">
      <c r="A694" s="313" t="s">
        <v>327</v>
      </c>
      <c r="B694" s="313" t="s">
        <v>19</v>
      </c>
      <c r="C694" s="313" t="s">
        <v>1466</v>
      </c>
      <c r="D694" s="313" t="s">
        <v>35</v>
      </c>
      <c r="E694" s="313" t="s">
        <v>24</v>
      </c>
    </row>
    <row r="695" spans="1:5" x14ac:dyDescent="0.25">
      <c r="A695" s="313" t="s">
        <v>327</v>
      </c>
      <c r="B695" s="313" t="s">
        <v>19</v>
      </c>
      <c r="C695" s="313" t="s">
        <v>1471</v>
      </c>
      <c r="D695" s="313" t="s">
        <v>35</v>
      </c>
      <c r="E695" s="313" t="s">
        <v>24</v>
      </c>
    </row>
    <row r="696" spans="1:5" x14ac:dyDescent="0.25">
      <c r="A696" s="313" t="s">
        <v>327</v>
      </c>
      <c r="B696" s="313" t="s">
        <v>19</v>
      </c>
      <c r="C696" s="313" t="s">
        <v>1475</v>
      </c>
      <c r="D696" s="313" t="s">
        <v>35</v>
      </c>
      <c r="E696" s="313" t="s">
        <v>24</v>
      </c>
    </row>
    <row r="697" spans="1:5" x14ac:dyDescent="0.25">
      <c r="A697" s="313" t="s">
        <v>327</v>
      </c>
      <c r="B697" s="313" t="s">
        <v>19</v>
      </c>
      <c r="C697" s="313" t="s">
        <v>20</v>
      </c>
      <c r="D697" s="313" t="s">
        <v>35</v>
      </c>
      <c r="E697" s="313" t="s">
        <v>24</v>
      </c>
    </row>
    <row r="698" spans="1:5" x14ac:dyDescent="0.25">
      <c r="A698" s="313" t="s">
        <v>327</v>
      </c>
      <c r="B698" s="313" t="s">
        <v>19</v>
      </c>
      <c r="C698" s="313" t="s">
        <v>1487</v>
      </c>
      <c r="D698" s="313" t="s">
        <v>35</v>
      </c>
      <c r="E698" s="313" t="s">
        <v>24</v>
      </c>
    </row>
    <row r="699" spans="1:5" x14ac:dyDescent="0.25">
      <c r="A699" s="313" t="s">
        <v>327</v>
      </c>
      <c r="B699" s="313" t="s">
        <v>19</v>
      </c>
      <c r="C699" s="313" t="s">
        <v>1495</v>
      </c>
      <c r="D699" s="313" t="s">
        <v>35</v>
      </c>
      <c r="E699" s="313" t="s">
        <v>24</v>
      </c>
    </row>
    <row r="700" spans="1:5" x14ac:dyDescent="0.25">
      <c r="A700" s="313" t="s">
        <v>328</v>
      </c>
      <c r="B700" s="313" t="s">
        <v>19</v>
      </c>
      <c r="C700" s="313" t="s">
        <v>1466</v>
      </c>
      <c r="D700" s="313" t="s">
        <v>26</v>
      </c>
      <c r="E700" s="313" t="s">
        <v>24</v>
      </c>
    </row>
    <row r="701" spans="1:5" x14ac:dyDescent="0.25">
      <c r="A701" s="313" t="s">
        <v>328</v>
      </c>
      <c r="B701" s="313" t="s">
        <v>19</v>
      </c>
      <c r="C701" s="313" t="s">
        <v>1471</v>
      </c>
      <c r="D701" s="313" t="s">
        <v>26</v>
      </c>
      <c r="E701" s="313" t="s">
        <v>24</v>
      </c>
    </row>
    <row r="702" spans="1:5" x14ac:dyDescent="0.25">
      <c r="A702" s="313" t="s">
        <v>328</v>
      </c>
      <c r="B702" s="313" t="s">
        <v>19</v>
      </c>
      <c r="C702" s="313" t="s">
        <v>1475</v>
      </c>
      <c r="D702" s="313" t="s">
        <v>19</v>
      </c>
      <c r="E702" s="313" t="s">
        <v>1554</v>
      </c>
    </row>
    <row r="703" spans="1:5" x14ac:dyDescent="0.25">
      <c r="A703" s="313" t="s">
        <v>328</v>
      </c>
      <c r="B703" s="313" t="s">
        <v>19</v>
      </c>
      <c r="C703" s="313" t="s">
        <v>20</v>
      </c>
      <c r="D703" s="313" t="s">
        <v>26</v>
      </c>
      <c r="E703" s="313" t="s">
        <v>24</v>
      </c>
    </row>
    <row r="704" spans="1:5" x14ac:dyDescent="0.25">
      <c r="A704" s="313" t="s">
        <v>328</v>
      </c>
      <c r="B704" s="313" t="s">
        <v>19</v>
      </c>
      <c r="C704" s="313" t="s">
        <v>1487</v>
      </c>
      <c r="D704" s="313" t="s">
        <v>26</v>
      </c>
      <c r="E704" s="313" t="s">
        <v>24</v>
      </c>
    </row>
    <row r="705" spans="1:5" x14ac:dyDescent="0.25">
      <c r="A705" s="313" t="s">
        <v>328</v>
      </c>
      <c r="B705" s="313" t="s">
        <v>19</v>
      </c>
      <c r="C705" s="313" t="s">
        <v>1495</v>
      </c>
      <c r="D705" s="313" t="s">
        <v>35</v>
      </c>
      <c r="E705" s="313" t="s">
        <v>24</v>
      </c>
    </row>
    <row r="706" spans="1:5" x14ac:dyDescent="0.25">
      <c r="A706" s="313" t="s">
        <v>328</v>
      </c>
      <c r="B706" s="313" t="s">
        <v>26</v>
      </c>
      <c r="C706" s="313" t="s">
        <v>1501</v>
      </c>
      <c r="D706" s="313" t="s">
        <v>24</v>
      </c>
      <c r="E706" s="313" t="s">
        <v>1552</v>
      </c>
    </row>
    <row r="707" spans="1:5" x14ac:dyDescent="0.25">
      <c r="A707" s="313" t="s">
        <v>328</v>
      </c>
      <c r="B707" s="313" t="s">
        <v>26</v>
      </c>
      <c r="C707" s="313" t="s">
        <v>1502</v>
      </c>
      <c r="D707" s="313" t="s">
        <v>24</v>
      </c>
      <c r="E707" s="313" t="s">
        <v>1553</v>
      </c>
    </row>
    <row r="708" spans="1:5" x14ac:dyDescent="0.25">
      <c r="A708" s="313" t="s">
        <v>328</v>
      </c>
      <c r="B708" s="313" t="s">
        <v>26</v>
      </c>
      <c r="C708" s="313" t="s">
        <v>1503</v>
      </c>
      <c r="D708" s="313" t="s">
        <v>24</v>
      </c>
      <c r="E708" s="313" t="s">
        <v>1552</v>
      </c>
    </row>
    <row r="709" spans="1:5" x14ac:dyDescent="0.25">
      <c r="A709" s="313" t="s">
        <v>328</v>
      </c>
      <c r="B709" s="313" t="s">
        <v>26</v>
      </c>
      <c r="C709" s="313" t="s">
        <v>2929</v>
      </c>
      <c r="D709" s="313" t="s">
        <v>24</v>
      </c>
      <c r="E709" s="313" t="s">
        <v>329</v>
      </c>
    </row>
    <row r="710" spans="1:5" x14ac:dyDescent="0.25">
      <c r="A710" s="313" t="s">
        <v>328</v>
      </c>
      <c r="B710" s="313" t="s">
        <v>26</v>
      </c>
      <c r="C710" s="313" t="s">
        <v>2930</v>
      </c>
      <c r="D710" s="313" t="s">
        <v>24</v>
      </c>
      <c r="E710" s="313" t="s">
        <v>35</v>
      </c>
    </row>
    <row r="711" spans="1:5" x14ac:dyDescent="0.25">
      <c r="A711" s="313" t="s">
        <v>328</v>
      </c>
      <c r="B711" s="313" t="s">
        <v>26</v>
      </c>
      <c r="C711" s="313" t="s">
        <v>1509</v>
      </c>
      <c r="D711" s="313" t="s">
        <v>24</v>
      </c>
      <c r="E711" s="313" t="s">
        <v>1555</v>
      </c>
    </row>
    <row r="712" spans="1:5" x14ac:dyDescent="0.25">
      <c r="A712" s="313" t="s">
        <v>328</v>
      </c>
      <c r="B712" s="313" t="s">
        <v>26</v>
      </c>
      <c r="C712" s="313" t="s">
        <v>1510</v>
      </c>
      <c r="D712" s="313" t="s">
        <v>24</v>
      </c>
      <c r="E712" s="313" t="s">
        <v>329</v>
      </c>
    </row>
    <row r="713" spans="1:5" x14ac:dyDescent="0.25">
      <c r="A713" s="313" t="s">
        <v>328</v>
      </c>
      <c r="B713" s="313" t="s">
        <v>26</v>
      </c>
      <c r="C713" s="313" t="s">
        <v>1511</v>
      </c>
      <c r="D713" s="313" t="s">
        <v>24</v>
      </c>
      <c r="E713" s="313" t="s">
        <v>1553</v>
      </c>
    </row>
    <row r="714" spans="1:5" x14ac:dyDescent="0.25">
      <c r="A714" s="313" t="s">
        <v>328</v>
      </c>
      <c r="B714" s="313" t="s">
        <v>26</v>
      </c>
      <c r="C714" s="313" t="s">
        <v>27</v>
      </c>
      <c r="D714" s="313" t="s">
        <v>24</v>
      </c>
      <c r="E714" s="313" t="s">
        <v>329</v>
      </c>
    </row>
    <row r="715" spans="1:5" x14ac:dyDescent="0.25">
      <c r="A715" s="313" t="s">
        <v>328</v>
      </c>
      <c r="B715" s="313" t="s">
        <v>26</v>
      </c>
      <c r="C715" s="313" t="s">
        <v>1512</v>
      </c>
      <c r="D715" s="313" t="s">
        <v>24</v>
      </c>
      <c r="E715" s="313" t="s">
        <v>329</v>
      </c>
    </row>
    <row r="716" spans="1:5" x14ac:dyDescent="0.25">
      <c r="A716" s="313" t="s">
        <v>328</v>
      </c>
      <c r="B716" s="313" t="s">
        <v>26</v>
      </c>
      <c r="C716" s="313" t="s">
        <v>1513</v>
      </c>
      <c r="D716" s="313" t="s">
        <v>24</v>
      </c>
      <c r="E716" s="313" t="s">
        <v>329</v>
      </c>
    </row>
    <row r="717" spans="1:5" x14ac:dyDescent="0.25">
      <c r="A717" s="313" t="s">
        <v>328</v>
      </c>
      <c r="B717" s="313" t="s">
        <v>26</v>
      </c>
      <c r="C717" s="313" t="s">
        <v>1514</v>
      </c>
      <c r="D717" s="313" t="s">
        <v>24</v>
      </c>
      <c r="E717" s="313" t="s">
        <v>329</v>
      </c>
    </row>
    <row r="718" spans="1:5" x14ac:dyDescent="0.25">
      <c r="A718" s="313" t="s">
        <v>328</v>
      </c>
      <c r="B718" s="313" t="s">
        <v>26</v>
      </c>
      <c r="C718" s="313" t="s">
        <v>1515</v>
      </c>
      <c r="D718" s="313" t="s">
        <v>24</v>
      </c>
      <c r="E718" s="313" t="s">
        <v>329</v>
      </c>
    </row>
    <row r="719" spans="1:5" x14ac:dyDescent="0.25">
      <c r="A719" s="313" t="s">
        <v>328</v>
      </c>
      <c r="B719" s="313" t="s">
        <v>26</v>
      </c>
      <c r="C719" s="313" t="s">
        <v>1516</v>
      </c>
      <c r="D719" s="313" t="s">
        <v>24</v>
      </c>
      <c r="E719" s="313" t="s">
        <v>329</v>
      </c>
    </row>
    <row r="720" spans="1:5" x14ac:dyDescent="0.25">
      <c r="A720" s="313" t="s">
        <v>328</v>
      </c>
      <c r="B720" s="313" t="s">
        <v>26</v>
      </c>
      <c r="C720" s="313" t="s">
        <v>1517</v>
      </c>
      <c r="D720" s="313" t="s">
        <v>24</v>
      </c>
      <c r="E720" s="313" t="s">
        <v>329</v>
      </c>
    </row>
    <row r="721" spans="1:5" x14ac:dyDescent="0.25">
      <c r="A721" s="313" t="s">
        <v>328</v>
      </c>
      <c r="B721" s="313" t="s">
        <v>26</v>
      </c>
      <c r="C721" s="313" t="s">
        <v>1518</v>
      </c>
      <c r="D721" s="313" t="s">
        <v>24</v>
      </c>
      <c r="E721" s="313" t="s">
        <v>329</v>
      </c>
    </row>
    <row r="722" spans="1:5" x14ac:dyDescent="0.25">
      <c r="A722" s="313" t="s">
        <v>328</v>
      </c>
      <c r="B722" s="313" t="s">
        <v>26</v>
      </c>
      <c r="C722" s="313" t="s">
        <v>1519</v>
      </c>
      <c r="D722" s="313" t="s">
        <v>24</v>
      </c>
      <c r="E722" s="313" t="s">
        <v>1553</v>
      </c>
    </row>
    <row r="723" spans="1:5" x14ac:dyDescent="0.25">
      <c r="A723" s="313" t="s">
        <v>334</v>
      </c>
      <c r="B723" s="313" t="s">
        <v>51</v>
      </c>
      <c r="C723" s="313" t="s">
        <v>24</v>
      </c>
      <c r="D723" s="313" t="s">
        <v>24</v>
      </c>
      <c r="E723" s="313" t="s">
        <v>335</v>
      </c>
    </row>
    <row r="724" spans="1:5" x14ac:dyDescent="0.25">
      <c r="A724" s="313" t="s">
        <v>334</v>
      </c>
      <c r="B724" s="313" t="s">
        <v>19</v>
      </c>
      <c r="C724" s="313" t="s">
        <v>1466</v>
      </c>
      <c r="D724" s="313" t="s">
        <v>51</v>
      </c>
      <c r="E724" s="313" t="s">
        <v>24</v>
      </c>
    </row>
    <row r="725" spans="1:5" x14ac:dyDescent="0.25">
      <c r="A725" s="313" t="s">
        <v>334</v>
      </c>
      <c r="B725" s="313" t="s">
        <v>19</v>
      </c>
      <c r="C725" s="313" t="s">
        <v>1471</v>
      </c>
      <c r="D725" s="313" t="s">
        <v>51</v>
      </c>
      <c r="E725" s="313" t="s">
        <v>24</v>
      </c>
    </row>
    <row r="726" spans="1:5" x14ac:dyDescent="0.25">
      <c r="A726" s="313" t="s">
        <v>334</v>
      </c>
      <c r="B726" s="313" t="s">
        <v>19</v>
      </c>
      <c r="C726" s="313" t="s">
        <v>1475</v>
      </c>
      <c r="D726" s="313" t="s">
        <v>51</v>
      </c>
      <c r="E726" s="313" t="s">
        <v>24</v>
      </c>
    </row>
    <row r="727" spans="1:5" x14ac:dyDescent="0.25">
      <c r="A727" s="313" t="s">
        <v>334</v>
      </c>
      <c r="B727" s="313" t="s">
        <v>19</v>
      </c>
      <c r="C727" s="313" t="s">
        <v>20</v>
      </c>
      <c r="D727" s="313" t="s">
        <v>51</v>
      </c>
      <c r="E727" s="313" t="s">
        <v>24</v>
      </c>
    </row>
    <row r="728" spans="1:5" x14ac:dyDescent="0.25">
      <c r="A728" s="313" t="s">
        <v>334</v>
      </c>
      <c r="B728" s="313" t="s">
        <v>19</v>
      </c>
      <c r="C728" s="313" t="s">
        <v>1487</v>
      </c>
      <c r="D728" s="313" t="s">
        <v>51</v>
      </c>
      <c r="E728" s="313" t="s">
        <v>24</v>
      </c>
    </row>
    <row r="729" spans="1:5" x14ac:dyDescent="0.25">
      <c r="A729" s="313" t="s">
        <v>334</v>
      </c>
      <c r="B729" s="313" t="s">
        <v>19</v>
      </c>
      <c r="C729" s="313" t="s">
        <v>1495</v>
      </c>
      <c r="D729" s="313" t="s">
        <v>51</v>
      </c>
      <c r="E729" s="313" t="s">
        <v>24</v>
      </c>
    </row>
    <row r="730" spans="1:5" x14ac:dyDescent="0.25">
      <c r="A730" s="313" t="s">
        <v>340</v>
      </c>
      <c r="B730" s="313" t="s">
        <v>51</v>
      </c>
      <c r="C730" s="313" t="s">
        <v>24</v>
      </c>
      <c r="D730" s="313" t="s">
        <v>24</v>
      </c>
      <c r="E730" s="313" t="s">
        <v>341</v>
      </c>
    </row>
    <row r="731" spans="1:5" x14ac:dyDescent="0.25">
      <c r="A731" s="313" t="s">
        <v>340</v>
      </c>
      <c r="B731" s="313" t="s">
        <v>19</v>
      </c>
      <c r="C731" s="313" t="s">
        <v>1466</v>
      </c>
      <c r="D731" s="313" t="s">
        <v>51</v>
      </c>
      <c r="E731" s="313" t="s">
        <v>24</v>
      </c>
    </row>
    <row r="732" spans="1:5" x14ac:dyDescent="0.25">
      <c r="A732" s="313" t="s">
        <v>340</v>
      </c>
      <c r="B732" s="313" t="s">
        <v>19</v>
      </c>
      <c r="C732" s="313" t="s">
        <v>1471</v>
      </c>
      <c r="D732" s="313" t="s">
        <v>51</v>
      </c>
      <c r="E732" s="313" t="s">
        <v>24</v>
      </c>
    </row>
    <row r="733" spans="1:5" x14ac:dyDescent="0.25">
      <c r="A733" s="313" t="s">
        <v>340</v>
      </c>
      <c r="B733" s="313" t="s">
        <v>19</v>
      </c>
      <c r="C733" s="313" t="s">
        <v>1475</v>
      </c>
      <c r="D733" s="313" t="s">
        <v>51</v>
      </c>
      <c r="E733" s="313" t="s">
        <v>24</v>
      </c>
    </row>
    <row r="734" spans="1:5" x14ac:dyDescent="0.25">
      <c r="A734" s="313" t="s">
        <v>340</v>
      </c>
      <c r="B734" s="313" t="s">
        <v>19</v>
      </c>
      <c r="C734" s="313" t="s">
        <v>20</v>
      </c>
      <c r="D734" s="313" t="s">
        <v>51</v>
      </c>
      <c r="E734" s="313" t="s">
        <v>24</v>
      </c>
    </row>
    <row r="735" spans="1:5" x14ac:dyDescent="0.25">
      <c r="A735" s="313" t="s">
        <v>340</v>
      </c>
      <c r="B735" s="313" t="s">
        <v>19</v>
      </c>
      <c r="C735" s="313" t="s">
        <v>1487</v>
      </c>
      <c r="D735" s="313" t="s">
        <v>51</v>
      </c>
      <c r="E735" s="313" t="s">
        <v>24</v>
      </c>
    </row>
    <row r="736" spans="1:5" x14ac:dyDescent="0.25">
      <c r="A736" s="313" t="s">
        <v>340</v>
      </c>
      <c r="B736" s="313" t="s">
        <v>19</v>
      </c>
      <c r="C736" s="313" t="s">
        <v>1495</v>
      </c>
      <c r="D736" s="313" t="s">
        <v>51</v>
      </c>
      <c r="E736" s="313" t="s">
        <v>24</v>
      </c>
    </row>
    <row r="737" spans="1:5" x14ac:dyDescent="0.25">
      <c r="A737" s="313" t="s">
        <v>344</v>
      </c>
      <c r="B737" s="313" t="s">
        <v>19</v>
      </c>
      <c r="C737" s="313" t="s">
        <v>1466</v>
      </c>
      <c r="D737" s="313" t="s">
        <v>35</v>
      </c>
      <c r="E737" s="313" t="s">
        <v>24</v>
      </c>
    </row>
    <row r="738" spans="1:5" x14ac:dyDescent="0.25">
      <c r="A738" s="313" t="s">
        <v>344</v>
      </c>
      <c r="B738" s="313" t="s">
        <v>19</v>
      </c>
      <c r="C738" s="313" t="s">
        <v>1471</v>
      </c>
      <c r="D738" s="313" t="s">
        <v>35</v>
      </c>
      <c r="E738" s="313" t="s">
        <v>24</v>
      </c>
    </row>
    <row r="739" spans="1:5" x14ac:dyDescent="0.25">
      <c r="A739" s="313" t="s">
        <v>344</v>
      </c>
      <c r="B739" s="313" t="s">
        <v>19</v>
      </c>
      <c r="C739" s="313" t="s">
        <v>1475</v>
      </c>
      <c r="D739" s="313" t="s">
        <v>35</v>
      </c>
      <c r="E739" s="313" t="s">
        <v>24</v>
      </c>
    </row>
    <row r="740" spans="1:5" x14ac:dyDescent="0.25">
      <c r="A740" s="313" t="s">
        <v>344</v>
      </c>
      <c r="B740" s="313" t="s">
        <v>19</v>
      </c>
      <c r="C740" s="313" t="s">
        <v>20</v>
      </c>
      <c r="D740" s="313" t="s">
        <v>35</v>
      </c>
      <c r="E740" s="313" t="s">
        <v>24</v>
      </c>
    </row>
    <row r="741" spans="1:5" x14ac:dyDescent="0.25">
      <c r="A741" s="313" t="s">
        <v>344</v>
      </c>
      <c r="B741" s="313" t="s">
        <v>19</v>
      </c>
      <c r="C741" s="313" t="s">
        <v>1487</v>
      </c>
      <c r="D741" s="313" t="s">
        <v>35</v>
      </c>
      <c r="E741" s="313" t="s">
        <v>24</v>
      </c>
    </row>
    <row r="742" spans="1:5" x14ac:dyDescent="0.25">
      <c r="A742" s="313" t="s">
        <v>344</v>
      </c>
      <c r="B742" s="313" t="s">
        <v>19</v>
      </c>
      <c r="C742" s="313" t="s">
        <v>1495</v>
      </c>
      <c r="D742" s="313" t="s">
        <v>35</v>
      </c>
      <c r="E742" s="313" t="s">
        <v>24</v>
      </c>
    </row>
    <row r="743" spans="1:5" ht="409.5" x14ac:dyDescent="0.25">
      <c r="A743" s="313" t="s">
        <v>344</v>
      </c>
      <c r="B743" s="313" t="s">
        <v>26</v>
      </c>
      <c r="C743" s="313" t="s">
        <v>1514</v>
      </c>
      <c r="D743" s="313" t="s">
        <v>24</v>
      </c>
      <c r="E743" s="315" t="s">
        <v>1556</v>
      </c>
    </row>
    <row r="744" spans="1:5" ht="409.5" x14ac:dyDescent="0.25">
      <c r="A744" s="313" t="s">
        <v>344</v>
      </c>
      <c r="B744" s="313" t="s">
        <v>26</v>
      </c>
      <c r="C744" s="313" t="s">
        <v>1515</v>
      </c>
      <c r="D744" s="313" t="s">
        <v>24</v>
      </c>
      <c r="E744" s="315" t="s">
        <v>1556</v>
      </c>
    </row>
    <row r="745" spans="1:5" ht="409.5" x14ac:dyDescent="0.25">
      <c r="A745" s="313" t="s">
        <v>344</v>
      </c>
      <c r="B745" s="313" t="s">
        <v>26</v>
      </c>
      <c r="C745" s="313" t="s">
        <v>1516</v>
      </c>
      <c r="D745" s="313" t="s">
        <v>24</v>
      </c>
      <c r="E745" s="315" t="s">
        <v>1556</v>
      </c>
    </row>
    <row r="746" spans="1:5" ht="409.5" x14ac:dyDescent="0.25">
      <c r="A746" s="313" t="s">
        <v>344</v>
      </c>
      <c r="B746" s="313" t="s">
        <v>26</v>
      </c>
      <c r="C746" s="313" t="s">
        <v>1517</v>
      </c>
      <c r="D746" s="313" t="s">
        <v>24</v>
      </c>
      <c r="E746" s="315" t="s">
        <v>1556</v>
      </c>
    </row>
    <row r="747" spans="1:5" ht="409.5" x14ac:dyDescent="0.25">
      <c r="A747" s="313" t="s">
        <v>344</v>
      </c>
      <c r="B747" s="313" t="s">
        <v>26</v>
      </c>
      <c r="C747" s="313" t="s">
        <v>1518</v>
      </c>
      <c r="D747" s="313" t="s">
        <v>24</v>
      </c>
      <c r="E747" s="315" t="s">
        <v>1556</v>
      </c>
    </row>
    <row r="748" spans="1:5" x14ac:dyDescent="0.25">
      <c r="A748" s="313" t="s">
        <v>348</v>
      </c>
      <c r="B748" s="313" t="s">
        <v>51</v>
      </c>
      <c r="C748" s="313" t="s">
        <v>24</v>
      </c>
      <c r="D748" s="313" t="s">
        <v>24</v>
      </c>
      <c r="E748" s="313" t="s">
        <v>349</v>
      </c>
    </row>
    <row r="749" spans="1:5" x14ac:dyDescent="0.25">
      <c r="A749" s="313" t="s">
        <v>348</v>
      </c>
      <c r="B749" s="313" t="s">
        <v>19</v>
      </c>
      <c r="C749" s="313" t="s">
        <v>1466</v>
      </c>
      <c r="D749" s="313" t="s">
        <v>51</v>
      </c>
      <c r="E749" s="313" t="s">
        <v>24</v>
      </c>
    </row>
    <row r="750" spans="1:5" x14ac:dyDescent="0.25">
      <c r="A750" s="313" t="s">
        <v>348</v>
      </c>
      <c r="B750" s="313" t="s">
        <v>19</v>
      </c>
      <c r="C750" s="313" t="s">
        <v>1471</v>
      </c>
      <c r="D750" s="313" t="s">
        <v>51</v>
      </c>
      <c r="E750" s="313" t="s">
        <v>24</v>
      </c>
    </row>
    <row r="751" spans="1:5" x14ac:dyDescent="0.25">
      <c r="A751" s="313" t="s">
        <v>348</v>
      </c>
      <c r="B751" s="313" t="s">
        <v>19</v>
      </c>
      <c r="C751" s="313" t="s">
        <v>1475</v>
      </c>
      <c r="D751" s="313" t="s">
        <v>51</v>
      </c>
      <c r="E751" s="313" t="s">
        <v>24</v>
      </c>
    </row>
    <row r="752" spans="1:5" x14ac:dyDescent="0.25">
      <c r="A752" s="313" t="s">
        <v>348</v>
      </c>
      <c r="B752" s="313" t="s">
        <v>19</v>
      </c>
      <c r="C752" s="313" t="s">
        <v>20</v>
      </c>
      <c r="D752" s="313" t="s">
        <v>51</v>
      </c>
      <c r="E752" s="313" t="s">
        <v>24</v>
      </c>
    </row>
    <row r="753" spans="1:5" x14ac:dyDescent="0.25">
      <c r="A753" s="313" t="s">
        <v>348</v>
      </c>
      <c r="B753" s="313" t="s">
        <v>19</v>
      </c>
      <c r="C753" s="313" t="s">
        <v>1487</v>
      </c>
      <c r="D753" s="313" t="s">
        <v>51</v>
      </c>
      <c r="E753" s="313" t="s">
        <v>24</v>
      </c>
    </row>
    <row r="754" spans="1:5" x14ac:dyDescent="0.25">
      <c r="A754" s="313" t="s">
        <v>348</v>
      </c>
      <c r="B754" s="313" t="s">
        <v>19</v>
      </c>
      <c r="C754" s="313" t="s">
        <v>1495</v>
      </c>
      <c r="D754" s="313" t="s">
        <v>51</v>
      </c>
      <c r="E754" s="313" t="s">
        <v>24</v>
      </c>
    </row>
    <row r="755" spans="1:5" x14ac:dyDescent="0.25">
      <c r="A755" s="313" t="s">
        <v>354</v>
      </c>
      <c r="B755" s="313" t="s">
        <v>19</v>
      </c>
      <c r="C755" s="313" t="s">
        <v>1466</v>
      </c>
      <c r="D755" s="313" t="s">
        <v>19</v>
      </c>
      <c r="E755" s="313" t="s">
        <v>1557</v>
      </c>
    </row>
    <row r="756" spans="1:5" x14ac:dyDescent="0.25">
      <c r="A756" s="313" t="s">
        <v>354</v>
      </c>
      <c r="B756" s="313" t="s">
        <v>19</v>
      </c>
      <c r="C756" s="313" t="s">
        <v>1471</v>
      </c>
      <c r="D756" s="313" t="s">
        <v>26</v>
      </c>
      <c r="E756" s="313" t="s">
        <v>24</v>
      </c>
    </row>
    <row r="757" spans="1:5" x14ac:dyDescent="0.25">
      <c r="A757" s="313" t="s">
        <v>354</v>
      </c>
      <c r="B757" s="313" t="s">
        <v>19</v>
      </c>
      <c r="C757" s="313" t="s">
        <v>1475</v>
      </c>
      <c r="D757" s="313" t="s">
        <v>19</v>
      </c>
      <c r="E757" s="313" t="s">
        <v>355</v>
      </c>
    </row>
    <row r="758" spans="1:5" x14ac:dyDescent="0.25">
      <c r="A758" s="313" t="s">
        <v>354</v>
      </c>
      <c r="B758" s="313" t="s">
        <v>19</v>
      </c>
      <c r="C758" s="313" t="s">
        <v>20</v>
      </c>
      <c r="D758" s="313" t="s">
        <v>26</v>
      </c>
      <c r="E758" s="313" t="s">
        <v>24</v>
      </c>
    </row>
    <row r="759" spans="1:5" x14ac:dyDescent="0.25">
      <c r="A759" s="313" t="s">
        <v>354</v>
      </c>
      <c r="B759" s="313" t="s">
        <v>19</v>
      </c>
      <c r="C759" s="313" t="s">
        <v>1487</v>
      </c>
      <c r="D759" s="313" t="s">
        <v>26</v>
      </c>
      <c r="E759" s="313" t="s">
        <v>24</v>
      </c>
    </row>
    <row r="760" spans="1:5" x14ac:dyDescent="0.25">
      <c r="A760" s="313" t="s">
        <v>354</v>
      </c>
      <c r="B760" s="313" t="s">
        <v>19</v>
      </c>
      <c r="C760" s="313" t="s">
        <v>1495</v>
      </c>
      <c r="D760" s="313" t="s">
        <v>35</v>
      </c>
      <c r="E760" s="313" t="s">
        <v>24</v>
      </c>
    </row>
    <row r="761" spans="1:5" x14ac:dyDescent="0.25">
      <c r="A761" s="313" t="s">
        <v>354</v>
      </c>
      <c r="B761" s="313" t="s">
        <v>26</v>
      </c>
      <c r="C761" s="313" t="s">
        <v>2929</v>
      </c>
      <c r="D761" s="313" t="s">
        <v>24</v>
      </c>
      <c r="E761" s="313" t="s">
        <v>1557</v>
      </c>
    </row>
    <row r="762" spans="1:5" x14ac:dyDescent="0.25">
      <c r="A762" s="313" t="s">
        <v>354</v>
      </c>
      <c r="B762" s="313" t="s">
        <v>26</v>
      </c>
      <c r="C762" s="313" t="s">
        <v>2930</v>
      </c>
      <c r="D762" s="313" t="s">
        <v>24</v>
      </c>
      <c r="E762" s="313" t="s">
        <v>35</v>
      </c>
    </row>
    <row r="763" spans="1:5" x14ac:dyDescent="0.25">
      <c r="A763" s="313" t="s">
        <v>354</v>
      </c>
      <c r="B763" s="313" t="s">
        <v>26</v>
      </c>
      <c r="C763" s="313" t="s">
        <v>1509</v>
      </c>
      <c r="D763" s="313" t="s">
        <v>24</v>
      </c>
      <c r="E763" s="313" t="s">
        <v>355</v>
      </c>
    </row>
    <row r="764" spans="1:5" x14ac:dyDescent="0.25">
      <c r="A764" s="313" t="s">
        <v>354</v>
      </c>
      <c r="B764" s="313" t="s">
        <v>26</v>
      </c>
      <c r="C764" s="313" t="s">
        <v>1510</v>
      </c>
      <c r="D764" s="313" t="s">
        <v>24</v>
      </c>
      <c r="E764" s="313" t="s">
        <v>355</v>
      </c>
    </row>
    <row r="765" spans="1:5" x14ac:dyDescent="0.25">
      <c r="A765" s="313" t="s">
        <v>354</v>
      </c>
      <c r="B765" s="313" t="s">
        <v>26</v>
      </c>
      <c r="C765" s="313" t="s">
        <v>1511</v>
      </c>
      <c r="D765" s="313" t="s">
        <v>24</v>
      </c>
      <c r="E765" s="313" t="s">
        <v>1557</v>
      </c>
    </row>
    <row r="766" spans="1:5" x14ac:dyDescent="0.25">
      <c r="A766" s="313" t="s">
        <v>354</v>
      </c>
      <c r="B766" s="313" t="s">
        <v>26</v>
      </c>
      <c r="C766" s="313" t="s">
        <v>27</v>
      </c>
      <c r="D766" s="313" t="s">
        <v>24</v>
      </c>
      <c r="E766" s="313" t="s">
        <v>355</v>
      </c>
    </row>
    <row r="767" spans="1:5" x14ac:dyDescent="0.25">
      <c r="A767" s="313" t="s">
        <v>354</v>
      </c>
      <c r="B767" s="313" t="s">
        <v>26</v>
      </c>
      <c r="C767" s="313" t="s">
        <v>1512</v>
      </c>
      <c r="D767" s="313" t="s">
        <v>24</v>
      </c>
      <c r="E767" s="313" t="s">
        <v>355</v>
      </c>
    </row>
    <row r="768" spans="1:5" x14ac:dyDescent="0.25">
      <c r="A768" s="313" t="s">
        <v>354</v>
      </c>
      <c r="B768" s="313" t="s">
        <v>26</v>
      </c>
      <c r="C768" s="313" t="s">
        <v>1513</v>
      </c>
      <c r="D768" s="313" t="s">
        <v>24</v>
      </c>
      <c r="E768" s="313" t="s">
        <v>1557</v>
      </c>
    </row>
    <row r="769" spans="1:5" x14ac:dyDescent="0.25">
      <c r="A769" s="313" t="s">
        <v>354</v>
      </c>
      <c r="B769" s="313" t="s">
        <v>26</v>
      </c>
      <c r="C769" s="313" t="s">
        <v>1514</v>
      </c>
      <c r="D769" s="313" t="s">
        <v>24</v>
      </c>
      <c r="E769" s="313" t="s">
        <v>1557</v>
      </c>
    </row>
    <row r="770" spans="1:5" x14ac:dyDescent="0.25">
      <c r="A770" s="313" t="s">
        <v>354</v>
      </c>
      <c r="B770" s="313" t="s">
        <v>26</v>
      </c>
      <c r="C770" s="313" t="s">
        <v>1515</v>
      </c>
      <c r="D770" s="313" t="s">
        <v>24</v>
      </c>
      <c r="E770" s="313" t="s">
        <v>1557</v>
      </c>
    </row>
    <row r="771" spans="1:5" x14ac:dyDescent="0.25">
      <c r="A771" s="313" t="s">
        <v>354</v>
      </c>
      <c r="B771" s="313" t="s">
        <v>26</v>
      </c>
      <c r="C771" s="313" t="s">
        <v>1516</v>
      </c>
      <c r="D771" s="313" t="s">
        <v>24</v>
      </c>
      <c r="E771" s="313" t="s">
        <v>1557</v>
      </c>
    </row>
    <row r="772" spans="1:5" x14ac:dyDescent="0.25">
      <c r="A772" s="313" t="s">
        <v>354</v>
      </c>
      <c r="B772" s="313" t="s">
        <v>26</v>
      </c>
      <c r="C772" s="313" t="s">
        <v>1517</v>
      </c>
      <c r="D772" s="313" t="s">
        <v>24</v>
      </c>
      <c r="E772" s="313" t="s">
        <v>355</v>
      </c>
    </row>
    <row r="773" spans="1:5" x14ac:dyDescent="0.25">
      <c r="A773" s="313" t="s">
        <v>354</v>
      </c>
      <c r="B773" s="313" t="s">
        <v>26</v>
      </c>
      <c r="C773" s="313" t="s">
        <v>1518</v>
      </c>
      <c r="D773" s="313" t="s">
        <v>24</v>
      </c>
      <c r="E773" s="313" t="s">
        <v>1557</v>
      </c>
    </row>
    <row r="774" spans="1:5" x14ac:dyDescent="0.25">
      <c r="A774" s="313" t="s">
        <v>354</v>
      </c>
      <c r="B774" s="313" t="s">
        <v>26</v>
      </c>
      <c r="C774" s="313" t="s">
        <v>1519</v>
      </c>
      <c r="D774" s="313" t="s">
        <v>24</v>
      </c>
      <c r="E774" s="313" t="s">
        <v>1557</v>
      </c>
    </row>
    <row r="775" spans="1:5" x14ac:dyDescent="0.25">
      <c r="A775" s="313" t="s">
        <v>358</v>
      </c>
      <c r="B775" s="313" t="s">
        <v>19</v>
      </c>
      <c r="C775" s="313" t="s">
        <v>1466</v>
      </c>
      <c r="D775" s="313" t="s">
        <v>35</v>
      </c>
      <c r="E775" s="313" t="s">
        <v>24</v>
      </c>
    </row>
    <row r="776" spans="1:5" x14ac:dyDescent="0.25">
      <c r="A776" s="313" t="s">
        <v>358</v>
      </c>
      <c r="B776" s="313" t="s">
        <v>19</v>
      </c>
      <c r="C776" s="313" t="s">
        <v>1471</v>
      </c>
      <c r="D776" s="313" t="s">
        <v>35</v>
      </c>
      <c r="E776" s="313" t="s">
        <v>24</v>
      </c>
    </row>
    <row r="777" spans="1:5" x14ac:dyDescent="0.25">
      <c r="A777" s="313" t="s">
        <v>358</v>
      </c>
      <c r="B777" s="313" t="s">
        <v>19</v>
      </c>
      <c r="C777" s="313" t="s">
        <v>1475</v>
      </c>
      <c r="D777" s="313" t="s">
        <v>35</v>
      </c>
      <c r="E777" s="313" t="s">
        <v>24</v>
      </c>
    </row>
    <row r="778" spans="1:5" x14ac:dyDescent="0.25">
      <c r="A778" s="313" t="s">
        <v>358</v>
      </c>
      <c r="B778" s="313" t="s">
        <v>19</v>
      </c>
      <c r="C778" s="313" t="s">
        <v>20</v>
      </c>
      <c r="D778" s="313" t="s">
        <v>35</v>
      </c>
      <c r="E778" s="313" t="s">
        <v>24</v>
      </c>
    </row>
    <row r="779" spans="1:5" x14ac:dyDescent="0.25">
      <c r="A779" s="313" t="s">
        <v>358</v>
      </c>
      <c r="B779" s="313" t="s">
        <v>19</v>
      </c>
      <c r="C779" s="313" t="s">
        <v>1487</v>
      </c>
      <c r="D779" s="313" t="s">
        <v>35</v>
      </c>
      <c r="E779" s="313" t="s">
        <v>24</v>
      </c>
    </row>
    <row r="780" spans="1:5" x14ac:dyDescent="0.25">
      <c r="A780" s="313" t="s">
        <v>358</v>
      </c>
      <c r="B780" s="313" t="s">
        <v>19</v>
      </c>
      <c r="C780" s="313" t="s">
        <v>1495</v>
      </c>
      <c r="D780" s="313" t="s">
        <v>35</v>
      </c>
      <c r="E780" s="313" t="s">
        <v>24</v>
      </c>
    </row>
    <row r="781" spans="1:5" x14ac:dyDescent="0.25">
      <c r="A781" s="313" t="s">
        <v>360</v>
      </c>
      <c r="B781" s="313" t="s">
        <v>19</v>
      </c>
      <c r="C781" s="313" t="s">
        <v>1466</v>
      </c>
      <c r="D781" s="313" t="s">
        <v>19</v>
      </c>
      <c r="E781" s="313" t="s">
        <v>361</v>
      </c>
    </row>
    <row r="782" spans="1:5" x14ac:dyDescent="0.25">
      <c r="A782" s="313" t="s">
        <v>360</v>
      </c>
      <c r="B782" s="313" t="s">
        <v>19</v>
      </c>
      <c r="C782" s="313" t="s">
        <v>1471</v>
      </c>
      <c r="D782" s="313" t="s">
        <v>26</v>
      </c>
      <c r="E782" s="313" t="s">
        <v>24</v>
      </c>
    </row>
    <row r="783" spans="1:5" x14ac:dyDescent="0.25">
      <c r="A783" s="313" t="s">
        <v>360</v>
      </c>
      <c r="B783" s="313" t="s">
        <v>19</v>
      </c>
      <c r="C783" s="313" t="s">
        <v>1475</v>
      </c>
      <c r="D783" s="313" t="s">
        <v>26</v>
      </c>
      <c r="E783" s="313" t="s">
        <v>24</v>
      </c>
    </row>
    <row r="784" spans="1:5" x14ac:dyDescent="0.25">
      <c r="A784" s="313" t="s">
        <v>360</v>
      </c>
      <c r="B784" s="313" t="s">
        <v>19</v>
      </c>
      <c r="C784" s="313" t="s">
        <v>20</v>
      </c>
      <c r="D784" s="313" t="s">
        <v>26</v>
      </c>
      <c r="E784" s="313" t="s">
        <v>24</v>
      </c>
    </row>
    <row r="785" spans="1:5" x14ac:dyDescent="0.25">
      <c r="A785" s="313" t="s">
        <v>360</v>
      </c>
      <c r="B785" s="313" t="s">
        <v>19</v>
      </c>
      <c r="C785" s="313" t="s">
        <v>1487</v>
      </c>
      <c r="D785" s="313" t="s">
        <v>19</v>
      </c>
      <c r="E785" s="313" t="s">
        <v>361</v>
      </c>
    </row>
    <row r="786" spans="1:5" x14ac:dyDescent="0.25">
      <c r="A786" s="313" t="s">
        <v>360</v>
      </c>
      <c r="B786" s="313" t="s">
        <v>19</v>
      </c>
      <c r="C786" s="313" t="s">
        <v>1495</v>
      </c>
      <c r="D786" s="313" t="s">
        <v>35</v>
      </c>
      <c r="E786" s="313" t="s">
        <v>24</v>
      </c>
    </row>
    <row r="787" spans="1:5" x14ac:dyDescent="0.25">
      <c r="A787" s="313" t="s">
        <v>360</v>
      </c>
      <c r="B787" s="313" t="s">
        <v>26</v>
      </c>
      <c r="C787" s="313" t="s">
        <v>2929</v>
      </c>
      <c r="D787" s="313" t="s">
        <v>24</v>
      </c>
      <c r="E787" s="313" t="s">
        <v>361</v>
      </c>
    </row>
    <row r="788" spans="1:5" x14ac:dyDescent="0.25">
      <c r="A788" s="313" t="s">
        <v>360</v>
      </c>
      <c r="B788" s="313" t="s">
        <v>26</v>
      </c>
      <c r="C788" s="313" t="s">
        <v>2930</v>
      </c>
      <c r="D788" s="313" t="s">
        <v>24</v>
      </c>
      <c r="E788" s="313" t="s">
        <v>35</v>
      </c>
    </row>
    <row r="789" spans="1:5" x14ac:dyDescent="0.25">
      <c r="A789" s="313" t="s">
        <v>360</v>
      </c>
      <c r="B789" s="313" t="s">
        <v>26</v>
      </c>
      <c r="C789" s="313" t="s">
        <v>1506</v>
      </c>
      <c r="D789" s="313" t="s">
        <v>24</v>
      </c>
      <c r="E789" s="313" t="s">
        <v>1558</v>
      </c>
    </row>
    <row r="790" spans="1:5" x14ac:dyDescent="0.25">
      <c r="A790" s="313" t="s">
        <v>360</v>
      </c>
      <c r="B790" s="313" t="s">
        <v>26</v>
      </c>
      <c r="C790" s="313" t="s">
        <v>1507</v>
      </c>
      <c r="D790" s="313" t="s">
        <v>24</v>
      </c>
      <c r="E790" s="313" t="s">
        <v>1558</v>
      </c>
    </row>
    <row r="791" spans="1:5" x14ac:dyDescent="0.25">
      <c r="A791" s="313" t="s">
        <v>360</v>
      </c>
      <c r="B791" s="313" t="s">
        <v>26</v>
      </c>
      <c r="C791" s="313" t="s">
        <v>1508</v>
      </c>
      <c r="D791" s="313" t="s">
        <v>24</v>
      </c>
      <c r="E791" s="313" t="s">
        <v>361</v>
      </c>
    </row>
    <row r="792" spans="1:5" x14ac:dyDescent="0.25">
      <c r="A792" s="313" t="s">
        <v>360</v>
      </c>
      <c r="B792" s="313" t="s">
        <v>26</v>
      </c>
      <c r="C792" s="313" t="s">
        <v>1509</v>
      </c>
      <c r="D792" s="313" t="s">
        <v>24</v>
      </c>
      <c r="E792" s="313" t="s">
        <v>1559</v>
      </c>
    </row>
    <row r="793" spans="1:5" x14ac:dyDescent="0.25">
      <c r="A793" s="313" t="s">
        <v>360</v>
      </c>
      <c r="B793" s="313" t="s">
        <v>26</v>
      </c>
      <c r="C793" s="313" t="s">
        <v>1510</v>
      </c>
      <c r="D793" s="313" t="s">
        <v>24</v>
      </c>
      <c r="E793" s="313" t="s">
        <v>361</v>
      </c>
    </row>
    <row r="794" spans="1:5" x14ac:dyDescent="0.25">
      <c r="A794" s="313" t="s">
        <v>360</v>
      </c>
      <c r="B794" s="313" t="s">
        <v>26</v>
      </c>
      <c r="C794" s="313" t="s">
        <v>1511</v>
      </c>
      <c r="D794" s="313" t="s">
        <v>24</v>
      </c>
      <c r="E794" s="313" t="s">
        <v>46</v>
      </c>
    </row>
    <row r="795" spans="1:5" x14ac:dyDescent="0.25">
      <c r="A795" s="313" t="s">
        <v>360</v>
      </c>
      <c r="B795" s="313" t="s">
        <v>26</v>
      </c>
      <c r="C795" s="313" t="s">
        <v>27</v>
      </c>
      <c r="D795" s="313" t="s">
        <v>24</v>
      </c>
      <c r="E795" s="313" t="s">
        <v>361</v>
      </c>
    </row>
    <row r="796" spans="1:5" x14ac:dyDescent="0.25">
      <c r="A796" s="313" t="s">
        <v>360</v>
      </c>
      <c r="B796" s="313" t="s">
        <v>26</v>
      </c>
      <c r="C796" s="313" t="s">
        <v>1512</v>
      </c>
      <c r="D796" s="313" t="s">
        <v>24</v>
      </c>
      <c r="E796" s="313" t="s">
        <v>361</v>
      </c>
    </row>
    <row r="797" spans="1:5" x14ac:dyDescent="0.25">
      <c r="A797" s="313" t="s">
        <v>360</v>
      </c>
      <c r="B797" s="313" t="s">
        <v>26</v>
      </c>
      <c r="C797" s="313" t="s">
        <v>1513</v>
      </c>
      <c r="D797" s="313" t="s">
        <v>24</v>
      </c>
      <c r="E797" s="313" t="s">
        <v>46</v>
      </c>
    </row>
    <row r="798" spans="1:5" x14ac:dyDescent="0.25">
      <c r="A798" s="313" t="s">
        <v>368</v>
      </c>
      <c r="B798" s="313" t="s">
        <v>51</v>
      </c>
      <c r="C798" s="313" t="s">
        <v>24</v>
      </c>
      <c r="D798" s="313" t="s">
        <v>24</v>
      </c>
      <c r="E798" s="313" t="s">
        <v>369</v>
      </c>
    </row>
    <row r="799" spans="1:5" x14ac:dyDescent="0.25">
      <c r="A799" s="313" t="s">
        <v>368</v>
      </c>
      <c r="B799" s="313" t="s">
        <v>19</v>
      </c>
      <c r="C799" s="313" t="s">
        <v>1466</v>
      </c>
      <c r="D799" s="313" t="s">
        <v>51</v>
      </c>
      <c r="E799" s="313" t="s">
        <v>24</v>
      </c>
    </row>
    <row r="800" spans="1:5" x14ac:dyDescent="0.25">
      <c r="A800" s="313" t="s">
        <v>368</v>
      </c>
      <c r="B800" s="313" t="s">
        <v>19</v>
      </c>
      <c r="C800" s="313" t="s">
        <v>1471</v>
      </c>
      <c r="D800" s="313" t="s">
        <v>51</v>
      </c>
      <c r="E800" s="313" t="s">
        <v>24</v>
      </c>
    </row>
    <row r="801" spans="1:5" x14ac:dyDescent="0.25">
      <c r="A801" s="313" t="s">
        <v>368</v>
      </c>
      <c r="B801" s="313" t="s">
        <v>19</v>
      </c>
      <c r="C801" s="313" t="s">
        <v>1475</v>
      </c>
      <c r="D801" s="313" t="s">
        <v>51</v>
      </c>
      <c r="E801" s="313" t="s">
        <v>24</v>
      </c>
    </row>
    <row r="802" spans="1:5" x14ac:dyDescent="0.25">
      <c r="A802" s="313" t="s">
        <v>368</v>
      </c>
      <c r="B802" s="313" t="s">
        <v>19</v>
      </c>
      <c r="C802" s="313" t="s">
        <v>20</v>
      </c>
      <c r="D802" s="313" t="s">
        <v>51</v>
      </c>
      <c r="E802" s="313" t="s">
        <v>24</v>
      </c>
    </row>
    <row r="803" spans="1:5" x14ac:dyDescent="0.25">
      <c r="A803" s="313" t="s">
        <v>368</v>
      </c>
      <c r="B803" s="313" t="s">
        <v>19</v>
      </c>
      <c r="C803" s="313" t="s">
        <v>1487</v>
      </c>
      <c r="D803" s="313" t="s">
        <v>51</v>
      </c>
      <c r="E803" s="313" t="s">
        <v>24</v>
      </c>
    </row>
    <row r="804" spans="1:5" x14ac:dyDescent="0.25">
      <c r="A804" s="313" t="s">
        <v>368</v>
      </c>
      <c r="B804" s="313" t="s">
        <v>19</v>
      </c>
      <c r="C804" s="313" t="s">
        <v>1495</v>
      </c>
      <c r="D804" s="313" t="s">
        <v>51</v>
      </c>
      <c r="E804" s="313" t="s">
        <v>24</v>
      </c>
    </row>
    <row r="805" spans="1:5" x14ac:dyDescent="0.25">
      <c r="A805" s="313" t="s">
        <v>372</v>
      </c>
      <c r="B805" s="313" t="s">
        <v>19</v>
      </c>
      <c r="C805" s="313" t="s">
        <v>1466</v>
      </c>
      <c r="D805" s="313" t="s">
        <v>26</v>
      </c>
      <c r="E805" s="313" t="s">
        <v>24</v>
      </c>
    </row>
    <row r="806" spans="1:5" x14ac:dyDescent="0.25">
      <c r="A806" s="313" t="s">
        <v>372</v>
      </c>
      <c r="B806" s="313" t="s">
        <v>19</v>
      </c>
      <c r="C806" s="313" t="s">
        <v>1471</v>
      </c>
      <c r="D806" s="313" t="s">
        <v>26</v>
      </c>
      <c r="E806" s="313" t="s">
        <v>24</v>
      </c>
    </row>
    <row r="807" spans="1:5" x14ac:dyDescent="0.25">
      <c r="A807" s="313" t="s">
        <v>372</v>
      </c>
      <c r="B807" s="313" t="s">
        <v>19</v>
      </c>
      <c r="C807" s="313" t="s">
        <v>1475</v>
      </c>
      <c r="D807" s="313" t="s">
        <v>19</v>
      </c>
      <c r="E807" s="313" t="s">
        <v>373</v>
      </c>
    </row>
    <row r="808" spans="1:5" x14ac:dyDescent="0.25">
      <c r="A808" s="313" t="s">
        <v>372</v>
      </c>
      <c r="B808" s="313" t="s">
        <v>19</v>
      </c>
      <c r="C808" s="313" t="s">
        <v>20</v>
      </c>
      <c r="D808" s="313" t="s">
        <v>26</v>
      </c>
      <c r="E808" s="313" t="s">
        <v>24</v>
      </c>
    </row>
    <row r="809" spans="1:5" x14ac:dyDescent="0.25">
      <c r="A809" s="313" t="s">
        <v>372</v>
      </c>
      <c r="B809" s="313" t="s">
        <v>19</v>
      </c>
      <c r="C809" s="313" t="s">
        <v>1487</v>
      </c>
      <c r="D809" s="313" t="s">
        <v>26</v>
      </c>
      <c r="E809" s="313" t="s">
        <v>24</v>
      </c>
    </row>
    <row r="810" spans="1:5" x14ac:dyDescent="0.25">
      <c r="A810" s="313" t="s">
        <v>372</v>
      </c>
      <c r="B810" s="313" t="s">
        <v>19</v>
      </c>
      <c r="C810" s="313" t="s">
        <v>1495</v>
      </c>
      <c r="D810" s="313" t="s">
        <v>35</v>
      </c>
      <c r="E810" s="313" t="s">
        <v>24</v>
      </c>
    </row>
    <row r="811" spans="1:5" x14ac:dyDescent="0.25">
      <c r="A811" s="313" t="s">
        <v>372</v>
      </c>
      <c r="B811" s="313" t="s">
        <v>26</v>
      </c>
      <c r="C811" s="313" t="s">
        <v>1501</v>
      </c>
      <c r="D811" s="313" t="s">
        <v>24</v>
      </c>
      <c r="E811" s="313" t="s">
        <v>373</v>
      </c>
    </row>
    <row r="812" spans="1:5" x14ac:dyDescent="0.25">
      <c r="A812" s="313" t="s">
        <v>372</v>
      </c>
      <c r="B812" s="313" t="s">
        <v>26</v>
      </c>
      <c r="C812" s="313" t="s">
        <v>1502</v>
      </c>
      <c r="D812" s="313" t="s">
        <v>24</v>
      </c>
      <c r="E812" s="313" t="s">
        <v>1560</v>
      </c>
    </row>
    <row r="813" spans="1:5" x14ac:dyDescent="0.25">
      <c r="A813" s="313" t="s">
        <v>372</v>
      </c>
      <c r="B813" s="313" t="s">
        <v>26</v>
      </c>
      <c r="C813" s="313" t="s">
        <v>1503</v>
      </c>
      <c r="D813" s="313" t="s">
        <v>24</v>
      </c>
      <c r="E813" s="313" t="s">
        <v>373</v>
      </c>
    </row>
    <row r="814" spans="1:5" x14ac:dyDescent="0.25">
      <c r="A814" s="313" t="s">
        <v>372</v>
      </c>
      <c r="B814" s="313" t="s">
        <v>26</v>
      </c>
      <c r="C814" s="313" t="s">
        <v>2929</v>
      </c>
      <c r="D814" s="313" t="s">
        <v>24</v>
      </c>
      <c r="E814" s="313" t="s">
        <v>1560</v>
      </c>
    </row>
    <row r="815" spans="1:5" x14ac:dyDescent="0.25">
      <c r="A815" s="313" t="s">
        <v>372</v>
      </c>
      <c r="B815" s="313" t="s">
        <v>26</v>
      </c>
      <c r="C815" s="313" t="s">
        <v>2930</v>
      </c>
      <c r="D815" s="313" t="s">
        <v>24</v>
      </c>
      <c r="E815" s="313" t="s">
        <v>35</v>
      </c>
    </row>
    <row r="816" spans="1:5" x14ac:dyDescent="0.25">
      <c r="A816" s="313" t="s">
        <v>372</v>
      </c>
      <c r="B816" s="313" t="s">
        <v>26</v>
      </c>
      <c r="C816" s="313" t="s">
        <v>1509</v>
      </c>
      <c r="D816" s="313" t="s">
        <v>24</v>
      </c>
      <c r="E816" s="313" t="s">
        <v>373</v>
      </c>
    </row>
    <row r="817" spans="1:5" x14ac:dyDescent="0.25">
      <c r="A817" s="313" t="s">
        <v>372</v>
      </c>
      <c r="B817" s="313" t="s">
        <v>26</v>
      </c>
      <c r="C817" s="313" t="s">
        <v>1510</v>
      </c>
      <c r="D817" s="313" t="s">
        <v>24</v>
      </c>
      <c r="E817" s="313" t="s">
        <v>46</v>
      </c>
    </row>
    <row r="818" spans="1:5" x14ac:dyDescent="0.25">
      <c r="A818" s="313" t="s">
        <v>372</v>
      </c>
      <c r="B818" s="313" t="s">
        <v>26</v>
      </c>
      <c r="C818" s="313" t="s">
        <v>1511</v>
      </c>
      <c r="D818" s="313" t="s">
        <v>24</v>
      </c>
      <c r="E818" s="313" t="s">
        <v>1560</v>
      </c>
    </row>
    <row r="819" spans="1:5" x14ac:dyDescent="0.25">
      <c r="A819" s="313" t="s">
        <v>372</v>
      </c>
      <c r="B819" s="313" t="s">
        <v>26</v>
      </c>
      <c r="C819" s="313" t="s">
        <v>27</v>
      </c>
      <c r="D819" s="313" t="s">
        <v>24</v>
      </c>
      <c r="E819" s="313" t="s">
        <v>373</v>
      </c>
    </row>
    <row r="820" spans="1:5" x14ac:dyDescent="0.25">
      <c r="A820" s="313" t="s">
        <v>372</v>
      </c>
      <c r="B820" s="313" t="s">
        <v>26</v>
      </c>
      <c r="C820" s="313" t="s">
        <v>1512</v>
      </c>
      <c r="D820" s="313" t="s">
        <v>24</v>
      </c>
      <c r="E820" s="313" t="s">
        <v>373</v>
      </c>
    </row>
    <row r="821" spans="1:5" x14ac:dyDescent="0.25">
      <c r="A821" s="313" t="s">
        <v>372</v>
      </c>
      <c r="B821" s="313" t="s">
        <v>26</v>
      </c>
      <c r="C821" s="313" t="s">
        <v>1513</v>
      </c>
      <c r="D821" s="313" t="s">
        <v>24</v>
      </c>
      <c r="E821" s="313" t="s">
        <v>373</v>
      </c>
    </row>
    <row r="822" spans="1:5" x14ac:dyDescent="0.25">
      <c r="A822" s="313" t="s">
        <v>372</v>
      </c>
      <c r="B822" s="313" t="s">
        <v>26</v>
      </c>
      <c r="C822" s="313" t="s">
        <v>1514</v>
      </c>
      <c r="D822" s="313" t="s">
        <v>24</v>
      </c>
      <c r="E822" s="313" t="s">
        <v>373</v>
      </c>
    </row>
    <row r="823" spans="1:5" x14ac:dyDescent="0.25">
      <c r="A823" s="313" t="s">
        <v>372</v>
      </c>
      <c r="B823" s="313" t="s">
        <v>26</v>
      </c>
      <c r="C823" s="313" t="s">
        <v>1515</v>
      </c>
      <c r="D823" s="313" t="s">
        <v>24</v>
      </c>
      <c r="E823" s="313" t="s">
        <v>373</v>
      </c>
    </row>
    <row r="824" spans="1:5" x14ac:dyDescent="0.25">
      <c r="A824" s="313" t="s">
        <v>372</v>
      </c>
      <c r="B824" s="313" t="s">
        <v>26</v>
      </c>
      <c r="C824" s="313" t="s">
        <v>1516</v>
      </c>
      <c r="D824" s="313" t="s">
        <v>24</v>
      </c>
      <c r="E824" s="313" t="s">
        <v>1560</v>
      </c>
    </row>
    <row r="825" spans="1:5" x14ac:dyDescent="0.25">
      <c r="A825" s="313" t="s">
        <v>372</v>
      </c>
      <c r="B825" s="313" t="s">
        <v>26</v>
      </c>
      <c r="C825" s="313" t="s">
        <v>1517</v>
      </c>
      <c r="D825" s="313" t="s">
        <v>24</v>
      </c>
      <c r="E825" s="313" t="s">
        <v>373</v>
      </c>
    </row>
    <row r="826" spans="1:5" x14ac:dyDescent="0.25">
      <c r="A826" s="313" t="s">
        <v>372</v>
      </c>
      <c r="B826" s="313" t="s">
        <v>26</v>
      </c>
      <c r="C826" s="313" t="s">
        <v>1518</v>
      </c>
      <c r="D826" s="313" t="s">
        <v>24</v>
      </c>
      <c r="E826" s="313" t="s">
        <v>1560</v>
      </c>
    </row>
    <row r="827" spans="1:5" x14ac:dyDescent="0.25">
      <c r="A827" s="313" t="s">
        <v>372</v>
      </c>
      <c r="B827" s="313" t="s">
        <v>26</v>
      </c>
      <c r="C827" s="313" t="s">
        <v>1519</v>
      </c>
      <c r="D827" s="313" t="s">
        <v>24</v>
      </c>
      <c r="E827" s="313" t="s">
        <v>1560</v>
      </c>
    </row>
    <row r="828" spans="1:5" x14ac:dyDescent="0.25">
      <c r="A828" s="313" t="s">
        <v>376</v>
      </c>
      <c r="B828" s="313" t="s">
        <v>19</v>
      </c>
      <c r="C828" s="313" t="s">
        <v>1466</v>
      </c>
      <c r="D828" s="313" t="s">
        <v>26</v>
      </c>
      <c r="E828" s="313" t="s">
        <v>24</v>
      </c>
    </row>
    <row r="829" spans="1:5" x14ac:dyDescent="0.25">
      <c r="A829" s="313" t="s">
        <v>376</v>
      </c>
      <c r="B829" s="313" t="s">
        <v>19</v>
      </c>
      <c r="C829" s="313" t="s">
        <v>1471</v>
      </c>
      <c r="D829" s="313" t="s">
        <v>26</v>
      </c>
      <c r="E829" s="313" t="s">
        <v>24</v>
      </c>
    </row>
    <row r="830" spans="1:5" x14ac:dyDescent="0.25">
      <c r="A830" s="313" t="s">
        <v>376</v>
      </c>
      <c r="B830" s="313" t="s">
        <v>19</v>
      </c>
      <c r="C830" s="313" t="s">
        <v>1475</v>
      </c>
      <c r="D830" s="313" t="s">
        <v>19</v>
      </c>
      <c r="E830" s="313" t="s">
        <v>1562</v>
      </c>
    </row>
    <row r="831" spans="1:5" x14ac:dyDescent="0.25">
      <c r="A831" s="313" t="s">
        <v>376</v>
      </c>
      <c r="B831" s="313" t="s">
        <v>19</v>
      </c>
      <c r="C831" s="313" t="s">
        <v>20</v>
      </c>
      <c r="D831" s="313" t="s">
        <v>26</v>
      </c>
      <c r="E831" s="313" t="s">
        <v>24</v>
      </c>
    </row>
    <row r="832" spans="1:5" x14ac:dyDescent="0.25">
      <c r="A832" s="313" t="s">
        <v>376</v>
      </c>
      <c r="B832" s="313" t="s">
        <v>19</v>
      </c>
      <c r="C832" s="313" t="s">
        <v>1487</v>
      </c>
      <c r="D832" s="313" t="s">
        <v>26</v>
      </c>
      <c r="E832" s="313" t="s">
        <v>24</v>
      </c>
    </row>
    <row r="833" spans="1:5" x14ac:dyDescent="0.25">
      <c r="A833" s="313" t="s">
        <v>376</v>
      </c>
      <c r="B833" s="313" t="s">
        <v>19</v>
      </c>
      <c r="C833" s="313" t="s">
        <v>1495</v>
      </c>
      <c r="D833" s="313" t="s">
        <v>35</v>
      </c>
      <c r="E833" s="313" t="s">
        <v>24</v>
      </c>
    </row>
    <row r="834" spans="1:5" x14ac:dyDescent="0.25">
      <c r="A834" s="313" t="s">
        <v>376</v>
      </c>
      <c r="B834" s="313" t="s">
        <v>26</v>
      </c>
      <c r="C834" s="313" t="s">
        <v>1501</v>
      </c>
      <c r="D834" s="313" t="s">
        <v>24</v>
      </c>
      <c r="E834" s="313" t="s">
        <v>1561</v>
      </c>
    </row>
    <row r="835" spans="1:5" x14ac:dyDescent="0.25">
      <c r="A835" s="313" t="s">
        <v>376</v>
      </c>
      <c r="B835" s="313" t="s">
        <v>26</v>
      </c>
      <c r="C835" s="313" t="s">
        <v>1502</v>
      </c>
      <c r="D835" s="313" t="s">
        <v>24</v>
      </c>
      <c r="E835" s="313" t="s">
        <v>46</v>
      </c>
    </row>
    <row r="836" spans="1:5" x14ac:dyDescent="0.25">
      <c r="A836" s="313" t="s">
        <v>376</v>
      </c>
      <c r="B836" s="313" t="s">
        <v>26</v>
      </c>
      <c r="C836" s="313" t="s">
        <v>1503</v>
      </c>
      <c r="D836" s="313" t="s">
        <v>24</v>
      </c>
      <c r="E836" s="313" t="s">
        <v>1561</v>
      </c>
    </row>
    <row r="837" spans="1:5" x14ac:dyDescent="0.25">
      <c r="A837" s="313" t="s">
        <v>376</v>
      </c>
      <c r="B837" s="313" t="s">
        <v>26</v>
      </c>
      <c r="C837" s="313" t="s">
        <v>2929</v>
      </c>
      <c r="D837" s="313" t="s">
        <v>24</v>
      </c>
      <c r="E837" s="313" t="s">
        <v>46</v>
      </c>
    </row>
    <row r="838" spans="1:5" x14ac:dyDescent="0.25">
      <c r="A838" s="313" t="s">
        <v>376</v>
      </c>
      <c r="B838" s="313" t="s">
        <v>26</v>
      </c>
      <c r="C838" s="313" t="s">
        <v>2930</v>
      </c>
      <c r="D838" s="313" t="s">
        <v>24</v>
      </c>
      <c r="E838" s="313" t="s">
        <v>35</v>
      </c>
    </row>
    <row r="839" spans="1:5" x14ac:dyDescent="0.25">
      <c r="A839" s="313" t="s">
        <v>376</v>
      </c>
      <c r="B839" s="313" t="s">
        <v>26</v>
      </c>
      <c r="C839" s="313" t="s">
        <v>1509</v>
      </c>
      <c r="D839" s="313" t="s">
        <v>24</v>
      </c>
      <c r="E839" s="313" t="s">
        <v>1563</v>
      </c>
    </row>
    <row r="840" spans="1:5" x14ac:dyDescent="0.25">
      <c r="A840" s="313" t="s">
        <v>376</v>
      </c>
      <c r="B840" s="313" t="s">
        <v>26</v>
      </c>
      <c r="C840" s="313" t="s">
        <v>1510</v>
      </c>
      <c r="D840" s="313" t="s">
        <v>24</v>
      </c>
      <c r="E840" s="313" t="s">
        <v>46</v>
      </c>
    </row>
    <row r="841" spans="1:5" x14ac:dyDescent="0.25">
      <c r="A841" s="313" t="s">
        <v>376</v>
      </c>
      <c r="B841" s="313" t="s">
        <v>26</v>
      </c>
      <c r="C841" s="313" t="s">
        <v>1511</v>
      </c>
      <c r="D841" s="313" t="s">
        <v>24</v>
      </c>
      <c r="E841" s="313" t="s">
        <v>46</v>
      </c>
    </row>
    <row r="842" spans="1:5" x14ac:dyDescent="0.25">
      <c r="A842" s="313" t="s">
        <v>376</v>
      </c>
      <c r="B842" s="313" t="s">
        <v>26</v>
      </c>
      <c r="C842" s="313" t="s">
        <v>27</v>
      </c>
      <c r="D842" s="313" t="s">
        <v>24</v>
      </c>
      <c r="E842" s="313" t="s">
        <v>2931</v>
      </c>
    </row>
    <row r="843" spans="1:5" x14ac:dyDescent="0.25">
      <c r="A843" s="313" t="s">
        <v>376</v>
      </c>
      <c r="B843" s="313" t="s">
        <v>26</v>
      </c>
      <c r="C843" s="313" t="s">
        <v>1512</v>
      </c>
      <c r="D843" s="313" t="s">
        <v>24</v>
      </c>
      <c r="E843" s="313" t="s">
        <v>2931</v>
      </c>
    </row>
    <row r="844" spans="1:5" x14ac:dyDescent="0.25">
      <c r="A844" s="313" t="s">
        <v>376</v>
      </c>
      <c r="B844" s="313" t="s">
        <v>26</v>
      </c>
      <c r="C844" s="313" t="s">
        <v>1513</v>
      </c>
      <c r="D844" s="313" t="s">
        <v>24</v>
      </c>
      <c r="E844" s="313" t="s">
        <v>1564</v>
      </c>
    </row>
    <row r="845" spans="1:5" x14ac:dyDescent="0.25">
      <c r="A845" s="313" t="s">
        <v>376</v>
      </c>
      <c r="B845" s="313" t="s">
        <v>26</v>
      </c>
      <c r="C845" s="313" t="s">
        <v>1514</v>
      </c>
      <c r="D845" s="313" t="s">
        <v>24</v>
      </c>
      <c r="E845" s="313" t="s">
        <v>1565</v>
      </c>
    </row>
    <row r="846" spans="1:5" x14ac:dyDescent="0.25">
      <c r="A846" s="313" t="s">
        <v>376</v>
      </c>
      <c r="B846" s="313" t="s">
        <v>26</v>
      </c>
      <c r="C846" s="313" t="s">
        <v>1515</v>
      </c>
      <c r="D846" s="313" t="s">
        <v>24</v>
      </c>
      <c r="E846" s="313" t="s">
        <v>1566</v>
      </c>
    </row>
    <row r="847" spans="1:5" x14ac:dyDescent="0.25">
      <c r="A847" s="313" t="s">
        <v>376</v>
      </c>
      <c r="B847" s="313" t="s">
        <v>26</v>
      </c>
      <c r="C847" s="313" t="s">
        <v>1516</v>
      </c>
      <c r="D847" s="313" t="s">
        <v>24</v>
      </c>
      <c r="E847" s="313" t="s">
        <v>46</v>
      </c>
    </row>
    <row r="848" spans="1:5" x14ac:dyDescent="0.25">
      <c r="A848" s="313" t="s">
        <v>376</v>
      </c>
      <c r="B848" s="313" t="s">
        <v>26</v>
      </c>
      <c r="C848" s="313" t="s">
        <v>1517</v>
      </c>
      <c r="D848" s="313" t="s">
        <v>24</v>
      </c>
      <c r="E848" s="313" t="s">
        <v>1567</v>
      </c>
    </row>
    <row r="849" spans="1:5" x14ac:dyDescent="0.25">
      <c r="A849" s="313" t="s">
        <v>376</v>
      </c>
      <c r="B849" s="313" t="s">
        <v>26</v>
      </c>
      <c r="C849" s="313" t="s">
        <v>1518</v>
      </c>
      <c r="D849" s="313" t="s">
        <v>24</v>
      </c>
      <c r="E849" s="313" t="s">
        <v>46</v>
      </c>
    </row>
    <row r="850" spans="1:5" x14ac:dyDescent="0.25">
      <c r="A850" s="313" t="s">
        <v>376</v>
      </c>
      <c r="B850" s="313" t="s">
        <v>26</v>
      </c>
      <c r="C850" s="313" t="s">
        <v>1519</v>
      </c>
      <c r="D850" s="313" t="s">
        <v>24</v>
      </c>
      <c r="E850" s="313" t="s">
        <v>46</v>
      </c>
    </row>
    <row r="851" spans="1:5" x14ac:dyDescent="0.25">
      <c r="A851" s="313" t="s">
        <v>380</v>
      </c>
      <c r="B851" s="313" t="s">
        <v>19</v>
      </c>
      <c r="C851" s="313" t="s">
        <v>1466</v>
      </c>
      <c r="D851" s="313" t="s">
        <v>35</v>
      </c>
      <c r="E851" s="313" t="s">
        <v>24</v>
      </c>
    </row>
    <row r="852" spans="1:5" x14ac:dyDescent="0.25">
      <c r="A852" s="313" t="s">
        <v>380</v>
      </c>
      <c r="B852" s="313" t="s">
        <v>19</v>
      </c>
      <c r="C852" s="313" t="s">
        <v>1471</v>
      </c>
      <c r="D852" s="313" t="s">
        <v>35</v>
      </c>
      <c r="E852" s="313" t="s">
        <v>24</v>
      </c>
    </row>
    <row r="853" spans="1:5" x14ac:dyDescent="0.25">
      <c r="A853" s="313" t="s">
        <v>380</v>
      </c>
      <c r="B853" s="313" t="s">
        <v>19</v>
      </c>
      <c r="C853" s="313" t="s">
        <v>1475</v>
      </c>
      <c r="D853" s="313" t="s">
        <v>35</v>
      </c>
      <c r="E853" s="313" t="s">
        <v>24</v>
      </c>
    </row>
    <row r="854" spans="1:5" x14ac:dyDescent="0.25">
      <c r="A854" s="313" t="s">
        <v>380</v>
      </c>
      <c r="B854" s="313" t="s">
        <v>19</v>
      </c>
      <c r="C854" s="313" t="s">
        <v>20</v>
      </c>
      <c r="D854" s="313" t="s">
        <v>35</v>
      </c>
      <c r="E854" s="313" t="s">
        <v>24</v>
      </c>
    </row>
    <row r="855" spans="1:5" x14ac:dyDescent="0.25">
      <c r="A855" s="313" t="s">
        <v>380</v>
      </c>
      <c r="B855" s="313" t="s">
        <v>19</v>
      </c>
      <c r="C855" s="313" t="s">
        <v>1487</v>
      </c>
      <c r="D855" s="313" t="s">
        <v>35</v>
      </c>
      <c r="E855" s="313" t="s">
        <v>24</v>
      </c>
    </row>
    <row r="856" spans="1:5" x14ac:dyDescent="0.25">
      <c r="A856" s="313" t="s">
        <v>380</v>
      </c>
      <c r="B856" s="313" t="s">
        <v>19</v>
      </c>
      <c r="C856" s="313" t="s">
        <v>1495</v>
      </c>
      <c r="D856" s="313" t="s">
        <v>35</v>
      </c>
      <c r="E856" s="313" t="s">
        <v>24</v>
      </c>
    </row>
    <row r="857" spans="1:5" x14ac:dyDescent="0.25">
      <c r="A857" s="313" t="s">
        <v>383</v>
      </c>
      <c r="B857" s="313" t="s">
        <v>19</v>
      </c>
      <c r="C857" s="313" t="s">
        <v>1466</v>
      </c>
      <c r="D857" s="313" t="s">
        <v>35</v>
      </c>
      <c r="E857" s="313" t="s">
        <v>24</v>
      </c>
    </row>
    <row r="858" spans="1:5" x14ac:dyDescent="0.25">
      <c r="A858" s="313" t="s">
        <v>383</v>
      </c>
      <c r="B858" s="313" t="s">
        <v>19</v>
      </c>
      <c r="C858" s="313" t="s">
        <v>1471</v>
      </c>
      <c r="D858" s="313" t="s">
        <v>35</v>
      </c>
      <c r="E858" s="313" t="s">
        <v>24</v>
      </c>
    </row>
    <row r="859" spans="1:5" x14ac:dyDescent="0.25">
      <c r="A859" s="313" t="s">
        <v>383</v>
      </c>
      <c r="B859" s="313" t="s">
        <v>19</v>
      </c>
      <c r="C859" s="313" t="s">
        <v>1475</v>
      </c>
      <c r="D859" s="313" t="s">
        <v>35</v>
      </c>
      <c r="E859" s="313" t="s">
        <v>24</v>
      </c>
    </row>
    <row r="860" spans="1:5" x14ac:dyDescent="0.25">
      <c r="A860" s="313" t="s">
        <v>383</v>
      </c>
      <c r="B860" s="313" t="s">
        <v>19</v>
      </c>
      <c r="C860" s="313" t="s">
        <v>20</v>
      </c>
      <c r="D860" s="313" t="s">
        <v>35</v>
      </c>
      <c r="E860" s="313" t="s">
        <v>24</v>
      </c>
    </row>
    <row r="861" spans="1:5" x14ac:dyDescent="0.25">
      <c r="A861" s="313" t="s">
        <v>383</v>
      </c>
      <c r="B861" s="313" t="s">
        <v>19</v>
      </c>
      <c r="C861" s="313" t="s">
        <v>1487</v>
      </c>
      <c r="D861" s="313" t="s">
        <v>35</v>
      </c>
      <c r="E861" s="313" t="s">
        <v>24</v>
      </c>
    </row>
    <row r="862" spans="1:5" x14ac:dyDescent="0.25">
      <c r="A862" s="313" t="s">
        <v>383</v>
      </c>
      <c r="B862" s="313" t="s">
        <v>19</v>
      </c>
      <c r="C862" s="313" t="s">
        <v>1495</v>
      </c>
      <c r="D862" s="313" t="s">
        <v>35</v>
      </c>
      <c r="E862" s="313" t="s">
        <v>24</v>
      </c>
    </row>
    <row r="863" spans="1:5" x14ac:dyDescent="0.25">
      <c r="A863" s="313" t="s">
        <v>387</v>
      </c>
      <c r="B863" s="313" t="s">
        <v>19</v>
      </c>
      <c r="C863" s="313" t="s">
        <v>1466</v>
      </c>
      <c r="D863" s="313" t="s">
        <v>19</v>
      </c>
      <c r="E863" s="313" t="s">
        <v>388</v>
      </c>
    </row>
    <row r="864" spans="1:5" x14ac:dyDescent="0.25">
      <c r="A864" s="313" t="s">
        <v>387</v>
      </c>
      <c r="B864" s="313" t="s">
        <v>19</v>
      </c>
      <c r="C864" s="313" t="s">
        <v>1471</v>
      </c>
      <c r="D864" s="313" t="s">
        <v>26</v>
      </c>
      <c r="E864" s="313" t="s">
        <v>24</v>
      </c>
    </row>
    <row r="865" spans="1:5" x14ac:dyDescent="0.25">
      <c r="A865" s="313" t="s">
        <v>387</v>
      </c>
      <c r="B865" s="313" t="s">
        <v>19</v>
      </c>
      <c r="C865" s="313" t="s">
        <v>1475</v>
      </c>
      <c r="D865" s="313" t="s">
        <v>26</v>
      </c>
      <c r="E865" s="313" t="s">
        <v>24</v>
      </c>
    </row>
    <row r="866" spans="1:5" x14ac:dyDescent="0.25">
      <c r="A866" s="313" t="s">
        <v>387</v>
      </c>
      <c r="B866" s="313" t="s">
        <v>19</v>
      </c>
      <c r="C866" s="313" t="s">
        <v>20</v>
      </c>
      <c r="D866" s="313" t="s">
        <v>26</v>
      </c>
      <c r="E866" s="313" t="s">
        <v>24</v>
      </c>
    </row>
    <row r="867" spans="1:5" x14ac:dyDescent="0.25">
      <c r="A867" s="313" t="s">
        <v>387</v>
      </c>
      <c r="B867" s="313" t="s">
        <v>19</v>
      </c>
      <c r="C867" s="313" t="s">
        <v>1487</v>
      </c>
      <c r="D867" s="313" t="s">
        <v>19</v>
      </c>
      <c r="E867" s="313" t="s">
        <v>388</v>
      </c>
    </row>
    <row r="868" spans="1:5" x14ac:dyDescent="0.25">
      <c r="A868" s="313" t="s">
        <v>387</v>
      </c>
      <c r="B868" s="313" t="s">
        <v>19</v>
      </c>
      <c r="C868" s="313" t="s">
        <v>1495</v>
      </c>
      <c r="D868" s="313" t="s">
        <v>35</v>
      </c>
      <c r="E868" s="313" t="s">
        <v>24</v>
      </c>
    </row>
    <row r="869" spans="1:5" x14ac:dyDescent="0.25">
      <c r="A869" s="313" t="s">
        <v>387</v>
      </c>
      <c r="B869" s="313" t="s">
        <v>26</v>
      </c>
      <c r="C869" s="313" t="s">
        <v>2929</v>
      </c>
      <c r="D869" s="313" t="s">
        <v>24</v>
      </c>
      <c r="E869" s="313" t="s">
        <v>388</v>
      </c>
    </row>
    <row r="870" spans="1:5" x14ac:dyDescent="0.25">
      <c r="A870" s="313" t="s">
        <v>387</v>
      </c>
      <c r="B870" s="313" t="s">
        <v>26</v>
      </c>
      <c r="C870" s="313" t="s">
        <v>2930</v>
      </c>
      <c r="D870" s="313" t="s">
        <v>24</v>
      </c>
      <c r="E870" s="313" t="s">
        <v>35</v>
      </c>
    </row>
    <row r="871" spans="1:5" x14ac:dyDescent="0.25">
      <c r="A871" s="313" t="s">
        <v>387</v>
      </c>
      <c r="B871" s="313" t="s">
        <v>26</v>
      </c>
      <c r="C871" s="313" t="s">
        <v>1506</v>
      </c>
      <c r="D871" s="313" t="s">
        <v>24</v>
      </c>
      <c r="E871" s="313" t="s">
        <v>388</v>
      </c>
    </row>
    <row r="872" spans="1:5" x14ac:dyDescent="0.25">
      <c r="A872" s="313" t="s">
        <v>387</v>
      </c>
      <c r="B872" s="313" t="s">
        <v>26</v>
      </c>
      <c r="C872" s="313" t="s">
        <v>1507</v>
      </c>
      <c r="D872" s="313" t="s">
        <v>24</v>
      </c>
      <c r="E872" s="313" t="s">
        <v>388</v>
      </c>
    </row>
    <row r="873" spans="1:5" x14ac:dyDescent="0.25">
      <c r="A873" s="313" t="s">
        <v>387</v>
      </c>
      <c r="B873" s="313" t="s">
        <v>26</v>
      </c>
      <c r="C873" s="313" t="s">
        <v>1508</v>
      </c>
      <c r="D873" s="313" t="s">
        <v>24</v>
      </c>
      <c r="E873" s="313" t="s">
        <v>1568</v>
      </c>
    </row>
    <row r="874" spans="1:5" x14ac:dyDescent="0.25">
      <c r="A874" s="313" t="s">
        <v>387</v>
      </c>
      <c r="B874" s="313" t="s">
        <v>26</v>
      </c>
      <c r="C874" s="313" t="s">
        <v>1509</v>
      </c>
      <c r="D874" s="313" t="s">
        <v>24</v>
      </c>
      <c r="E874" s="313" t="s">
        <v>1568</v>
      </c>
    </row>
    <row r="875" spans="1:5" x14ac:dyDescent="0.25">
      <c r="A875" s="313" t="s">
        <v>387</v>
      </c>
      <c r="B875" s="313" t="s">
        <v>26</v>
      </c>
      <c r="C875" s="313" t="s">
        <v>1510</v>
      </c>
      <c r="D875" s="313" t="s">
        <v>24</v>
      </c>
      <c r="E875" s="313" t="s">
        <v>46</v>
      </c>
    </row>
    <row r="876" spans="1:5" x14ac:dyDescent="0.25">
      <c r="A876" s="313" t="s">
        <v>387</v>
      </c>
      <c r="B876" s="313" t="s">
        <v>26</v>
      </c>
      <c r="C876" s="313" t="s">
        <v>1511</v>
      </c>
      <c r="D876" s="313" t="s">
        <v>24</v>
      </c>
      <c r="E876" s="313" t="s">
        <v>1568</v>
      </c>
    </row>
    <row r="877" spans="1:5" x14ac:dyDescent="0.25">
      <c r="A877" s="313" t="s">
        <v>387</v>
      </c>
      <c r="B877" s="313" t="s">
        <v>26</v>
      </c>
      <c r="C877" s="313" t="s">
        <v>27</v>
      </c>
      <c r="D877" s="313" t="s">
        <v>24</v>
      </c>
      <c r="E877" s="313" t="s">
        <v>388</v>
      </c>
    </row>
    <row r="878" spans="1:5" x14ac:dyDescent="0.25">
      <c r="A878" s="313" t="s">
        <v>387</v>
      </c>
      <c r="B878" s="313" t="s">
        <v>26</v>
      </c>
      <c r="C878" s="313" t="s">
        <v>1512</v>
      </c>
      <c r="D878" s="313" t="s">
        <v>24</v>
      </c>
      <c r="E878" s="313" t="s">
        <v>388</v>
      </c>
    </row>
    <row r="879" spans="1:5" x14ac:dyDescent="0.25">
      <c r="A879" s="313" t="s">
        <v>387</v>
      </c>
      <c r="B879" s="313" t="s">
        <v>26</v>
      </c>
      <c r="C879" s="313" t="s">
        <v>1513</v>
      </c>
      <c r="D879" s="313" t="s">
        <v>24</v>
      </c>
      <c r="E879" s="313" t="s">
        <v>388</v>
      </c>
    </row>
    <row r="880" spans="1:5" x14ac:dyDescent="0.25">
      <c r="A880" s="313" t="s">
        <v>391</v>
      </c>
      <c r="B880" s="313" t="s">
        <v>19</v>
      </c>
      <c r="C880" s="313" t="s">
        <v>1466</v>
      </c>
      <c r="D880" s="313" t="s">
        <v>35</v>
      </c>
      <c r="E880" s="313" t="s">
        <v>24</v>
      </c>
    </row>
    <row r="881" spans="1:5" x14ac:dyDescent="0.25">
      <c r="A881" s="313" t="s">
        <v>391</v>
      </c>
      <c r="B881" s="313" t="s">
        <v>19</v>
      </c>
      <c r="C881" s="313" t="s">
        <v>1471</v>
      </c>
      <c r="D881" s="313" t="s">
        <v>35</v>
      </c>
      <c r="E881" s="313" t="s">
        <v>24</v>
      </c>
    </row>
    <row r="882" spans="1:5" x14ac:dyDescent="0.25">
      <c r="A882" s="313" t="s">
        <v>391</v>
      </c>
      <c r="B882" s="313" t="s">
        <v>19</v>
      </c>
      <c r="C882" s="313" t="s">
        <v>1475</v>
      </c>
      <c r="D882" s="313" t="s">
        <v>26</v>
      </c>
      <c r="E882" s="313" t="s">
        <v>24</v>
      </c>
    </row>
    <row r="883" spans="1:5" x14ac:dyDescent="0.25">
      <c r="A883" s="313" t="s">
        <v>391</v>
      </c>
      <c r="B883" s="313" t="s">
        <v>19</v>
      </c>
      <c r="C883" s="313" t="s">
        <v>20</v>
      </c>
      <c r="D883" s="313" t="s">
        <v>35</v>
      </c>
      <c r="E883" s="313" t="s">
        <v>24</v>
      </c>
    </row>
    <row r="884" spans="1:5" x14ac:dyDescent="0.25">
      <c r="A884" s="313" t="s">
        <v>391</v>
      </c>
      <c r="B884" s="313" t="s">
        <v>19</v>
      </c>
      <c r="C884" s="313" t="s">
        <v>1487</v>
      </c>
      <c r="D884" s="313" t="s">
        <v>26</v>
      </c>
      <c r="E884" s="313" t="s">
        <v>24</v>
      </c>
    </row>
    <row r="885" spans="1:5" x14ac:dyDescent="0.25">
      <c r="A885" s="313" t="s">
        <v>391</v>
      </c>
      <c r="B885" s="313" t="s">
        <v>19</v>
      </c>
      <c r="C885" s="313" t="s">
        <v>1495</v>
      </c>
      <c r="D885" s="313" t="s">
        <v>35</v>
      </c>
      <c r="E885" s="313" t="s">
        <v>24</v>
      </c>
    </row>
    <row r="886" spans="1:5" x14ac:dyDescent="0.25">
      <c r="A886" s="313" t="s">
        <v>391</v>
      </c>
      <c r="B886" s="313" t="s">
        <v>26</v>
      </c>
      <c r="C886" s="313" t="s">
        <v>1506</v>
      </c>
      <c r="D886" s="313" t="s">
        <v>24</v>
      </c>
      <c r="E886" s="313" t="s">
        <v>46</v>
      </c>
    </row>
    <row r="887" spans="1:5" x14ac:dyDescent="0.25">
      <c r="A887" s="313" t="s">
        <v>391</v>
      </c>
      <c r="B887" s="313" t="s">
        <v>26</v>
      </c>
      <c r="C887" s="313" t="s">
        <v>1507</v>
      </c>
      <c r="D887" s="313" t="s">
        <v>24</v>
      </c>
      <c r="E887" s="313" t="s">
        <v>46</v>
      </c>
    </row>
    <row r="888" spans="1:5" x14ac:dyDescent="0.25">
      <c r="A888" s="313" t="s">
        <v>391</v>
      </c>
      <c r="B888" s="313" t="s">
        <v>26</v>
      </c>
      <c r="C888" s="313" t="s">
        <v>1508</v>
      </c>
      <c r="D888" s="313" t="s">
        <v>24</v>
      </c>
      <c r="E888" s="313" t="s">
        <v>1569</v>
      </c>
    </row>
    <row r="889" spans="1:5" x14ac:dyDescent="0.25">
      <c r="A889" s="313" t="s">
        <v>391</v>
      </c>
      <c r="B889" s="313" t="s">
        <v>26</v>
      </c>
      <c r="C889" s="313" t="s">
        <v>1514</v>
      </c>
      <c r="D889" s="313" t="s">
        <v>24</v>
      </c>
      <c r="E889" s="313" t="s">
        <v>46</v>
      </c>
    </row>
    <row r="890" spans="1:5" x14ac:dyDescent="0.25">
      <c r="A890" s="313" t="s">
        <v>391</v>
      </c>
      <c r="B890" s="313" t="s">
        <v>26</v>
      </c>
      <c r="C890" s="313" t="s">
        <v>1515</v>
      </c>
      <c r="D890" s="313" t="s">
        <v>24</v>
      </c>
      <c r="E890" s="313" t="s">
        <v>46</v>
      </c>
    </row>
    <row r="891" spans="1:5" x14ac:dyDescent="0.25">
      <c r="A891" s="313" t="s">
        <v>391</v>
      </c>
      <c r="B891" s="313" t="s">
        <v>26</v>
      </c>
      <c r="C891" s="313" t="s">
        <v>1516</v>
      </c>
      <c r="D891" s="313" t="s">
        <v>24</v>
      </c>
      <c r="E891" s="313" t="s">
        <v>46</v>
      </c>
    </row>
    <row r="892" spans="1:5" x14ac:dyDescent="0.25">
      <c r="A892" s="313" t="s">
        <v>391</v>
      </c>
      <c r="B892" s="313" t="s">
        <v>26</v>
      </c>
      <c r="C892" s="313" t="s">
        <v>1517</v>
      </c>
      <c r="D892" s="313" t="s">
        <v>24</v>
      </c>
      <c r="E892" s="313" t="s">
        <v>46</v>
      </c>
    </row>
    <row r="893" spans="1:5" x14ac:dyDescent="0.25">
      <c r="A893" s="313" t="s">
        <v>391</v>
      </c>
      <c r="B893" s="313" t="s">
        <v>26</v>
      </c>
      <c r="C893" s="313" t="s">
        <v>1518</v>
      </c>
      <c r="D893" s="313" t="s">
        <v>24</v>
      </c>
      <c r="E893" s="313" t="s">
        <v>46</v>
      </c>
    </row>
    <row r="894" spans="1:5" x14ac:dyDescent="0.25">
      <c r="A894" s="313" t="s">
        <v>391</v>
      </c>
      <c r="B894" s="313" t="s">
        <v>26</v>
      </c>
      <c r="C894" s="313" t="s">
        <v>1519</v>
      </c>
      <c r="D894" s="313" t="s">
        <v>24</v>
      </c>
      <c r="E894" s="313" t="s">
        <v>46</v>
      </c>
    </row>
    <row r="895" spans="1:5" x14ac:dyDescent="0.25">
      <c r="A895" s="313" t="s">
        <v>394</v>
      </c>
      <c r="B895" s="313" t="s">
        <v>19</v>
      </c>
      <c r="C895" s="313" t="s">
        <v>1466</v>
      </c>
      <c r="D895" s="313" t="s">
        <v>35</v>
      </c>
      <c r="E895" s="313" t="s">
        <v>24</v>
      </c>
    </row>
    <row r="896" spans="1:5" x14ac:dyDescent="0.25">
      <c r="A896" s="313" t="s">
        <v>394</v>
      </c>
      <c r="B896" s="313" t="s">
        <v>19</v>
      </c>
      <c r="C896" s="313" t="s">
        <v>1471</v>
      </c>
      <c r="D896" s="313" t="s">
        <v>35</v>
      </c>
      <c r="E896" s="313" t="s">
        <v>24</v>
      </c>
    </row>
    <row r="897" spans="1:5" x14ac:dyDescent="0.25">
      <c r="A897" s="313" t="s">
        <v>394</v>
      </c>
      <c r="B897" s="313" t="s">
        <v>19</v>
      </c>
      <c r="C897" s="313" t="s">
        <v>1475</v>
      </c>
      <c r="D897" s="313" t="s">
        <v>35</v>
      </c>
      <c r="E897" s="313" t="s">
        <v>24</v>
      </c>
    </row>
    <row r="898" spans="1:5" x14ac:dyDescent="0.25">
      <c r="A898" s="313" t="s">
        <v>394</v>
      </c>
      <c r="B898" s="313" t="s">
        <v>19</v>
      </c>
      <c r="C898" s="313" t="s">
        <v>20</v>
      </c>
      <c r="D898" s="313" t="s">
        <v>35</v>
      </c>
      <c r="E898" s="313" t="s">
        <v>24</v>
      </c>
    </row>
    <row r="899" spans="1:5" x14ac:dyDescent="0.25">
      <c r="A899" s="313" t="s">
        <v>394</v>
      </c>
      <c r="B899" s="313" t="s">
        <v>19</v>
      </c>
      <c r="C899" s="313" t="s">
        <v>1487</v>
      </c>
      <c r="D899" s="313" t="s">
        <v>26</v>
      </c>
      <c r="E899" s="313" t="s">
        <v>24</v>
      </c>
    </row>
    <row r="900" spans="1:5" x14ac:dyDescent="0.25">
      <c r="A900" s="313" t="s">
        <v>394</v>
      </c>
      <c r="B900" s="313" t="s">
        <v>19</v>
      </c>
      <c r="C900" s="313" t="s">
        <v>1495</v>
      </c>
      <c r="D900" s="313" t="s">
        <v>35</v>
      </c>
      <c r="E900" s="313" t="s">
        <v>24</v>
      </c>
    </row>
    <row r="901" spans="1:5" x14ac:dyDescent="0.25">
      <c r="A901" s="313" t="s">
        <v>394</v>
      </c>
      <c r="B901" s="313" t="s">
        <v>26</v>
      </c>
      <c r="C901" s="313" t="s">
        <v>1514</v>
      </c>
      <c r="D901" s="313" t="s">
        <v>24</v>
      </c>
      <c r="E901" s="313" t="s">
        <v>46</v>
      </c>
    </row>
    <row r="902" spans="1:5" x14ac:dyDescent="0.25">
      <c r="A902" s="313" t="s">
        <v>394</v>
      </c>
      <c r="B902" s="313" t="s">
        <v>26</v>
      </c>
      <c r="C902" s="313" t="s">
        <v>1515</v>
      </c>
      <c r="D902" s="313" t="s">
        <v>24</v>
      </c>
      <c r="E902" s="313" t="s">
        <v>46</v>
      </c>
    </row>
    <row r="903" spans="1:5" x14ac:dyDescent="0.25">
      <c r="A903" s="313" t="s">
        <v>394</v>
      </c>
      <c r="B903" s="313" t="s">
        <v>26</v>
      </c>
      <c r="C903" s="313" t="s">
        <v>1516</v>
      </c>
      <c r="D903" s="313" t="s">
        <v>24</v>
      </c>
      <c r="E903" s="313" t="s">
        <v>46</v>
      </c>
    </row>
    <row r="904" spans="1:5" x14ac:dyDescent="0.25">
      <c r="A904" s="313" t="s">
        <v>394</v>
      </c>
      <c r="B904" s="313" t="s">
        <v>26</v>
      </c>
      <c r="C904" s="313" t="s">
        <v>1517</v>
      </c>
      <c r="D904" s="313" t="s">
        <v>24</v>
      </c>
      <c r="E904" s="313" t="s">
        <v>46</v>
      </c>
    </row>
    <row r="905" spans="1:5" x14ac:dyDescent="0.25">
      <c r="A905" s="313" t="s">
        <v>394</v>
      </c>
      <c r="B905" s="313" t="s">
        <v>26</v>
      </c>
      <c r="C905" s="313" t="s">
        <v>1518</v>
      </c>
      <c r="D905" s="313" t="s">
        <v>24</v>
      </c>
      <c r="E905" s="313" t="s">
        <v>46</v>
      </c>
    </row>
    <row r="906" spans="1:5" x14ac:dyDescent="0.25">
      <c r="A906" s="313" t="s">
        <v>394</v>
      </c>
      <c r="B906" s="313" t="s">
        <v>26</v>
      </c>
      <c r="C906" s="313" t="s">
        <v>1519</v>
      </c>
      <c r="D906" s="313" t="s">
        <v>24</v>
      </c>
      <c r="E906" s="313" t="s">
        <v>46</v>
      </c>
    </row>
    <row r="907" spans="1:5" x14ac:dyDescent="0.25">
      <c r="A907" s="313" t="s">
        <v>396</v>
      </c>
      <c r="B907" s="313" t="s">
        <v>19</v>
      </c>
      <c r="C907" s="313" t="s">
        <v>1466</v>
      </c>
      <c r="D907" s="313" t="s">
        <v>19</v>
      </c>
      <c r="E907" s="313" t="s">
        <v>397</v>
      </c>
    </row>
    <row r="908" spans="1:5" x14ac:dyDescent="0.25">
      <c r="A908" s="313" t="s">
        <v>396</v>
      </c>
      <c r="B908" s="313" t="s">
        <v>19</v>
      </c>
      <c r="C908" s="313" t="s">
        <v>1471</v>
      </c>
      <c r="D908" s="313" t="s">
        <v>26</v>
      </c>
      <c r="E908" s="313" t="s">
        <v>24</v>
      </c>
    </row>
    <row r="909" spans="1:5" x14ac:dyDescent="0.25">
      <c r="A909" s="313" t="s">
        <v>396</v>
      </c>
      <c r="B909" s="313" t="s">
        <v>19</v>
      </c>
      <c r="C909" s="313" t="s">
        <v>1475</v>
      </c>
      <c r="D909" s="313" t="s">
        <v>26</v>
      </c>
      <c r="E909" s="313" t="s">
        <v>24</v>
      </c>
    </row>
    <row r="910" spans="1:5" x14ac:dyDescent="0.25">
      <c r="A910" s="313" t="s">
        <v>396</v>
      </c>
      <c r="B910" s="313" t="s">
        <v>19</v>
      </c>
      <c r="C910" s="313" t="s">
        <v>20</v>
      </c>
      <c r="D910" s="313" t="s">
        <v>26</v>
      </c>
      <c r="E910" s="313" t="s">
        <v>24</v>
      </c>
    </row>
    <row r="911" spans="1:5" x14ac:dyDescent="0.25">
      <c r="A911" s="313" t="s">
        <v>396</v>
      </c>
      <c r="B911" s="313" t="s">
        <v>19</v>
      </c>
      <c r="C911" s="313" t="s">
        <v>1487</v>
      </c>
      <c r="D911" s="313" t="s">
        <v>19</v>
      </c>
      <c r="E911" s="313" t="s">
        <v>1570</v>
      </c>
    </row>
    <row r="912" spans="1:5" x14ac:dyDescent="0.25">
      <c r="A912" s="313" t="s">
        <v>396</v>
      </c>
      <c r="B912" s="313" t="s">
        <v>19</v>
      </c>
      <c r="C912" s="313" t="s">
        <v>1495</v>
      </c>
      <c r="D912" s="313" t="s">
        <v>35</v>
      </c>
      <c r="E912" s="313" t="s">
        <v>24</v>
      </c>
    </row>
    <row r="913" spans="1:5" x14ac:dyDescent="0.25">
      <c r="A913" s="313" t="s">
        <v>396</v>
      </c>
      <c r="B913" s="313" t="s">
        <v>26</v>
      </c>
      <c r="C913" s="313" t="s">
        <v>2929</v>
      </c>
      <c r="D913" s="313" t="s">
        <v>24</v>
      </c>
      <c r="E913" s="313" t="s">
        <v>397</v>
      </c>
    </row>
    <row r="914" spans="1:5" x14ac:dyDescent="0.25">
      <c r="A914" s="313" t="s">
        <v>396</v>
      </c>
      <c r="B914" s="313" t="s">
        <v>26</v>
      </c>
      <c r="C914" s="313" t="s">
        <v>2930</v>
      </c>
      <c r="D914" s="313" t="s">
        <v>24</v>
      </c>
      <c r="E914" s="313" t="s">
        <v>35</v>
      </c>
    </row>
    <row r="915" spans="1:5" x14ac:dyDescent="0.25">
      <c r="A915" s="313" t="s">
        <v>396</v>
      </c>
      <c r="B915" s="313" t="s">
        <v>26</v>
      </c>
      <c r="C915" s="313" t="s">
        <v>1506</v>
      </c>
      <c r="D915" s="313" t="s">
        <v>24</v>
      </c>
      <c r="E915" s="313" t="s">
        <v>1570</v>
      </c>
    </row>
    <row r="916" spans="1:5" x14ac:dyDescent="0.25">
      <c r="A916" s="313" t="s">
        <v>396</v>
      </c>
      <c r="B916" s="313" t="s">
        <v>26</v>
      </c>
      <c r="C916" s="313" t="s">
        <v>1507</v>
      </c>
      <c r="D916" s="313" t="s">
        <v>24</v>
      </c>
      <c r="E916" s="313" t="s">
        <v>1570</v>
      </c>
    </row>
    <row r="917" spans="1:5" x14ac:dyDescent="0.25">
      <c r="A917" s="313" t="s">
        <v>396</v>
      </c>
      <c r="B917" s="313" t="s">
        <v>26</v>
      </c>
      <c r="C917" s="313" t="s">
        <v>1508</v>
      </c>
      <c r="D917" s="313" t="s">
        <v>24</v>
      </c>
      <c r="E917" s="313" t="s">
        <v>397</v>
      </c>
    </row>
    <row r="918" spans="1:5" x14ac:dyDescent="0.25">
      <c r="A918" s="313" t="s">
        <v>396</v>
      </c>
      <c r="B918" s="313" t="s">
        <v>26</v>
      </c>
      <c r="C918" s="313" t="s">
        <v>1509</v>
      </c>
      <c r="D918" s="313" t="s">
        <v>24</v>
      </c>
      <c r="E918" s="313" t="s">
        <v>1570</v>
      </c>
    </row>
    <row r="919" spans="1:5" x14ac:dyDescent="0.25">
      <c r="A919" s="313" t="s">
        <v>396</v>
      </c>
      <c r="B919" s="313" t="s">
        <v>26</v>
      </c>
      <c r="C919" s="313" t="s">
        <v>1510</v>
      </c>
      <c r="D919" s="313" t="s">
        <v>24</v>
      </c>
      <c r="E919" s="313" t="s">
        <v>397</v>
      </c>
    </row>
    <row r="920" spans="1:5" x14ac:dyDescent="0.25">
      <c r="A920" s="313" t="s">
        <v>396</v>
      </c>
      <c r="B920" s="313" t="s">
        <v>26</v>
      </c>
      <c r="C920" s="313" t="s">
        <v>1511</v>
      </c>
      <c r="D920" s="313" t="s">
        <v>24</v>
      </c>
      <c r="E920" s="313" t="s">
        <v>1570</v>
      </c>
    </row>
    <row r="921" spans="1:5" x14ac:dyDescent="0.25">
      <c r="A921" s="313" t="s">
        <v>396</v>
      </c>
      <c r="B921" s="313" t="s">
        <v>26</v>
      </c>
      <c r="C921" s="313" t="s">
        <v>27</v>
      </c>
      <c r="D921" s="313" t="s">
        <v>24</v>
      </c>
      <c r="E921" s="313" t="s">
        <v>2932</v>
      </c>
    </row>
    <row r="922" spans="1:5" x14ac:dyDescent="0.25">
      <c r="A922" s="313" t="s">
        <v>396</v>
      </c>
      <c r="B922" s="313" t="s">
        <v>26</v>
      </c>
      <c r="C922" s="313" t="s">
        <v>1512</v>
      </c>
      <c r="D922" s="313" t="s">
        <v>24</v>
      </c>
      <c r="E922" s="313" t="s">
        <v>1570</v>
      </c>
    </row>
    <row r="923" spans="1:5" x14ac:dyDescent="0.25">
      <c r="A923" s="313" t="s">
        <v>396</v>
      </c>
      <c r="B923" s="313" t="s">
        <v>26</v>
      </c>
      <c r="C923" s="313" t="s">
        <v>1513</v>
      </c>
      <c r="D923" s="313" t="s">
        <v>24</v>
      </c>
      <c r="E923" s="313" t="s">
        <v>1570</v>
      </c>
    </row>
    <row r="924" spans="1:5" x14ac:dyDescent="0.25">
      <c r="A924" s="313" t="s">
        <v>404</v>
      </c>
      <c r="B924" s="313" t="s">
        <v>19</v>
      </c>
      <c r="C924" s="313" t="s">
        <v>1466</v>
      </c>
      <c r="D924" s="313" t="s">
        <v>19</v>
      </c>
      <c r="E924" s="313" t="s">
        <v>405</v>
      </c>
    </row>
    <row r="925" spans="1:5" x14ac:dyDescent="0.25">
      <c r="A925" s="313" t="s">
        <v>404</v>
      </c>
      <c r="B925" s="313" t="s">
        <v>19</v>
      </c>
      <c r="C925" s="313" t="s">
        <v>1471</v>
      </c>
      <c r="D925" s="313" t="s">
        <v>26</v>
      </c>
      <c r="E925" s="313" t="s">
        <v>24</v>
      </c>
    </row>
    <row r="926" spans="1:5" x14ac:dyDescent="0.25">
      <c r="A926" s="313" t="s">
        <v>404</v>
      </c>
      <c r="B926" s="313" t="s">
        <v>19</v>
      </c>
      <c r="C926" s="313" t="s">
        <v>1475</v>
      </c>
      <c r="D926" s="313" t="s">
        <v>26</v>
      </c>
      <c r="E926" s="313" t="s">
        <v>24</v>
      </c>
    </row>
    <row r="927" spans="1:5" x14ac:dyDescent="0.25">
      <c r="A927" s="313" t="s">
        <v>404</v>
      </c>
      <c r="B927" s="313" t="s">
        <v>19</v>
      </c>
      <c r="C927" s="313" t="s">
        <v>20</v>
      </c>
      <c r="D927" s="313" t="s">
        <v>19</v>
      </c>
      <c r="E927" s="313" t="s">
        <v>405</v>
      </c>
    </row>
    <row r="928" spans="1:5" x14ac:dyDescent="0.25">
      <c r="A928" s="313" t="s">
        <v>404</v>
      </c>
      <c r="B928" s="313" t="s">
        <v>19</v>
      </c>
      <c r="C928" s="313" t="s">
        <v>1487</v>
      </c>
      <c r="D928" s="313" t="s">
        <v>19</v>
      </c>
      <c r="E928" s="313" t="s">
        <v>405</v>
      </c>
    </row>
    <row r="929" spans="1:5" x14ac:dyDescent="0.25">
      <c r="A929" s="313" t="s">
        <v>404</v>
      </c>
      <c r="B929" s="313" t="s">
        <v>19</v>
      </c>
      <c r="C929" s="313" t="s">
        <v>1495</v>
      </c>
      <c r="D929" s="313" t="s">
        <v>35</v>
      </c>
      <c r="E929" s="313" t="s">
        <v>24</v>
      </c>
    </row>
    <row r="930" spans="1:5" x14ac:dyDescent="0.25">
      <c r="A930" s="313" t="s">
        <v>404</v>
      </c>
      <c r="B930" s="313" t="s">
        <v>26</v>
      </c>
      <c r="C930" s="313" t="s">
        <v>2929</v>
      </c>
      <c r="D930" s="313" t="s">
        <v>24</v>
      </c>
      <c r="E930" s="313" t="s">
        <v>405</v>
      </c>
    </row>
    <row r="931" spans="1:5" x14ac:dyDescent="0.25">
      <c r="A931" s="313" t="s">
        <v>404</v>
      </c>
      <c r="B931" s="313" t="s">
        <v>26</v>
      </c>
      <c r="C931" s="313" t="s">
        <v>2930</v>
      </c>
      <c r="D931" s="313" t="s">
        <v>24</v>
      </c>
      <c r="E931" s="313" t="s">
        <v>35</v>
      </c>
    </row>
    <row r="932" spans="1:5" x14ac:dyDescent="0.25">
      <c r="A932" s="313" t="s">
        <v>404</v>
      </c>
      <c r="B932" s="313" t="s">
        <v>26</v>
      </c>
      <c r="C932" s="313" t="s">
        <v>1506</v>
      </c>
      <c r="D932" s="313" t="s">
        <v>24</v>
      </c>
      <c r="E932" s="313" t="s">
        <v>1571</v>
      </c>
    </row>
    <row r="933" spans="1:5" x14ac:dyDescent="0.25">
      <c r="A933" s="313" t="s">
        <v>404</v>
      </c>
      <c r="B933" s="313" t="s">
        <v>26</v>
      </c>
      <c r="C933" s="313" t="s">
        <v>1507</v>
      </c>
      <c r="D933" s="313" t="s">
        <v>24</v>
      </c>
      <c r="E933" s="313" t="s">
        <v>405</v>
      </c>
    </row>
    <row r="934" spans="1:5" x14ac:dyDescent="0.25">
      <c r="A934" s="313" t="s">
        <v>404</v>
      </c>
      <c r="B934" s="313" t="s">
        <v>26</v>
      </c>
      <c r="C934" s="313" t="s">
        <v>1508</v>
      </c>
      <c r="D934" s="313" t="s">
        <v>24</v>
      </c>
      <c r="E934" s="313" t="s">
        <v>405</v>
      </c>
    </row>
    <row r="935" spans="1:5" x14ac:dyDescent="0.25">
      <c r="A935" s="313" t="s">
        <v>408</v>
      </c>
      <c r="B935" s="313" t="s">
        <v>19</v>
      </c>
      <c r="C935" s="313" t="s">
        <v>1466</v>
      </c>
      <c r="D935" s="313" t="s">
        <v>19</v>
      </c>
      <c r="E935" s="313" t="s">
        <v>46</v>
      </c>
    </row>
    <row r="936" spans="1:5" x14ac:dyDescent="0.25">
      <c r="A936" s="313" t="s">
        <v>408</v>
      </c>
      <c r="B936" s="313" t="s">
        <v>19</v>
      </c>
      <c r="C936" s="313" t="s">
        <v>1471</v>
      </c>
      <c r="D936" s="313" t="s">
        <v>26</v>
      </c>
      <c r="E936" s="313" t="s">
        <v>24</v>
      </c>
    </row>
    <row r="937" spans="1:5" x14ac:dyDescent="0.25">
      <c r="A937" s="313" t="s">
        <v>408</v>
      </c>
      <c r="B937" s="313" t="s">
        <v>19</v>
      </c>
      <c r="C937" s="313" t="s">
        <v>1475</v>
      </c>
      <c r="D937" s="313" t="s">
        <v>26</v>
      </c>
      <c r="E937" s="313" t="s">
        <v>24</v>
      </c>
    </row>
    <row r="938" spans="1:5" x14ac:dyDescent="0.25">
      <c r="A938" s="313" t="s">
        <v>408</v>
      </c>
      <c r="B938" s="313" t="s">
        <v>19</v>
      </c>
      <c r="C938" s="313" t="s">
        <v>20</v>
      </c>
      <c r="D938" s="313" t="s">
        <v>19</v>
      </c>
      <c r="E938" s="313" t="s">
        <v>46</v>
      </c>
    </row>
    <row r="939" spans="1:5" x14ac:dyDescent="0.25">
      <c r="A939" s="313" t="s">
        <v>408</v>
      </c>
      <c r="B939" s="313" t="s">
        <v>19</v>
      </c>
      <c r="C939" s="313" t="s">
        <v>1487</v>
      </c>
      <c r="D939" s="313" t="s">
        <v>19</v>
      </c>
      <c r="E939" s="313" t="s">
        <v>46</v>
      </c>
    </row>
    <row r="940" spans="1:5" x14ac:dyDescent="0.25">
      <c r="A940" s="313" t="s">
        <v>408</v>
      </c>
      <c r="B940" s="313" t="s">
        <v>19</v>
      </c>
      <c r="C940" s="313" t="s">
        <v>1495</v>
      </c>
      <c r="D940" s="313" t="s">
        <v>35</v>
      </c>
      <c r="E940" s="313" t="s">
        <v>24</v>
      </c>
    </row>
    <row r="941" spans="1:5" x14ac:dyDescent="0.25">
      <c r="A941" s="313" t="s">
        <v>408</v>
      </c>
      <c r="B941" s="313" t="s">
        <v>26</v>
      </c>
      <c r="C941" s="313" t="s">
        <v>2929</v>
      </c>
      <c r="D941" s="313" t="s">
        <v>24</v>
      </c>
      <c r="E941" s="313" t="s">
        <v>46</v>
      </c>
    </row>
    <row r="942" spans="1:5" x14ac:dyDescent="0.25">
      <c r="A942" s="313" t="s">
        <v>408</v>
      </c>
      <c r="B942" s="313" t="s">
        <v>26</v>
      </c>
      <c r="C942" s="313" t="s">
        <v>2930</v>
      </c>
      <c r="D942" s="313" t="s">
        <v>24</v>
      </c>
      <c r="E942" s="313" t="s">
        <v>35</v>
      </c>
    </row>
    <row r="943" spans="1:5" x14ac:dyDescent="0.25">
      <c r="A943" s="313" t="s">
        <v>408</v>
      </c>
      <c r="B943" s="313" t="s">
        <v>26</v>
      </c>
      <c r="C943" s="313" t="s">
        <v>1506</v>
      </c>
      <c r="D943" s="313" t="s">
        <v>24</v>
      </c>
      <c r="E943" s="313" t="s">
        <v>1572</v>
      </c>
    </row>
    <row r="944" spans="1:5" x14ac:dyDescent="0.25">
      <c r="A944" s="313" t="s">
        <v>408</v>
      </c>
      <c r="B944" s="313" t="s">
        <v>26</v>
      </c>
      <c r="C944" s="313" t="s">
        <v>1507</v>
      </c>
      <c r="D944" s="313" t="s">
        <v>24</v>
      </c>
      <c r="E944" s="313" t="s">
        <v>179</v>
      </c>
    </row>
    <row r="945" spans="1:5" x14ac:dyDescent="0.25">
      <c r="A945" s="313" t="s">
        <v>408</v>
      </c>
      <c r="B945" s="313" t="s">
        <v>26</v>
      </c>
      <c r="C945" s="313" t="s">
        <v>1508</v>
      </c>
      <c r="D945" s="313" t="s">
        <v>24</v>
      </c>
      <c r="E945" s="313" t="s">
        <v>46</v>
      </c>
    </row>
    <row r="946" spans="1:5" x14ac:dyDescent="0.25">
      <c r="A946" s="313" t="s">
        <v>411</v>
      </c>
      <c r="B946" s="313" t="s">
        <v>19</v>
      </c>
      <c r="C946" s="313" t="s">
        <v>1466</v>
      </c>
      <c r="D946" s="313" t="s">
        <v>19</v>
      </c>
      <c r="E946" s="313" t="s">
        <v>46</v>
      </c>
    </row>
    <row r="947" spans="1:5" x14ac:dyDescent="0.25">
      <c r="A947" s="313" t="s">
        <v>411</v>
      </c>
      <c r="B947" s="313" t="s">
        <v>19</v>
      </c>
      <c r="C947" s="313" t="s">
        <v>1471</v>
      </c>
      <c r="D947" s="313" t="s">
        <v>35</v>
      </c>
      <c r="E947" s="313" t="s">
        <v>24</v>
      </c>
    </row>
    <row r="948" spans="1:5" x14ac:dyDescent="0.25">
      <c r="A948" s="313" t="s">
        <v>411</v>
      </c>
      <c r="B948" s="313" t="s">
        <v>19</v>
      </c>
      <c r="C948" s="313" t="s">
        <v>1475</v>
      </c>
      <c r="D948" s="313" t="s">
        <v>26</v>
      </c>
      <c r="E948" s="313" t="s">
        <v>24</v>
      </c>
    </row>
    <row r="949" spans="1:5" x14ac:dyDescent="0.25">
      <c r="A949" s="313" t="s">
        <v>411</v>
      </c>
      <c r="B949" s="313" t="s">
        <v>19</v>
      </c>
      <c r="C949" s="313" t="s">
        <v>20</v>
      </c>
      <c r="D949" s="313" t="s">
        <v>35</v>
      </c>
      <c r="E949" s="313" t="s">
        <v>24</v>
      </c>
    </row>
    <row r="950" spans="1:5" x14ac:dyDescent="0.25">
      <c r="A950" s="313" t="s">
        <v>411</v>
      </c>
      <c r="B950" s="313" t="s">
        <v>19</v>
      </c>
      <c r="C950" s="313" t="s">
        <v>1487</v>
      </c>
      <c r="D950" s="313" t="s">
        <v>35</v>
      </c>
      <c r="E950" s="313" t="s">
        <v>24</v>
      </c>
    </row>
    <row r="951" spans="1:5" x14ac:dyDescent="0.25">
      <c r="A951" s="313" t="s">
        <v>411</v>
      </c>
      <c r="B951" s="313" t="s">
        <v>19</v>
      </c>
      <c r="C951" s="313" t="s">
        <v>1495</v>
      </c>
      <c r="D951" s="313" t="s">
        <v>35</v>
      </c>
      <c r="E951" s="313" t="s">
        <v>24</v>
      </c>
    </row>
    <row r="952" spans="1:5" x14ac:dyDescent="0.25">
      <c r="A952" s="313" t="s">
        <v>411</v>
      </c>
      <c r="B952" s="313" t="s">
        <v>26</v>
      </c>
      <c r="C952" s="313" t="s">
        <v>1506</v>
      </c>
      <c r="D952" s="313" t="s">
        <v>24</v>
      </c>
      <c r="E952" s="313" t="s">
        <v>1573</v>
      </c>
    </row>
    <row r="953" spans="1:5" x14ac:dyDescent="0.25">
      <c r="A953" s="313" t="s">
        <v>411</v>
      </c>
      <c r="B953" s="313" t="s">
        <v>26</v>
      </c>
      <c r="C953" s="313" t="s">
        <v>1507</v>
      </c>
      <c r="D953" s="313" t="s">
        <v>24</v>
      </c>
      <c r="E953" s="313" t="s">
        <v>179</v>
      </c>
    </row>
    <row r="954" spans="1:5" x14ac:dyDescent="0.25">
      <c r="A954" s="313" t="s">
        <v>411</v>
      </c>
      <c r="B954" s="313" t="s">
        <v>26</v>
      </c>
      <c r="C954" s="313" t="s">
        <v>1508</v>
      </c>
      <c r="D954" s="313" t="s">
        <v>24</v>
      </c>
      <c r="E954" s="313" t="s">
        <v>46</v>
      </c>
    </row>
    <row r="955" spans="1:5" x14ac:dyDescent="0.25">
      <c r="A955" s="313" t="s">
        <v>414</v>
      </c>
      <c r="B955" s="313" t="s">
        <v>19</v>
      </c>
      <c r="C955" s="313" t="s">
        <v>1466</v>
      </c>
      <c r="D955" s="313" t="s">
        <v>19</v>
      </c>
      <c r="E955" s="313" t="s">
        <v>415</v>
      </c>
    </row>
    <row r="956" spans="1:5" x14ac:dyDescent="0.25">
      <c r="A956" s="313" t="s">
        <v>414</v>
      </c>
      <c r="B956" s="313" t="s">
        <v>19</v>
      </c>
      <c r="C956" s="313" t="s">
        <v>1471</v>
      </c>
      <c r="D956" s="313" t="s">
        <v>26</v>
      </c>
      <c r="E956" s="313" t="s">
        <v>24</v>
      </c>
    </row>
    <row r="957" spans="1:5" x14ac:dyDescent="0.25">
      <c r="A957" s="313" t="s">
        <v>414</v>
      </c>
      <c r="B957" s="313" t="s">
        <v>19</v>
      </c>
      <c r="C957" s="313" t="s">
        <v>1475</v>
      </c>
      <c r="D957" s="313" t="s">
        <v>26</v>
      </c>
      <c r="E957" s="313" t="s">
        <v>24</v>
      </c>
    </row>
    <row r="958" spans="1:5" x14ac:dyDescent="0.25">
      <c r="A958" s="313" t="s">
        <v>414</v>
      </c>
      <c r="B958" s="313" t="s">
        <v>19</v>
      </c>
      <c r="C958" s="313" t="s">
        <v>20</v>
      </c>
      <c r="D958" s="313" t="s">
        <v>26</v>
      </c>
      <c r="E958" s="313" t="s">
        <v>24</v>
      </c>
    </row>
    <row r="959" spans="1:5" x14ac:dyDescent="0.25">
      <c r="A959" s="313" t="s">
        <v>414</v>
      </c>
      <c r="B959" s="313" t="s">
        <v>19</v>
      </c>
      <c r="C959" s="313" t="s">
        <v>1487</v>
      </c>
      <c r="D959" s="313" t="s">
        <v>26</v>
      </c>
      <c r="E959" s="313" t="s">
        <v>24</v>
      </c>
    </row>
    <row r="960" spans="1:5" x14ac:dyDescent="0.25">
      <c r="A960" s="313" t="s">
        <v>414</v>
      </c>
      <c r="B960" s="313" t="s">
        <v>19</v>
      </c>
      <c r="C960" s="313" t="s">
        <v>1495</v>
      </c>
      <c r="D960" s="313" t="s">
        <v>35</v>
      </c>
      <c r="E960" s="313" t="s">
        <v>24</v>
      </c>
    </row>
    <row r="961" spans="1:5" x14ac:dyDescent="0.25">
      <c r="A961" s="313" t="s">
        <v>414</v>
      </c>
      <c r="B961" s="313" t="s">
        <v>26</v>
      </c>
      <c r="C961" s="313" t="s">
        <v>2929</v>
      </c>
      <c r="D961" s="313" t="s">
        <v>24</v>
      </c>
      <c r="E961" s="313" t="s">
        <v>415</v>
      </c>
    </row>
    <row r="962" spans="1:5" x14ac:dyDescent="0.25">
      <c r="A962" s="313" t="s">
        <v>414</v>
      </c>
      <c r="B962" s="313" t="s">
        <v>26</v>
      </c>
      <c r="C962" s="313" t="s">
        <v>2930</v>
      </c>
      <c r="D962" s="313" t="s">
        <v>24</v>
      </c>
      <c r="E962" s="313" t="s">
        <v>35</v>
      </c>
    </row>
    <row r="963" spans="1:5" x14ac:dyDescent="0.25">
      <c r="A963" s="313" t="s">
        <v>414</v>
      </c>
      <c r="B963" s="313" t="s">
        <v>26</v>
      </c>
      <c r="C963" s="313" t="s">
        <v>1506</v>
      </c>
      <c r="D963" s="313" t="s">
        <v>24</v>
      </c>
      <c r="E963" s="313" t="s">
        <v>415</v>
      </c>
    </row>
    <row r="964" spans="1:5" x14ac:dyDescent="0.25">
      <c r="A964" s="313" t="s">
        <v>414</v>
      </c>
      <c r="B964" s="313" t="s">
        <v>26</v>
      </c>
      <c r="C964" s="313" t="s">
        <v>1507</v>
      </c>
      <c r="D964" s="313" t="s">
        <v>24</v>
      </c>
      <c r="E964" s="313" t="s">
        <v>415</v>
      </c>
    </row>
    <row r="965" spans="1:5" x14ac:dyDescent="0.25">
      <c r="A965" s="313" t="s">
        <v>414</v>
      </c>
      <c r="B965" s="313" t="s">
        <v>26</v>
      </c>
      <c r="C965" s="313" t="s">
        <v>1508</v>
      </c>
      <c r="D965" s="313" t="s">
        <v>24</v>
      </c>
      <c r="E965" s="313" t="s">
        <v>1574</v>
      </c>
    </row>
    <row r="966" spans="1:5" x14ac:dyDescent="0.25">
      <c r="A966" s="313" t="s">
        <v>414</v>
      </c>
      <c r="B966" s="313" t="s">
        <v>26</v>
      </c>
      <c r="C966" s="313" t="s">
        <v>1509</v>
      </c>
      <c r="D966" s="313" t="s">
        <v>24</v>
      </c>
      <c r="E966" s="313" t="s">
        <v>415</v>
      </c>
    </row>
    <row r="967" spans="1:5" x14ac:dyDescent="0.25">
      <c r="A967" s="313" t="s">
        <v>414</v>
      </c>
      <c r="B967" s="313" t="s">
        <v>26</v>
      </c>
      <c r="C967" s="313" t="s">
        <v>1510</v>
      </c>
      <c r="D967" s="313" t="s">
        <v>24</v>
      </c>
      <c r="E967" s="313" t="s">
        <v>1574</v>
      </c>
    </row>
    <row r="968" spans="1:5" x14ac:dyDescent="0.25">
      <c r="A968" s="313" t="s">
        <v>414</v>
      </c>
      <c r="B968" s="313" t="s">
        <v>26</v>
      </c>
      <c r="C968" s="313" t="s">
        <v>1511</v>
      </c>
      <c r="D968" s="313" t="s">
        <v>24</v>
      </c>
      <c r="E968" s="313" t="s">
        <v>415</v>
      </c>
    </row>
    <row r="969" spans="1:5" x14ac:dyDescent="0.25">
      <c r="A969" s="313" t="s">
        <v>414</v>
      </c>
      <c r="B969" s="313" t="s">
        <v>26</v>
      </c>
      <c r="C969" s="313" t="s">
        <v>27</v>
      </c>
      <c r="D969" s="313" t="s">
        <v>24</v>
      </c>
      <c r="E969" s="313" t="s">
        <v>415</v>
      </c>
    </row>
    <row r="970" spans="1:5" x14ac:dyDescent="0.25">
      <c r="A970" s="313" t="s">
        <v>414</v>
      </c>
      <c r="B970" s="313" t="s">
        <v>26</v>
      </c>
      <c r="C970" s="313" t="s">
        <v>1512</v>
      </c>
      <c r="D970" s="313" t="s">
        <v>24</v>
      </c>
      <c r="E970" s="313" t="s">
        <v>415</v>
      </c>
    </row>
    <row r="971" spans="1:5" x14ac:dyDescent="0.25">
      <c r="A971" s="313" t="s">
        <v>414</v>
      </c>
      <c r="B971" s="313" t="s">
        <v>26</v>
      </c>
      <c r="C971" s="313" t="s">
        <v>1513</v>
      </c>
      <c r="D971" s="313" t="s">
        <v>24</v>
      </c>
      <c r="E971" s="313" t="s">
        <v>415</v>
      </c>
    </row>
    <row r="972" spans="1:5" x14ac:dyDescent="0.25">
      <c r="A972" s="313" t="s">
        <v>414</v>
      </c>
      <c r="B972" s="313" t="s">
        <v>26</v>
      </c>
      <c r="C972" s="313" t="s">
        <v>1514</v>
      </c>
      <c r="D972" s="313" t="s">
        <v>24</v>
      </c>
      <c r="E972" s="313" t="s">
        <v>415</v>
      </c>
    </row>
    <row r="973" spans="1:5" x14ac:dyDescent="0.25">
      <c r="A973" s="313" t="s">
        <v>414</v>
      </c>
      <c r="B973" s="313" t="s">
        <v>26</v>
      </c>
      <c r="C973" s="313" t="s">
        <v>1515</v>
      </c>
      <c r="D973" s="313" t="s">
        <v>24</v>
      </c>
      <c r="E973" s="313" t="s">
        <v>1574</v>
      </c>
    </row>
    <row r="974" spans="1:5" x14ac:dyDescent="0.25">
      <c r="A974" s="313" t="s">
        <v>414</v>
      </c>
      <c r="B974" s="313" t="s">
        <v>26</v>
      </c>
      <c r="C974" s="313" t="s">
        <v>1516</v>
      </c>
      <c r="D974" s="313" t="s">
        <v>24</v>
      </c>
      <c r="E974" s="313" t="s">
        <v>415</v>
      </c>
    </row>
    <row r="975" spans="1:5" x14ac:dyDescent="0.25">
      <c r="A975" s="313" t="s">
        <v>414</v>
      </c>
      <c r="B975" s="313" t="s">
        <v>26</v>
      </c>
      <c r="C975" s="313" t="s">
        <v>1517</v>
      </c>
      <c r="D975" s="313" t="s">
        <v>24</v>
      </c>
      <c r="E975" s="313" t="s">
        <v>1574</v>
      </c>
    </row>
    <row r="976" spans="1:5" x14ac:dyDescent="0.25">
      <c r="A976" s="313" t="s">
        <v>414</v>
      </c>
      <c r="B976" s="313" t="s">
        <v>26</v>
      </c>
      <c r="C976" s="313" t="s">
        <v>1518</v>
      </c>
      <c r="D976" s="313" t="s">
        <v>24</v>
      </c>
      <c r="E976" s="313" t="s">
        <v>415</v>
      </c>
    </row>
    <row r="977" spans="1:5" x14ac:dyDescent="0.25">
      <c r="A977" s="313" t="s">
        <v>414</v>
      </c>
      <c r="B977" s="313" t="s">
        <v>26</v>
      </c>
      <c r="C977" s="313" t="s">
        <v>1519</v>
      </c>
      <c r="D977" s="313" t="s">
        <v>24</v>
      </c>
      <c r="E977" s="313" t="s">
        <v>415</v>
      </c>
    </row>
    <row r="978" spans="1:5" x14ac:dyDescent="0.25">
      <c r="A978" s="313" t="s">
        <v>418</v>
      </c>
      <c r="B978" s="313" t="s">
        <v>19</v>
      </c>
      <c r="C978" s="313" t="s">
        <v>1466</v>
      </c>
      <c r="D978" s="313" t="s">
        <v>35</v>
      </c>
      <c r="E978" s="313" t="s">
        <v>24</v>
      </c>
    </row>
    <row r="979" spans="1:5" x14ac:dyDescent="0.25">
      <c r="A979" s="313" t="s">
        <v>418</v>
      </c>
      <c r="B979" s="313" t="s">
        <v>19</v>
      </c>
      <c r="C979" s="313" t="s">
        <v>1471</v>
      </c>
      <c r="D979" s="313" t="s">
        <v>35</v>
      </c>
      <c r="E979" s="313" t="s">
        <v>24</v>
      </c>
    </row>
    <row r="980" spans="1:5" x14ac:dyDescent="0.25">
      <c r="A980" s="313" t="s">
        <v>418</v>
      </c>
      <c r="B980" s="313" t="s">
        <v>19</v>
      </c>
      <c r="C980" s="313" t="s">
        <v>1475</v>
      </c>
      <c r="D980" s="313" t="s">
        <v>35</v>
      </c>
      <c r="E980" s="313" t="s">
        <v>24</v>
      </c>
    </row>
    <row r="981" spans="1:5" x14ac:dyDescent="0.25">
      <c r="A981" s="313" t="s">
        <v>418</v>
      </c>
      <c r="B981" s="313" t="s">
        <v>19</v>
      </c>
      <c r="C981" s="313" t="s">
        <v>20</v>
      </c>
      <c r="D981" s="313" t="s">
        <v>35</v>
      </c>
      <c r="E981" s="313" t="s">
        <v>24</v>
      </c>
    </row>
    <row r="982" spans="1:5" x14ac:dyDescent="0.25">
      <c r="A982" s="313" t="s">
        <v>418</v>
      </c>
      <c r="B982" s="313" t="s">
        <v>19</v>
      </c>
      <c r="C982" s="313" t="s">
        <v>1487</v>
      </c>
      <c r="D982" s="313" t="s">
        <v>26</v>
      </c>
      <c r="E982" s="313" t="s">
        <v>24</v>
      </c>
    </row>
    <row r="983" spans="1:5" x14ac:dyDescent="0.25">
      <c r="A983" s="313" t="s">
        <v>418</v>
      </c>
      <c r="B983" s="313" t="s">
        <v>19</v>
      </c>
      <c r="C983" s="313" t="s">
        <v>1495</v>
      </c>
      <c r="D983" s="313" t="s">
        <v>35</v>
      </c>
      <c r="E983" s="313" t="s">
        <v>24</v>
      </c>
    </row>
    <row r="984" spans="1:5" x14ac:dyDescent="0.25">
      <c r="A984" s="313" t="s">
        <v>418</v>
      </c>
      <c r="B984" s="313" t="s">
        <v>26</v>
      </c>
      <c r="C984" s="313" t="s">
        <v>1514</v>
      </c>
      <c r="D984" s="313" t="s">
        <v>24</v>
      </c>
      <c r="E984" s="313" t="s">
        <v>46</v>
      </c>
    </row>
    <row r="985" spans="1:5" x14ac:dyDescent="0.25">
      <c r="A985" s="313" t="s">
        <v>418</v>
      </c>
      <c r="B985" s="313" t="s">
        <v>26</v>
      </c>
      <c r="C985" s="313" t="s">
        <v>1515</v>
      </c>
      <c r="D985" s="313" t="s">
        <v>24</v>
      </c>
      <c r="E985" s="313" t="s">
        <v>1575</v>
      </c>
    </row>
    <row r="986" spans="1:5" x14ac:dyDescent="0.25">
      <c r="A986" s="313" t="s">
        <v>418</v>
      </c>
      <c r="B986" s="313" t="s">
        <v>26</v>
      </c>
      <c r="C986" s="313" t="s">
        <v>1516</v>
      </c>
      <c r="D986" s="313" t="s">
        <v>24</v>
      </c>
      <c r="E986" s="313" t="s">
        <v>46</v>
      </c>
    </row>
    <row r="987" spans="1:5" x14ac:dyDescent="0.25">
      <c r="A987" s="313" t="s">
        <v>418</v>
      </c>
      <c r="B987" s="313" t="s">
        <v>26</v>
      </c>
      <c r="C987" s="313" t="s">
        <v>1517</v>
      </c>
      <c r="D987" s="313" t="s">
        <v>24</v>
      </c>
      <c r="E987" s="313" t="s">
        <v>1575</v>
      </c>
    </row>
    <row r="988" spans="1:5" x14ac:dyDescent="0.25">
      <c r="A988" s="313" t="s">
        <v>418</v>
      </c>
      <c r="B988" s="313" t="s">
        <v>26</v>
      </c>
      <c r="C988" s="313" t="s">
        <v>1518</v>
      </c>
      <c r="D988" s="313" t="s">
        <v>24</v>
      </c>
      <c r="E988" s="313" t="s">
        <v>46</v>
      </c>
    </row>
    <row r="989" spans="1:5" x14ac:dyDescent="0.25">
      <c r="A989" s="313" t="s">
        <v>418</v>
      </c>
      <c r="B989" s="313" t="s">
        <v>26</v>
      </c>
      <c r="C989" s="313" t="s">
        <v>1519</v>
      </c>
      <c r="D989" s="313" t="s">
        <v>24</v>
      </c>
      <c r="E989" s="313" t="s">
        <v>46</v>
      </c>
    </row>
    <row r="990" spans="1:5" x14ac:dyDescent="0.25">
      <c r="A990" s="313" t="s">
        <v>421</v>
      </c>
      <c r="B990" s="313" t="s">
        <v>19</v>
      </c>
      <c r="C990" s="313" t="s">
        <v>1466</v>
      </c>
      <c r="D990" s="313" t="s">
        <v>35</v>
      </c>
      <c r="E990" s="313" t="s">
        <v>24</v>
      </c>
    </row>
    <row r="991" spans="1:5" x14ac:dyDescent="0.25">
      <c r="A991" s="313" t="s">
        <v>421</v>
      </c>
      <c r="B991" s="313" t="s">
        <v>19</v>
      </c>
      <c r="C991" s="313" t="s">
        <v>1471</v>
      </c>
      <c r="D991" s="313" t="s">
        <v>35</v>
      </c>
      <c r="E991" s="313" t="s">
        <v>24</v>
      </c>
    </row>
    <row r="992" spans="1:5" x14ac:dyDescent="0.25">
      <c r="A992" s="313" t="s">
        <v>421</v>
      </c>
      <c r="B992" s="313" t="s">
        <v>19</v>
      </c>
      <c r="C992" s="313" t="s">
        <v>1475</v>
      </c>
      <c r="D992" s="313" t="s">
        <v>35</v>
      </c>
      <c r="E992" s="313" t="s">
        <v>24</v>
      </c>
    </row>
    <row r="993" spans="1:5" x14ac:dyDescent="0.25">
      <c r="A993" s="313" t="s">
        <v>421</v>
      </c>
      <c r="B993" s="313" t="s">
        <v>19</v>
      </c>
      <c r="C993" s="313" t="s">
        <v>20</v>
      </c>
      <c r="D993" s="313" t="s">
        <v>35</v>
      </c>
      <c r="E993" s="313" t="s">
        <v>24</v>
      </c>
    </row>
    <row r="994" spans="1:5" x14ac:dyDescent="0.25">
      <c r="A994" s="313" t="s">
        <v>421</v>
      </c>
      <c r="B994" s="313" t="s">
        <v>19</v>
      </c>
      <c r="C994" s="313" t="s">
        <v>1487</v>
      </c>
      <c r="D994" s="313" t="s">
        <v>35</v>
      </c>
      <c r="E994" s="313" t="s">
        <v>24</v>
      </c>
    </row>
    <row r="995" spans="1:5" x14ac:dyDescent="0.25">
      <c r="A995" s="313" t="s">
        <v>421</v>
      </c>
      <c r="B995" s="313" t="s">
        <v>19</v>
      </c>
      <c r="C995" s="313" t="s">
        <v>1495</v>
      </c>
      <c r="D995" s="313" t="s">
        <v>35</v>
      </c>
      <c r="E995" s="313" t="s">
        <v>24</v>
      </c>
    </row>
    <row r="996" spans="1:5" x14ac:dyDescent="0.25">
      <c r="A996" s="313" t="s">
        <v>421</v>
      </c>
      <c r="B996" s="313" t="s">
        <v>26</v>
      </c>
      <c r="C996" s="313" t="s">
        <v>1515</v>
      </c>
      <c r="D996" s="313" t="s">
        <v>24</v>
      </c>
      <c r="E996" s="313" t="s">
        <v>1576</v>
      </c>
    </row>
    <row r="997" spans="1:5" x14ac:dyDescent="0.25">
      <c r="A997" s="313" t="s">
        <v>421</v>
      </c>
      <c r="B997" s="313" t="s">
        <v>26</v>
      </c>
      <c r="C997" s="313" t="s">
        <v>1517</v>
      </c>
      <c r="D997" s="313" t="s">
        <v>24</v>
      </c>
      <c r="E997" s="313" t="s">
        <v>1576</v>
      </c>
    </row>
    <row r="998" spans="1:5" x14ac:dyDescent="0.25">
      <c r="A998" s="313" t="s">
        <v>425</v>
      </c>
      <c r="B998" s="313" t="s">
        <v>19</v>
      </c>
      <c r="C998" s="313" t="s">
        <v>1466</v>
      </c>
      <c r="D998" s="313" t="s">
        <v>19</v>
      </c>
      <c r="E998" s="313" t="s">
        <v>426</v>
      </c>
    </row>
    <row r="999" spans="1:5" x14ac:dyDescent="0.25">
      <c r="A999" s="313" t="s">
        <v>425</v>
      </c>
      <c r="B999" s="313" t="s">
        <v>19</v>
      </c>
      <c r="C999" s="313" t="s">
        <v>1471</v>
      </c>
      <c r="D999" s="313" t="s">
        <v>26</v>
      </c>
      <c r="E999" s="313" t="s">
        <v>24</v>
      </c>
    </row>
    <row r="1000" spans="1:5" x14ac:dyDescent="0.25">
      <c r="A1000" s="313" t="s">
        <v>425</v>
      </c>
      <c r="B1000" s="313" t="s">
        <v>19</v>
      </c>
      <c r="C1000" s="313" t="s">
        <v>1475</v>
      </c>
      <c r="D1000" s="313" t="s">
        <v>26</v>
      </c>
      <c r="E1000" s="313" t="s">
        <v>24</v>
      </c>
    </row>
    <row r="1001" spans="1:5" x14ac:dyDescent="0.25">
      <c r="A1001" s="313" t="s">
        <v>425</v>
      </c>
      <c r="B1001" s="313" t="s">
        <v>19</v>
      </c>
      <c r="C1001" s="313" t="s">
        <v>20</v>
      </c>
      <c r="D1001" s="313" t="s">
        <v>19</v>
      </c>
      <c r="E1001" s="313" t="s">
        <v>426</v>
      </c>
    </row>
    <row r="1002" spans="1:5" x14ac:dyDescent="0.25">
      <c r="A1002" s="313" t="s">
        <v>425</v>
      </c>
      <c r="B1002" s="313" t="s">
        <v>19</v>
      </c>
      <c r="C1002" s="313" t="s">
        <v>1487</v>
      </c>
      <c r="D1002" s="313" t="s">
        <v>19</v>
      </c>
      <c r="E1002" s="313" t="s">
        <v>426</v>
      </c>
    </row>
    <row r="1003" spans="1:5" x14ac:dyDescent="0.25">
      <c r="A1003" s="313" t="s">
        <v>425</v>
      </c>
      <c r="B1003" s="313" t="s">
        <v>19</v>
      </c>
      <c r="C1003" s="313" t="s">
        <v>1495</v>
      </c>
      <c r="D1003" s="313" t="s">
        <v>35</v>
      </c>
      <c r="E1003" s="313" t="s">
        <v>24</v>
      </c>
    </row>
    <row r="1004" spans="1:5" x14ac:dyDescent="0.25">
      <c r="A1004" s="313" t="s">
        <v>425</v>
      </c>
      <c r="B1004" s="313" t="s">
        <v>26</v>
      </c>
      <c r="C1004" s="313" t="s">
        <v>2929</v>
      </c>
      <c r="D1004" s="313" t="s">
        <v>24</v>
      </c>
      <c r="E1004" s="313" t="s">
        <v>426</v>
      </c>
    </row>
    <row r="1005" spans="1:5" x14ac:dyDescent="0.25">
      <c r="A1005" s="313" t="s">
        <v>425</v>
      </c>
      <c r="B1005" s="313" t="s">
        <v>26</v>
      </c>
      <c r="C1005" s="313" t="s">
        <v>2930</v>
      </c>
      <c r="D1005" s="313" t="s">
        <v>24</v>
      </c>
      <c r="E1005" s="313" t="s">
        <v>35</v>
      </c>
    </row>
    <row r="1006" spans="1:5" x14ac:dyDescent="0.25">
      <c r="A1006" s="313" t="s">
        <v>425</v>
      </c>
      <c r="B1006" s="313" t="s">
        <v>26</v>
      </c>
      <c r="C1006" s="313" t="s">
        <v>1506</v>
      </c>
      <c r="D1006" s="313" t="s">
        <v>24</v>
      </c>
      <c r="E1006" s="313" t="s">
        <v>1577</v>
      </c>
    </row>
    <row r="1007" spans="1:5" x14ac:dyDescent="0.25">
      <c r="A1007" s="313" t="s">
        <v>425</v>
      </c>
      <c r="B1007" s="313" t="s">
        <v>26</v>
      </c>
      <c r="C1007" s="313" t="s">
        <v>1507</v>
      </c>
      <c r="D1007" s="313" t="s">
        <v>24</v>
      </c>
      <c r="E1007" s="313" t="s">
        <v>426</v>
      </c>
    </row>
    <row r="1008" spans="1:5" x14ac:dyDescent="0.25">
      <c r="A1008" s="313" t="s">
        <v>425</v>
      </c>
      <c r="B1008" s="313" t="s">
        <v>26</v>
      </c>
      <c r="C1008" s="313" t="s">
        <v>1508</v>
      </c>
      <c r="D1008" s="313" t="s">
        <v>24</v>
      </c>
      <c r="E1008" s="313" t="s">
        <v>426</v>
      </c>
    </row>
    <row r="1009" spans="1:5" x14ac:dyDescent="0.25">
      <c r="A1009" s="313" t="s">
        <v>429</v>
      </c>
      <c r="B1009" s="313" t="s">
        <v>19</v>
      </c>
      <c r="C1009" s="313" t="s">
        <v>1466</v>
      </c>
      <c r="D1009" s="313" t="s">
        <v>19</v>
      </c>
      <c r="E1009" s="313" t="s">
        <v>46</v>
      </c>
    </row>
    <row r="1010" spans="1:5" x14ac:dyDescent="0.25">
      <c r="A1010" s="313" t="s">
        <v>429</v>
      </c>
      <c r="B1010" s="313" t="s">
        <v>19</v>
      </c>
      <c r="C1010" s="313" t="s">
        <v>1471</v>
      </c>
      <c r="D1010" s="313" t="s">
        <v>26</v>
      </c>
      <c r="E1010" s="313" t="s">
        <v>24</v>
      </c>
    </row>
    <row r="1011" spans="1:5" x14ac:dyDescent="0.25">
      <c r="A1011" s="313" t="s">
        <v>429</v>
      </c>
      <c r="B1011" s="313" t="s">
        <v>19</v>
      </c>
      <c r="C1011" s="313" t="s">
        <v>1475</v>
      </c>
      <c r="D1011" s="313" t="s">
        <v>35</v>
      </c>
      <c r="E1011" s="313" t="s">
        <v>24</v>
      </c>
    </row>
    <row r="1012" spans="1:5" x14ac:dyDescent="0.25">
      <c r="A1012" s="313" t="s">
        <v>429</v>
      </c>
      <c r="B1012" s="313" t="s">
        <v>19</v>
      </c>
      <c r="C1012" s="313" t="s">
        <v>20</v>
      </c>
      <c r="D1012" s="313" t="s">
        <v>19</v>
      </c>
      <c r="E1012" s="313" t="s">
        <v>46</v>
      </c>
    </row>
    <row r="1013" spans="1:5" x14ac:dyDescent="0.25">
      <c r="A1013" s="313" t="s">
        <v>429</v>
      </c>
      <c r="B1013" s="313" t="s">
        <v>19</v>
      </c>
      <c r="C1013" s="313" t="s">
        <v>1487</v>
      </c>
      <c r="D1013" s="313" t="s">
        <v>19</v>
      </c>
      <c r="E1013" s="313" t="s">
        <v>75</v>
      </c>
    </row>
    <row r="1014" spans="1:5" x14ac:dyDescent="0.25">
      <c r="A1014" s="313" t="s">
        <v>429</v>
      </c>
      <c r="B1014" s="313" t="s">
        <v>19</v>
      </c>
      <c r="C1014" s="313" t="s">
        <v>1495</v>
      </c>
      <c r="D1014" s="313" t="s">
        <v>35</v>
      </c>
      <c r="E1014" s="313" t="s">
        <v>24</v>
      </c>
    </row>
    <row r="1015" spans="1:5" x14ac:dyDescent="0.25">
      <c r="A1015" s="313" t="s">
        <v>429</v>
      </c>
      <c r="B1015" s="313" t="s">
        <v>26</v>
      </c>
      <c r="C1015" s="313" t="s">
        <v>2929</v>
      </c>
      <c r="D1015" s="313" t="s">
        <v>24</v>
      </c>
      <c r="E1015" s="313" t="s">
        <v>46</v>
      </c>
    </row>
    <row r="1016" spans="1:5" x14ac:dyDescent="0.25">
      <c r="A1016" s="313" t="s">
        <v>429</v>
      </c>
      <c r="B1016" s="313" t="s">
        <v>26</v>
      </c>
      <c r="C1016" s="313" t="s">
        <v>2930</v>
      </c>
      <c r="D1016" s="313" t="s">
        <v>24</v>
      </c>
      <c r="E1016" s="313" t="s">
        <v>35</v>
      </c>
    </row>
    <row r="1017" spans="1:5" x14ac:dyDescent="0.25">
      <c r="A1017" s="313" t="s">
        <v>430</v>
      </c>
      <c r="B1017" s="313" t="s">
        <v>19</v>
      </c>
      <c r="C1017" s="313" t="s">
        <v>1466</v>
      </c>
      <c r="D1017" s="313" t="s">
        <v>19</v>
      </c>
      <c r="E1017" s="313" t="s">
        <v>46</v>
      </c>
    </row>
    <row r="1018" spans="1:5" x14ac:dyDescent="0.25">
      <c r="A1018" s="313" t="s">
        <v>430</v>
      </c>
      <c r="B1018" s="313" t="s">
        <v>19</v>
      </c>
      <c r="C1018" s="313" t="s">
        <v>1471</v>
      </c>
      <c r="D1018" s="313" t="s">
        <v>35</v>
      </c>
      <c r="E1018" s="313" t="s">
        <v>24</v>
      </c>
    </row>
    <row r="1019" spans="1:5" x14ac:dyDescent="0.25">
      <c r="A1019" s="313" t="s">
        <v>430</v>
      </c>
      <c r="B1019" s="313" t="s">
        <v>19</v>
      </c>
      <c r="C1019" s="313" t="s">
        <v>1475</v>
      </c>
      <c r="D1019" s="313" t="s">
        <v>35</v>
      </c>
      <c r="E1019" s="313" t="s">
        <v>24</v>
      </c>
    </row>
    <row r="1020" spans="1:5" x14ac:dyDescent="0.25">
      <c r="A1020" s="313" t="s">
        <v>430</v>
      </c>
      <c r="B1020" s="313" t="s">
        <v>19</v>
      </c>
      <c r="C1020" s="313" t="s">
        <v>20</v>
      </c>
      <c r="D1020" s="313" t="s">
        <v>35</v>
      </c>
      <c r="E1020" s="313" t="s">
        <v>24</v>
      </c>
    </row>
    <row r="1021" spans="1:5" x14ac:dyDescent="0.25">
      <c r="A1021" s="313" t="s">
        <v>430</v>
      </c>
      <c r="B1021" s="313" t="s">
        <v>19</v>
      </c>
      <c r="C1021" s="313" t="s">
        <v>1487</v>
      </c>
      <c r="D1021" s="313" t="s">
        <v>35</v>
      </c>
      <c r="E1021" s="313" t="s">
        <v>24</v>
      </c>
    </row>
    <row r="1022" spans="1:5" x14ac:dyDescent="0.25">
      <c r="A1022" s="313" t="s">
        <v>430</v>
      </c>
      <c r="B1022" s="313" t="s">
        <v>19</v>
      </c>
      <c r="C1022" s="313" t="s">
        <v>1495</v>
      </c>
      <c r="D1022" s="313" t="s">
        <v>35</v>
      </c>
      <c r="E1022" s="313" t="s">
        <v>24</v>
      </c>
    </row>
    <row r="1023" spans="1:5" x14ac:dyDescent="0.25">
      <c r="A1023" s="313" t="s">
        <v>431</v>
      </c>
      <c r="B1023" s="313" t="s">
        <v>19</v>
      </c>
      <c r="C1023" s="313" t="s">
        <v>1466</v>
      </c>
      <c r="D1023" s="313" t="s">
        <v>19</v>
      </c>
      <c r="E1023" s="313" t="s">
        <v>432</v>
      </c>
    </row>
    <row r="1024" spans="1:5" x14ac:dyDescent="0.25">
      <c r="A1024" s="313" t="s">
        <v>431</v>
      </c>
      <c r="B1024" s="313" t="s">
        <v>19</v>
      </c>
      <c r="C1024" s="313" t="s">
        <v>1471</v>
      </c>
      <c r="D1024" s="313" t="s">
        <v>26</v>
      </c>
      <c r="E1024" s="313" t="s">
        <v>24</v>
      </c>
    </row>
    <row r="1025" spans="1:5" x14ac:dyDescent="0.25">
      <c r="A1025" s="313" t="s">
        <v>431</v>
      </c>
      <c r="B1025" s="313" t="s">
        <v>19</v>
      </c>
      <c r="C1025" s="313" t="s">
        <v>1475</v>
      </c>
      <c r="D1025" s="313" t="s">
        <v>19</v>
      </c>
      <c r="E1025" s="313" t="s">
        <v>46</v>
      </c>
    </row>
    <row r="1026" spans="1:5" x14ac:dyDescent="0.25">
      <c r="A1026" s="313" t="s">
        <v>431</v>
      </c>
      <c r="B1026" s="313" t="s">
        <v>19</v>
      </c>
      <c r="C1026" s="313" t="s">
        <v>20</v>
      </c>
      <c r="D1026" s="313" t="s">
        <v>19</v>
      </c>
      <c r="E1026" s="313" t="s">
        <v>432</v>
      </c>
    </row>
    <row r="1027" spans="1:5" x14ac:dyDescent="0.25">
      <c r="A1027" s="313" t="s">
        <v>431</v>
      </c>
      <c r="B1027" s="313" t="s">
        <v>19</v>
      </c>
      <c r="C1027" s="313" t="s">
        <v>1487</v>
      </c>
      <c r="D1027" s="313" t="s">
        <v>19</v>
      </c>
      <c r="E1027" s="313" t="s">
        <v>432</v>
      </c>
    </row>
    <row r="1028" spans="1:5" x14ac:dyDescent="0.25">
      <c r="A1028" s="313" t="s">
        <v>431</v>
      </c>
      <c r="B1028" s="313" t="s">
        <v>19</v>
      </c>
      <c r="C1028" s="313" t="s">
        <v>1495</v>
      </c>
      <c r="D1028" s="313" t="s">
        <v>35</v>
      </c>
      <c r="E1028" s="313" t="s">
        <v>24</v>
      </c>
    </row>
    <row r="1029" spans="1:5" x14ac:dyDescent="0.25">
      <c r="A1029" s="313" t="s">
        <v>431</v>
      </c>
      <c r="B1029" s="313" t="s">
        <v>26</v>
      </c>
      <c r="C1029" s="313" t="s">
        <v>2929</v>
      </c>
      <c r="D1029" s="313" t="s">
        <v>24</v>
      </c>
      <c r="E1029" s="313" t="s">
        <v>432</v>
      </c>
    </row>
    <row r="1030" spans="1:5" x14ac:dyDescent="0.25">
      <c r="A1030" s="313" t="s">
        <v>431</v>
      </c>
      <c r="B1030" s="313" t="s">
        <v>26</v>
      </c>
      <c r="C1030" s="313" t="s">
        <v>2930</v>
      </c>
      <c r="D1030" s="313" t="s">
        <v>24</v>
      </c>
      <c r="E1030" s="313" t="s">
        <v>35</v>
      </c>
    </row>
    <row r="1031" spans="1:5" x14ac:dyDescent="0.25">
      <c r="A1031" s="313" t="s">
        <v>437</v>
      </c>
      <c r="B1031" s="313" t="s">
        <v>51</v>
      </c>
      <c r="C1031" s="313" t="s">
        <v>24</v>
      </c>
      <c r="D1031" s="313" t="s">
        <v>24</v>
      </c>
      <c r="E1031" s="313" t="s">
        <v>438</v>
      </c>
    </row>
    <row r="1032" spans="1:5" x14ac:dyDescent="0.25">
      <c r="A1032" s="313" t="s">
        <v>437</v>
      </c>
      <c r="B1032" s="313" t="s">
        <v>19</v>
      </c>
      <c r="C1032" s="313" t="s">
        <v>1466</v>
      </c>
      <c r="D1032" s="313" t="s">
        <v>51</v>
      </c>
      <c r="E1032" s="313" t="s">
        <v>24</v>
      </c>
    </row>
    <row r="1033" spans="1:5" x14ac:dyDescent="0.25">
      <c r="A1033" s="313" t="s">
        <v>437</v>
      </c>
      <c r="B1033" s="313" t="s">
        <v>19</v>
      </c>
      <c r="C1033" s="313" t="s">
        <v>1471</v>
      </c>
      <c r="D1033" s="313" t="s">
        <v>51</v>
      </c>
      <c r="E1033" s="313" t="s">
        <v>24</v>
      </c>
    </row>
    <row r="1034" spans="1:5" x14ac:dyDescent="0.25">
      <c r="A1034" s="313" t="s">
        <v>437</v>
      </c>
      <c r="B1034" s="313" t="s">
        <v>19</v>
      </c>
      <c r="C1034" s="313" t="s">
        <v>1475</v>
      </c>
      <c r="D1034" s="313" t="s">
        <v>51</v>
      </c>
      <c r="E1034" s="313" t="s">
        <v>24</v>
      </c>
    </row>
    <row r="1035" spans="1:5" x14ac:dyDescent="0.25">
      <c r="A1035" s="313" t="s">
        <v>437</v>
      </c>
      <c r="B1035" s="313" t="s">
        <v>19</v>
      </c>
      <c r="C1035" s="313" t="s">
        <v>20</v>
      </c>
      <c r="D1035" s="313" t="s">
        <v>51</v>
      </c>
      <c r="E1035" s="313" t="s">
        <v>24</v>
      </c>
    </row>
    <row r="1036" spans="1:5" x14ac:dyDescent="0.25">
      <c r="A1036" s="313" t="s">
        <v>437</v>
      </c>
      <c r="B1036" s="313" t="s">
        <v>19</v>
      </c>
      <c r="C1036" s="313" t="s">
        <v>1487</v>
      </c>
      <c r="D1036" s="313" t="s">
        <v>51</v>
      </c>
      <c r="E1036" s="313" t="s">
        <v>24</v>
      </c>
    </row>
    <row r="1037" spans="1:5" x14ac:dyDescent="0.25">
      <c r="A1037" s="313" t="s">
        <v>437</v>
      </c>
      <c r="B1037" s="313" t="s">
        <v>19</v>
      </c>
      <c r="C1037" s="313" t="s">
        <v>1495</v>
      </c>
      <c r="D1037" s="313" t="s">
        <v>51</v>
      </c>
      <c r="E1037" s="313" t="s">
        <v>24</v>
      </c>
    </row>
    <row r="1038" spans="1:5" x14ac:dyDescent="0.25">
      <c r="A1038" s="313" t="s">
        <v>441</v>
      </c>
      <c r="B1038" s="313" t="s">
        <v>19</v>
      </c>
      <c r="C1038" s="313" t="s">
        <v>1466</v>
      </c>
      <c r="D1038" s="313" t="s">
        <v>19</v>
      </c>
      <c r="E1038" s="313" t="s">
        <v>1578</v>
      </c>
    </row>
    <row r="1039" spans="1:5" x14ac:dyDescent="0.25">
      <c r="A1039" s="313" t="s">
        <v>441</v>
      </c>
      <c r="B1039" s="313" t="s">
        <v>19</v>
      </c>
      <c r="C1039" s="313" t="s">
        <v>1471</v>
      </c>
      <c r="D1039" s="313" t="s">
        <v>26</v>
      </c>
      <c r="E1039" s="313" t="s">
        <v>24</v>
      </c>
    </row>
    <row r="1040" spans="1:5" x14ac:dyDescent="0.25">
      <c r="A1040" s="313" t="s">
        <v>441</v>
      </c>
      <c r="B1040" s="313" t="s">
        <v>19</v>
      </c>
      <c r="C1040" s="313" t="s">
        <v>1475</v>
      </c>
      <c r="D1040" s="313" t="s">
        <v>35</v>
      </c>
      <c r="E1040" s="313" t="s">
        <v>24</v>
      </c>
    </row>
    <row r="1041" spans="1:5" x14ac:dyDescent="0.25">
      <c r="A1041" s="313" t="s">
        <v>441</v>
      </c>
      <c r="B1041" s="313" t="s">
        <v>19</v>
      </c>
      <c r="C1041" s="313" t="s">
        <v>20</v>
      </c>
      <c r="D1041" s="313" t="s">
        <v>35</v>
      </c>
      <c r="E1041" s="313" t="s">
        <v>24</v>
      </c>
    </row>
    <row r="1042" spans="1:5" x14ac:dyDescent="0.25">
      <c r="A1042" s="313" t="s">
        <v>441</v>
      </c>
      <c r="B1042" s="313" t="s">
        <v>19</v>
      </c>
      <c r="C1042" s="313" t="s">
        <v>1487</v>
      </c>
      <c r="D1042" s="313" t="s">
        <v>19</v>
      </c>
      <c r="E1042" s="313" t="s">
        <v>1579</v>
      </c>
    </row>
    <row r="1043" spans="1:5" x14ac:dyDescent="0.25">
      <c r="A1043" s="313" t="s">
        <v>441</v>
      </c>
      <c r="B1043" s="313" t="s">
        <v>19</v>
      </c>
      <c r="C1043" s="313" t="s">
        <v>1495</v>
      </c>
      <c r="D1043" s="313" t="s">
        <v>35</v>
      </c>
      <c r="E1043" s="313" t="s">
        <v>24</v>
      </c>
    </row>
    <row r="1044" spans="1:5" x14ac:dyDescent="0.25">
      <c r="A1044" s="313" t="s">
        <v>441</v>
      </c>
      <c r="B1044" s="313" t="s">
        <v>26</v>
      </c>
      <c r="C1044" s="313" t="s">
        <v>2929</v>
      </c>
      <c r="D1044" s="313" t="s">
        <v>24</v>
      </c>
      <c r="E1044" s="313" t="s">
        <v>1579</v>
      </c>
    </row>
    <row r="1045" spans="1:5" x14ac:dyDescent="0.25">
      <c r="A1045" s="313" t="s">
        <v>441</v>
      </c>
      <c r="B1045" s="313" t="s">
        <v>26</v>
      </c>
      <c r="C1045" s="313" t="s">
        <v>2930</v>
      </c>
      <c r="D1045" s="313" t="s">
        <v>24</v>
      </c>
      <c r="E1045" s="313" t="s">
        <v>35</v>
      </c>
    </row>
    <row r="1046" spans="1:5" x14ac:dyDescent="0.25">
      <c r="A1046" s="313" t="s">
        <v>444</v>
      </c>
      <c r="B1046" s="313" t="s">
        <v>19</v>
      </c>
      <c r="C1046" s="313" t="s">
        <v>1466</v>
      </c>
      <c r="D1046" s="313" t="s">
        <v>35</v>
      </c>
      <c r="E1046" s="313" t="s">
        <v>24</v>
      </c>
    </row>
    <row r="1047" spans="1:5" x14ac:dyDescent="0.25">
      <c r="A1047" s="313" t="s">
        <v>444</v>
      </c>
      <c r="B1047" s="313" t="s">
        <v>19</v>
      </c>
      <c r="C1047" s="313" t="s">
        <v>1471</v>
      </c>
      <c r="D1047" s="313" t="s">
        <v>35</v>
      </c>
      <c r="E1047" s="313" t="s">
        <v>24</v>
      </c>
    </row>
    <row r="1048" spans="1:5" x14ac:dyDescent="0.25">
      <c r="A1048" s="313" t="s">
        <v>444</v>
      </c>
      <c r="B1048" s="313" t="s">
        <v>19</v>
      </c>
      <c r="C1048" s="313" t="s">
        <v>1475</v>
      </c>
      <c r="D1048" s="313" t="s">
        <v>35</v>
      </c>
      <c r="E1048" s="313" t="s">
        <v>24</v>
      </c>
    </row>
    <row r="1049" spans="1:5" x14ac:dyDescent="0.25">
      <c r="A1049" s="313" t="s">
        <v>444</v>
      </c>
      <c r="B1049" s="313" t="s">
        <v>19</v>
      </c>
      <c r="C1049" s="313" t="s">
        <v>20</v>
      </c>
      <c r="D1049" s="313" t="s">
        <v>35</v>
      </c>
      <c r="E1049" s="313" t="s">
        <v>24</v>
      </c>
    </row>
    <row r="1050" spans="1:5" x14ac:dyDescent="0.25">
      <c r="A1050" s="313" t="s">
        <v>444</v>
      </c>
      <c r="B1050" s="313" t="s">
        <v>19</v>
      </c>
      <c r="C1050" s="313" t="s">
        <v>1487</v>
      </c>
      <c r="D1050" s="313" t="s">
        <v>35</v>
      </c>
      <c r="E1050" s="313" t="s">
        <v>24</v>
      </c>
    </row>
    <row r="1051" spans="1:5" x14ac:dyDescent="0.25">
      <c r="A1051" s="313" t="s">
        <v>444</v>
      </c>
      <c r="B1051" s="313" t="s">
        <v>19</v>
      </c>
      <c r="C1051" s="313" t="s">
        <v>1495</v>
      </c>
      <c r="D1051" s="313" t="s">
        <v>35</v>
      </c>
      <c r="E1051" s="313" t="s">
        <v>24</v>
      </c>
    </row>
    <row r="1052" spans="1:5" x14ac:dyDescent="0.25">
      <c r="A1052" s="313" t="s">
        <v>446</v>
      </c>
      <c r="B1052" s="313" t="s">
        <v>19</v>
      </c>
      <c r="C1052" s="313" t="s">
        <v>1466</v>
      </c>
      <c r="D1052" s="313" t="s">
        <v>35</v>
      </c>
      <c r="E1052" s="313" t="s">
        <v>24</v>
      </c>
    </row>
    <row r="1053" spans="1:5" x14ac:dyDescent="0.25">
      <c r="A1053" s="313" t="s">
        <v>446</v>
      </c>
      <c r="B1053" s="313" t="s">
        <v>19</v>
      </c>
      <c r="C1053" s="313" t="s">
        <v>1471</v>
      </c>
      <c r="D1053" s="313" t="s">
        <v>35</v>
      </c>
      <c r="E1053" s="313" t="s">
        <v>24</v>
      </c>
    </row>
    <row r="1054" spans="1:5" x14ac:dyDescent="0.25">
      <c r="A1054" s="313" t="s">
        <v>446</v>
      </c>
      <c r="B1054" s="313" t="s">
        <v>19</v>
      </c>
      <c r="C1054" s="313" t="s">
        <v>1475</v>
      </c>
      <c r="D1054" s="313" t="s">
        <v>35</v>
      </c>
      <c r="E1054" s="313" t="s">
        <v>24</v>
      </c>
    </row>
    <row r="1055" spans="1:5" x14ac:dyDescent="0.25">
      <c r="A1055" s="313" t="s">
        <v>446</v>
      </c>
      <c r="B1055" s="313" t="s">
        <v>19</v>
      </c>
      <c r="C1055" s="313" t="s">
        <v>20</v>
      </c>
      <c r="D1055" s="313" t="s">
        <v>35</v>
      </c>
      <c r="E1055" s="313" t="s">
        <v>24</v>
      </c>
    </row>
    <row r="1056" spans="1:5" x14ac:dyDescent="0.25">
      <c r="A1056" s="313" t="s">
        <v>446</v>
      </c>
      <c r="B1056" s="313" t="s">
        <v>19</v>
      </c>
      <c r="C1056" s="313" t="s">
        <v>1487</v>
      </c>
      <c r="D1056" s="313" t="s">
        <v>35</v>
      </c>
      <c r="E1056" s="313" t="s">
        <v>24</v>
      </c>
    </row>
    <row r="1057" spans="1:5" x14ac:dyDescent="0.25">
      <c r="A1057" s="313" t="s">
        <v>446</v>
      </c>
      <c r="B1057" s="313" t="s">
        <v>19</v>
      </c>
      <c r="C1057" s="313" t="s">
        <v>1495</v>
      </c>
      <c r="D1057" s="313" t="s">
        <v>35</v>
      </c>
      <c r="E1057" s="313" t="s">
        <v>24</v>
      </c>
    </row>
    <row r="1058" spans="1:5" x14ac:dyDescent="0.25">
      <c r="A1058" s="313" t="s">
        <v>448</v>
      </c>
      <c r="B1058" s="313" t="s">
        <v>19</v>
      </c>
      <c r="C1058" s="313" t="s">
        <v>1466</v>
      </c>
      <c r="D1058" s="313" t="s">
        <v>19</v>
      </c>
      <c r="E1058" s="313" t="s">
        <v>273</v>
      </c>
    </row>
    <row r="1059" spans="1:5" x14ac:dyDescent="0.25">
      <c r="A1059" s="313" t="s">
        <v>448</v>
      </c>
      <c r="B1059" s="313" t="s">
        <v>19</v>
      </c>
      <c r="C1059" s="313" t="s">
        <v>1471</v>
      </c>
      <c r="D1059" s="313" t="s">
        <v>26</v>
      </c>
      <c r="E1059" s="313" t="s">
        <v>24</v>
      </c>
    </row>
    <row r="1060" spans="1:5" x14ac:dyDescent="0.25">
      <c r="A1060" s="313" t="s">
        <v>448</v>
      </c>
      <c r="B1060" s="313" t="s">
        <v>19</v>
      </c>
      <c r="C1060" s="313" t="s">
        <v>1475</v>
      </c>
      <c r="D1060" s="313" t="s">
        <v>26</v>
      </c>
      <c r="E1060" s="313" t="s">
        <v>24</v>
      </c>
    </row>
    <row r="1061" spans="1:5" x14ac:dyDescent="0.25">
      <c r="A1061" s="313" t="s">
        <v>448</v>
      </c>
      <c r="B1061" s="313" t="s">
        <v>19</v>
      </c>
      <c r="C1061" s="313" t="s">
        <v>20</v>
      </c>
      <c r="D1061" s="313" t="s">
        <v>19</v>
      </c>
      <c r="E1061" s="313" t="s">
        <v>273</v>
      </c>
    </row>
    <row r="1062" spans="1:5" x14ac:dyDescent="0.25">
      <c r="A1062" s="313" t="s">
        <v>448</v>
      </c>
      <c r="B1062" s="313" t="s">
        <v>19</v>
      </c>
      <c r="C1062" s="313" t="s">
        <v>1487</v>
      </c>
      <c r="D1062" s="313" t="s">
        <v>19</v>
      </c>
      <c r="E1062" s="313" t="s">
        <v>1581</v>
      </c>
    </row>
    <row r="1063" spans="1:5" x14ac:dyDescent="0.25">
      <c r="A1063" s="313" t="s">
        <v>448</v>
      </c>
      <c r="B1063" s="313" t="s">
        <v>19</v>
      </c>
      <c r="C1063" s="313" t="s">
        <v>1495</v>
      </c>
      <c r="D1063" s="313" t="s">
        <v>35</v>
      </c>
      <c r="E1063" s="313" t="s">
        <v>24</v>
      </c>
    </row>
    <row r="1064" spans="1:5" x14ac:dyDescent="0.25">
      <c r="A1064" s="313" t="s">
        <v>448</v>
      </c>
      <c r="B1064" s="313" t="s">
        <v>26</v>
      </c>
      <c r="C1064" s="313" t="s">
        <v>2929</v>
      </c>
      <c r="D1064" s="313" t="s">
        <v>24</v>
      </c>
      <c r="E1064" s="313" t="s">
        <v>273</v>
      </c>
    </row>
    <row r="1065" spans="1:5" x14ac:dyDescent="0.25">
      <c r="A1065" s="313" t="s">
        <v>448</v>
      </c>
      <c r="B1065" s="313" t="s">
        <v>26</v>
      </c>
      <c r="C1065" s="313" t="s">
        <v>2930</v>
      </c>
      <c r="D1065" s="313" t="s">
        <v>24</v>
      </c>
      <c r="E1065" s="313" t="s">
        <v>35</v>
      </c>
    </row>
    <row r="1066" spans="1:5" x14ac:dyDescent="0.25">
      <c r="A1066" s="313" t="s">
        <v>448</v>
      </c>
      <c r="B1066" s="313" t="s">
        <v>26</v>
      </c>
      <c r="C1066" s="313" t="s">
        <v>1506</v>
      </c>
      <c r="D1066" s="313" t="s">
        <v>24</v>
      </c>
      <c r="E1066" s="313" t="s">
        <v>1580</v>
      </c>
    </row>
    <row r="1067" spans="1:5" x14ac:dyDescent="0.25">
      <c r="A1067" s="313" t="s">
        <v>448</v>
      </c>
      <c r="B1067" s="313" t="s">
        <v>26</v>
      </c>
      <c r="C1067" s="313" t="s">
        <v>1507</v>
      </c>
      <c r="D1067" s="313" t="s">
        <v>24</v>
      </c>
      <c r="E1067" s="313" t="s">
        <v>273</v>
      </c>
    </row>
    <row r="1068" spans="1:5" x14ac:dyDescent="0.25">
      <c r="A1068" s="313" t="s">
        <v>448</v>
      </c>
      <c r="B1068" s="313" t="s">
        <v>26</v>
      </c>
      <c r="C1068" s="313" t="s">
        <v>1508</v>
      </c>
      <c r="D1068" s="313" t="s">
        <v>24</v>
      </c>
      <c r="E1068" s="313" t="s">
        <v>273</v>
      </c>
    </row>
    <row r="1069" spans="1:5" x14ac:dyDescent="0.25">
      <c r="A1069" s="313" t="s">
        <v>451</v>
      </c>
      <c r="B1069" s="313" t="s">
        <v>19</v>
      </c>
      <c r="C1069" s="313" t="s">
        <v>1466</v>
      </c>
      <c r="D1069" s="313" t="s">
        <v>35</v>
      </c>
      <c r="E1069" s="313" t="s">
        <v>24</v>
      </c>
    </row>
    <row r="1070" spans="1:5" x14ac:dyDescent="0.25">
      <c r="A1070" s="313" t="s">
        <v>451</v>
      </c>
      <c r="B1070" s="313" t="s">
        <v>19</v>
      </c>
      <c r="C1070" s="313" t="s">
        <v>1471</v>
      </c>
      <c r="D1070" s="313" t="s">
        <v>35</v>
      </c>
      <c r="E1070" s="313" t="s">
        <v>24</v>
      </c>
    </row>
    <row r="1071" spans="1:5" x14ac:dyDescent="0.25">
      <c r="A1071" s="313" t="s">
        <v>451</v>
      </c>
      <c r="B1071" s="313" t="s">
        <v>19</v>
      </c>
      <c r="C1071" s="313" t="s">
        <v>1475</v>
      </c>
      <c r="D1071" s="313" t="s">
        <v>35</v>
      </c>
      <c r="E1071" s="313" t="s">
        <v>24</v>
      </c>
    </row>
    <row r="1072" spans="1:5" x14ac:dyDescent="0.25">
      <c r="A1072" s="313" t="s">
        <v>451</v>
      </c>
      <c r="B1072" s="313" t="s">
        <v>19</v>
      </c>
      <c r="C1072" s="313" t="s">
        <v>20</v>
      </c>
      <c r="D1072" s="313" t="s">
        <v>35</v>
      </c>
      <c r="E1072" s="313" t="s">
        <v>24</v>
      </c>
    </row>
    <row r="1073" spans="1:5" x14ac:dyDescent="0.25">
      <c r="A1073" s="313" t="s">
        <v>451</v>
      </c>
      <c r="B1073" s="313" t="s">
        <v>19</v>
      </c>
      <c r="C1073" s="313" t="s">
        <v>1487</v>
      </c>
      <c r="D1073" s="313" t="s">
        <v>35</v>
      </c>
      <c r="E1073" s="313" t="s">
        <v>24</v>
      </c>
    </row>
    <row r="1074" spans="1:5" x14ac:dyDescent="0.25">
      <c r="A1074" s="313" t="s">
        <v>451</v>
      </c>
      <c r="B1074" s="313" t="s">
        <v>19</v>
      </c>
      <c r="C1074" s="313" t="s">
        <v>1495</v>
      </c>
      <c r="D1074" s="313" t="s">
        <v>35</v>
      </c>
      <c r="E1074" s="313" t="s">
        <v>24</v>
      </c>
    </row>
    <row r="1075" spans="1:5" x14ac:dyDescent="0.25">
      <c r="A1075" s="313" t="s">
        <v>453</v>
      </c>
      <c r="B1075" s="313" t="s">
        <v>19</v>
      </c>
      <c r="C1075" s="313" t="s">
        <v>1466</v>
      </c>
      <c r="D1075" s="313" t="s">
        <v>35</v>
      </c>
      <c r="E1075" s="313" t="s">
        <v>24</v>
      </c>
    </row>
    <row r="1076" spans="1:5" x14ac:dyDescent="0.25">
      <c r="A1076" s="313" t="s">
        <v>453</v>
      </c>
      <c r="B1076" s="313" t="s">
        <v>19</v>
      </c>
      <c r="C1076" s="313" t="s">
        <v>1471</v>
      </c>
      <c r="D1076" s="313" t="s">
        <v>35</v>
      </c>
      <c r="E1076" s="313" t="s">
        <v>24</v>
      </c>
    </row>
    <row r="1077" spans="1:5" x14ac:dyDescent="0.25">
      <c r="A1077" s="313" t="s">
        <v>453</v>
      </c>
      <c r="B1077" s="313" t="s">
        <v>19</v>
      </c>
      <c r="C1077" s="313" t="s">
        <v>1475</v>
      </c>
      <c r="D1077" s="313" t="s">
        <v>35</v>
      </c>
      <c r="E1077" s="313" t="s">
        <v>24</v>
      </c>
    </row>
    <row r="1078" spans="1:5" x14ac:dyDescent="0.25">
      <c r="A1078" s="313" t="s">
        <v>453</v>
      </c>
      <c r="B1078" s="313" t="s">
        <v>19</v>
      </c>
      <c r="C1078" s="313" t="s">
        <v>20</v>
      </c>
      <c r="D1078" s="313" t="s">
        <v>35</v>
      </c>
      <c r="E1078" s="313" t="s">
        <v>24</v>
      </c>
    </row>
    <row r="1079" spans="1:5" x14ac:dyDescent="0.25">
      <c r="A1079" s="313" t="s">
        <v>453</v>
      </c>
      <c r="B1079" s="313" t="s">
        <v>19</v>
      </c>
      <c r="C1079" s="313" t="s">
        <v>1487</v>
      </c>
      <c r="D1079" s="313" t="s">
        <v>35</v>
      </c>
      <c r="E1079" s="313" t="s">
        <v>24</v>
      </c>
    </row>
    <row r="1080" spans="1:5" x14ac:dyDescent="0.25">
      <c r="A1080" s="313" t="s">
        <v>453</v>
      </c>
      <c r="B1080" s="313" t="s">
        <v>19</v>
      </c>
      <c r="C1080" s="313" t="s">
        <v>1495</v>
      </c>
      <c r="D1080" s="313" t="s">
        <v>35</v>
      </c>
      <c r="E1080" s="313" t="s">
        <v>24</v>
      </c>
    </row>
    <row r="1081" spans="1:5" x14ac:dyDescent="0.25">
      <c r="A1081" s="313" t="s">
        <v>453</v>
      </c>
      <c r="B1081" s="313" t="s">
        <v>26</v>
      </c>
      <c r="C1081" s="313" t="s">
        <v>1514</v>
      </c>
      <c r="D1081" s="313" t="s">
        <v>24</v>
      </c>
      <c r="E1081" s="313" t="s">
        <v>1582</v>
      </c>
    </row>
    <row r="1082" spans="1:5" x14ac:dyDescent="0.25">
      <c r="A1082" s="313" t="s">
        <v>453</v>
      </c>
      <c r="B1082" s="313" t="s">
        <v>26</v>
      </c>
      <c r="C1082" s="313" t="s">
        <v>1515</v>
      </c>
      <c r="D1082" s="313" t="s">
        <v>24</v>
      </c>
      <c r="E1082" s="313" t="s">
        <v>1583</v>
      </c>
    </row>
    <row r="1083" spans="1:5" x14ac:dyDescent="0.25">
      <c r="A1083" s="313" t="s">
        <v>453</v>
      </c>
      <c r="B1083" s="313" t="s">
        <v>26</v>
      </c>
      <c r="C1083" s="313" t="s">
        <v>1516</v>
      </c>
      <c r="D1083" s="313" t="s">
        <v>24</v>
      </c>
      <c r="E1083" s="313" t="s">
        <v>1582</v>
      </c>
    </row>
    <row r="1084" spans="1:5" x14ac:dyDescent="0.25">
      <c r="A1084" s="313" t="s">
        <v>453</v>
      </c>
      <c r="B1084" s="313" t="s">
        <v>26</v>
      </c>
      <c r="C1084" s="313" t="s">
        <v>1517</v>
      </c>
      <c r="D1084" s="313" t="s">
        <v>24</v>
      </c>
      <c r="E1084" s="313" t="s">
        <v>1584</v>
      </c>
    </row>
    <row r="1085" spans="1:5" x14ac:dyDescent="0.25">
      <c r="A1085" s="313" t="s">
        <v>453</v>
      </c>
      <c r="B1085" s="313" t="s">
        <v>26</v>
      </c>
      <c r="C1085" s="313" t="s">
        <v>1518</v>
      </c>
      <c r="D1085" s="313" t="s">
        <v>24</v>
      </c>
      <c r="E1085" s="313" t="s">
        <v>1582</v>
      </c>
    </row>
    <row r="1086" spans="1:5" x14ac:dyDescent="0.25">
      <c r="A1086" s="313" t="s">
        <v>453</v>
      </c>
      <c r="B1086" s="313" t="s">
        <v>26</v>
      </c>
      <c r="C1086" s="313" t="s">
        <v>1519</v>
      </c>
      <c r="D1086" s="313" t="s">
        <v>24</v>
      </c>
      <c r="E1086" s="313" t="s">
        <v>1582</v>
      </c>
    </row>
    <row r="1087" spans="1:5" x14ac:dyDescent="0.25">
      <c r="A1087" s="313" t="s">
        <v>458</v>
      </c>
      <c r="B1087" s="313" t="s">
        <v>51</v>
      </c>
      <c r="C1087" s="313" t="s">
        <v>24</v>
      </c>
      <c r="D1087" s="313" t="s">
        <v>24</v>
      </c>
      <c r="E1087" s="313" t="s">
        <v>459</v>
      </c>
    </row>
    <row r="1088" spans="1:5" x14ac:dyDescent="0.25">
      <c r="A1088" s="313" t="s">
        <v>458</v>
      </c>
      <c r="B1088" s="313" t="s">
        <v>19</v>
      </c>
      <c r="C1088" s="313" t="s">
        <v>1466</v>
      </c>
      <c r="D1088" s="313" t="s">
        <v>51</v>
      </c>
      <c r="E1088" s="313" t="s">
        <v>24</v>
      </c>
    </row>
    <row r="1089" spans="1:5" x14ac:dyDescent="0.25">
      <c r="A1089" s="313" t="s">
        <v>458</v>
      </c>
      <c r="B1089" s="313" t="s">
        <v>19</v>
      </c>
      <c r="C1089" s="313" t="s">
        <v>1471</v>
      </c>
      <c r="D1089" s="313" t="s">
        <v>51</v>
      </c>
      <c r="E1089" s="313" t="s">
        <v>24</v>
      </c>
    </row>
    <row r="1090" spans="1:5" x14ac:dyDescent="0.25">
      <c r="A1090" s="313" t="s">
        <v>458</v>
      </c>
      <c r="B1090" s="313" t="s">
        <v>19</v>
      </c>
      <c r="C1090" s="313" t="s">
        <v>1475</v>
      </c>
      <c r="D1090" s="313" t="s">
        <v>51</v>
      </c>
      <c r="E1090" s="313" t="s">
        <v>24</v>
      </c>
    </row>
    <row r="1091" spans="1:5" x14ac:dyDescent="0.25">
      <c r="A1091" s="313" t="s">
        <v>458</v>
      </c>
      <c r="B1091" s="313" t="s">
        <v>19</v>
      </c>
      <c r="C1091" s="313" t="s">
        <v>20</v>
      </c>
      <c r="D1091" s="313" t="s">
        <v>51</v>
      </c>
      <c r="E1091" s="313" t="s">
        <v>24</v>
      </c>
    </row>
    <row r="1092" spans="1:5" x14ac:dyDescent="0.25">
      <c r="A1092" s="313" t="s">
        <v>458</v>
      </c>
      <c r="B1092" s="313" t="s">
        <v>19</v>
      </c>
      <c r="C1092" s="313" t="s">
        <v>1487</v>
      </c>
      <c r="D1092" s="313" t="s">
        <v>51</v>
      </c>
      <c r="E1092" s="313" t="s">
        <v>24</v>
      </c>
    </row>
    <row r="1093" spans="1:5" x14ac:dyDescent="0.25">
      <c r="A1093" s="313" t="s">
        <v>458</v>
      </c>
      <c r="B1093" s="313" t="s">
        <v>19</v>
      </c>
      <c r="C1093" s="313" t="s">
        <v>1495</v>
      </c>
      <c r="D1093" s="313" t="s">
        <v>51</v>
      </c>
      <c r="E1093" s="313" t="s">
        <v>24</v>
      </c>
    </row>
    <row r="1094" spans="1:5" x14ac:dyDescent="0.25">
      <c r="A1094" s="313" t="s">
        <v>462</v>
      </c>
      <c r="B1094" s="313" t="s">
        <v>19</v>
      </c>
      <c r="C1094" s="313" t="s">
        <v>1466</v>
      </c>
      <c r="D1094" s="313" t="s">
        <v>35</v>
      </c>
      <c r="E1094" s="313" t="s">
        <v>24</v>
      </c>
    </row>
    <row r="1095" spans="1:5" x14ac:dyDescent="0.25">
      <c r="A1095" s="313" t="s">
        <v>462</v>
      </c>
      <c r="B1095" s="313" t="s">
        <v>19</v>
      </c>
      <c r="C1095" s="313" t="s">
        <v>1471</v>
      </c>
      <c r="D1095" s="313" t="s">
        <v>35</v>
      </c>
      <c r="E1095" s="313" t="s">
        <v>24</v>
      </c>
    </row>
    <row r="1096" spans="1:5" x14ac:dyDescent="0.25">
      <c r="A1096" s="313" t="s">
        <v>462</v>
      </c>
      <c r="B1096" s="313" t="s">
        <v>19</v>
      </c>
      <c r="C1096" s="313" t="s">
        <v>1475</v>
      </c>
      <c r="D1096" s="313" t="s">
        <v>35</v>
      </c>
      <c r="E1096" s="313" t="s">
        <v>24</v>
      </c>
    </row>
    <row r="1097" spans="1:5" x14ac:dyDescent="0.25">
      <c r="A1097" s="313" t="s">
        <v>462</v>
      </c>
      <c r="B1097" s="313" t="s">
        <v>19</v>
      </c>
      <c r="C1097" s="313" t="s">
        <v>20</v>
      </c>
      <c r="D1097" s="313" t="s">
        <v>35</v>
      </c>
      <c r="E1097" s="313" t="s">
        <v>24</v>
      </c>
    </row>
    <row r="1098" spans="1:5" x14ac:dyDescent="0.25">
      <c r="A1098" s="313" t="s">
        <v>462</v>
      </c>
      <c r="B1098" s="313" t="s">
        <v>19</v>
      </c>
      <c r="C1098" s="313" t="s">
        <v>1487</v>
      </c>
      <c r="D1098" s="313" t="s">
        <v>35</v>
      </c>
      <c r="E1098" s="313" t="s">
        <v>24</v>
      </c>
    </row>
    <row r="1099" spans="1:5" x14ac:dyDescent="0.25">
      <c r="A1099" s="313" t="s">
        <v>462</v>
      </c>
      <c r="B1099" s="313" t="s">
        <v>19</v>
      </c>
      <c r="C1099" s="313" t="s">
        <v>1495</v>
      </c>
      <c r="D1099" s="313" t="s">
        <v>35</v>
      </c>
      <c r="E1099" s="313" t="s">
        <v>24</v>
      </c>
    </row>
    <row r="1100" spans="1:5" x14ac:dyDescent="0.25">
      <c r="A1100" s="313" t="s">
        <v>464</v>
      </c>
      <c r="B1100" s="313" t="s">
        <v>51</v>
      </c>
      <c r="C1100" s="313" t="s">
        <v>24</v>
      </c>
      <c r="D1100" s="313" t="s">
        <v>24</v>
      </c>
      <c r="E1100" s="313" t="s">
        <v>465</v>
      </c>
    </row>
    <row r="1101" spans="1:5" x14ac:dyDescent="0.25">
      <c r="A1101" s="313" t="s">
        <v>464</v>
      </c>
      <c r="B1101" s="313" t="s">
        <v>19</v>
      </c>
      <c r="C1101" s="313" t="s">
        <v>1466</v>
      </c>
      <c r="D1101" s="313" t="s">
        <v>51</v>
      </c>
      <c r="E1101" s="313" t="s">
        <v>24</v>
      </c>
    </row>
    <row r="1102" spans="1:5" x14ac:dyDescent="0.25">
      <c r="A1102" s="313" t="s">
        <v>464</v>
      </c>
      <c r="B1102" s="313" t="s">
        <v>19</v>
      </c>
      <c r="C1102" s="313" t="s">
        <v>1471</v>
      </c>
      <c r="D1102" s="313" t="s">
        <v>51</v>
      </c>
      <c r="E1102" s="313" t="s">
        <v>24</v>
      </c>
    </row>
    <row r="1103" spans="1:5" x14ac:dyDescent="0.25">
      <c r="A1103" s="313" t="s">
        <v>464</v>
      </c>
      <c r="B1103" s="313" t="s">
        <v>19</v>
      </c>
      <c r="C1103" s="313" t="s">
        <v>1475</v>
      </c>
      <c r="D1103" s="313" t="s">
        <v>51</v>
      </c>
      <c r="E1103" s="313" t="s">
        <v>24</v>
      </c>
    </row>
    <row r="1104" spans="1:5" x14ac:dyDescent="0.25">
      <c r="A1104" s="313" t="s">
        <v>464</v>
      </c>
      <c r="B1104" s="313" t="s">
        <v>19</v>
      </c>
      <c r="C1104" s="313" t="s">
        <v>20</v>
      </c>
      <c r="D1104" s="313" t="s">
        <v>51</v>
      </c>
      <c r="E1104" s="313" t="s">
        <v>24</v>
      </c>
    </row>
    <row r="1105" spans="1:5" x14ac:dyDescent="0.25">
      <c r="A1105" s="313" t="s">
        <v>464</v>
      </c>
      <c r="B1105" s="313" t="s">
        <v>19</v>
      </c>
      <c r="C1105" s="313" t="s">
        <v>1487</v>
      </c>
      <c r="D1105" s="313" t="s">
        <v>51</v>
      </c>
      <c r="E1105" s="313" t="s">
        <v>24</v>
      </c>
    </row>
    <row r="1106" spans="1:5" x14ac:dyDescent="0.25">
      <c r="A1106" s="313" t="s">
        <v>464</v>
      </c>
      <c r="B1106" s="313" t="s">
        <v>19</v>
      </c>
      <c r="C1106" s="313" t="s">
        <v>1495</v>
      </c>
      <c r="D1106" s="313" t="s">
        <v>51</v>
      </c>
      <c r="E1106" s="313" t="s">
        <v>24</v>
      </c>
    </row>
    <row r="1107" spans="1:5" x14ac:dyDescent="0.25">
      <c r="A1107" s="313" t="s">
        <v>468</v>
      </c>
      <c r="B1107" s="313" t="s">
        <v>19</v>
      </c>
      <c r="C1107" s="313" t="s">
        <v>1466</v>
      </c>
      <c r="D1107" s="313" t="s">
        <v>35</v>
      </c>
      <c r="E1107" s="313" t="s">
        <v>24</v>
      </c>
    </row>
    <row r="1108" spans="1:5" x14ac:dyDescent="0.25">
      <c r="A1108" s="313" t="s">
        <v>468</v>
      </c>
      <c r="B1108" s="313" t="s">
        <v>19</v>
      </c>
      <c r="C1108" s="313" t="s">
        <v>1471</v>
      </c>
      <c r="D1108" s="313" t="s">
        <v>35</v>
      </c>
      <c r="E1108" s="313" t="s">
        <v>24</v>
      </c>
    </row>
    <row r="1109" spans="1:5" x14ac:dyDescent="0.25">
      <c r="A1109" s="313" t="s">
        <v>468</v>
      </c>
      <c r="B1109" s="313" t="s">
        <v>19</v>
      </c>
      <c r="C1109" s="313" t="s">
        <v>1475</v>
      </c>
      <c r="D1109" s="313" t="s">
        <v>35</v>
      </c>
      <c r="E1109" s="313" t="s">
        <v>24</v>
      </c>
    </row>
    <row r="1110" spans="1:5" x14ac:dyDescent="0.25">
      <c r="A1110" s="313" t="s">
        <v>468</v>
      </c>
      <c r="B1110" s="313" t="s">
        <v>19</v>
      </c>
      <c r="C1110" s="313" t="s">
        <v>20</v>
      </c>
      <c r="D1110" s="313" t="s">
        <v>35</v>
      </c>
      <c r="E1110" s="313" t="s">
        <v>24</v>
      </c>
    </row>
    <row r="1111" spans="1:5" x14ac:dyDescent="0.25">
      <c r="A1111" s="313" t="s">
        <v>468</v>
      </c>
      <c r="B1111" s="313" t="s">
        <v>19</v>
      </c>
      <c r="C1111" s="313" t="s">
        <v>1487</v>
      </c>
      <c r="D1111" s="313" t="s">
        <v>35</v>
      </c>
      <c r="E1111" s="313" t="s">
        <v>24</v>
      </c>
    </row>
    <row r="1112" spans="1:5" x14ac:dyDescent="0.25">
      <c r="A1112" s="313" t="s">
        <v>468</v>
      </c>
      <c r="B1112" s="313" t="s">
        <v>19</v>
      </c>
      <c r="C1112" s="313" t="s">
        <v>1495</v>
      </c>
      <c r="D1112" s="313" t="s">
        <v>35</v>
      </c>
      <c r="E1112" s="313" t="s">
        <v>24</v>
      </c>
    </row>
    <row r="1113" spans="1:5" ht="409.5" x14ac:dyDescent="0.25">
      <c r="A1113" s="313" t="s">
        <v>468</v>
      </c>
      <c r="B1113" s="313" t="s">
        <v>26</v>
      </c>
      <c r="C1113" s="313" t="s">
        <v>1515</v>
      </c>
      <c r="D1113" s="313" t="s">
        <v>24</v>
      </c>
      <c r="E1113" s="315" t="s">
        <v>1585</v>
      </c>
    </row>
    <row r="1114" spans="1:5" ht="409.5" x14ac:dyDescent="0.25">
      <c r="A1114" s="313" t="s">
        <v>468</v>
      </c>
      <c r="B1114" s="313" t="s">
        <v>26</v>
      </c>
      <c r="C1114" s="313" t="s">
        <v>1518</v>
      </c>
      <c r="D1114" s="313" t="s">
        <v>24</v>
      </c>
      <c r="E1114" s="315" t="s">
        <v>1586</v>
      </c>
    </row>
    <row r="1115" spans="1:5" x14ac:dyDescent="0.25">
      <c r="A1115" s="313" t="s">
        <v>472</v>
      </c>
      <c r="B1115" s="313" t="s">
        <v>19</v>
      </c>
      <c r="C1115" s="313" t="s">
        <v>1466</v>
      </c>
      <c r="D1115" s="313" t="s">
        <v>19</v>
      </c>
      <c r="E1115" s="313" t="s">
        <v>1587</v>
      </c>
    </row>
    <row r="1116" spans="1:5" x14ac:dyDescent="0.25">
      <c r="A1116" s="313" t="s">
        <v>472</v>
      </c>
      <c r="B1116" s="313" t="s">
        <v>19</v>
      </c>
      <c r="C1116" s="313" t="s">
        <v>1471</v>
      </c>
      <c r="D1116" s="313" t="s">
        <v>35</v>
      </c>
      <c r="E1116" s="313" t="s">
        <v>24</v>
      </c>
    </row>
    <row r="1117" spans="1:5" x14ac:dyDescent="0.25">
      <c r="A1117" s="313" t="s">
        <v>472</v>
      </c>
      <c r="B1117" s="313" t="s">
        <v>19</v>
      </c>
      <c r="C1117" s="313" t="s">
        <v>1475</v>
      </c>
      <c r="D1117" s="313" t="s">
        <v>19</v>
      </c>
      <c r="E1117" s="313" t="s">
        <v>473</v>
      </c>
    </row>
    <row r="1118" spans="1:5" x14ac:dyDescent="0.25">
      <c r="A1118" s="313" t="s">
        <v>472</v>
      </c>
      <c r="B1118" s="313" t="s">
        <v>19</v>
      </c>
      <c r="C1118" s="313" t="s">
        <v>20</v>
      </c>
      <c r="D1118" s="313" t="s">
        <v>26</v>
      </c>
      <c r="E1118" s="313" t="s">
        <v>24</v>
      </c>
    </row>
    <row r="1119" spans="1:5" x14ac:dyDescent="0.25">
      <c r="A1119" s="313" t="s">
        <v>472</v>
      </c>
      <c r="B1119" s="313" t="s">
        <v>19</v>
      </c>
      <c r="C1119" s="313" t="s">
        <v>1487</v>
      </c>
      <c r="D1119" s="313" t="s">
        <v>19</v>
      </c>
      <c r="E1119" s="313" t="s">
        <v>1587</v>
      </c>
    </row>
    <row r="1120" spans="1:5" x14ac:dyDescent="0.25">
      <c r="A1120" s="313" t="s">
        <v>472</v>
      </c>
      <c r="B1120" s="313" t="s">
        <v>26</v>
      </c>
      <c r="C1120" s="313" t="s">
        <v>1509</v>
      </c>
      <c r="D1120" s="313" t="s">
        <v>24</v>
      </c>
      <c r="E1120" s="313" t="s">
        <v>473</v>
      </c>
    </row>
    <row r="1121" spans="1:5" x14ac:dyDescent="0.25">
      <c r="A1121" s="313" t="s">
        <v>472</v>
      </c>
      <c r="B1121" s="313" t="s">
        <v>26</v>
      </c>
      <c r="C1121" s="313" t="s">
        <v>1510</v>
      </c>
      <c r="D1121" s="313" t="s">
        <v>24</v>
      </c>
      <c r="E1121" s="313" t="s">
        <v>473</v>
      </c>
    </row>
    <row r="1122" spans="1:5" x14ac:dyDescent="0.25">
      <c r="A1122" s="313" t="s">
        <v>472</v>
      </c>
      <c r="B1122" s="313" t="s">
        <v>26</v>
      </c>
      <c r="C1122" s="313" t="s">
        <v>1511</v>
      </c>
      <c r="D1122" s="313" t="s">
        <v>24</v>
      </c>
      <c r="E1122" s="313" t="s">
        <v>473</v>
      </c>
    </row>
    <row r="1123" spans="1:5" x14ac:dyDescent="0.25">
      <c r="A1123" s="313" t="s">
        <v>472</v>
      </c>
      <c r="B1123" s="313" t="s">
        <v>26</v>
      </c>
      <c r="C1123" s="313" t="s">
        <v>27</v>
      </c>
      <c r="D1123" s="313" t="s">
        <v>24</v>
      </c>
      <c r="E1123" s="313" t="s">
        <v>473</v>
      </c>
    </row>
    <row r="1124" spans="1:5" x14ac:dyDescent="0.25">
      <c r="A1124" s="313" t="s">
        <v>472</v>
      </c>
      <c r="B1124" s="313" t="s">
        <v>26</v>
      </c>
      <c r="C1124" s="313" t="s">
        <v>1512</v>
      </c>
      <c r="D1124" s="313" t="s">
        <v>24</v>
      </c>
      <c r="E1124" s="313" t="s">
        <v>473</v>
      </c>
    </row>
    <row r="1125" spans="1:5" x14ac:dyDescent="0.25">
      <c r="A1125" s="313" t="s">
        <v>472</v>
      </c>
      <c r="B1125" s="313" t="s">
        <v>26</v>
      </c>
      <c r="C1125" s="313" t="s">
        <v>1513</v>
      </c>
      <c r="D1125" s="313" t="s">
        <v>24</v>
      </c>
      <c r="E1125" s="313" t="s">
        <v>473</v>
      </c>
    </row>
    <row r="1126" spans="1:5" x14ac:dyDescent="0.25">
      <c r="A1126" s="313" t="s">
        <v>478</v>
      </c>
      <c r="B1126" s="313" t="s">
        <v>19</v>
      </c>
      <c r="C1126" s="313" t="s">
        <v>1466</v>
      </c>
      <c r="D1126" s="313" t="s">
        <v>19</v>
      </c>
      <c r="E1126" s="313" t="s">
        <v>1588</v>
      </c>
    </row>
    <row r="1127" spans="1:5" x14ac:dyDescent="0.25">
      <c r="A1127" s="313" t="s">
        <v>478</v>
      </c>
      <c r="B1127" s="313" t="s">
        <v>19</v>
      </c>
      <c r="C1127" s="313" t="s">
        <v>1471</v>
      </c>
      <c r="D1127" s="313" t="s">
        <v>26</v>
      </c>
      <c r="E1127" s="313" t="s">
        <v>24</v>
      </c>
    </row>
    <row r="1128" spans="1:5" x14ac:dyDescent="0.25">
      <c r="A1128" s="313" t="s">
        <v>478</v>
      </c>
      <c r="B1128" s="313" t="s">
        <v>19</v>
      </c>
      <c r="C1128" s="313" t="s">
        <v>1475</v>
      </c>
      <c r="D1128" s="313" t="s">
        <v>19</v>
      </c>
      <c r="E1128" s="313" t="s">
        <v>46</v>
      </c>
    </row>
    <row r="1129" spans="1:5" x14ac:dyDescent="0.25">
      <c r="A1129" s="313" t="s">
        <v>478</v>
      </c>
      <c r="B1129" s="313" t="s">
        <v>19</v>
      </c>
      <c r="C1129" s="313" t="s">
        <v>20</v>
      </c>
      <c r="D1129" s="313" t="s">
        <v>26</v>
      </c>
      <c r="E1129" s="313" t="s">
        <v>24</v>
      </c>
    </row>
    <row r="1130" spans="1:5" x14ac:dyDescent="0.25">
      <c r="A1130" s="313" t="s">
        <v>478</v>
      </c>
      <c r="B1130" s="313" t="s">
        <v>19</v>
      </c>
      <c r="C1130" s="313" t="s">
        <v>1487</v>
      </c>
      <c r="D1130" s="313" t="s">
        <v>19</v>
      </c>
      <c r="E1130" s="313" t="s">
        <v>1588</v>
      </c>
    </row>
    <row r="1131" spans="1:5" x14ac:dyDescent="0.25">
      <c r="A1131" s="313" t="s">
        <v>478</v>
      </c>
      <c r="B1131" s="313" t="s">
        <v>19</v>
      </c>
      <c r="C1131" s="313" t="s">
        <v>1495</v>
      </c>
      <c r="D1131" s="313" t="s">
        <v>35</v>
      </c>
      <c r="E1131" s="313" t="s">
        <v>24</v>
      </c>
    </row>
    <row r="1132" spans="1:5" x14ac:dyDescent="0.25">
      <c r="A1132" s="313" t="s">
        <v>478</v>
      </c>
      <c r="B1132" s="313" t="s">
        <v>26</v>
      </c>
      <c r="C1132" s="313" t="s">
        <v>2929</v>
      </c>
      <c r="D1132" s="313" t="s">
        <v>24</v>
      </c>
      <c r="E1132" s="313" t="s">
        <v>1588</v>
      </c>
    </row>
    <row r="1133" spans="1:5" x14ac:dyDescent="0.25">
      <c r="A1133" s="313" t="s">
        <v>478</v>
      </c>
      <c r="B1133" s="313" t="s">
        <v>26</v>
      </c>
      <c r="C1133" s="313" t="s">
        <v>2930</v>
      </c>
      <c r="D1133" s="313" t="s">
        <v>24</v>
      </c>
      <c r="E1133" s="313" t="s">
        <v>35</v>
      </c>
    </row>
    <row r="1134" spans="1:5" x14ac:dyDescent="0.25">
      <c r="A1134" s="313" t="s">
        <v>478</v>
      </c>
      <c r="B1134" s="313" t="s">
        <v>26</v>
      </c>
      <c r="C1134" s="313" t="s">
        <v>1509</v>
      </c>
      <c r="D1134" s="313" t="s">
        <v>24</v>
      </c>
      <c r="E1134" s="313" t="s">
        <v>1588</v>
      </c>
    </row>
    <row r="1135" spans="1:5" x14ac:dyDescent="0.25">
      <c r="A1135" s="313" t="s">
        <v>478</v>
      </c>
      <c r="B1135" s="313" t="s">
        <v>26</v>
      </c>
      <c r="C1135" s="313" t="s">
        <v>1510</v>
      </c>
      <c r="D1135" s="313" t="s">
        <v>24</v>
      </c>
      <c r="E1135" s="313" t="s">
        <v>1589</v>
      </c>
    </row>
    <row r="1136" spans="1:5" x14ac:dyDescent="0.25">
      <c r="A1136" s="313" t="s">
        <v>478</v>
      </c>
      <c r="B1136" s="313" t="s">
        <v>26</v>
      </c>
      <c r="C1136" s="313" t="s">
        <v>1511</v>
      </c>
      <c r="D1136" s="313" t="s">
        <v>24</v>
      </c>
      <c r="E1136" s="313" t="s">
        <v>1588</v>
      </c>
    </row>
    <row r="1137" spans="1:5" x14ac:dyDescent="0.25">
      <c r="A1137" s="313" t="s">
        <v>478</v>
      </c>
      <c r="B1137" s="313" t="s">
        <v>26</v>
      </c>
      <c r="C1137" s="313" t="s">
        <v>27</v>
      </c>
      <c r="D1137" s="313" t="s">
        <v>24</v>
      </c>
      <c r="E1137" s="313" t="s">
        <v>479</v>
      </c>
    </row>
    <row r="1138" spans="1:5" x14ac:dyDescent="0.25">
      <c r="A1138" s="313" t="s">
        <v>478</v>
      </c>
      <c r="B1138" s="313" t="s">
        <v>26</v>
      </c>
      <c r="C1138" s="313" t="s">
        <v>1512</v>
      </c>
      <c r="D1138" s="313" t="s">
        <v>24</v>
      </c>
      <c r="E1138" s="313" t="s">
        <v>1589</v>
      </c>
    </row>
    <row r="1139" spans="1:5" x14ac:dyDescent="0.25">
      <c r="A1139" s="313" t="s">
        <v>478</v>
      </c>
      <c r="B1139" s="313" t="s">
        <v>26</v>
      </c>
      <c r="C1139" s="313" t="s">
        <v>1513</v>
      </c>
      <c r="D1139" s="313" t="s">
        <v>24</v>
      </c>
      <c r="E1139" s="313" t="s">
        <v>1588</v>
      </c>
    </row>
    <row r="1140" spans="1:5" x14ac:dyDescent="0.25">
      <c r="A1140" s="313" t="s">
        <v>482</v>
      </c>
      <c r="B1140" s="313" t="s">
        <v>51</v>
      </c>
      <c r="C1140" s="313" t="s">
        <v>24</v>
      </c>
      <c r="D1140" s="313" t="s">
        <v>24</v>
      </c>
      <c r="E1140" s="313" t="s">
        <v>483</v>
      </c>
    </row>
    <row r="1141" spans="1:5" x14ac:dyDescent="0.25">
      <c r="A1141" s="313" t="s">
        <v>482</v>
      </c>
      <c r="B1141" s="313" t="s">
        <v>19</v>
      </c>
      <c r="C1141" s="313" t="s">
        <v>1466</v>
      </c>
      <c r="D1141" s="313" t="s">
        <v>51</v>
      </c>
      <c r="E1141" s="313" t="s">
        <v>24</v>
      </c>
    </row>
    <row r="1142" spans="1:5" x14ac:dyDescent="0.25">
      <c r="A1142" s="313" t="s">
        <v>482</v>
      </c>
      <c r="B1142" s="313" t="s">
        <v>19</v>
      </c>
      <c r="C1142" s="313" t="s">
        <v>1471</v>
      </c>
      <c r="D1142" s="313" t="s">
        <v>51</v>
      </c>
      <c r="E1142" s="313" t="s">
        <v>24</v>
      </c>
    </row>
    <row r="1143" spans="1:5" x14ac:dyDescent="0.25">
      <c r="A1143" s="313" t="s">
        <v>482</v>
      </c>
      <c r="B1143" s="313" t="s">
        <v>19</v>
      </c>
      <c r="C1143" s="313" t="s">
        <v>1475</v>
      </c>
      <c r="D1143" s="313" t="s">
        <v>51</v>
      </c>
      <c r="E1143" s="313" t="s">
        <v>24</v>
      </c>
    </row>
    <row r="1144" spans="1:5" x14ac:dyDescent="0.25">
      <c r="A1144" s="313" t="s">
        <v>482</v>
      </c>
      <c r="B1144" s="313" t="s">
        <v>19</v>
      </c>
      <c r="C1144" s="313" t="s">
        <v>20</v>
      </c>
      <c r="D1144" s="313" t="s">
        <v>51</v>
      </c>
      <c r="E1144" s="313" t="s">
        <v>24</v>
      </c>
    </row>
    <row r="1145" spans="1:5" x14ac:dyDescent="0.25">
      <c r="A1145" s="313" t="s">
        <v>482</v>
      </c>
      <c r="B1145" s="313" t="s">
        <v>19</v>
      </c>
      <c r="C1145" s="313" t="s">
        <v>1487</v>
      </c>
      <c r="D1145" s="313" t="s">
        <v>51</v>
      </c>
      <c r="E1145" s="313" t="s">
        <v>24</v>
      </c>
    </row>
    <row r="1146" spans="1:5" x14ac:dyDescent="0.25">
      <c r="A1146" s="313" t="s">
        <v>482</v>
      </c>
      <c r="B1146" s="313" t="s">
        <v>19</v>
      </c>
      <c r="C1146" s="313" t="s">
        <v>1495</v>
      </c>
      <c r="D1146" s="313" t="s">
        <v>51</v>
      </c>
      <c r="E1146" s="313" t="s">
        <v>24</v>
      </c>
    </row>
    <row r="1147" spans="1:5" x14ac:dyDescent="0.25">
      <c r="A1147" s="313" t="s">
        <v>486</v>
      </c>
      <c r="B1147" s="313" t="s">
        <v>19</v>
      </c>
      <c r="C1147" s="313" t="s">
        <v>1466</v>
      </c>
      <c r="D1147" s="313" t="s">
        <v>19</v>
      </c>
      <c r="E1147" s="313" t="s">
        <v>1590</v>
      </c>
    </row>
    <row r="1148" spans="1:5" x14ac:dyDescent="0.25">
      <c r="A1148" s="313" t="s">
        <v>486</v>
      </c>
      <c r="B1148" s="313" t="s">
        <v>19</v>
      </c>
      <c r="C1148" s="313" t="s">
        <v>1471</v>
      </c>
      <c r="D1148" s="313" t="s">
        <v>35</v>
      </c>
      <c r="E1148" s="313" t="s">
        <v>24</v>
      </c>
    </row>
    <row r="1149" spans="1:5" x14ac:dyDescent="0.25">
      <c r="A1149" s="313" t="s">
        <v>486</v>
      </c>
      <c r="B1149" s="313" t="s">
        <v>19</v>
      </c>
      <c r="C1149" s="313" t="s">
        <v>1475</v>
      </c>
      <c r="D1149" s="313" t="s">
        <v>19</v>
      </c>
      <c r="E1149" s="313" t="s">
        <v>46</v>
      </c>
    </row>
    <row r="1150" spans="1:5" x14ac:dyDescent="0.25">
      <c r="A1150" s="313" t="s">
        <v>486</v>
      </c>
      <c r="B1150" s="313" t="s">
        <v>19</v>
      </c>
      <c r="C1150" s="313" t="s">
        <v>20</v>
      </c>
      <c r="D1150" s="313" t="s">
        <v>35</v>
      </c>
      <c r="E1150" s="313" t="s">
        <v>24</v>
      </c>
    </row>
    <row r="1151" spans="1:5" x14ac:dyDescent="0.25">
      <c r="A1151" s="313" t="s">
        <v>486</v>
      </c>
      <c r="B1151" s="313" t="s">
        <v>19</v>
      </c>
      <c r="C1151" s="313" t="s">
        <v>1487</v>
      </c>
      <c r="D1151" s="313" t="s">
        <v>35</v>
      </c>
      <c r="E1151" s="313" t="s">
        <v>24</v>
      </c>
    </row>
    <row r="1152" spans="1:5" x14ac:dyDescent="0.25">
      <c r="A1152" s="313" t="s">
        <v>486</v>
      </c>
      <c r="B1152" s="313" t="s">
        <v>19</v>
      </c>
      <c r="C1152" s="313" t="s">
        <v>1495</v>
      </c>
      <c r="D1152" s="313" t="s">
        <v>35</v>
      </c>
      <c r="E1152" s="313" t="s">
        <v>24</v>
      </c>
    </row>
    <row r="1153" spans="1:5" x14ac:dyDescent="0.25">
      <c r="A1153" s="313" t="s">
        <v>488</v>
      </c>
      <c r="B1153" s="313" t="s">
        <v>19</v>
      </c>
      <c r="C1153" s="313" t="s">
        <v>1466</v>
      </c>
      <c r="D1153" s="313" t="s">
        <v>26</v>
      </c>
      <c r="E1153" s="313" t="s">
        <v>24</v>
      </c>
    </row>
    <row r="1154" spans="1:5" x14ac:dyDescent="0.25">
      <c r="A1154" s="313" t="s">
        <v>488</v>
      </c>
      <c r="B1154" s="313" t="s">
        <v>19</v>
      </c>
      <c r="C1154" s="313" t="s">
        <v>1471</v>
      </c>
      <c r="D1154" s="313" t="s">
        <v>26</v>
      </c>
      <c r="E1154" s="313" t="s">
        <v>24</v>
      </c>
    </row>
    <row r="1155" spans="1:5" x14ac:dyDescent="0.25">
      <c r="A1155" s="313" t="s">
        <v>488</v>
      </c>
      <c r="B1155" s="313" t="s">
        <v>19</v>
      </c>
      <c r="C1155" s="313" t="s">
        <v>1475</v>
      </c>
      <c r="D1155" s="313" t="s">
        <v>19</v>
      </c>
      <c r="E1155" s="313" t="s">
        <v>46</v>
      </c>
    </row>
    <row r="1156" spans="1:5" x14ac:dyDescent="0.25">
      <c r="A1156" s="313" t="s">
        <v>488</v>
      </c>
      <c r="B1156" s="313" t="s">
        <v>19</v>
      </c>
      <c r="C1156" s="313" t="s">
        <v>20</v>
      </c>
      <c r="D1156" s="313" t="s">
        <v>26</v>
      </c>
      <c r="E1156" s="313" t="s">
        <v>24</v>
      </c>
    </row>
    <row r="1157" spans="1:5" x14ac:dyDescent="0.25">
      <c r="A1157" s="313" t="s">
        <v>488</v>
      </c>
      <c r="B1157" s="313" t="s">
        <v>19</v>
      </c>
      <c r="C1157" s="313" t="s">
        <v>1487</v>
      </c>
      <c r="D1157" s="313" t="s">
        <v>19</v>
      </c>
      <c r="E1157" s="313" t="s">
        <v>489</v>
      </c>
    </row>
    <row r="1158" spans="1:5" x14ac:dyDescent="0.25">
      <c r="A1158" s="313" t="s">
        <v>488</v>
      </c>
      <c r="B1158" s="313" t="s">
        <v>19</v>
      </c>
      <c r="C1158" s="313" t="s">
        <v>1495</v>
      </c>
      <c r="D1158" s="313" t="s">
        <v>35</v>
      </c>
      <c r="E1158" s="313" t="s">
        <v>24</v>
      </c>
    </row>
    <row r="1159" spans="1:5" x14ac:dyDescent="0.25">
      <c r="A1159" s="313" t="s">
        <v>488</v>
      </c>
      <c r="B1159" s="313" t="s">
        <v>26</v>
      </c>
      <c r="C1159" s="313" t="s">
        <v>1501</v>
      </c>
      <c r="D1159" s="313" t="s">
        <v>24</v>
      </c>
      <c r="E1159" s="313" t="s">
        <v>1591</v>
      </c>
    </row>
    <row r="1160" spans="1:5" x14ac:dyDescent="0.25">
      <c r="A1160" s="313" t="s">
        <v>488</v>
      </c>
      <c r="B1160" s="313" t="s">
        <v>26</v>
      </c>
      <c r="C1160" s="313" t="s">
        <v>1502</v>
      </c>
      <c r="D1160" s="313" t="s">
        <v>24</v>
      </c>
      <c r="E1160" s="313" t="s">
        <v>1591</v>
      </c>
    </row>
    <row r="1161" spans="1:5" x14ac:dyDescent="0.25">
      <c r="A1161" s="313" t="s">
        <v>488</v>
      </c>
      <c r="B1161" s="313" t="s">
        <v>26</v>
      </c>
      <c r="C1161" s="313" t="s">
        <v>1503</v>
      </c>
      <c r="D1161" s="313" t="s">
        <v>24</v>
      </c>
      <c r="E1161" s="313" t="s">
        <v>489</v>
      </c>
    </row>
    <row r="1162" spans="1:5" x14ac:dyDescent="0.25">
      <c r="A1162" s="313" t="s">
        <v>488</v>
      </c>
      <c r="B1162" s="313" t="s">
        <v>26</v>
      </c>
      <c r="C1162" s="313" t="s">
        <v>2929</v>
      </c>
      <c r="D1162" s="313" t="s">
        <v>24</v>
      </c>
      <c r="E1162" s="313" t="s">
        <v>1591</v>
      </c>
    </row>
    <row r="1163" spans="1:5" x14ac:dyDescent="0.25">
      <c r="A1163" s="313" t="s">
        <v>488</v>
      </c>
      <c r="B1163" s="313" t="s">
        <v>26</v>
      </c>
      <c r="C1163" s="313" t="s">
        <v>2930</v>
      </c>
      <c r="D1163" s="313" t="s">
        <v>24</v>
      </c>
      <c r="E1163" s="313" t="s">
        <v>35</v>
      </c>
    </row>
    <row r="1164" spans="1:5" x14ac:dyDescent="0.25">
      <c r="A1164" s="313" t="s">
        <v>488</v>
      </c>
      <c r="B1164" s="313" t="s">
        <v>26</v>
      </c>
      <c r="C1164" s="313" t="s">
        <v>1509</v>
      </c>
      <c r="D1164" s="313" t="s">
        <v>24</v>
      </c>
      <c r="E1164" s="313" t="s">
        <v>489</v>
      </c>
    </row>
    <row r="1165" spans="1:5" x14ac:dyDescent="0.25">
      <c r="A1165" s="313" t="s">
        <v>488</v>
      </c>
      <c r="B1165" s="313" t="s">
        <v>26</v>
      </c>
      <c r="C1165" s="313" t="s">
        <v>1510</v>
      </c>
      <c r="D1165" s="313" t="s">
        <v>24</v>
      </c>
      <c r="E1165" s="313" t="s">
        <v>46</v>
      </c>
    </row>
    <row r="1166" spans="1:5" x14ac:dyDescent="0.25">
      <c r="A1166" s="313" t="s">
        <v>488</v>
      </c>
      <c r="B1166" s="313" t="s">
        <v>26</v>
      </c>
      <c r="C1166" s="313" t="s">
        <v>1511</v>
      </c>
      <c r="D1166" s="313" t="s">
        <v>24</v>
      </c>
      <c r="E1166" s="313" t="s">
        <v>489</v>
      </c>
    </row>
    <row r="1167" spans="1:5" x14ac:dyDescent="0.25">
      <c r="A1167" s="313" t="s">
        <v>488</v>
      </c>
      <c r="B1167" s="313" t="s">
        <v>26</v>
      </c>
      <c r="C1167" s="313" t="s">
        <v>27</v>
      </c>
      <c r="D1167" s="313" t="s">
        <v>24</v>
      </c>
      <c r="E1167" s="313" t="s">
        <v>489</v>
      </c>
    </row>
    <row r="1168" spans="1:5" x14ac:dyDescent="0.25">
      <c r="A1168" s="313" t="s">
        <v>488</v>
      </c>
      <c r="B1168" s="313" t="s">
        <v>26</v>
      </c>
      <c r="C1168" s="313" t="s">
        <v>1512</v>
      </c>
      <c r="D1168" s="313" t="s">
        <v>24</v>
      </c>
      <c r="E1168" s="313" t="s">
        <v>46</v>
      </c>
    </row>
    <row r="1169" spans="1:5" x14ac:dyDescent="0.25">
      <c r="A1169" s="313" t="s">
        <v>488</v>
      </c>
      <c r="B1169" s="313" t="s">
        <v>26</v>
      </c>
      <c r="C1169" s="313" t="s">
        <v>1513</v>
      </c>
      <c r="D1169" s="313" t="s">
        <v>24</v>
      </c>
      <c r="E1169" s="313" t="s">
        <v>1591</v>
      </c>
    </row>
    <row r="1170" spans="1:5" x14ac:dyDescent="0.25">
      <c r="A1170" s="313" t="s">
        <v>492</v>
      </c>
      <c r="B1170" s="313" t="s">
        <v>19</v>
      </c>
      <c r="C1170" s="313" t="s">
        <v>1466</v>
      </c>
      <c r="D1170" s="313" t="s">
        <v>35</v>
      </c>
      <c r="E1170" s="313" t="s">
        <v>24</v>
      </c>
    </row>
    <row r="1171" spans="1:5" x14ac:dyDescent="0.25">
      <c r="A1171" s="313" t="s">
        <v>492</v>
      </c>
      <c r="B1171" s="313" t="s">
        <v>19</v>
      </c>
      <c r="C1171" s="313" t="s">
        <v>1471</v>
      </c>
      <c r="D1171" s="313" t="s">
        <v>35</v>
      </c>
      <c r="E1171" s="313" t="s">
        <v>24</v>
      </c>
    </row>
    <row r="1172" spans="1:5" x14ac:dyDescent="0.25">
      <c r="A1172" s="313" t="s">
        <v>492</v>
      </c>
      <c r="B1172" s="313" t="s">
        <v>19</v>
      </c>
      <c r="C1172" s="313" t="s">
        <v>1475</v>
      </c>
      <c r="D1172" s="313" t="s">
        <v>19</v>
      </c>
      <c r="E1172" s="313" t="s">
        <v>46</v>
      </c>
    </row>
    <row r="1173" spans="1:5" x14ac:dyDescent="0.25">
      <c r="A1173" s="313" t="s">
        <v>492</v>
      </c>
      <c r="B1173" s="313" t="s">
        <v>19</v>
      </c>
      <c r="C1173" s="313" t="s">
        <v>20</v>
      </c>
      <c r="D1173" s="313" t="s">
        <v>35</v>
      </c>
      <c r="E1173" s="313" t="s">
        <v>24</v>
      </c>
    </row>
    <row r="1174" spans="1:5" x14ac:dyDescent="0.25">
      <c r="A1174" s="313" t="s">
        <v>492</v>
      </c>
      <c r="B1174" s="313" t="s">
        <v>19</v>
      </c>
      <c r="C1174" s="313" t="s">
        <v>1487</v>
      </c>
      <c r="D1174" s="313" t="s">
        <v>35</v>
      </c>
      <c r="E1174" s="313" t="s">
        <v>24</v>
      </c>
    </row>
    <row r="1175" spans="1:5" x14ac:dyDescent="0.25">
      <c r="A1175" s="313" t="s">
        <v>492</v>
      </c>
      <c r="B1175" s="313" t="s">
        <v>19</v>
      </c>
      <c r="C1175" s="313" t="s">
        <v>1495</v>
      </c>
      <c r="D1175" s="313" t="s">
        <v>35</v>
      </c>
      <c r="E1175" s="313" t="s">
        <v>24</v>
      </c>
    </row>
    <row r="1176" spans="1:5" x14ac:dyDescent="0.25">
      <c r="A1176" s="313" t="s">
        <v>495</v>
      </c>
      <c r="B1176" s="313" t="s">
        <v>19</v>
      </c>
      <c r="C1176" s="313" t="s">
        <v>1466</v>
      </c>
      <c r="D1176" s="313" t="s">
        <v>35</v>
      </c>
      <c r="E1176" s="313" t="s">
        <v>24</v>
      </c>
    </row>
    <row r="1177" spans="1:5" x14ac:dyDescent="0.25">
      <c r="A1177" s="313" t="s">
        <v>495</v>
      </c>
      <c r="B1177" s="313" t="s">
        <v>19</v>
      </c>
      <c r="C1177" s="313" t="s">
        <v>1471</v>
      </c>
      <c r="D1177" s="313" t="s">
        <v>35</v>
      </c>
      <c r="E1177" s="313" t="s">
        <v>24</v>
      </c>
    </row>
    <row r="1178" spans="1:5" x14ac:dyDescent="0.25">
      <c r="A1178" s="313" t="s">
        <v>495</v>
      </c>
      <c r="B1178" s="313" t="s">
        <v>19</v>
      </c>
      <c r="C1178" s="313" t="s">
        <v>1475</v>
      </c>
      <c r="D1178" s="313" t="s">
        <v>19</v>
      </c>
      <c r="E1178" s="313" t="s">
        <v>46</v>
      </c>
    </row>
    <row r="1179" spans="1:5" x14ac:dyDescent="0.25">
      <c r="A1179" s="313" t="s">
        <v>495</v>
      </c>
      <c r="B1179" s="313" t="s">
        <v>19</v>
      </c>
      <c r="C1179" s="313" t="s">
        <v>20</v>
      </c>
      <c r="D1179" s="313" t="s">
        <v>35</v>
      </c>
      <c r="E1179" s="313" t="s">
        <v>24</v>
      </c>
    </row>
    <row r="1180" spans="1:5" x14ac:dyDescent="0.25">
      <c r="A1180" s="313" t="s">
        <v>495</v>
      </c>
      <c r="B1180" s="313" t="s">
        <v>19</v>
      </c>
      <c r="C1180" s="313" t="s">
        <v>1487</v>
      </c>
      <c r="D1180" s="313" t="s">
        <v>35</v>
      </c>
      <c r="E1180" s="313" t="s">
        <v>24</v>
      </c>
    </row>
    <row r="1181" spans="1:5" x14ac:dyDescent="0.25">
      <c r="A1181" s="313" t="s">
        <v>495</v>
      </c>
      <c r="B1181" s="313" t="s">
        <v>19</v>
      </c>
      <c r="C1181" s="313" t="s">
        <v>1495</v>
      </c>
      <c r="D1181" s="313" t="s">
        <v>35</v>
      </c>
      <c r="E1181" s="313" t="s">
        <v>24</v>
      </c>
    </row>
    <row r="1182" spans="1:5" x14ac:dyDescent="0.25">
      <c r="A1182" s="313" t="s">
        <v>497</v>
      </c>
      <c r="B1182" s="313" t="s">
        <v>19</v>
      </c>
      <c r="C1182" s="313" t="s">
        <v>1466</v>
      </c>
      <c r="D1182" s="313" t="s">
        <v>35</v>
      </c>
      <c r="E1182" s="313" t="s">
        <v>24</v>
      </c>
    </row>
    <row r="1183" spans="1:5" x14ac:dyDescent="0.25">
      <c r="A1183" s="313" t="s">
        <v>497</v>
      </c>
      <c r="B1183" s="313" t="s">
        <v>19</v>
      </c>
      <c r="C1183" s="313" t="s">
        <v>1471</v>
      </c>
      <c r="D1183" s="313" t="s">
        <v>35</v>
      </c>
      <c r="E1183" s="313" t="s">
        <v>24</v>
      </c>
    </row>
    <row r="1184" spans="1:5" x14ac:dyDescent="0.25">
      <c r="A1184" s="313" t="s">
        <v>497</v>
      </c>
      <c r="B1184" s="313" t="s">
        <v>19</v>
      </c>
      <c r="C1184" s="313" t="s">
        <v>1475</v>
      </c>
      <c r="D1184" s="313" t="s">
        <v>35</v>
      </c>
      <c r="E1184" s="313" t="s">
        <v>24</v>
      </c>
    </row>
    <row r="1185" spans="1:5" x14ac:dyDescent="0.25">
      <c r="A1185" s="313" t="s">
        <v>497</v>
      </c>
      <c r="B1185" s="313" t="s">
        <v>19</v>
      </c>
      <c r="C1185" s="313" t="s">
        <v>20</v>
      </c>
      <c r="D1185" s="313" t="s">
        <v>35</v>
      </c>
      <c r="E1185" s="313" t="s">
        <v>24</v>
      </c>
    </row>
    <row r="1186" spans="1:5" x14ac:dyDescent="0.25">
      <c r="A1186" s="313" t="s">
        <v>497</v>
      </c>
      <c r="B1186" s="313" t="s">
        <v>19</v>
      </c>
      <c r="C1186" s="313" t="s">
        <v>1487</v>
      </c>
      <c r="D1186" s="313" t="s">
        <v>35</v>
      </c>
      <c r="E1186" s="313" t="s">
        <v>24</v>
      </c>
    </row>
    <row r="1187" spans="1:5" x14ac:dyDescent="0.25">
      <c r="A1187" s="313" t="s">
        <v>497</v>
      </c>
      <c r="B1187" s="313" t="s">
        <v>19</v>
      </c>
      <c r="C1187" s="313" t="s">
        <v>1495</v>
      </c>
      <c r="D1187" s="313" t="s">
        <v>35</v>
      </c>
      <c r="E1187" s="313" t="s">
        <v>24</v>
      </c>
    </row>
    <row r="1188" spans="1:5" x14ac:dyDescent="0.25">
      <c r="A1188" s="313" t="s">
        <v>499</v>
      </c>
      <c r="B1188" s="313" t="s">
        <v>19</v>
      </c>
      <c r="C1188" s="313" t="s">
        <v>1466</v>
      </c>
      <c r="D1188" s="313" t="s">
        <v>19</v>
      </c>
      <c r="E1188" s="313" t="s">
        <v>1592</v>
      </c>
    </row>
    <row r="1189" spans="1:5" x14ac:dyDescent="0.25">
      <c r="A1189" s="313" t="s">
        <v>499</v>
      </c>
      <c r="B1189" s="313" t="s">
        <v>19</v>
      </c>
      <c r="C1189" s="313" t="s">
        <v>1471</v>
      </c>
      <c r="D1189" s="313" t="s">
        <v>35</v>
      </c>
      <c r="E1189" s="313" t="s">
        <v>24</v>
      </c>
    </row>
    <row r="1190" spans="1:5" x14ac:dyDescent="0.25">
      <c r="A1190" s="313" t="s">
        <v>499</v>
      </c>
      <c r="B1190" s="313" t="s">
        <v>19</v>
      </c>
      <c r="C1190" s="313" t="s">
        <v>1475</v>
      </c>
      <c r="D1190" s="313" t="s">
        <v>19</v>
      </c>
      <c r="E1190" s="313" t="s">
        <v>46</v>
      </c>
    </row>
    <row r="1191" spans="1:5" x14ac:dyDescent="0.25">
      <c r="A1191" s="313" t="s">
        <v>499</v>
      </c>
      <c r="B1191" s="313" t="s">
        <v>19</v>
      </c>
      <c r="C1191" s="313" t="s">
        <v>20</v>
      </c>
      <c r="D1191" s="313" t="s">
        <v>26</v>
      </c>
      <c r="E1191" s="313" t="s">
        <v>24</v>
      </c>
    </row>
    <row r="1192" spans="1:5" x14ac:dyDescent="0.25">
      <c r="A1192" s="313" t="s">
        <v>499</v>
      </c>
      <c r="B1192" s="313" t="s">
        <v>19</v>
      </c>
      <c r="C1192" s="313" t="s">
        <v>1487</v>
      </c>
      <c r="D1192" s="313" t="s">
        <v>19</v>
      </c>
      <c r="E1192" s="313" t="s">
        <v>1592</v>
      </c>
    </row>
    <row r="1193" spans="1:5" x14ac:dyDescent="0.25">
      <c r="A1193" s="313" t="s">
        <v>499</v>
      </c>
      <c r="B1193" s="313" t="s">
        <v>19</v>
      </c>
      <c r="C1193" s="313" t="s">
        <v>1495</v>
      </c>
      <c r="D1193" s="313" t="s">
        <v>35</v>
      </c>
      <c r="E1193" s="313" t="s">
        <v>24</v>
      </c>
    </row>
    <row r="1194" spans="1:5" x14ac:dyDescent="0.25">
      <c r="A1194" s="313" t="s">
        <v>499</v>
      </c>
      <c r="B1194" s="313" t="s">
        <v>26</v>
      </c>
      <c r="C1194" s="313" t="s">
        <v>1509</v>
      </c>
      <c r="D1194" s="313" t="s">
        <v>24</v>
      </c>
      <c r="E1194" s="313" t="s">
        <v>1593</v>
      </c>
    </row>
    <row r="1195" spans="1:5" x14ac:dyDescent="0.25">
      <c r="A1195" s="313" t="s">
        <v>499</v>
      </c>
      <c r="B1195" s="313" t="s">
        <v>26</v>
      </c>
      <c r="C1195" s="313" t="s">
        <v>1510</v>
      </c>
      <c r="D1195" s="313" t="s">
        <v>24</v>
      </c>
      <c r="E1195" s="313" t="s">
        <v>46</v>
      </c>
    </row>
    <row r="1196" spans="1:5" x14ac:dyDescent="0.25">
      <c r="A1196" s="313" t="s">
        <v>499</v>
      </c>
      <c r="B1196" s="313" t="s">
        <v>26</v>
      </c>
      <c r="C1196" s="313" t="s">
        <v>1511</v>
      </c>
      <c r="D1196" s="313" t="s">
        <v>24</v>
      </c>
      <c r="E1196" s="313" t="s">
        <v>1593</v>
      </c>
    </row>
    <row r="1197" spans="1:5" x14ac:dyDescent="0.25">
      <c r="A1197" s="313" t="s">
        <v>499</v>
      </c>
      <c r="B1197" s="313" t="s">
        <v>26</v>
      </c>
      <c r="C1197" s="313" t="s">
        <v>27</v>
      </c>
      <c r="D1197" s="313" t="s">
        <v>24</v>
      </c>
      <c r="E1197" s="313" t="s">
        <v>500</v>
      </c>
    </row>
    <row r="1198" spans="1:5" x14ac:dyDescent="0.25">
      <c r="A1198" s="313" t="s">
        <v>499</v>
      </c>
      <c r="B1198" s="313" t="s">
        <v>26</v>
      </c>
      <c r="C1198" s="313" t="s">
        <v>1512</v>
      </c>
      <c r="D1198" s="313" t="s">
        <v>24</v>
      </c>
      <c r="E1198" s="313" t="s">
        <v>46</v>
      </c>
    </row>
    <row r="1199" spans="1:5" x14ac:dyDescent="0.25">
      <c r="A1199" s="313" t="s">
        <v>499</v>
      </c>
      <c r="B1199" s="313" t="s">
        <v>26</v>
      </c>
      <c r="C1199" s="313" t="s">
        <v>1513</v>
      </c>
      <c r="D1199" s="313" t="s">
        <v>24</v>
      </c>
      <c r="E1199" s="313" t="s">
        <v>1593</v>
      </c>
    </row>
    <row r="1200" spans="1:5" x14ac:dyDescent="0.25">
      <c r="A1200" s="313" t="s">
        <v>503</v>
      </c>
      <c r="B1200" s="313" t="s">
        <v>19</v>
      </c>
      <c r="C1200" s="313" t="s">
        <v>1466</v>
      </c>
      <c r="D1200" s="313" t="s">
        <v>19</v>
      </c>
      <c r="E1200" s="313" t="s">
        <v>1594</v>
      </c>
    </row>
    <row r="1201" spans="1:5" x14ac:dyDescent="0.25">
      <c r="A1201" s="313" t="s">
        <v>503</v>
      </c>
      <c r="B1201" s="313" t="s">
        <v>19</v>
      </c>
      <c r="C1201" s="313" t="s">
        <v>1471</v>
      </c>
      <c r="D1201" s="313" t="s">
        <v>26</v>
      </c>
      <c r="E1201" s="313" t="s">
        <v>24</v>
      </c>
    </row>
    <row r="1202" spans="1:5" x14ac:dyDescent="0.25">
      <c r="A1202" s="313" t="s">
        <v>503</v>
      </c>
      <c r="B1202" s="313" t="s">
        <v>19</v>
      </c>
      <c r="C1202" s="313" t="s">
        <v>1475</v>
      </c>
      <c r="D1202" s="313" t="s">
        <v>19</v>
      </c>
      <c r="E1202" s="313" t="s">
        <v>46</v>
      </c>
    </row>
    <row r="1203" spans="1:5" x14ac:dyDescent="0.25">
      <c r="A1203" s="313" t="s">
        <v>503</v>
      </c>
      <c r="B1203" s="313" t="s">
        <v>19</v>
      </c>
      <c r="C1203" s="313" t="s">
        <v>20</v>
      </c>
      <c r="D1203" s="313" t="s">
        <v>35</v>
      </c>
      <c r="E1203" s="313" t="s">
        <v>24</v>
      </c>
    </row>
    <row r="1204" spans="1:5" x14ac:dyDescent="0.25">
      <c r="A1204" s="313" t="s">
        <v>503</v>
      </c>
      <c r="B1204" s="313" t="s">
        <v>19</v>
      </c>
      <c r="C1204" s="313" t="s">
        <v>1487</v>
      </c>
      <c r="D1204" s="313" t="s">
        <v>35</v>
      </c>
      <c r="E1204" s="313" t="s">
        <v>24</v>
      </c>
    </row>
    <row r="1205" spans="1:5" x14ac:dyDescent="0.25">
      <c r="A1205" s="313" t="s">
        <v>503</v>
      </c>
      <c r="B1205" s="313" t="s">
        <v>19</v>
      </c>
      <c r="C1205" s="313" t="s">
        <v>1495</v>
      </c>
      <c r="D1205" s="313" t="s">
        <v>35</v>
      </c>
      <c r="E1205" s="313" t="s">
        <v>24</v>
      </c>
    </row>
    <row r="1206" spans="1:5" x14ac:dyDescent="0.25">
      <c r="A1206" s="313" t="s">
        <v>503</v>
      </c>
      <c r="B1206" s="313" t="s">
        <v>26</v>
      </c>
      <c r="C1206" s="313" t="s">
        <v>2929</v>
      </c>
      <c r="D1206" s="313" t="s">
        <v>24</v>
      </c>
      <c r="E1206" s="313" t="s">
        <v>1595</v>
      </c>
    </row>
    <row r="1207" spans="1:5" x14ac:dyDescent="0.25">
      <c r="A1207" s="313" t="s">
        <v>503</v>
      </c>
      <c r="B1207" s="313" t="s">
        <v>26</v>
      </c>
      <c r="C1207" s="313" t="s">
        <v>2930</v>
      </c>
      <c r="D1207" s="313" t="s">
        <v>24</v>
      </c>
      <c r="E1207" s="313" t="s">
        <v>35</v>
      </c>
    </row>
    <row r="1208" spans="1:5" x14ac:dyDescent="0.25">
      <c r="A1208" s="313" t="s">
        <v>506</v>
      </c>
      <c r="B1208" s="313" t="s">
        <v>19</v>
      </c>
      <c r="C1208" s="313" t="s">
        <v>1466</v>
      </c>
      <c r="D1208" s="313" t="s">
        <v>35</v>
      </c>
      <c r="E1208" s="313" t="s">
        <v>24</v>
      </c>
    </row>
    <row r="1209" spans="1:5" x14ac:dyDescent="0.25">
      <c r="A1209" s="313" t="s">
        <v>506</v>
      </c>
      <c r="B1209" s="313" t="s">
        <v>19</v>
      </c>
      <c r="C1209" s="313" t="s">
        <v>1471</v>
      </c>
      <c r="D1209" s="313" t="s">
        <v>35</v>
      </c>
      <c r="E1209" s="313" t="s">
        <v>24</v>
      </c>
    </row>
    <row r="1210" spans="1:5" x14ac:dyDescent="0.25">
      <c r="A1210" s="313" t="s">
        <v>506</v>
      </c>
      <c r="B1210" s="313" t="s">
        <v>19</v>
      </c>
      <c r="C1210" s="313" t="s">
        <v>1475</v>
      </c>
      <c r="D1210" s="313" t="s">
        <v>19</v>
      </c>
      <c r="E1210" s="313" t="s">
        <v>46</v>
      </c>
    </row>
    <row r="1211" spans="1:5" x14ac:dyDescent="0.25">
      <c r="A1211" s="313" t="s">
        <v>506</v>
      </c>
      <c r="B1211" s="313" t="s">
        <v>19</v>
      </c>
      <c r="C1211" s="313" t="s">
        <v>20</v>
      </c>
      <c r="D1211" s="313" t="s">
        <v>35</v>
      </c>
      <c r="E1211" s="313" t="s">
        <v>24</v>
      </c>
    </row>
    <row r="1212" spans="1:5" x14ac:dyDescent="0.25">
      <c r="A1212" s="313" t="s">
        <v>506</v>
      </c>
      <c r="B1212" s="313" t="s">
        <v>19</v>
      </c>
      <c r="C1212" s="313" t="s">
        <v>1487</v>
      </c>
      <c r="D1212" s="313" t="s">
        <v>35</v>
      </c>
      <c r="E1212" s="313" t="s">
        <v>24</v>
      </c>
    </row>
    <row r="1213" spans="1:5" x14ac:dyDescent="0.25">
      <c r="A1213" s="313" t="s">
        <v>506</v>
      </c>
      <c r="B1213" s="313" t="s">
        <v>19</v>
      </c>
      <c r="C1213" s="313" t="s">
        <v>1495</v>
      </c>
      <c r="D1213" s="313" t="s">
        <v>35</v>
      </c>
      <c r="E1213" s="313" t="s">
        <v>24</v>
      </c>
    </row>
    <row r="1214" spans="1:5" x14ac:dyDescent="0.25">
      <c r="A1214" s="313" t="s">
        <v>510</v>
      </c>
      <c r="B1214" s="313" t="s">
        <v>51</v>
      </c>
      <c r="C1214" s="313" t="s">
        <v>24</v>
      </c>
      <c r="D1214" s="313" t="s">
        <v>24</v>
      </c>
      <c r="E1214" s="313" t="s">
        <v>511</v>
      </c>
    </row>
    <row r="1215" spans="1:5" x14ac:dyDescent="0.25">
      <c r="A1215" s="313" t="s">
        <v>510</v>
      </c>
      <c r="B1215" s="313" t="s">
        <v>19</v>
      </c>
      <c r="C1215" s="313" t="s">
        <v>1466</v>
      </c>
      <c r="D1215" s="313" t="s">
        <v>51</v>
      </c>
      <c r="E1215" s="313" t="s">
        <v>24</v>
      </c>
    </row>
    <row r="1216" spans="1:5" x14ac:dyDescent="0.25">
      <c r="A1216" s="313" t="s">
        <v>510</v>
      </c>
      <c r="B1216" s="313" t="s">
        <v>19</v>
      </c>
      <c r="C1216" s="313" t="s">
        <v>1471</v>
      </c>
      <c r="D1216" s="313" t="s">
        <v>51</v>
      </c>
      <c r="E1216" s="313" t="s">
        <v>24</v>
      </c>
    </row>
    <row r="1217" spans="1:5" x14ac:dyDescent="0.25">
      <c r="A1217" s="313" t="s">
        <v>510</v>
      </c>
      <c r="B1217" s="313" t="s">
        <v>19</v>
      </c>
      <c r="C1217" s="313" t="s">
        <v>1475</v>
      </c>
      <c r="D1217" s="313" t="s">
        <v>51</v>
      </c>
      <c r="E1217" s="313" t="s">
        <v>24</v>
      </c>
    </row>
    <row r="1218" spans="1:5" x14ac:dyDescent="0.25">
      <c r="A1218" s="313" t="s">
        <v>510</v>
      </c>
      <c r="B1218" s="313" t="s">
        <v>19</v>
      </c>
      <c r="C1218" s="313" t="s">
        <v>20</v>
      </c>
      <c r="D1218" s="313" t="s">
        <v>51</v>
      </c>
      <c r="E1218" s="313" t="s">
        <v>24</v>
      </c>
    </row>
    <row r="1219" spans="1:5" x14ac:dyDescent="0.25">
      <c r="A1219" s="313" t="s">
        <v>510</v>
      </c>
      <c r="B1219" s="313" t="s">
        <v>19</v>
      </c>
      <c r="C1219" s="313" t="s">
        <v>1487</v>
      </c>
      <c r="D1219" s="313" t="s">
        <v>51</v>
      </c>
      <c r="E1219" s="313" t="s">
        <v>24</v>
      </c>
    </row>
    <row r="1220" spans="1:5" x14ac:dyDescent="0.25">
      <c r="A1220" s="313" t="s">
        <v>510</v>
      </c>
      <c r="B1220" s="313" t="s">
        <v>19</v>
      </c>
      <c r="C1220" s="313" t="s">
        <v>1495</v>
      </c>
      <c r="D1220" s="313" t="s">
        <v>51</v>
      </c>
      <c r="E1220" s="313" t="s">
        <v>24</v>
      </c>
    </row>
    <row r="1221" spans="1:5" x14ac:dyDescent="0.25">
      <c r="A1221" s="313" t="s">
        <v>514</v>
      </c>
      <c r="B1221" s="313" t="s">
        <v>19</v>
      </c>
      <c r="C1221" s="313" t="s">
        <v>1466</v>
      </c>
      <c r="D1221" s="313" t="s">
        <v>35</v>
      </c>
      <c r="E1221" s="313" t="s">
        <v>24</v>
      </c>
    </row>
    <row r="1222" spans="1:5" x14ac:dyDescent="0.25">
      <c r="A1222" s="313" t="s">
        <v>514</v>
      </c>
      <c r="B1222" s="313" t="s">
        <v>19</v>
      </c>
      <c r="C1222" s="313" t="s">
        <v>1471</v>
      </c>
      <c r="D1222" s="313" t="s">
        <v>35</v>
      </c>
      <c r="E1222" s="313" t="s">
        <v>24</v>
      </c>
    </row>
    <row r="1223" spans="1:5" x14ac:dyDescent="0.25">
      <c r="A1223" s="313" t="s">
        <v>514</v>
      </c>
      <c r="B1223" s="313" t="s">
        <v>19</v>
      </c>
      <c r="C1223" s="313" t="s">
        <v>1475</v>
      </c>
      <c r="D1223" s="313" t="s">
        <v>19</v>
      </c>
      <c r="E1223" s="313" t="s">
        <v>46</v>
      </c>
    </row>
    <row r="1224" spans="1:5" x14ac:dyDescent="0.25">
      <c r="A1224" s="313" t="s">
        <v>514</v>
      </c>
      <c r="B1224" s="313" t="s">
        <v>19</v>
      </c>
      <c r="C1224" s="313" t="s">
        <v>20</v>
      </c>
      <c r="D1224" s="313" t="s">
        <v>35</v>
      </c>
      <c r="E1224" s="313" t="s">
        <v>24</v>
      </c>
    </row>
    <row r="1225" spans="1:5" x14ac:dyDescent="0.25">
      <c r="A1225" s="313" t="s">
        <v>514</v>
      </c>
      <c r="B1225" s="313" t="s">
        <v>19</v>
      </c>
      <c r="C1225" s="313" t="s">
        <v>1487</v>
      </c>
      <c r="D1225" s="313" t="s">
        <v>35</v>
      </c>
      <c r="E1225" s="313" t="s">
        <v>24</v>
      </c>
    </row>
    <row r="1226" spans="1:5" x14ac:dyDescent="0.25">
      <c r="A1226" s="313" t="s">
        <v>514</v>
      </c>
      <c r="B1226" s="313" t="s">
        <v>19</v>
      </c>
      <c r="C1226" s="313" t="s">
        <v>1495</v>
      </c>
      <c r="D1226" s="313" t="s">
        <v>35</v>
      </c>
      <c r="E1226" s="313" t="s">
        <v>24</v>
      </c>
    </row>
    <row r="1227" spans="1:5" x14ac:dyDescent="0.25">
      <c r="A1227" s="313" t="s">
        <v>516</v>
      </c>
      <c r="B1227" s="313" t="s">
        <v>19</v>
      </c>
      <c r="C1227" s="313" t="s">
        <v>1466</v>
      </c>
      <c r="D1227" s="313" t="s">
        <v>19</v>
      </c>
      <c r="E1227" s="313" t="s">
        <v>517</v>
      </c>
    </row>
    <row r="1228" spans="1:5" x14ac:dyDescent="0.25">
      <c r="A1228" s="313" t="s">
        <v>516</v>
      </c>
      <c r="B1228" s="313" t="s">
        <v>19</v>
      </c>
      <c r="C1228" s="313" t="s">
        <v>1471</v>
      </c>
      <c r="D1228" s="313" t="s">
        <v>26</v>
      </c>
      <c r="E1228" s="313" t="s">
        <v>24</v>
      </c>
    </row>
    <row r="1229" spans="1:5" x14ac:dyDescent="0.25">
      <c r="A1229" s="313" t="s">
        <v>516</v>
      </c>
      <c r="B1229" s="313" t="s">
        <v>19</v>
      </c>
      <c r="C1229" s="313" t="s">
        <v>1475</v>
      </c>
      <c r="D1229" s="313" t="s">
        <v>19</v>
      </c>
      <c r="E1229" s="313" t="s">
        <v>46</v>
      </c>
    </row>
    <row r="1230" spans="1:5" x14ac:dyDescent="0.25">
      <c r="A1230" s="313" t="s">
        <v>516</v>
      </c>
      <c r="B1230" s="313" t="s">
        <v>19</v>
      </c>
      <c r="C1230" s="313" t="s">
        <v>20</v>
      </c>
      <c r="D1230" s="313" t="s">
        <v>26</v>
      </c>
      <c r="E1230" s="313" t="s">
        <v>24</v>
      </c>
    </row>
    <row r="1231" spans="1:5" x14ac:dyDescent="0.25">
      <c r="A1231" s="313" t="s">
        <v>516</v>
      </c>
      <c r="B1231" s="313" t="s">
        <v>19</v>
      </c>
      <c r="C1231" s="313" t="s">
        <v>1487</v>
      </c>
      <c r="D1231" s="313" t="s">
        <v>19</v>
      </c>
      <c r="E1231" s="313" t="s">
        <v>517</v>
      </c>
    </row>
    <row r="1232" spans="1:5" x14ac:dyDescent="0.25">
      <c r="A1232" s="313" t="s">
        <v>516</v>
      </c>
      <c r="B1232" s="313" t="s">
        <v>19</v>
      </c>
      <c r="C1232" s="313" t="s">
        <v>1495</v>
      </c>
      <c r="D1232" s="313" t="s">
        <v>35</v>
      </c>
      <c r="E1232" s="313" t="s">
        <v>24</v>
      </c>
    </row>
    <row r="1233" spans="1:5" x14ac:dyDescent="0.25">
      <c r="A1233" s="313" t="s">
        <v>516</v>
      </c>
      <c r="B1233" s="313" t="s">
        <v>26</v>
      </c>
      <c r="C1233" s="313" t="s">
        <v>2929</v>
      </c>
      <c r="D1233" s="313" t="s">
        <v>24</v>
      </c>
      <c r="E1233" s="313" t="s">
        <v>46</v>
      </c>
    </row>
    <row r="1234" spans="1:5" x14ac:dyDescent="0.25">
      <c r="A1234" s="313" t="s">
        <v>516</v>
      </c>
      <c r="B1234" s="313" t="s">
        <v>26</v>
      </c>
      <c r="C1234" s="313" t="s">
        <v>2930</v>
      </c>
      <c r="D1234" s="313" t="s">
        <v>24</v>
      </c>
      <c r="E1234" s="313" t="s">
        <v>35</v>
      </c>
    </row>
    <row r="1235" spans="1:5" x14ac:dyDescent="0.25">
      <c r="A1235" s="313" t="s">
        <v>516</v>
      </c>
      <c r="B1235" s="313" t="s">
        <v>26</v>
      </c>
      <c r="C1235" s="313" t="s">
        <v>1509</v>
      </c>
      <c r="D1235" s="313" t="s">
        <v>24</v>
      </c>
      <c r="E1235" s="313" t="s">
        <v>517</v>
      </c>
    </row>
    <row r="1236" spans="1:5" x14ac:dyDescent="0.25">
      <c r="A1236" s="313" t="s">
        <v>516</v>
      </c>
      <c r="B1236" s="313" t="s">
        <v>26</v>
      </c>
      <c r="C1236" s="313" t="s">
        <v>1510</v>
      </c>
      <c r="D1236" s="313" t="s">
        <v>24</v>
      </c>
      <c r="E1236" s="313" t="s">
        <v>1596</v>
      </c>
    </row>
    <row r="1237" spans="1:5" x14ac:dyDescent="0.25">
      <c r="A1237" s="313" t="s">
        <v>516</v>
      </c>
      <c r="B1237" s="313" t="s">
        <v>26</v>
      </c>
      <c r="C1237" s="313" t="s">
        <v>1511</v>
      </c>
      <c r="D1237" s="313" t="s">
        <v>24</v>
      </c>
      <c r="E1237" s="313" t="s">
        <v>517</v>
      </c>
    </row>
    <row r="1238" spans="1:5" x14ac:dyDescent="0.25">
      <c r="A1238" s="313" t="s">
        <v>516</v>
      </c>
      <c r="B1238" s="313" t="s">
        <v>26</v>
      </c>
      <c r="C1238" s="313" t="s">
        <v>27</v>
      </c>
      <c r="D1238" s="313" t="s">
        <v>24</v>
      </c>
      <c r="E1238" s="313" t="s">
        <v>517</v>
      </c>
    </row>
    <row r="1239" spans="1:5" x14ac:dyDescent="0.25">
      <c r="A1239" s="313" t="s">
        <v>516</v>
      </c>
      <c r="B1239" s="313" t="s">
        <v>26</v>
      </c>
      <c r="C1239" s="313" t="s">
        <v>1512</v>
      </c>
      <c r="D1239" s="313" t="s">
        <v>24</v>
      </c>
      <c r="E1239" s="313" t="s">
        <v>517</v>
      </c>
    </row>
    <row r="1240" spans="1:5" x14ac:dyDescent="0.25">
      <c r="A1240" s="313" t="s">
        <v>516</v>
      </c>
      <c r="B1240" s="313" t="s">
        <v>26</v>
      </c>
      <c r="C1240" s="313" t="s">
        <v>1513</v>
      </c>
      <c r="D1240" s="313" t="s">
        <v>24</v>
      </c>
      <c r="E1240" s="313" t="s">
        <v>1596</v>
      </c>
    </row>
    <row r="1241" spans="1:5" x14ac:dyDescent="0.25">
      <c r="A1241" s="313" t="s">
        <v>520</v>
      </c>
      <c r="B1241" s="313" t="s">
        <v>19</v>
      </c>
      <c r="C1241" s="313" t="s">
        <v>1466</v>
      </c>
      <c r="D1241" s="313" t="s">
        <v>19</v>
      </c>
      <c r="E1241" s="313" t="s">
        <v>521</v>
      </c>
    </row>
    <row r="1242" spans="1:5" x14ac:dyDescent="0.25">
      <c r="A1242" s="313" t="s">
        <v>520</v>
      </c>
      <c r="B1242" s="313" t="s">
        <v>19</v>
      </c>
      <c r="C1242" s="313" t="s">
        <v>1471</v>
      </c>
      <c r="D1242" s="313" t="s">
        <v>26</v>
      </c>
      <c r="E1242" s="313" t="s">
        <v>24</v>
      </c>
    </row>
    <row r="1243" spans="1:5" x14ac:dyDescent="0.25">
      <c r="A1243" s="313" t="s">
        <v>520</v>
      </c>
      <c r="B1243" s="313" t="s">
        <v>19</v>
      </c>
      <c r="C1243" s="313" t="s">
        <v>1475</v>
      </c>
      <c r="D1243" s="313" t="s">
        <v>19</v>
      </c>
      <c r="E1243" s="313" t="s">
        <v>46</v>
      </c>
    </row>
    <row r="1244" spans="1:5" x14ac:dyDescent="0.25">
      <c r="A1244" s="313" t="s">
        <v>520</v>
      </c>
      <c r="B1244" s="313" t="s">
        <v>19</v>
      </c>
      <c r="C1244" s="313" t="s">
        <v>20</v>
      </c>
      <c r="D1244" s="313" t="s">
        <v>19</v>
      </c>
      <c r="E1244" s="313" t="s">
        <v>521</v>
      </c>
    </row>
    <row r="1245" spans="1:5" x14ac:dyDescent="0.25">
      <c r="A1245" s="313" t="s">
        <v>520</v>
      </c>
      <c r="B1245" s="313" t="s">
        <v>19</v>
      </c>
      <c r="C1245" s="313" t="s">
        <v>1487</v>
      </c>
      <c r="D1245" s="313" t="s">
        <v>19</v>
      </c>
      <c r="E1245" s="313" t="s">
        <v>521</v>
      </c>
    </row>
    <row r="1246" spans="1:5" x14ac:dyDescent="0.25">
      <c r="A1246" s="313" t="s">
        <v>520</v>
      </c>
      <c r="B1246" s="313" t="s">
        <v>19</v>
      </c>
      <c r="C1246" s="313" t="s">
        <v>1495</v>
      </c>
      <c r="D1246" s="313" t="s">
        <v>35</v>
      </c>
      <c r="E1246" s="313" t="s">
        <v>24</v>
      </c>
    </row>
    <row r="1247" spans="1:5" x14ac:dyDescent="0.25">
      <c r="A1247" s="313" t="s">
        <v>520</v>
      </c>
      <c r="B1247" s="313" t="s">
        <v>26</v>
      </c>
      <c r="C1247" s="313" t="s">
        <v>2929</v>
      </c>
      <c r="D1247" s="313" t="s">
        <v>24</v>
      </c>
      <c r="E1247" s="313" t="s">
        <v>1597</v>
      </c>
    </row>
    <row r="1248" spans="1:5" x14ac:dyDescent="0.25">
      <c r="A1248" s="313" t="s">
        <v>520</v>
      </c>
      <c r="B1248" s="313" t="s">
        <v>26</v>
      </c>
      <c r="C1248" s="313" t="s">
        <v>2930</v>
      </c>
      <c r="D1248" s="313" t="s">
        <v>24</v>
      </c>
      <c r="E1248" s="313" t="s">
        <v>35</v>
      </c>
    </row>
    <row r="1249" spans="1:5" x14ac:dyDescent="0.25">
      <c r="A1249" s="313" t="s">
        <v>524</v>
      </c>
      <c r="B1249" s="313" t="s">
        <v>19</v>
      </c>
      <c r="C1249" s="313" t="s">
        <v>1466</v>
      </c>
      <c r="D1249" s="313" t="s">
        <v>19</v>
      </c>
      <c r="E1249" s="313" t="s">
        <v>1598</v>
      </c>
    </row>
    <row r="1250" spans="1:5" x14ac:dyDescent="0.25">
      <c r="A1250" s="313" t="s">
        <v>524</v>
      </c>
      <c r="B1250" s="313" t="s">
        <v>19</v>
      </c>
      <c r="C1250" s="313" t="s">
        <v>1471</v>
      </c>
      <c r="D1250" s="313" t="s">
        <v>26</v>
      </c>
      <c r="E1250" s="313" t="s">
        <v>24</v>
      </c>
    </row>
    <row r="1251" spans="1:5" x14ac:dyDescent="0.25">
      <c r="A1251" s="313" t="s">
        <v>524</v>
      </c>
      <c r="B1251" s="313" t="s">
        <v>19</v>
      </c>
      <c r="C1251" s="313" t="s">
        <v>1475</v>
      </c>
      <c r="D1251" s="313" t="s">
        <v>19</v>
      </c>
      <c r="E1251" s="313" t="s">
        <v>46</v>
      </c>
    </row>
    <row r="1252" spans="1:5" x14ac:dyDescent="0.25">
      <c r="A1252" s="313" t="s">
        <v>524</v>
      </c>
      <c r="B1252" s="313" t="s">
        <v>19</v>
      </c>
      <c r="C1252" s="313" t="s">
        <v>20</v>
      </c>
      <c r="D1252" s="313" t="s">
        <v>26</v>
      </c>
      <c r="E1252" s="313" t="s">
        <v>24</v>
      </c>
    </row>
    <row r="1253" spans="1:5" x14ac:dyDescent="0.25">
      <c r="A1253" s="313" t="s">
        <v>524</v>
      </c>
      <c r="B1253" s="313" t="s">
        <v>19</v>
      </c>
      <c r="C1253" s="313" t="s">
        <v>1487</v>
      </c>
      <c r="D1253" s="313" t="s">
        <v>26</v>
      </c>
      <c r="E1253" s="313" t="s">
        <v>24</v>
      </c>
    </row>
    <row r="1254" spans="1:5" x14ac:dyDescent="0.25">
      <c r="A1254" s="313" t="s">
        <v>524</v>
      </c>
      <c r="B1254" s="313" t="s">
        <v>19</v>
      </c>
      <c r="C1254" s="313" t="s">
        <v>1495</v>
      </c>
      <c r="D1254" s="313" t="s">
        <v>35</v>
      </c>
      <c r="E1254" s="313" t="s">
        <v>24</v>
      </c>
    </row>
    <row r="1255" spans="1:5" x14ac:dyDescent="0.25">
      <c r="A1255" s="313" t="s">
        <v>524</v>
      </c>
      <c r="B1255" s="313" t="s">
        <v>26</v>
      </c>
      <c r="C1255" s="313" t="s">
        <v>2929</v>
      </c>
      <c r="D1255" s="313" t="s">
        <v>24</v>
      </c>
      <c r="E1255" s="313" t="s">
        <v>1598</v>
      </c>
    </row>
    <row r="1256" spans="1:5" x14ac:dyDescent="0.25">
      <c r="A1256" s="313" t="s">
        <v>524</v>
      </c>
      <c r="B1256" s="313" t="s">
        <v>26</v>
      </c>
      <c r="C1256" s="313" t="s">
        <v>2930</v>
      </c>
      <c r="D1256" s="313" t="s">
        <v>24</v>
      </c>
      <c r="E1256" s="313" t="s">
        <v>35</v>
      </c>
    </row>
    <row r="1257" spans="1:5" x14ac:dyDescent="0.25">
      <c r="A1257" s="313" t="s">
        <v>524</v>
      </c>
      <c r="B1257" s="313" t="s">
        <v>26</v>
      </c>
      <c r="C1257" s="313" t="s">
        <v>1509</v>
      </c>
      <c r="D1257" s="313" t="s">
        <v>24</v>
      </c>
      <c r="E1257" s="313" t="s">
        <v>1598</v>
      </c>
    </row>
    <row r="1258" spans="1:5" x14ac:dyDescent="0.25">
      <c r="A1258" s="313" t="s">
        <v>524</v>
      </c>
      <c r="B1258" s="313" t="s">
        <v>26</v>
      </c>
      <c r="C1258" s="313" t="s">
        <v>1510</v>
      </c>
      <c r="D1258" s="313" t="s">
        <v>24</v>
      </c>
      <c r="E1258" s="313" t="s">
        <v>1599</v>
      </c>
    </row>
    <row r="1259" spans="1:5" x14ac:dyDescent="0.25">
      <c r="A1259" s="313" t="s">
        <v>524</v>
      </c>
      <c r="B1259" s="313" t="s">
        <v>26</v>
      </c>
      <c r="C1259" s="313" t="s">
        <v>1511</v>
      </c>
      <c r="D1259" s="313" t="s">
        <v>24</v>
      </c>
      <c r="E1259" s="313" t="s">
        <v>1598</v>
      </c>
    </row>
    <row r="1260" spans="1:5" x14ac:dyDescent="0.25">
      <c r="A1260" s="313" t="s">
        <v>524</v>
      </c>
      <c r="B1260" s="313" t="s">
        <v>26</v>
      </c>
      <c r="C1260" s="313" t="s">
        <v>27</v>
      </c>
      <c r="D1260" s="313" t="s">
        <v>24</v>
      </c>
      <c r="E1260" s="313" t="s">
        <v>46</v>
      </c>
    </row>
    <row r="1261" spans="1:5" x14ac:dyDescent="0.25">
      <c r="A1261" s="313" t="s">
        <v>524</v>
      </c>
      <c r="B1261" s="313" t="s">
        <v>26</v>
      </c>
      <c r="C1261" s="313" t="s">
        <v>1512</v>
      </c>
      <c r="D1261" s="313" t="s">
        <v>24</v>
      </c>
      <c r="E1261" s="313" t="s">
        <v>46</v>
      </c>
    </row>
    <row r="1262" spans="1:5" x14ac:dyDescent="0.25">
      <c r="A1262" s="313" t="s">
        <v>524</v>
      </c>
      <c r="B1262" s="313" t="s">
        <v>26</v>
      </c>
      <c r="C1262" s="313" t="s">
        <v>1513</v>
      </c>
      <c r="D1262" s="313" t="s">
        <v>24</v>
      </c>
      <c r="E1262" s="313" t="s">
        <v>1598</v>
      </c>
    </row>
    <row r="1263" spans="1:5" x14ac:dyDescent="0.25">
      <c r="A1263" s="313" t="s">
        <v>524</v>
      </c>
      <c r="B1263" s="313" t="s">
        <v>26</v>
      </c>
      <c r="C1263" s="313" t="s">
        <v>1514</v>
      </c>
      <c r="D1263" s="313" t="s">
        <v>24</v>
      </c>
      <c r="E1263" s="313" t="s">
        <v>1598</v>
      </c>
    </row>
    <row r="1264" spans="1:5" x14ac:dyDescent="0.25">
      <c r="A1264" s="313" t="s">
        <v>524</v>
      </c>
      <c r="B1264" s="313" t="s">
        <v>26</v>
      </c>
      <c r="C1264" s="313" t="s">
        <v>1515</v>
      </c>
      <c r="D1264" s="313" t="s">
        <v>24</v>
      </c>
      <c r="E1264" s="313" t="s">
        <v>1598</v>
      </c>
    </row>
    <row r="1265" spans="1:5" x14ac:dyDescent="0.25">
      <c r="A1265" s="313" t="s">
        <v>524</v>
      </c>
      <c r="B1265" s="313" t="s">
        <v>26</v>
      </c>
      <c r="C1265" s="313" t="s">
        <v>1516</v>
      </c>
      <c r="D1265" s="313" t="s">
        <v>24</v>
      </c>
      <c r="E1265" s="313" t="s">
        <v>1598</v>
      </c>
    </row>
    <row r="1266" spans="1:5" x14ac:dyDescent="0.25">
      <c r="A1266" s="313" t="s">
        <v>524</v>
      </c>
      <c r="B1266" s="313" t="s">
        <v>26</v>
      </c>
      <c r="C1266" s="313" t="s">
        <v>1517</v>
      </c>
      <c r="D1266" s="313" t="s">
        <v>24</v>
      </c>
      <c r="E1266" s="313" t="s">
        <v>1598</v>
      </c>
    </row>
    <row r="1267" spans="1:5" x14ac:dyDescent="0.25">
      <c r="A1267" s="313" t="s">
        <v>524</v>
      </c>
      <c r="B1267" s="313" t="s">
        <v>26</v>
      </c>
      <c r="C1267" s="313" t="s">
        <v>1518</v>
      </c>
      <c r="D1267" s="313" t="s">
        <v>24</v>
      </c>
      <c r="E1267" s="313" t="s">
        <v>1599</v>
      </c>
    </row>
    <row r="1268" spans="1:5" x14ac:dyDescent="0.25">
      <c r="A1268" s="313" t="s">
        <v>524</v>
      </c>
      <c r="B1268" s="313" t="s">
        <v>26</v>
      </c>
      <c r="C1268" s="313" t="s">
        <v>1519</v>
      </c>
      <c r="D1268" s="313" t="s">
        <v>24</v>
      </c>
      <c r="E1268" s="313" t="s">
        <v>1599</v>
      </c>
    </row>
    <row r="1269" spans="1:5" x14ac:dyDescent="0.25">
      <c r="A1269" s="313" t="s">
        <v>527</v>
      </c>
      <c r="B1269" s="313" t="s">
        <v>19</v>
      </c>
      <c r="C1269" s="313" t="s">
        <v>1466</v>
      </c>
      <c r="D1269" s="313" t="s">
        <v>35</v>
      </c>
      <c r="E1269" s="313" t="s">
        <v>24</v>
      </c>
    </row>
    <row r="1270" spans="1:5" x14ac:dyDescent="0.25">
      <c r="A1270" s="313" t="s">
        <v>527</v>
      </c>
      <c r="B1270" s="313" t="s">
        <v>19</v>
      </c>
      <c r="C1270" s="313" t="s">
        <v>1471</v>
      </c>
      <c r="D1270" s="313" t="s">
        <v>35</v>
      </c>
      <c r="E1270" s="313" t="s">
        <v>24</v>
      </c>
    </row>
    <row r="1271" spans="1:5" x14ac:dyDescent="0.25">
      <c r="A1271" s="313" t="s">
        <v>527</v>
      </c>
      <c r="B1271" s="313" t="s">
        <v>19</v>
      </c>
      <c r="C1271" s="313" t="s">
        <v>1475</v>
      </c>
      <c r="D1271" s="313" t="s">
        <v>35</v>
      </c>
      <c r="E1271" s="313" t="s">
        <v>24</v>
      </c>
    </row>
    <row r="1272" spans="1:5" x14ac:dyDescent="0.25">
      <c r="A1272" s="313" t="s">
        <v>527</v>
      </c>
      <c r="B1272" s="313" t="s">
        <v>19</v>
      </c>
      <c r="C1272" s="313" t="s">
        <v>20</v>
      </c>
      <c r="D1272" s="313" t="s">
        <v>35</v>
      </c>
      <c r="E1272" s="313" t="s">
        <v>24</v>
      </c>
    </row>
    <row r="1273" spans="1:5" x14ac:dyDescent="0.25">
      <c r="A1273" s="313" t="s">
        <v>527</v>
      </c>
      <c r="B1273" s="313" t="s">
        <v>19</v>
      </c>
      <c r="C1273" s="313" t="s">
        <v>1487</v>
      </c>
      <c r="D1273" s="313" t="s">
        <v>35</v>
      </c>
      <c r="E1273" s="313" t="s">
        <v>24</v>
      </c>
    </row>
    <row r="1274" spans="1:5" x14ac:dyDescent="0.25">
      <c r="A1274" s="313" t="s">
        <v>527</v>
      </c>
      <c r="B1274" s="313" t="s">
        <v>19</v>
      </c>
      <c r="C1274" s="313" t="s">
        <v>1495</v>
      </c>
      <c r="D1274" s="313" t="s">
        <v>35</v>
      </c>
      <c r="E1274" s="313" t="s">
        <v>24</v>
      </c>
    </row>
    <row r="1275" spans="1:5" x14ac:dyDescent="0.25">
      <c r="A1275" s="313" t="s">
        <v>530</v>
      </c>
      <c r="B1275" s="313" t="s">
        <v>19</v>
      </c>
      <c r="C1275" s="313" t="s">
        <v>1466</v>
      </c>
      <c r="D1275" s="313" t="s">
        <v>35</v>
      </c>
      <c r="E1275" s="313" t="s">
        <v>24</v>
      </c>
    </row>
    <row r="1276" spans="1:5" x14ac:dyDescent="0.25">
      <c r="A1276" s="313" t="s">
        <v>530</v>
      </c>
      <c r="B1276" s="313" t="s">
        <v>19</v>
      </c>
      <c r="C1276" s="313" t="s">
        <v>1471</v>
      </c>
      <c r="D1276" s="313" t="s">
        <v>35</v>
      </c>
      <c r="E1276" s="313" t="s">
        <v>24</v>
      </c>
    </row>
    <row r="1277" spans="1:5" x14ac:dyDescent="0.25">
      <c r="A1277" s="313" t="s">
        <v>530</v>
      </c>
      <c r="B1277" s="313" t="s">
        <v>19</v>
      </c>
      <c r="C1277" s="313" t="s">
        <v>1475</v>
      </c>
      <c r="D1277" s="313" t="s">
        <v>35</v>
      </c>
      <c r="E1277" s="313" t="s">
        <v>24</v>
      </c>
    </row>
    <row r="1278" spans="1:5" x14ac:dyDescent="0.25">
      <c r="A1278" s="313" t="s">
        <v>530</v>
      </c>
      <c r="B1278" s="313" t="s">
        <v>19</v>
      </c>
      <c r="C1278" s="313" t="s">
        <v>20</v>
      </c>
      <c r="D1278" s="313" t="s">
        <v>35</v>
      </c>
      <c r="E1278" s="313" t="s">
        <v>24</v>
      </c>
    </row>
    <row r="1279" spans="1:5" x14ac:dyDescent="0.25">
      <c r="A1279" s="313" t="s">
        <v>530</v>
      </c>
      <c r="B1279" s="313" t="s">
        <v>19</v>
      </c>
      <c r="C1279" s="313" t="s">
        <v>1487</v>
      </c>
      <c r="D1279" s="313" t="s">
        <v>35</v>
      </c>
      <c r="E1279" s="313" t="s">
        <v>24</v>
      </c>
    </row>
    <row r="1280" spans="1:5" x14ac:dyDescent="0.25">
      <c r="A1280" s="313" t="s">
        <v>530</v>
      </c>
      <c r="B1280" s="313" t="s">
        <v>19</v>
      </c>
      <c r="C1280" s="313" t="s">
        <v>1495</v>
      </c>
      <c r="D1280" s="313" t="s">
        <v>35</v>
      </c>
      <c r="E1280" s="313" t="s">
        <v>24</v>
      </c>
    </row>
    <row r="1281" spans="1:5" x14ac:dyDescent="0.25">
      <c r="A1281" s="313" t="s">
        <v>532</v>
      </c>
      <c r="B1281" s="313" t="s">
        <v>19</v>
      </c>
      <c r="C1281" s="313" t="s">
        <v>1466</v>
      </c>
      <c r="D1281" s="313" t="s">
        <v>19</v>
      </c>
      <c r="E1281" s="313" t="s">
        <v>1600</v>
      </c>
    </row>
    <row r="1282" spans="1:5" x14ac:dyDescent="0.25">
      <c r="A1282" s="313" t="s">
        <v>532</v>
      </c>
      <c r="B1282" s="313" t="s">
        <v>19</v>
      </c>
      <c r="C1282" s="313" t="s">
        <v>1471</v>
      </c>
      <c r="D1282" s="313" t="s">
        <v>26</v>
      </c>
      <c r="E1282" s="313" t="s">
        <v>24</v>
      </c>
    </row>
    <row r="1283" spans="1:5" x14ac:dyDescent="0.25">
      <c r="A1283" s="313" t="s">
        <v>532</v>
      </c>
      <c r="B1283" s="313" t="s">
        <v>19</v>
      </c>
      <c r="C1283" s="313" t="s">
        <v>1475</v>
      </c>
      <c r="D1283" s="313" t="s">
        <v>19</v>
      </c>
      <c r="E1283" s="313" t="s">
        <v>46</v>
      </c>
    </row>
    <row r="1284" spans="1:5" x14ac:dyDescent="0.25">
      <c r="A1284" s="313" t="s">
        <v>532</v>
      </c>
      <c r="B1284" s="313" t="s">
        <v>19</v>
      </c>
      <c r="C1284" s="313" t="s">
        <v>20</v>
      </c>
      <c r="D1284" s="313" t="s">
        <v>19</v>
      </c>
      <c r="E1284" s="313" t="s">
        <v>46</v>
      </c>
    </row>
    <row r="1285" spans="1:5" x14ac:dyDescent="0.25">
      <c r="A1285" s="313" t="s">
        <v>532</v>
      </c>
      <c r="B1285" s="313" t="s">
        <v>19</v>
      </c>
      <c r="C1285" s="313" t="s">
        <v>1487</v>
      </c>
      <c r="D1285" s="313" t="s">
        <v>26</v>
      </c>
      <c r="E1285" s="313" t="s">
        <v>24</v>
      </c>
    </row>
    <row r="1286" spans="1:5" x14ac:dyDescent="0.25">
      <c r="A1286" s="313" t="s">
        <v>532</v>
      </c>
      <c r="B1286" s="313" t="s">
        <v>19</v>
      </c>
      <c r="C1286" s="313" t="s">
        <v>1495</v>
      </c>
      <c r="D1286" s="313" t="s">
        <v>35</v>
      </c>
      <c r="E1286" s="313" t="s">
        <v>24</v>
      </c>
    </row>
    <row r="1287" spans="1:5" x14ac:dyDescent="0.25">
      <c r="A1287" s="313" t="s">
        <v>532</v>
      </c>
      <c r="B1287" s="313" t="s">
        <v>26</v>
      </c>
      <c r="C1287" s="313" t="s">
        <v>2929</v>
      </c>
      <c r="D1287" s="313" t="s">
        <v>24</v>
      </c>
      <c r="E1287" s="313" t="s">
        <v>46</v>
      </c>
    </row>
    <row r="1288" spans="1:5" x14ac:dyDescent="0.25">
      <c r="A1288" s="313" t="s">
        <v>532</v>
      </c>
      <c r="B1288" s="313" t="s">
        <v>26</v>
      </c>
      <c r="C1288" s="313" t="s">
        <v>2930</v>
      </c>
      <c r="D1288" s="313" t="s">
        <v>24</v>
      </c>
      <c r="E1288" s="313" t="s">
        <v>46</v>
      </c>
    </row>
    <row r="1289" spans="1:5" x14ac:dyDescent="0.25">
      <c r="A1289" s="313" t="s">
        <v>532</v>
      </c>
      <c r="B1289" s="313" t="s">
        <v>26</v>
      </c>
      <c r="C1289" s="313" t="s">
        <v>1514</v>
      </c>
      <c r="D1289" s="313" t="s">
        <v>24</v>
      </c>
      <c r="E1289" s="313" t="s">
        <v>1600</v>
      </c>
    </row>
    <row r="1290" spans="1:5" x14ac:dyDescent="0.25">
      <c r="A1290" s="313" t="s">
        <v>532</v>
      </c>
      <c r="B1290" s="313" t="s">
        <v>26</v>
      </c>
      <c r="C1290" s="313" t="s">
        <v>1515</v>
      </c>
      <c r="D1290" s="313" t="s">
        <v>24</v>
      </c>
      <c r="E1290" s="313" t="s">
        <v>1600</v>
      </c>
    </row>
    <row r="1291" spans="1:5" x14ac:dyDescent="0.25">
      <c r="A1291" s="313" t="s">
        <v>532</v>
      </c>
      <c r="B1291" s="313" t="s">
        <v>26</v>
      </c>
      <c r="C1291" s="313" t="s">
        <v>1516</v>
      </c>
      <c r="D1291" s="313" t="s">
        <v>24</v>
      </c>
      <c r="E1291" s="313" t="s">
        <v>1600</v>
      </c>
    </row>
    <row r="1292" spans="1:5" x14ac:dyDescent="0.25">
      <c r="A1292" s="313" t="s">
        <v>532</v>
      </c>
      <c r="B1292" s="313" t="s">
        <v>26</v>
      </c>
      <c r="C1292" s="313" t="s">
        <v>1517</v>
      </c>
      <c r="D1292" s="313" t="s">
        <v>24</v>
      </c>
      <c r="E1292" s="313" t="s">
        <v>1601</v>
      </c>
    </row>
    <row r="1293" spans="1:5" x14ac:dyDescent="0.25">
      <c r="A1293" s="313" t="s">
        <v>532</v>
      </c>
      <c r="B1293" s="313" t="s">
        <v>26</v>
      </c>
      <c r="C1293" s="313" t="s">
        <v>1518</v>
      </c>
      <c r="D1293" s="313" t="s">
        <v>24</v>
      </c>
      <c r="E1293" s="313" t="s">
        <v>1600</v>
      </c>
    </row>
    <row r="1294" spans="1:5" x14ac:dyDescent="0.25">
      <c r="A1294" s="313" t="s">
        <v>532</v>
      </c>
      <c r="B1294" s="313" t="s">
        <v>26</v>
      </c>
      <c r="C1294" s="313" t="s">
        <v>1519</v>
      </c>
      <c r="D1294" s="313" t="s">
        <v>24</v>
      </c>
      <c r="E1294" s="313" t="s">
        <v>1600</v>
      </c>
    </row>
    <row r="1295" spans="1:5" x14ac:dyDescent="0.25">
      <c r="A1295" s="313" t="s">
        <v>535</v>
      </c>
      <c r="B1295" s="313" t="s">
        <v>19</v>
      </c>
      <c r="C1295" s="313" t="s">
        <v>1466</v>
      </c>
      <c r="D1295" s="313" t="s">
        <v>35</v>
      </c>
      <c r="E1295" s="313" t="s">
        <v>24</v>
      </c>
    </row>
    <row r="1296" spans="1:5" x14ac:dyDescent="0.25">
      <c r="A1296" s="313" t="s">
        <v>535</v>
      </c>
      <c r="B1296" s="313" t="s">
        <v>19</v>
      </c>
      <c r="C1296" s="313" t="s">
        <v>1471</v>
      </c>
      <c r="D1296" s="313" t="s">
        <v>35</v>
      </c>
      <c r="E1296" s="313" t="s">
        <v>24</v>
      </c>
    </row>
    <row r="1297" spans="1:5" x14ac:dyDescent="0.25">
      <c r="A1297" s="313" t="s">
        <v>535</v>
      </c>
      <c r="B1297" s="313" t="s">
        <v>19</v>
      </c>
      <c r="C1297" s="313" t="s">
        <v>1475</v>
      </c>
      <c r="D1297" s="313" t="s">
        <v>35</v>
      </c>
      <c r="E1297" s="313" t="s">
        <v>24</v>
      </c>
    </row>
    <row r="1298" spans="1:5" x14ac:dyDescent="0.25">
      <c r="A1298" s="313" t="s">
        <v>535</v>
      </c>
      <c r="B1298" s="313" t="s">
        <v>19</v>
      </c>
      <c r="C1298" s="313" t="s">
        <v>20</v>
      </c>
      <c r="D1298" s="313" t="s">
        <v>19</v>
      </c>
      <c r="E1298" s="313" t="s">
        <v>46</v>
      </c>
    </row>
    <row r="1299" spans="1:5" x14ac:dyDescent="0.25">
      <c r="A1299" s="313" t="s">
        <v>535</v>
      </c>
      <c r="B1299" s="313" t="s">
        <v>19</v>
      </c>
      <c r="C1299" s="313" t="s">
        <v>1487</v>
      </c>
      <c r="D1299" s="313" t="s">
        <v>35</v>
      </c>
      <c r="E1299" s="313" t="s">
        <v>24</v>
      </c>
    </row>
    <row r="1300" spans="1:5" x14ac:dyDescent="0.25">
      <c r="A1300" s="313" t="s">
        <v>535</v>
      </c>
      <c r="B1300" s="313" t="s">
        <v>19</v>
      </c>
      <c r="C1300" s="313" t="s">
        <v>1495</v>
      </c>
      <c r="D1300" s="313" t="s">
        <v>35</v>
      </c>
      <c r="E1300" s="313" t="s">
        <v>24</v>
      </c>
    </row>
    <row r="1301" spans="1:5" x14ac:dyDescent="0.25">
      <c r="A1301" s="313" t="s">
        <v>535</v>
      </c>
      <c r="B1301" s="313" t="s">
        <v>26</v>
      </c>
      <c r="C1301" s="313" t="s">
        <v>2929</v>
      </c>
      <c r="D1301" s="313" t="s">
        <v>24</v>
      </c>
      <c r="E1301" s="313" t="s">
        <v>46</v>
      </c>
    </row>
    <row r="1302" spans="1:5" x14ac:dyDescent="0.25">
      <c r="A1302" s="313" t="s">
        <v>537</v>
      </c>
      <c r="B1302" s="313" t="s">
        <v>19</v>
      </c>
      <c r="C1302" s="313" t="s">
        <v>1466</v>
      </c>
      <c r="D1302" s="313" t="s">
        <v>19</v>
      </c>
      <c r="E1302" s="313" t="s">
        <v>1602</v>
      </c>
    </row>
    <row r="1303" spans="1:5" x14ac:dyDescent="0.25">
      <c r="A1303" s="313" t="s">
        <v>537</v>
      </c>
      <c r="B1303" s="313" t="s">
        <v>19</v>
      </c>
      <c r="C1303" s="313" t="s">
        <v>1471</v>
      </c>
      <c r="D1303" s="313" t="s">
        <v>26</v>
      </c>
      <c r="E1303" s="313" t="s">
        <v>24</v>
      </c>
    </row>
    <row r="1304" spans="1:5" x14ac:dyDescent="0.25">
      <c r="A1304" s="313" t="s">
        <v>537</v>
      </c>
      <c r="B1304" s="313" t="s">
        <v>19</v>
      </c>
      <c r="C1304" s="313" t="s">
        <v>1475</v>
      </c>
      <c r="D1304" s="313" t="s">
        <v>19</v>
      </c>
      <c r="E1304" s="313" t="s">
        <v>46</v>
      </c>
    </row>
    <row r="1305" spans="1:5" x14ac:dyDescent="0.25">
      <c r="A1305" s="313" t="s">
        <v>537</v>
      </c>
      <c r="B1305" s="313" t="s">
        <v>19</v>
      </c>
      <c r="C1305" s="313" t="s">
        <v>20</v>
      </c>
      <c r="D1305" s="313" t="s">
        <v>19</v>
      </c>
      <c r="E1305" s="313" t="s">
        <v>46</v>
      </c>
    </row>
    <row r="1306" spans="1:5" x14ac:dyDescent="0.25">
      <c r="A1306" s="313" t="s">
        <v>537</v>
      </c>
      <c r="B1306" s="313" t="s">
        <v>19</v>
      </c>
      <c r="C1306" s="313" t="s">
        <v>1487</v>
      </c>
      <c r="D1306" s="313" t="s">
        <v>19</v>
      </c>
      <c r="E1306" s="313" t="s">
        <v>46</v>
      </c>
    </row>
    <row r="1307" spans="1:5" x14ac:dyDescent="0.25">
      <c r="A1307" s="313" t="s">
        <v>537</v>
      </c>
      <c r="B1307" s="313" t="s">
        <v>19</v>
      </c>
      <c r="C1307" s="313" t="s">
        <v>1495</v>
      </c>
      <c r="D1307" s="313" t="s">
        <v>35</v>
      </c>
      <c r="E1307" s="313" t="s">
        <v>24</v>
      </c>
    </row>
    <row r="1308" spans="1:5" x14ac:dyDescent="0.25">
      <c r="A1308" s="313" t="s">
        <v>537</v>
      </c>
      <c r="B1308" s="313" t="s">
        <v>26</v>
      </c>
      <c r="C1308" s="313" t="s">
        <v>2929</v>
      </c>
      <c r="D1308" s="313" t="s">
        <v>24</v>
      </c>
      <c r="E1308" s="313" t="s">
        <v>46</v>
      </c>
    </row>
    <row r="1309" spans="1:5" x14ac:dyDescent="0.25">
      <c r="A1309" s="313" t="s">
        <v>537</v>
      </c>
      <c r="B1309" s="313" t="s">
        <v>26</v>
      </c>
      <c r="C1309" s="313" t="s">
        <v>2930</v>
      </c>
      <c r="D1309" s="313" t="s">
        <v>24</v>
      </c>
      <c r="E1309" s="313" t="s">
        <v>46</v>
      </c>
    </row>
    <row r="1310" spans="1:5" x14ac:dyDescent="0.25">
      <c r="A1310" s="313" t="s">
        <v>540</v>
      </c>
      <c r="B1310" s="313" t="s">
        <v>19</v>
      </c>
      <c r="C1310" s="313" t="s">
        <v>1466</v>
      </c>
      <c r="D1310" s="313" t="s">
        <v>35</v>
      </c>
      <c r="E1310" s="313" t="s">
        <v>24</v>
      </c>
    </row>
    <row r="1311" spans="1:5" x14ac:dyDescent="0.25">
      <c r="A1311" s="313" t="s">
        <v>540</v>
      </c>
      <c r="B1311" s="313" t="s">
        <v>19</v>
      </c>
      <c r="C1311" s="313" t="s">
        <v>1471</v>
      </c>
      <c r="D1311" s="313" t="s">
        <v>26</v>
      </c>
      <c r="E1311" s="313" t="s">
        <v>24</v>
      </c>
    </row>
    <row r="1312" spans="1:5" x14ac:dyDescent="0.25">
      <c r="A1312" s="313" t="s">
        <v>540</v>
      </c>
      <c r="B1312" s="313" t="s">
        <v>19</v>
      </c>
      <c r="C1312" s="313" t="s">
        <v>1475</v>
      </c>
      <c r="D1312" s="313" t="s">
        <v>35</v>
      </c>
      <c r="E1312" s="313" t="s">
        <v>24</v>
      </c>
    </row>
    <row r="1313" spans="1:5" x14ac:dyDescent="0.25">
      <c r="A1313" s="313" t="s">
        <v>540</v>
      </c>
      <c r="B1313" s="313" t="s">
        <v>19</v>
      </c>
      <c r="C1313" s="313" t="s">
        <v>20</v>
      </c>
      <c r="D1313" s="313" t="s">
        <v>19</v>
      </c>
      <c r="E1313" s="313" t="s">
        <v>46</v>
      </c>
    </row>
    <row r="1314" spans="1:5" x14ac:dyDescent="0.25">
      <c r="A1314" s="313" t="s">
        <v>540</v>
      </c>
      <c r="B1314" s="313" t="s">
        <v>19</v>
      </c>
      <c r="C1314" s="313" t="s">
        <v>1487</v>
      </c>
      <c r="D1314" s="313" t="s">
        <v>19</v>
      </c>
      <c r="E1314" s="313" t="s">
        <v>46</v>
      </c>
    </row>
    <row r="1315" spans="1:5" x14ac:dyDescent="0.25">
      <c r="A1315" s="313" t="s">
        <v>540</v>
      </c>
      <c r="B1315" s="313" t="s">
        <v>19</v>
      </c>
      <c r="C1315" s="313" t="s">
        <v>1495</v>
      </c>
      <c r="D1315" s="313" t="s">
        <v>35</v>
      </c>
      <c r="E1315" s="313" t="s">
        <v>24</v>
      </c>
    </row>
    <row r="1316" spans="1:5" x14ac:dyDescent="0.25">
      <c r="A1316" s="313" t="s">
        <v>540</v>
      </c>
      <c r="B1316" s="313" t="s">
        <v>26</v>
      </c>
      <c r="C1316" s="313" t="s">
        <v>2929</v>
      </c>
      <c r="D1316" s="313" t="s">
        <v>24</v>
      </c>
      <c r="E1316" s="313" t="s">
        <v>46</v>
      </c>
    </row>
    <row r="1317" spans="1:5" x14ac:dyDescent="0.25">
      <c r="A1317" s="313" t="s">
        <v>540</v>
      </c>
      <c r="B1317" s="313" t="s">
        <v>26</v>
      </c>
      <c r="C1317" s="313" t="s">
        <v>2930</v>
      </c>
      <c r="D1317" s="313" t="s">
        <v>24</v>
      </c>
      <c r="E1317" s="313" t="s">
        <v>46</v>
      </c>
    </row>
    <row r="1318" spans="1:5" x14ac:dyDescent="0.25">
      <c r="A1318" s="313" t="s">
        <v>542</v>
      </c>
      <c r="B1318" s="313" t="s">
        <v>19</v>
      </c>
      <c r="C1318" s="313" t="s">
        <v>1466</v>
      </c>
      <c r="D1318" s="313" t="s">
        <v>19</v>
      </c>
      <c r="E1318" s="313" t="s">
        <v>1603</v>
      </c>
    </row>
    <row r="1319" spans="1:5" x14ac:dyDescent="0.25">
      <c r="A1319" s="313" t="s">
        <v>542</v>
      </c>
      <c r="B1319" s="313" t="s">
        <v>19</v>
      </c>
      <c r="C1319" s="313" t="s">
        <v>1471</v>
      </c>
      <c r="D1319" s="313" t="s">
        <v>26</v>
      </c>
      <c r="E1319" s="313" t="s">
        <v>24</v>
      </c>
    </row>
    <row r="1320" spans="1:5" x14ac:dyDescent="0.25">
      <c r="A1320" s="313" t="s">
        <v>542</v>
      </c>
      <c r="B1320" s="313" t="s">
        <v>19</v>
      </c>
      <c r="C1320" s="313" t="s">
        <v>1475</v>
      </c>
      <c r="D1320" s="313" t="s">
        <v>19</v>
      </c>
      <c r="E1320" s="313" t="s">
        <v>46</v>
      </c>
    </row>
    <row r="1321" spans="1:5" x14ac:dyDescent="0.25">
      <c r="A1321" s="313" t="s">
        <v>542</v>
      </c>
      <c r="B1321" s="313" t="s">
        <v>19</v>
      </c>
      <c r="C1321" s="313" t="s">
        <v>20</v>
      </c>
      <c r="D1321" s="313" t="s">
        <v>19</v>
      </c>
      <c r="E1321" s="313" t="s">
        <v>46</v>
      </c>
    </row>
    <row r="1322" spans="1:5" x14ac:dyDescent="0.25">
      <c r="A1322" s="313" t="s">
        <v>542</v>
      </c>
      <c r="B1322" s="313" t="s">
        <v>19</v>
      </c>
      <c r="C1322" s="313" t="s">
        <v>1487</v>
      </c>
      <c r="D1322" s="313" t="s">
        <v>19</v>
      </c>
      <c r="E1322" s="313" t="s">
        <v>46</v>
      </c>
    </row>
    <row r="1323" spans="1:5" x14ac:dyDescent="0.25">
      <c r="A1323" s="313" t="s">
        <v>542</v>
      </c>
      <c r="B1323" s="313" t="s">
        <v>19</v>
      </c>
      <c r="C1323" s="313" t="s">
        <v>1495</v>
      </c>
      <c r="D1323" s="313" t="s">
        <v>35</v>
      </c>
      <c r="E1323" s="313" t="s">
        <v>24</v>
      </c>
    </row>
    <row r="1324" spans="1:5" x14ac:dyDescent="0.25">
      <c r="A1324" s="313" t="s">
        <v>542</v>
      </c>
      <c r="B1324" s="313" t="s">
        <v>26</v>
      </c>
      <c r="C1324" s="313" t="s">
        <v>2929</v>
      </c>
      <c r="D1324" s="313" t="s">
        <v>24</v>
      </c>
      <c r="E1324" s="313" t="s">
        <v>46</v>
      </c>
    </row>
    <row r="1325" spans="1:5" x14ac:dyDescent="0.25">
      <c r="A1325" s="313" t="s">
        <v>542</v>
      </c>
      <c r="B1325" s="313" t="s">
        <v>26</v>
      </c>
      <c r="C1325" s="313" t="s">
        <v>2930</v>
      </c>
      <c r="D1325" s="313" t="s">
        <v>24</v>
      </c>
      <c r="E1325" s="313" t="s">
        <v>46</v>
      </c>
    </row>
    <row r="1326" spans="1:5" x14ac:dyDescent="0.25">
      <c r="A1326" s="313" t="s">
        <v>545</v>
      </c>
      <c r="B1326" s="313" t="s">
        <v>19</v>
      </c>
      <c r="C1326" s="313" t="s">
        <v>1466</v>
      </c>
      <c r="D1326" s="313" t="s">
        <v>35</v>
      </c>
      <c r="E1326" s="313" t="s">
        <v>24</v>
      </c>
    </row>
    <row r="1327" spans="1:5" x14ac:dyDescent="0.25">
      <c r="A1327" s="313" t="s">
        <v>545</v>
      </c>
      <c r="B1327" s="313" t="s">
        <v>19</v>
      </c>
      <c r="C1327" s="313" t="s">
        <v>1471</v>
      </c>
      <c r="D1327" s="313" t="s">
        <v>26</v>
      </c>
      <c r="E1327" s="313" t="s">
        <v>24</v>
      </c>
    </row>
    <row r="1328" spans="1:5" x14ac:dyDescent="0.25">
      <c r="A1328" s="313" t="s">
        <v>545</v>
      </c>
      <c r="B1328" s="313" t="s">
        <v>19</v>
      </c>
      <c r="C1328" s="313" t="s">
        <v>1475</v>
      </c>
      <c r="D1328" s="313" t="s">
        <v>35</v>
      </c>
      <c r="E1328" s="313" t="s">
        <v>24</v>
      </c>
    </row>
    <row r="1329" spans="1:5" x14ac:dyDescent="0.25">
      <c r="A1329" s="313" t="s">
        <v>545</v>
      </c>
      <c r="B1329" s="313" t="s">
        <v>19</v>
      </c>
      <c r="C1329" s="313" t="s">
        <v>20</v>
      </c>
      <c r="D1329" s="313" t="s">
        <v>19</v>
      </c>
      <c r="E1329" s="313" t="s">
        <v>46</v>
      </c>
    </row>
    <row r="1330" spans="1:5" x14ac:dyDescent="0.25">
      <c r="A1330" s="313" t="s">
        <v>545</v>
      </c>
      <c r="B1330" s="313" t="s">
        <v>19</v>
      </c>
      <c r="C1330" s="313" t="s">
        <v>1487</v>
      </c>
      <c r="D1330" s="313" t="s">
        <v>19</v>
      </c>
      <c r="E1330" s="313" t="s">
        <v>46</v>
      </c>
    </row>
    <row r="1331" spans="1:5" x14ac:dyDescent="0.25">
      <c r="A1331" s="313" t="s">
        <v>545</v>
      </c>
      <c r="B1331" s="313" t="s">
        <v>19</v>
      </c>
      <c r="C1331" s="313" t="s">
        <v>1495</v>
      </c>
      <c r="D1331" s="313" t="s">
        <v>35</v>
      </c>
      <c r="E1331" s="313" t="s">
        <v>24</v>
      </c>
    </row>
    <row r="1332" spans="1:5" x14ac:dyDescent="0.25">
      <c r="A1332" s="313" t="s">
        <v>545</v>
      </c>
      <c r="B1332" s="313" t="s">
        <v>26</v>
      </c>
      <c r="C1332" s="313" t="s">
        <v>2929</v>
      </c>
      <c r="D1332" s="313" t="s">
        <v>24</v>
      </c>
      <c r="E1332" s="313" t="s">
        <v>46</v>
      </c>
    </row>
    <row r="1333" spans="1:5" x14ac:dyDescent="0.25">
      <c r="A1333" s="313" t="s">
        <v>545</v>
      </c>
      <c r="B1333" s="313" t="s">
        <v>26</v>
      </c>
      <c r="C1333" s="313" t="s">
        <v>2930</v>
      </c>
      <c r="D1333" s="313" t="s">
        <v>24</v>
      </c>
      <c r="E1333" s="313" t="s">
        <v>46</v>
      </c>
    </row>
    <row r="1334" spans="1:5" x14ac:dyDescent="0.25">
      <c r="A1334" s="313" t="s">
        <v>547</v>
      </c>
      <c r="B1334" s="313" t="s">
        <v>19</v>
      </c>
      <c r="C1334" s="313" t="s">
        <v>1466</v>
      </c>
      <c r="D1334" s="313" t="s">
        <v>19</v>
      </c>
      <c r="E1334" s="313" t="s">
        <v>548</v>
      </c>
    </row>
    <row r="1335" spans="1:5" x14ac:dyDescent="0.25">
      <c r="A1335" s="313" t="s">
        <v>547</v>
      </c>
      <c r="B1335" s="313" t="s">
        <v>19</v>
      </c>
      <c r="C1335" s="313" t="s">
        <v>1471</v>
      </c>
      <c r="D1335" s="313" t="s">
        <v>26</v>
      </c>
      <c r="E1335" s="313" t="s">
        <v>24</v>
      </c>
    </row>
    <row r="1336" spans="1:5" x14ac:dyDescent="0.25">
      <c r="A1336" s="313" t="s">
        <v>547</v>
      </c>
      <c r="B1336" s="313" t="s">
        <v>19</v>
      </c>
      <c r="C1336" s="313" t="s">
        <v>1475</v>
      </c>
      <c r="D1336" s="313" t="s">
        <v>19</v>
      </c>
      <c r="E1336" s="313" t="s">
        <v>46</v>
      </c>
    </row>
    <row r="1337" spans="1:5" x14ac:dyDescent="0.25">
      <c r="A1337" s="313" t="s">
        <v>547</v>
      </c>
      <c r="B1337" s="313" t="s">
        <v>19</v>
      </c>
      <c r="C1337" s="313" t="s">
        <v>20</v>
      </c>
      <c r="D1337" s="313" t="s">
        <v>19</v>
      </c>
      <c r="E1337" s="313" t="s">
        <v>548</v>
      </c>
    </row>
    <row r="1338" spans="1:5" x14ac:dyDescent="0.25">
      <c r="A1338" s="313" t="s">
        <v>547</v>
      </c>
      <c r="B1338" s="313" t="s">
        <v>19</v>
      </c>
      <c r="C1338" s="313" t="s">
        <v>1487</v>
      </c>
      <c r="D1338" s="313" t="s">
        <v>26</v>
      </c>
      <c r="E1338" s="313" t="s">
        <v>24</v>
      </c>
    </row>
    <row r="1339" spans="1:5" x14ac:dyDescent="0.25">
      <c r="A1339" s="313" t="s">
        <v>547</v>
      </c>
      <c r="B1339" s="313" t="s">
        <v>19</v>
      </c>
      <c r="C1339" s="313" t="s">
        <v>1495</v>
      </c>
      <c r="D1339" s="313" t="s">
        <v>35</v>
      </c>
      <c r="E1339" s="313" t="s">
        <v>24</v>
      </c>
    </row>
    <row r="1340" spans="1:5" x14ac:dyDescent="0.25">
      <c r="A1340" s="313" t="s">
        <v>547</v>
      </c>
      <c r="B1340" s="313" t="s">
        <v>26</v>
      </c>
      <c r="C1340" s="313" t="s">
        <v>2929</v>
      </c>
      <c r="D1340" s="313" t="s">
        <v>24</v>
      </c>
      <c r="E1340" s="313" t="s">
        <v>548</v>
      </c>
    </row>
    <row r="1341" spans="1:5" x14ac:dyDescent="0.25">
      <c r="A1341" s="313" t="s">
        <v>547</v>
      </c>
      <c r="B1341" s="313" t="s">
        <v>26</v>
      </c>
      <c r="C1341" s="313" t="s">
        <v>2930</v>
      </c>
      <c r="D1341" s="313" t="s">
        <v>24</v>
      </c>
      <c r="E1341" s="313" t="s">
        <v>35</v>
      </c>
    </row>
    <row r="1342" spans="1:5" x14ac:dyDescent="0.25">
      <c r="A1342" s="313" t="s">
        <v>547</v>
      </c>
      <c r="B1342" s="313" t="s">
        <v>26</v>
      </c>
      <c r="C1342" s="313" t="s">
        <v>1514</v>
      </c>
      <c r="D1342" s="313" t="s">
        <v>24</v>
      </c>
      <c r="E1342" s="313" t="s">
        <v>548</v>
      </c>
    </row>
    <row r="1343" spans="1:5" x14ac:dyDescent="0.25">
      <c r="A1343" s="313" t="s">
        <v>547</v>
      </c>
      <c r="B1343" s="313" t="s">
        <v>26</v>
      </c>
      <c r="C1343" s="313" t="s">
        <v>1515</v>
      </c>
      <c r="D1343" s="313" t="s">
        <v>24</v>
      </c>
      <c r="E1343" s="313" t="s">
        <v>548</v>
      </c>
    </row>
    <row r="1344" spans="1:5" x14ac:dyDescent="0.25">
      <c r="A1344" s="313" t="s">
        <v>547</v>
      </c>
      <c r="B1344" s="313" t="s">
        <v>26</v>
      </c>
      <c r="C1344" s="313" t="s">
        <v>1516</v>
      </c>
      <c r="D1344" s="313" t="s">
        <v>24</v>
      </c>
      <c r="E1344" s="313" t="s">
        <v>548</v>
      </c>
    </row>
    <row r="1345" spans="1:5" x14ac:dyDescent="0.25">
      <c r="A1345" s="313" t="s">
        <v>547</v>
      </c>
      <c r="B1345" s="313" t="s">
        <v>26</v>
      </c>
      <c r="C1345" s="313" t="s">
        <v>1517</v>
      </c>
      <c r="D1345" s="313" t="s">
        <v>24</v>
      </c>
      <c r="E1345" s="313" t="s">
        <v>548</v>
      </c>
    </row>
    <row r="1346" spans="1:5" x14ac:dyDescent="0.25">
      <c r="A1346" s="313" t="s">
        <v>547</v>
      </c>
      <c r="B1346" s="313" t="s">
        <v>26</v>
      </c>
      <c r="C1346" s="313" t="s">
        <v>1518</v>
      </c>
      <c r="D1346" s="313" t="s">
        <v>24</v>
      </c>
      <c r="E1346" s="313" t="s">
        <v>1604</v>
      </c>
    </row>
    <row r="1347" spans="1:5" x14ac:dyDescent="0.25">
      <c r="A1347" s="313" t="s">
        <v>547</v>
      </c>
      <c r="B1347" s="313" t="s">
        <v>26</v>
      </c>
      <c r="C1347" s="313" t="s">
        <v>1519</v>
      </c>
      <c r="D1347" s="313" t="s">
        <v>24</v>
      </c>
      <c r="E1347" s="313" t="s">
        <v>1604</v>
      </c>
    </row>
    <row r="1348" spans="1:5" x14ac:dyDescent="0.25">
      <c r="A1348" s="313" t="s">
        <v>551</v>
      </c>
      <c r="B1348" s="313" t="s">
        <v>19</v>
      </c>
      <c r="C1348" s="313" t="s">
        <v>1466</v>
      </c>
      <c r="D1348" s="313" t="s">
        <v>35</v>
      </c>
      <c r="E1348" s="313" t="s">
        <v>24</v>
      </c>
    </row>
    <row r="1349" spans="1:5" x14ac:dyDescent="0.25">
      <c r="A1349" s="313" t="s">
        <v>551</v>
      </c>
      <c r="B1349" s="313" t="s">
        <v>19</v>
      </c>
      <c r="C1349" s="313" t="s">
        <v>1471</v>
      </c>
      <c r="D1349" s="313" t="s">
        <v>26</v>
      </c>
      <c r="E1349" s="313" t="s">
        <v>24</v>
      </c>
    </row>
    <row r="1350" spans="1:5" x14ac:dyDescent="0.25">
      <c r="A1350" s="313" t="s">
        <v>551</v>
      </c>
      <c r="B1350" s="313" t="s">
        <v>19</v>
      </c>
      <c r="C1350" s="313" t="s">
        <v>1475</v>
      </c>
      <c r="D1350" s="313" t="s">
        <v>19</v>
      </c>
      <c r="E1350" s="313" t="s">
        <v>46</v>
      </c>
    </row>
    <row r="1351" spans="1:5" x14ac:dyDescent="0.25">
      <c r="A1351" s="313" t="s">
        <v>551</v>
      </c>
      <c r="B1351" s="313" t="s">
        <v>19</v>
      </c>
      <c r="C1351" s="313" t="s">
        <v>20</v>
      </c>
      <c r="D1351" s="313" t="s">
        <v>35</v>
      </c>
      <c r="E1351" s="313" t="s">
        <v>24</v>
      </c>
    </row>
    <row r="1352" spans="1:5" x14ac:dyDescent="0.25">
      <c r="A1352" s="313" t="s">
        <v>551</v>
      </c>
      <c r="B1352" s="313" t="s">
        <v>19</v>
      </c>
      <c r="C1352" s="313" t="s">
        <v>1487</v>
      </c>
      <c r="D1352" s="313" t="s">
        <v>35</v>
      </c>
      <c r="E1352" s="313" t="s">
        <v>24</v>
      </c>
    </row>
    <row r="1353" spans="1:5" x14ac:dyDescent="0.25">
      <c r="A1353" s="313" t="s">
        <v>551</v>
      </c>
      <c r="B1353" s="313" t="s">
        <v>19</v>
      </c>
      <c r="C1353" s="313" t="s">
        <v>1495</v>
      </c>
      <c r="D1353" s="313" t="s">
        <v>35</v>
      </c>
      <c r="E1353" s="313" t="s">
        <v>24</v>
      </c>
    </row>
    <row r="1354" spans="1:5" x14ac:dyDescent="0.25">
      <c r="A1354" s="313" t="s">
        <v>551</v>
      </c>
      <c r="B1354" s="313" t="s">
        <v>26</v>
      </c>
      <c r="C1354" s="313" t="s">
        <v>2929</v>
      </c>
      <c r="D1354" s="313" t="s">
        <v>24</v>
      </c>
      <c r="E1354" s="313" t="s">
        <v>1605</v>
      </c>
    </row>
    <row r="1355" spans="1:5" x14ac:dyDescent="0.25">
      <c r="A1355" s="313" t="s">
        <v>551</v>
      </c>
      <c r="B1355" s="313" t="s">
        <v>26</v>
      </c>
      <c r="C1355" s="313" t="s">
        <v>2930</v>
      </c>
      <c r="D1355" s="313" t="s">
        <v>24</v>
      </c>
      <c r="E1355" s="313" t="s">
        <v>35</v>
      </c>
    </row>
    <row r="1356" spans="1:5" x14ac:dyDescent="0.25">
      <c r="A1356" s="313" t="s">
        <v>554</v>
      </c>
      <c r="B1356" s="313" t="s">
        <v>19</v>
      </c>
      <c r="C1356" s="313" t="s">
        <v>1466</v>
      </c>
      <c r="D1356" s="313" t="s">
        <v>35</v>
      </c>
      <c r="E1356" s="313" t="s">
        <v>24</v>
      </c>
    </row>
    <row r="1357" spans="1:5" x14ac:dyDescent="0.25">
      <c r="A1357" s="313" t="s">
        <v>554</v>
      </c>
      <c r="B1357" s="313" t="s">
        <v>19</v>
      </c>
      <c r="C1357" s="313" t="s">
        <v>1471</v>
      </c>
      <c r="D1357" s="313" t="s">
        <v>35</v>
      </c>
      <c r="E1357" s="313" t="s">
        <v>24</v>
      </c>
    </row>
    <row r="1358" spans="1:5" x14ac:dyDescent="0.25">
      <c r="A1358" s="313" t="s">
        <v>554</v>
      </c>
      <c r="B1358" s="313" t="s">
        <v>19</v>
      </c>
      <c r="C1358" s="313" t="s">
        <v>1475</v>
      </c>
      <c r="D1358" s="313" t="s">
        <v>35</v>
      </c>
      <c r="E1358" s="313" t="s">
        <v>24</v>
      </c>
    </row>
    <row r="1359" spans="1:5" x14ac:dyDescent="0.25">
      <c r="A1359" s="313" t="s">
        <v>554</v>
      </c>
      <c r="B1359" s="313" t="s">
        <v>19</v>
      </c>
      <c r="C1359" s="313" t="s">
        <v>20</v>
      </c>
      <c r="D1359" s="313" t="s">
        <v>35</v>
      </c>
      <c r="E1359" s="313" t="s">
        <v>24</v>
      </c>
    </row>
    <row r="1360" spans="1:5" x14ac:dyDescent="0.25">
      <c r="A1360" s="313" t="s">
        <v>554</v>
      </c>
      <c r="B1360" s="313" t="s">
        <v>19</v>
      </c>
      <c r="C1360" s="313" t="s">
        <v>1487</v>
      </c>
      <c r="D1360" s="313" t="s">
        <v>35</v>
      </c>
      <c r="E1360" s="313" t="s">
        <v>24</v>
      </c>
    </row>
    <row r="1361" spans="1:5" x14ac:dyDescent="0.25">
      <c r="A1361" s="313" t="s">
        <v>554</v>
      </c>
      <c r="B1361" s="313" t="s">
        <v>19</v>
      </c>
      <c r="C1361" s="313" t="s">
        <v>1495</v>
      </c>
      <c r="D1361" s="313" t="s">
        <v>35</v>
      </c>
      <c r="E1361" s="313" t="s">
        <v>24</v>
      </c>
    </row>
    <row r="1362" spans="1:5" x14ac:dyDescent="0.25">
      <c r="A1362" s="313" t="s">
        <v>558</v>
      </c>
      <c r="B1362" s="313" t="s">
        <v>19</v>
      </c>
      <c r="C1362" s="313" t="s">
        <v>1466</v>
      </c>
      <c r="D1362" s="313" t="s">
        <v>19</v>
      </c>
      <c r="E1362" s="313" t="s">
        <v>1606</v>
      </c>
    </row>
    <row r="1363" spans="1:5" x14ac:dyDescent="0.25">
      <c r="A1363" s="313" t="s">
        <v>558</v>
      </c>
      <c r="B1363" s="313" t="s">
        <v>19</v>
      </c>
      <c r="C1363" s="313" t="s">
        <v>1471</v>
      </c>
      <c r="D1363" s="313" t="s">
        <v>26</v>
      </c>
      <c r="E1363" s="313" t="s">
        <v>24</v>
      </c>
    </row>
    <row r="1364" spans="1:5" x14ac:dyDescent="0.25">
      <c r="A1364" s="313" t="s">
        <v>558</v>
      </c>
      <c r="B1364" s="313" t="s">
        <v>19</v>
      </c>
      <c r="C1364" s="313" t="s">
        <v>1475</v>
      </c>
      <c r="D1364" s="313" t="s">
        <v>19</v>
      </c>
      <c r="E1364" s="313" t="s">
        <v>46</v>
      </c>
    </row>
    <row r="1365" spans="1:5" x14ac:dyDescent="0.25">
      <c r="A1365" s="313" t="s">
        <v>558</v>
      </c>
      <c r="B1365" s="313" t="s">
        <v>19</v>
      </c>
      <c r="C1365" s="313" t="s">
        <v>20</v>
      </c>
      <c r="D1365" s="313" t="s">
        <v>26</v>
      </c>
      <c r="E1365" s="313" t="s">
        <v>24</v>
      </c>
    </row>
    <row r="1366" spans="1:5" x14ac:dyDescent="0.25">
      <c r="A1366" s="313" t="s">
        <v>558</v>
      </c>
      <c r="B1366" s="313" t="s">
        <v>19</v>
      </c>
      <c r="C1366" s="313" t="s">
        <v>1487</v>
      </c>
      <c r="D1366" s="313" t="s">
        <v>26</v>
      </c>
      <c r="E1366" s="313" t="s">
        <v>24</v>
      </c>
    </row>
    <row r="1367" spans="1:5" x14ac:dyDescent="0.25">
      <c r="A1367" s="313" t="s">
        <v>558</v>
      </c>
      <c r="B1367" s="313" t="s">
        <v>19</v>
      </c>
      <c r="C1367" s="313" t="s">
        <v>1495</v>
      </c>
      <c r="D1367" s="313" t="s">
        <v>35</v>
      </c>
      <c r="E1367" s="313" t="s">
        <v>24</v>
      </c>
    </row>
    <row r="1368" spans="1:5" x14ac:dyDescent="0.25">
      <c r="A1368" s="313" t="s">
        <v>558</v>
      </c>
      <c r="B1368" s="313" t="s">
        <v>26</v>
      </c>
      <c r="C1368" s="313" t="s">
        <v>2929</v>
      </c>
      <c r="D1368" s="313" t="s">
        <v>24</v>
      </c>
      <c r="E1368" s="313" t="s">
        <v>1607</v>
      </c>
    </row>
    <row r="1369" spans="1:5" x14ac:dyDescent="0.25">
      <c r="A1369" s="313" t="s">
        <v>558</v>
      </c>
      <c r="B1369" s="313" t="s">
        <v>26</v>
      </c>
      <c r="C1369" s="313" t="s">
        <v>2930</v>
      </c>
      <c r="D1369" s="313" t="s">
        <v>24</v>
      </c>
      <c r="E1369" s="313" t="s">
        <v>35</v>
      </c>
    </row>
    <row r="1370" spans="1:5" x14ac:dyDescent="0.25">
      <c r="A1370" s="313" t="s">
        <v>558</v>
      </c>
      <c r="B1370" s="313" t="s">
        <v>26</v>
      </c>
      <c r="C1370" s="313" t="s">
        <v>1509</v>
      </c>
      <c r="D1370" s="313" t="s">
        <v>24</v>
      </c>
      <c r="E1370" s="313" t="s">
        <v>1606</v>
      </c>
    </row>
    <row r="1371" spans="1:5" x14ac:dyDescent="0.25">
      <c r="A1371" s="313" t="s">
        <v>558</v>
      </c>
      <c r="B1371" s="313" t="s">
        <v>26</v>
      </c>
      <c r="C1371" s="313" t="s">
        <v>1510</v>
      </c>
      <c r="D1371" s="313" t="s">
        <v>24</v>
      </c>
      <c r="E1371" s="313" t="s">
        <v>46</v>
      </c>
    </row>
    <row r="1372" spans="1:5" x14ac:dyDescent="0.25">
      <c r="A1372" s="313" t="s">
        <v>558</v>
      </c>
      <c r="B1372" s="313" t="s">
        <v>26</v>
      </c>
      <c r="C1372" s="313" t="s">
        <v>1511</v>
      </c>
      <c r="D1372" s="313" t="s">
        <v>24</v>
      </c>
      <c r="E1372" s="313" t="s">
        <v>1606</v>
      </c>
    </row>
    <row r="1373" spans="1:5" x14ac:dyDescent="0.25">
      <c r="A1373" s="313" t="s">
        <v>558</v>
      </c>
      <c r="B1373" s="313" t="s">
        <v>26</v>
      </c>
      <c r="C1373" s="313" t="s">
        <v>27</v>
      </c>
      <c r="D1373" s="313" t="s">
        <v>24</v>
      </c>
      <c r="E1373" s="313" t="s">
        <v>46</v>
      </c>
    </row>
    <row r="1374" spans="1:5" x14ac:dyDescent="0.25">
      <c r="A1374" s="313" t="s">
        <v>558</v>
      </c>
      <c r="B1374" s="313" t="s">
        <v>26</v>
      </c>
      <c r="C1374" s="313" t="s">
        <v>1512</v>
      </c>
      <c r="D1374" s="313" t="s">
        <v>24</v>
      </c>
      <c r="E1374" s="313" t="s">
        <v>46</v>
      </c>
    </row>
    <row r="1375" spans="1:5" x14ac:dyDescent="0.25">
      <c r="A1375" s="313" t="s">
        <v>558</v>
      </c>
      <c r="B1375" s="313" t="s">
        <v>26</v>
      </c>
      <c r="C1375" s="313" t="s">
        <v>1513</v>
      </c>
      <c r="D1375" s="313" t="s">
        <v>24</v>
      </c>
      <c r="E1375" s="313" t="s">
        <v>1607</v>
      </c>
    </row>
    <row r="1376" spans="1:5" x14ac:dyDescent="0.25">
      <c r="A1376" s="313" t="s">
        <v>558</v>
      </c>
      <c r="B1376" s="313" t="s">
        <v>26</v>
      </c>
      <c r="C1376" s="313" t="s">
        <v>1514</v>
      </c>
      <c r="D1376" s="313" t="s">
        <v>24</v>
      </c>
      <c r="E1376" s="313" t="s">
        <v>1606</v>
      </c>
    </row>
    <row r="1377" spans="1:5" x14ac:dyDescent="0.25">
      <c r="A1377" s="313" t="s">
        <v>558</v>
      </c>
      <c r="B1377" s="313" t="s">
        <v>26</v>
      </c>
      <c r="C1377" s="313" t="s">
        <v>1515</v>
      </c>
      <c r="D1377" s="313" t="s">
        <v>24</v>
      </c>
      <c r="E1377" s="313" t="s">
        <v>1606</v>
      </c>
    </row>
    <row r="1378" spans="1:5" x14ac:dyDescent="0.25">
      <c r="A1378" s="313" t="s">
        <v>558</v>
      </c>
      <c r="B1378" s="313" t="s">
        <v>26</v>
      </c>
      <c r="C1378" s="313" t="s">
        <v>1516</v>
      </c>
      <c r="D1378" s="313" t="s">
        <v>24</v>
      </c>
      <c r="E1378" s="313" t="s">
        <v>1606</v>
      </c>
    </row>
    <row r="1379" spans="1:5" x14ac:dyDescent="0.25">
      <c r="A1379" s="313" t="s">
        <v>558</v>
      </c>
      <c r="B1379" s="313" t="s">
        <v>26</v>
      </c>
      <c r="C1379" s="313" t="s">
        <v>1517</v>
      </c>
      <c r="D1379" s="313" t="s">
        <v>24</v>
      </c>
      <c r="E1379" s="313" t="s">
        <v>1606</v>
      </c>
    </row>
    <row r="1380" spans="1:5" x14ac:dyDescent="0.25">
      <c r="A1380" s="313" t="s">
        <v>558</v>
      </c>
      <c r="B1380" s="313" t="s">
        <v>26</v>
      </c>
      <c r="C1380" s="313" t="s">
        <v>1518</v>
      </c>
      <c r="D1380" s="313" t="s">
        <v>24</v>
      </c>
      <c r="E1380" s="313" t="s">
        <v>1607</v>
      </c>
    </row>
    <row r="1381" spans="1:5" x14ac:dyDescent="0.25">
      <c r="A1381" s="313" t="s">
        <v>558</v>
      </c>
      <c r="B1381" s="313" t="s">
        <v>26</v>
      </c>
      <c r="C1381" s="313" t="s">
        <v>1519</v>
      </c>
      <c r="D1381" s="313" t="s">
        <v>24</v>
      </c>
      <c r="E1381" s="313" t="s">
        <v>1607</v>
      </c>
    </row>
    <row r="1382" spans="1:5" x14ac:dyDescent="0.25">
      <c r="A1382" s="313" t="s">
        <v>561</v>
      </c>
      <c r="B1382" s="313" t="s">
        <v>19</v>
      </c>
      <c r="C1382" s="313" t="s">
        <v>1466</v>
      </c>
      <c r="D1382" s="313" t="s">
        <v>19</v>
      </c>
      <c r="E1382" s="313" t="s">
        <v>1608</v>
      </c>
    </row>
    <row r="1383" spans="1:5" x14ac:dyDescent="0.25">
      <c r="A1383" s="313" t="s">
        <v>561</v>
      </c>
      <c r="B1383" s="313" t="s">
        <v>19</v>
      </c>
      <c r="C1383" s="313" t="s">
        <v>1471</v>
      </c>
      <c r="D1383" s="313" t="s">
        <v>26</v>
      </c>
      <c r="E1383" s="313" t="s">
        <v>24</v>
      </c>
    </row>
    <row r="1384" spans="1:5" x14ac:dyDescent="0.25">
      <c r="A1384" s="313" t="s">
        <v>561</v>
      </c>
      <c r="B1384" s="313" t="s">
        <v>19</v>
      </c>
      <c r="C1384" s="313" t="s">
        <v>1475</v>
      </c>
      <c r="D1384" s="313" t="s">
        <v>19</v>
      </c>
      <c r="E1384" s="313" t="s">
        <v>46</v>
      </c>
    </row>
    <row r="1385" spans="1:5" x14ac:dyDescent="0.25">
      <c r="A1385" s="313" t="s">
        <v>561</v>
      </c>
      <c r="B1385" s="313" t="s">
        <v>19</v>
      </c>
      <c r="C1385" s="313" t="s">
        <v>20</v>
      </c>
      <c r="D1385" s="313" t="s">
        <v>26</v>
      </c>
      <c r="E1385" s="313" t="s">
        <v>24</v>
      </c>
    </row>
    <row r="1386" spans="1:5" x14ac:dyDescent="0.25">
      <c r="A1386" s="313" t="s">
        <v>561</v>
      </c>
      <c r="B1386" s="313" t="s">
        <v>19</v>
      </c>
      <c r="C1386" s="313" t="s">
        <v>1487</v>
      </c>
      <c r="D1386" s="313" t="s">
        <v>19</v>
      </c>
      <c r="E1386" s="313" t="s">
        <v>46</v>
      </c>
    </row>
    <row r="1387" spans="1:5" x14ac:dyDescent="0.25">
      <c r="A1387" s="313" t="s">
        <v>561</v>
      </c>
      <c r="B1387" s="313" t="s">
        <v>19</v>
      </c>
      <c r="C1387" s="313" t="s">
        <v>1495</v>
      </c>
      <c r="D1387" s="313" t="s">
        <v>35</v>
      </c>
      <c r="E1387" s="313" t="s">
        <v>24</v>
      </c>
    </row>
    <row r="1388" spans="1:5" x14ac:dyDescent="0.25">
      <c r="A1388" s="313" t="s">
        <v>561</v>
      </c>
      <c r="B1388" s="313" t="s">
        <v>26</v>
      </c>
      <c r="C1388" s="313" t="s">
        <v>2929</v>
      </c>
      <c r="D1388" s="313" t="s">
        <v>24</v>
      </c>
      <c r="E1388" s="313" t="s">
        <v>46</v>
      </c>
    </row>
    <row r="1389" spans="1:5" x14ac:dyDescent="0.25">
      <c r="A1389" s="313" t="s">
        <v>561</v>
      </c>
      <c r="B1389" s="313" t="s">
        <v>26</v>
      </c>
      <c r="C1389" s="313" t="s">
        <v>2930</v>
      </c>
      <c r="D1389" s="313" t="s">
        <v>24</v>
      </c>
      <c r="E1389" s="313" t="s">
        <v>35</v>
      </c>
    </row>
    <row r="1390" spans="1:5" x14ac:dyDescent="0.25">
      <c r="A1390" s="313" t="s">
        <v>561</v>
      </c>
      <c r="B1390" s="313" t="s">
        <v>26</v>
      </c>
      <c r="C1390" s="313" t="s">
        <v>1509</v>
      </c>
      <c r="D1390" s="313" t="s">
        <v>24</v>
      </c>
      <c r="E1390" s="313" t="s">
        <v>1609</v>
      </c>
    </row>
    <row r="1391" spans="1:5" x14ac:dyDescent="0.25">
      <c r="A1391" s="313" t="s">
        <v>561</v>
      </c>
      <c r="B1391" s="313" t="s">
        <v>26</v>
      </c>
      <c r="C1391" s="313" t="s">
        <v>1510</v>
      </c>
      <c r="D1391" s="313" t="s">
        <v>24</v>
      </c>
      <c r="E1391" s="313" t="s">
        <v>46</v>
      </c>
    </row>
    <row r="1392" spans="1:5" x14ac:dyDescent="0.25">
      <c r="A1392" s="313" t="s">
        <v>561</v>
      </c>
      <c r="B1392" s="313" t="s">
        <v>26</v>
      </c>
      <c r="C1392" s="313" t="s">
        <v>1511</v>
      </c>
      <c r="D1392" s="313" t="s">
        <v>24</v>
      </c>
      <c r="E1392" s="313" t="s">
        <v>1609</v>
      </c>
    </row>
    <row r="1393" spans="1:5" x14ac:dyDescent="0.25">
      <c r="A1393" s="313" t="s">
        <v>561</v>
      </c>
      <c r="B1393" s="313" t="s">
        <v>26</v>
      </c>
      <c r="C1393" s="313" t="s">
        <v>27</v>
      </c>
      <c r="D1393" s="313" t="s">
        <v>24</v>
      </c>
      <c r="E1393" s="313" t="s">
        <v>46</v>
      </c>
    </row>
    <row r="1394" spans="1:5" x14ac:dyDescent="0.25">
      <c r="A1394" s="313" t="s">
        <v>561</v>
      </c>
      <c r="B1394" s="313" t="s">
        <v>26</v>
      </c>
      <c r="C1394" s="313" t="s">
        <v>1512</v>
      </c>
      <c r="D1394" s="313" t="s">
        <v>24</v>
      </c>
      <c r="E1394" s="313" t="s">
        <v>46</v>
      </c>
    </row>
    <row r="1395" spans="1:5" x14ac:dyDescent="0.25">
      <c r="A1395" s="313" t="s">
        <v>561</v>
      </c>
      <c r="B1395" s="313" t="s">
        <v>26</v>
      </c>
      <c r="C1395" s="313" t="s">
        <v>1513</v>
      </c>
      <c r="D1395" s="313" t="s">
        <v>24</v>
      </c>
      <c r="E1395" s="313" t="s">
        <v>1609</v>
      </c>
    </row>
    <row r="1396" spans="1:5" x14ac:dyDescent="0.25">
      <c r="A1396" s="313" t="s">
        <v>564</v>
      </c>
      <c r="B1396" s="313" t="s">
        <v>19</v>
      </c>
      <c r="C1396" s="313" t="s">
        <v>1466</v>
      </c>
      <c r="D1396" s="313" t="s">
        <v>19</v>
      </c>
      <c r="E1396" s="313" t="s">
        <v>1610</v>
      </c>
    </row>
    <row r="1397" spans="1:5" x14ac:dyDescent="0.25">
      <c r="A1397" s="313" t="s">
        <v>564</v>
      </c>
      <c r="B1397" s="313" t="s">
        <v>19</v>
      </c>
      <c r="C1397" s="313" t="s">
        <v>1471</v>
      </c>
      <c r="D1397" s="313" t="s">
        <v>26</v>
      </c>
      <c r="E1397" s="313" t="s">
        <v>24</v>
      </c>
    </row>
    <row r="1398" spans="1:5" x14ac:dyDescent="0.25">
      <c r="A1398" s="313" t="s">
        <v>564</v>
      </c>
      <c r="B1398" s="313" t="s">
        <v>19</v>
      </c>
      <c r="C1398" s="313" t="s">
        <v>1475</v>
      </c>
      <c r="D1398" s="313" t="s">
        <v>19</v>
      </c>
      <c r="E1398" s="313" t="s">
        <v>46</v>
      </c>
    </row>
    <row r="1399" spans="1:5" x14ac:dyDescent="0.25">
      <c r="A1399" s="313" t="s">
        <v>564</v>
      </c>
      <c r="B1399" s="313" t="s">
        <v>19</v>
      </c>
      <c r="C1399" s="313" t="s">
        <v>20</v>
      </c>
      <c r="D1399" s="313" t="s">
        <v>26</v>
      </c>
      <c r="E1399" s="313" t="s">
        <v>24</v>
      </c>
    </row>
    <row r="1400" spans="1:5" x14ac:dyDescent="0.25">
      <c r="A1400" s="313" t="s">
        <v>564</v>
      </c>
      <c r="B1400" s="313" t="s">
        <v>19</v>
      </c>
      <c r="C1400" s="313" t="s">
        <v>1487</v>
      </c>
      <c r="D1400" s="313" t="s">
        <v>26</v>
      </c>
      <c r="E1400" s="313" t="s">
        <v>24</v>
      </c>
    </row>
    <row r="1401" spans="1:5" x14ac:dyDescent="0.25">
      <c r="A1401" s="313" t="s">
        <v>564</v>
      </c>
      <c r="B1401" s="313" t="s">
        <v>19</v>
      </c>
      <c r="C1401" s="313" t="s">
        <v>1495</v>
      </c>
      <c r="D1401" s="313" t="s">
        <v>35</v>
      </c>
      <c r="E1401" s="313" t="s">
        <v>24</v>
      </c>
    </row>
    <row r="1402" spans="1:5" x14ac:dyDescent="0.25">
      <c r="A1402" s="313" t="s">
        <v>564</v>
      </c>
      <c r="B1402" s="313" t="s">
        <v>26</v>
      </c>
      <c r="C1402" s="313" t="s">
        <v>2929</v>
      </c>
      <c r="D1402" s="313" t="s">
        <v>24</v>
      </c>
      <c r="E1402" s="313" t="s">
        <v>46</v>
      </c>
    </row>
    <row r="1403" spans="1:5" x14ac:dyDescent="0.25">
      <c r="A1403" s="313" t="s">
        <v>564</v>
      </c>
      <c r="B1403" s="313" t="s">
        <v>26</v>
      </c>
      <c r="C1403" s="313" t="s">
        <v>2930</v>
      </c>
      <c r="D1403" s="313" t="s">
        <v>24</v>
      </c>
      <c r="E1403" s="313" t="s">
        <v>35</v>
      </c>
    </row>
    <row r="1404" spans="1:5" x14ac:dyDescent="0.25">
      <c r="A1404" s="313" t="s">
        <v>564</v>
      </c>
      <c r="B1404" s="313" t="s">
        <v>26</v>
      </c>
      <c r="C1404" s="313" t="s">
        <v>1509</v>
      </c>
      <c r="D1404" s="313" t="s">
        <v>24</v>
      </c>
      <c r="E1404" s="313" t="s">
        <v>1610</v>
      </c>
    </row>
    <row r="1405" spans="1:5" x14ac:dyDescent="0.25">
      <c r="A1405" s="313" t="s">
        <v>564</v>
      </c>
      <c r="B1405" s="313" t="s">
        <v>26</v>
      </c>
      <c r="C1405" s="313" t="s">
        <v>1510</v>
      </c>
      <c r="D1405" s="313" t="s">
        <v>24</v>
      </c>
      <c r="E1405" s="313" t="s">
        <v>46</v>
      </c>
    </row>
    <row r="1406" spans="1:5" x14ac:dyDescent="0.25">
      <c r="A1406" s="313" t="s">
        <v>564</v>
      </c>
      <c r="B1406" s="313" t="s">
        <v>26</v>
      </c>
      <c r="C1406" s="313" t="s">
        <v>1511</v>
      </c>
      <c r="D1406" s="313" t="s">
        <v>24</v>
      </c>
      <c r="E1406" s="313" t="s">
        <v>1611</v>
      </c>
    </row>
    <row r="1407" spans="1:5" x14ac:dyDescent="0.25">
      <c r="A1407" s="313" t="s">
        <v>564</v>
      </c>
      <c r="B1407" s="313" t="s">
        <v>26</v>
      </c>
      <c r="C1407" s="313" t="s">
        <v>27</v>
      </c>
      <c r="D1407" s="313" t="s">
        <v>24</v>
      </c>
      <c r="E1407" s="313" t="s">
        <v>46</v>
      </c>
    </row>
    <row r="1408" spans="1:5" x14ac:dyDescent="0.25">
      <c r="A1408" s="313" t="s">
        <v>564</v>
      </c>
      <c r="B1408" s="313" t="s">
        <v>26</v>
      </c>
      <c r="C1408" s="313" t="s">
        <v>1512</v>
      </c>
      <c r="D1408" s="313" t="s">
        <v>24</v>
      </c>
      <c r="E1408" s="313" t="s">
        <v>46</v>
      </c>
    </row>
    <row r="1409" spans="1:5" x14ac:dyDescent="0.25">
      <c r="A1409" s="313" t="s">
        <v>564</v>
      </c>
      <c r="B1409" s="313" t="s">
        <v>26</v>
      </c>
      <c r="C1409" s="313" t="s">
        <v>1513</v>
      </c>
      <c r="D1409" s="313" t="s">
        <v>24</v>
      </c>
      <c r="E1409" s="313" t="s">
        <v>1610</v>
      </c>
    </row>
    <row r="1410" spans="1:5" x14ac:dyDescent="0.25">
      <c r="A1410" s="313" t="s">
        <v>564</v>
      </c>
      <c r="B1410" s="313" t="s">
        <v>26</v>
      </c>
      <c r="C1410" s="313" t="s">
        <v>1514</v>
      </c>
      <c r="D1410" s="313" t="s">
        <v>24</v>
      </c>
      <c r="E1410" s="313" t="s">
        <v>1610</v>
      </c>
    </row>
    <row r="1411" spans="1:5" x14ac:dyDescent="0.25">
      <c r="A1411" s="313" t="s">
        <v>564</v>
      </c>
      <c r="B1411" s="313" t="s">
        <v>26</v>
      </c>
      <c r="C1411" s="313" t="s">
        <v>1515</v>
      </c>
      <c r="D1411" s="313" t="s">
        <v>24</v>
      </c>
      <c r="E1411" s="313" t="s">
        <v>1610</v>
      </c>
    </row>
    <row r="1412" spans="1:5" x14ac:dyDescent="0.25">
      <c r="A1412" s="313" t="s">
        <v>564</v>
      </c>
      <c r="B1412" s="313" t="s">
        <v>26</v>
      </c>
      <c r="C1412" s="313" t="s">
        <v>1516</v>
      </c>
      <c r="D1412" s="313" t="s">
        <v>24</v>
      </c>
      <c r="E1412" s="313" t="s">
        <v>1610</v>
      </c>
    </row>
    <row r="1413" spans="1:5" x14ac:dyDescent="0.25">
      <c r="A1413" s="313" t="s">
        <v>564</v>
      </c>
      <c r="B1413" s="313" t="s">
        <v>26</v>
      </c>
      <c r="C1413" s="313" t="s">
        <v>1517</v>
      </c>
      <c r="D1413" s="313" t="s">
        <v>24</v>
      </c>
      <c r="E1413" s="313" t="s">
        <v>1610</v>
      </c>
    </row>
    <row r="1414" spans="1:5" x14ac:dyDescent="0.25">
      <c r="A1414" s="313" t="s">
        <v>564</v>
      </c>
      <c r="B1414" s="313" t="s">
        <v>26</v>
      </c>
      <c r="C1414" s="313" t="s">
        <v>1518</v>
      </c>
      <c r="D1414" s="313" t="s">
        <v>24</v>
      </c>
      <c r="E1414" s="313" t="s">
        <v>1610</v>
      </c>
    </row>
    <row r="1415" spans="1:5" x14ac:dyDescent="0.25">
      <c r="A1415" s="313" t="s">
        <v>564</v>
      </c>
      <c r="B1415" s="313" t="s">
        <v>26</v>
      </c>
      <c r="C1415" s="313" t="s">
        <v>1519</v>
      </c>
      <c r="D1415" s="313" t="s">
        <v>24</v>
      </c>
      <c r="E1415" s="313" t="s">
        <v>1610</v>
      </c>
    </row>
    <row r="1416" spans="1:5" x14ac:dyDescent="0.25">
      <c r="A1416" s="313" t="s">
        <v>567</v>
      </c>
      <c r="B1416" s="313" t="s">
        <v>19</v>
      </c>
      <c r="C1416" s="313" t="s">
        <v>1466</v>
      </c>
      <c r="D1416" s="313" t="s">
        <v>35</v>
      </c>
      <c r="E1416" s="313" t="s">
        <v>24</v>
      </c>
    </row>
    <row r="1417" spans="1:5" x14ac:dyDescent="0.25">
      <c r="A1417" s="313" t="s">
        <v>567</v>
      </c>
      <c r="B1417" s="313" t="s">
        <v>19</v>
      </c>
      <c r="C1417" s="313" t="s">
        <v>1471</v>
      </c>
      <c r="D1417" s="313" t="s">
        <v>26</v>
      </c>
      <c r="E1417" s="313" t="s">
        <v>24</v>
      </c>
    </row>
    <row r="1418" spans="1:5" x14ac:dyDescent="0.25">
      <c r="A1418" s="313" t="s">
        <v>567</v>
      </c>
      <c r="B1418" s="313" t="s">
        <v>19</v>
      </c>
      <c r="C1418" s="313" t="s">
        <v>1475</v>
      </c>
      <c r="D1418" s="313" t="s">
        <v>35</v>
      </c>
      <c r="E1418" s="313" t="s">
        <v>24</v>
      </c>
    </row>
    <row r="1419" spans="1:5" x14ac:dyDescent="0.25">
      <c r="A1419" s="313" t="s">
        <v>567</v>
      </c>
      <c r="B1419" s="313" t="s">
        <v>19</v>
      </c>
      <c r="C1419" s="313" t="s">
        <v>20</v>
      </c>
      <c r="D1419" s="313" t="s">
        <v>35</v>
      </c>
      <c r="E1419" s="313" t="s">
        <v>24</v>
      </c>
    </row>
    <row r="1420" spans="1:5" x14ac:dyDescent="0.25">
      <c r="A1420" s="313" t="s">
        <v>567</v>
      </c>
      <c r="B1420" s="313" t="s">
        <v>19</v>
      </c>
      <c r="C1420" s="313" t="s">
        <v>1487</v>
      </c>
      <c r="D1420" s="313" t="s">
        <v>35</v>
      </c>
      <c r="E1420" s="313" t="s">
        <v>24</v>
      </c>
    </row>
    <row r="1421" spans="1:5" x14ac:dyDescent="0.25">
      <c r="A1421" s="313" t="s">
        <v>567</v>
      </c>
      <c r="B1421" s="313" t="s">
        <v>19</v>
      </c>
      <c r="C1421" s="313" t="s">
        <v>1495</v>
      </c>
      <c r="D1421" s="313" t="s">
        <v>35</v>
      </c>
      <c r="E1421" s="313" t="s">
        <v>24</v>
      </c>
    </row>
    <row r="1422" spans="1:5" x14ac:dyDescent="0.25">
      <c r="A1422" s="313" t="s">
        <v>567</v>
      </c>
      <c r="B1422" s="313" t="s">
        <v>26</v>
      </c>
      <c r="C1422" s="313" t="s">
        <v>2929</v>
      </c>
      <c r="D1422" s="313" t="s">
        <v>24</v>
      </c>
      <c r="E1422" s="313" t="s">
        <v>46</v>
      </c>
    </row>
    <row r="1423" spans="1:5" x14ac:dyDescent="0.25">
      <c r="A1423" s="313" t="s">
        <v>567</v>
      </c>
      <c r="B1423" s="313" t="s">
        <v>26</v>
      </c>
      <c r="C1423" s="313" t="s">
        <v>2930</v>
      </c>
      <c r="D1423" s="313" t="s">
        <v>24</v>
      </c>
      <c r="E1423" s="313" t="s">
        <v>35</v>
      </c>
    </row>
    <row r="1424" spans="1:5" x14ac:dyDescent="0.25">
      <c r="A1424" s="313" t="s">
        <v>571</v>
      </c>
      <c r="B1424" s="313" t="s">
        <v>19</v>
      </c>
      <c r="C1424" s="313" t="s">
        <v>1466</v>
      </c>
      <c r="D1424" s="313" t="s">
        <v>19</v>
      </c>
      <c r="E1424" s="313" t="s">
        <v>572</v>
      </c>
    </row>
    <row r="1425" spans="1:5" x14ac:dyDescent="0.25">
      <c r="A1425" s="313" t="s">
        <v>571</v>
      </c>
      <c r="B1425" s="313" t="s">
        <v>19</v>
      </c>
      <c r="C1425" s="313" t="s">
        <v>1471</v>
      </c>
      <c r="D1425" s="313" t="s">
        <v>26</v>
      </c>
      <c r="E1425" s="313" t="s">
        <v>24</v>
      </c>
    </row>
    <row r="1426" spans="1:5" x14ac:dyDescent="0.25">
      <c r="A1426" s="313" t="s">
        <v>571</v>
      </c>
      <c r="B1426" s="313" t="s">
        <v>19</v>
      </c>
      <c r="C1426" s="313" t="s">
        <v>1475</v>
      </c>
      <c r="D1426" s="313" t="s">
        <v>26</v>
      </c>
      <c r="E1426" s="313" t="s">
        <v>24</v>
      </c>
    </row>
    <row r="1427" spans="1:5" x14ac:dyDescent="0.25">
      <c r="A1427" s="313" t="s">
        <v>571</v>
      </c>
      <c r="B1427" s="313" t="s">
        <v>19</v>
      </c>
      <c r="C1427" s="313" t="s">
        <v>20</v>
      </c>
      <c r="D1427" s="313" t="s">
        <v>26</v>
      </c>
      <c r="E1427" s="313" t="s">
        <v>24</v>
      </c>
    </row>
    <row r="1428" spans="1:5" x14ac:dyDescent="0.25">
      <c r="A1428" s="313" t="s">
        <v>571</v>
      </c>
      <c r="B1428" s="313" t="s">
        <v>19</v>
      </c>
      <c r="C1428" s="313" t="s">
        <v>1487</v>
      </c>
      <c r="D1428" s="313" t="s">
        <v>26</v>
      </c>
      <c r="E1428" s="313" t="s">
        <v>24</v>
      </c>
    </row>
    <row r="1429" spans="1:5" x14ac:dyDescent="0.25">
      <c r="A1429" s="313" t="s">
        <v>571</v>
      </c>
      <c r="B1429" s="313" t="s">
        <v>19</v>
      </c>
      <c r="C1429" s="313" t="s">
        <v>1495</v>
      </c>
      <c r="D1429" s="313" t="s">
        <v>35</v>
      </c>
      <c r="E1429" s="313" t="s">
        <v>24</v>
      </c>
    </row>
    <row r="1430" spans="1:5" x14ac:dyDescent="0.25">
      <c r="A1430" s="313" t="s">
        <v>571</v>
      </c>
      <c r="B1430" s="313" t="s">
        <v>26</v>
      </c>
      <c r="C1430" s="313" t="s">
        <v>2929</v>
      </c>
      <c r="D1430" s="313" t="s">
        <v>24</v>
      </c>
      <c r="E1430" s="313" t="s">
        <v>1612</v>
      </c>
    </row>
    <row r="1431" spans="1:5" x14ac:dyDescent="0.25">
      <c r="A1431" s="313" t="s">
        <v>571</v>
      </c>
      <c r="B1431" s="313" t="s">
        <v>26</v>
      </c>
      <c r="C1431" s="313" t="s">
        <v>2930</v>
      </c>
      <c r="D1431" s="313" t="s">
        <v>24</v>
      </c>
      <c r="E1431" s="313" t="s">
        <v>35</v>
      </c>
    </row>
    <row r="1432" spans="1:5" x14ac:dyDescent="0.25">
      <c r="A1432" s="313" t="s">
        <v>571</v>
      </c>
      <c r="B1432" s="313" t="s">
        <v>26</v>
      </c>
      <c r="C1432" s="313" t="s">
        <v>1506</v>
      </c>
      <c r="D1432" s="313" t="s">
        <v>24</v>
      </c>
      <c r="E1432" s="313" t="s">
        <v>1612</v>
      </c>
    </row>
    <row r="1433" spans="1:5" x14ac:dyDescent="0.25">
      <c r="A1433" s="313" t="s">
        <v>571</v>
      </c>
      <c r="B1433" s="313" t="s">
        <v>26</v>
      </c>
      <c r="C1433" s="313" t="s">
        <v>1507</v>
      </c>
      <c r="D1433" s="313" t="s">
        <v>24</v>
      </c>
      <c r="E1433" s="313" t="s">
        <v>179</v>
      </c>
    </row>
    <row r="1434" spans="1:5" x14ac:dyDescent="0.25">
      <c r="A1434" s="313" t="s">
        <v>571</v>
      </c>
      <c r="B1434" s="313" t="s">
        <v>26</v>
      </c>
      <c r="C1434" s="313" t="s">
        <v>1508</v>
      </c>
      <c r="D1434" s="313" t="s">
        <v>24</v>
      </c>
      <c r="E1434" s="313" t="s">
        <v>46</v>
      </c>
    </row>
    <row r="1435" spans="1:5" x14ac:dyDescent="0.25">
      <c r="A1435" s="313" t="s">
        <v>571</v>
      </c>
      <c r="B1435" s="313" t="s">
        <v>26</v>
      </c>
      <c r="C1435" s="313" t="s">
        <v>1509</v>
      </c>
      <c r="D1435" s="313" t="s">
        <v>24</v>
      </c>
      <c r="E1435" s="313" t="s">
        <v>572</v>
      </c>
    </row>
    <row r="1436" spans="1:5" x14ac:dyDescent="0.25">
      <c r="A1436" s="313" t="s">
        <v>571</v>
      </c>
      <c r="B1436" s="313" t="s">
        <v>26</v>
      </c>
      <c r="C1436" s="313" t="s">
        <v>1510</v>
      </c>
      <c r="D1436" s="313" t="s">
        <v>24</v>
      </c>
      <c r="E1436" s="313" t="s">
        <v>46</v>
      </c>
    </row>
    <row r="1437" spans="1:5" x14ac:dyDescent="0.25">
      <c r="A1437" s="313" t="s">
        <v>571</v>
      </c>
      <c r="B1437" s="313" t="s">
        <v>26</v>
      </c>
      <c r="C1437" s="313" t="s">
        <v>1511</v>
      </c>
      <c r="D1437" s="313" t="s">
        <v>24</v>
      </c>
      <c r="E1437" s="313" t="s">
        <v>1612</v>
      </c>
    </row>
    <row r="1438" spans="1:5" x14ac:dyDescent="0.25">
      <c r="A1438" s="313" t="s">
        <v>571</v>
      </c>
      <c r="B1438" s="313" t="s">
        <v>26</v>
      </c>
      <c r="C1438" s="313" t="s">
        <v>27</v>
      </c>
      <c r="D1438" s="313" t="s">
        <v>24</v>
      </c>
      <c r="E1438" s="313" t="s">
        <v>572</v>
      </c>
    </row>
    <row r="1439" spans="1:5" x14ac:dyDescent="0.25">
      <c r="A1439" s="313" t="s">
        <v>571</v>
      </c>
      <c r="B1439" s="313" t="s">
        <v>26</v>
      </c>
      <c r="C1439" s="313" t="s">
        <v>1512</v>
      </c>
      <c r="D1439" s="313" t="s">
        <v>24</v>
      </c>
      <c r="E1439" s="313" t="s">
        <v>1612</v>
      </c>
    </row>
    <row r="1440" spans="1:5" x14ac:dyDescent="0.25">
      <c r="A1440" s="313" t="s">
        <v>571</v>
      </c>
      <c r="B1440" s="313" t="s">
        <v>26</v>
      </c>
      <c r="C1440" s="313" t="s">
        <v>1513</v>
      </c>
      <c r="D1440" s="313" t="s">
        <v>24</v>
      </c>
      <c r="E1440" s="313" t="s">
        <v>572</v>
      </c>
    </row>
    <row r="1441" spans="1:5" x14ac:dyDescent="0.25">
      <c r="A1441" s="313" t="s">
        <v>571</v>
      </c>
      <c r="B1441" s="313" t="s">
        <v>26</v>
      </c>
      <c r="C1441" s="313" t="s">
        <v>1514</v>
      </c>
      <c r="D1441" s="313" t="s">
        <v>24</v>
      </c>
      <c r="E1441" s="313" t="s">
        <v>572</v>
      </c>
    </row>
    <row r="1442" spans="1:5" x14ac:dyDescent="0.25">
      <c r="A1442" s="313" t="s">
        <v>571</v>
      </c>
      <c r="B1442" s="313" t="s">
        <v>26</v>
      </c>
      <c r="C1442" s="313" t="s">
        <v>1515</v>
      </c>
      <c r="D1442" s="313" t="s">
        <v>24</v>
      </c>
      <c r="E1442" s="313" t="s">
        <v>572</v>
      </c>
    </row>
    <row r="1443" spans="1:5" x14ac:dyDescent="0.25">
      <c r="A1443" s="313" t="s">
        <v>571</v>
      </c>
      <c r="B1443" s="313" t="s">
        <v>26</v>
      </c>
      <c r="C1443" s="313" t="s">
        <v>1516</v>
      </c>
      <c r="D1443" s="313" t="s">
        <v>24</v>
      </c>
      <c r="E1443" s="313" t="s">
        <v>572</v>
      </c>
    </row>
    <row r="1444" spans="1:5" x14ac:dyDescent="0.25">
      <c r="A1444" s="313" t="s">
        <v>571</v>
      </c>
      <c r="B1444" s="313" t="s">
        <v>26</v>
      </c>
      <c r="C1444" s="313" t="s">
        <v>1517</v>
      </c>
      <c r="D1444" s="313" t="s">
        <v>24</v>
      </c>
      <c r="E1444" s="313" t="s">
        <v>572</v>
      </c>
    </row>
    <row r="1445" spans="1:5" x14ac:dyDescent="0.25">
      <c r="A1445" s="313" t="s">
        <v>571</v>
      </c>
      <c r="B1445" s="313" t="s">
        <v>26</v>
      </c>
      <c r="C1445" s="313" t="s">
        <v>1518</v>
      </c>
      <c r="D1445" s="313" t="s">
        <v>24</v>
      </c>
      <c r="E1445" s="313" t="s">
        <v>1612</v>
      </c>
    </row>
    <row r="1446" spans="1:5" x14ac:dyDescent="0.25">
      <c r="A1446" s="313" t="s">
        <v>571</v>
      </c>
      <c r="B1446" s="313" t="s">
        <v>26</v>
      </c>
      <c r="C1446" s="313" t="s">
        <v>1519</v>
      </c>
      <c r="D1446" s="313" t="s">
        <v>24</v>
      </c>
      <c r="E1446" s="313" t="s">
        <v>1612</v>
      </c>
    </row>
    <row r="1447" spans="1:5" x14ac:dyDescent="0.25">
      <c r="A1447" s="313" t="s">
        <v>577</v>
      </c>
      <c r="B1447" s="313" t="s">
        <v>19</v>
      </c>
      <c r="C1447" s="313" t="s">
        <v>1466</v>
      </c>
      <c r="D1447" s="313" t="s">
        <v>26</v>
      </c>
      <c r="E1447" s="313" t="s">
        <v>24</v>
      </c>
    </row>
    <row r="1448" spans="1:5" x14ac:dyDescent="0.25">
      <c r="A1448" s="313" t="s">
        <v>577</v>
      </c>
      <c r="B1448" s="313" t="s">
        <v>19</v>
      </c>
      <c r="C1448" s="313" t="s">
        <v>1471</v>
      </c>
      <c r="D1448" s="313" t="s">
        <v>26</v>
      </c>
      <c r="E1448" s="313" t="s">
        <v>24</v>
      </c>
    </row>
    <row r="1449" spans="1:5" x14ac:dyDescent="0.25">
      <c r="A1449" s="313" t="s">
        <v>577</v>
      </c>
      <c r="B1449" s="313" t="s">
        <v>19</v>
      </c>
      <c r="C1449" s="313" t="s">
        <v>1475</v>
      </c>
      <c r="D1449" s="313" t="s">
        <v>19</v>
      </c>
      <c r="E1449" s="313" t="s">
        <v>46</v>
      </c>
    </row>
    <row r="1450" spans="1:5" x14ac:dyDescent="0.25">
      <c r="A1450" s="313" t="s">
        <v>577</v>
      </c>
      <c r="B1450" s="313" t="s">
        <v>19</v>
      </c>
      <c r="C1450" s="313" t="s">
        <v>20</v>
      </c>
      <c r="D1450" s="313" t="s">
        <v>26</v>
      </c>
      <c r="E1450" s="313" t="s">
        <v>24</v>
      </c>
    </row>
    <row r="1451" spans="1:5" x14ac:dyDescent="0.25">
      <c r="A1451" s="313" t="s">
        <v>577</v>
      </c>
      <c r="B1451" s="313" t="s">
        <v>19</v>
      </c>
      <c r="C1451" s="313" t="s">
        <v>1487</v>
      </c>
      <c r="D1451" s="313" t="s">
        <v>26</v>
      </c>
      <c r="E1451" s="313" t="s">
        <v>24</v>
      </c>
    </row>
    <row r="1452" spans="1:5" x14ac:dyDescent="0.25">
      <c r="A1452" s="313" t="s">
        <v>577</v>
      </c>
      <c r="B1452" s="313" t="s">
        <v>19</v>
      </c>
      <c r="C1452" s="313" t="s">
        <v>1495</v>
      </c>
      <c r="D1452" s="313" t="s">
        <v>35</v>
      </c>
      <c r="E1452" s="313" t="s">
        <v>24</v>
      </c>
    </row>
    <row r="1453" spans="1:5" x14ac:dyDescent="0.25">
      <c r="A1453" s="313" t="s">
        <v>577</v>
      </c>
      <c r="B1453" s="313" t="s">
        <v>26</v>
      </c>
      <c r="C1453" s="313" t="s">
        <v>1501</v>
      </c>
      <c r="D1453" s="313" t="s">
        <v>24</v>
      </c>
      <c r="E1453" s="313" t="s">
        <v>1613</v>
      </c>
    </row>
    <row r="1454" spans="1:5" x14ac:dyDescent="0.25">
      <c r="A1454" s="313" t="s">
        <v>577</v>
      </c>
      <c r="B1454" s="313" t="s">
        <v>26</v>
      </c>
      <c r="C1454" s="313" t="s">
        <v>1502</v>
      </c>
      <c r="D1454" s="313" t="s">
        <v>24</v>
      </c>
      <c r="E1454" s="313" t="s">
        <v>46</v>
      </c>
    </row>
    <row r="1455" spans="1:5" x14ac:dyDescent="0.25">
      <c r="A1455" s="313" t="s">
        <v>577</v>
      </c>
      <c r="B1455" s="313" t="s">
        <v>26</v>
      </c>
      <c r="C1455" s="313" t="s">
        <v>1503</v>
      </c>
      <c r="D1455" s="313" t="s">
        <v>24</v>
      </c>
      <c r="E1455" s="313" t="s">
        <v>1613</v>
      </c>
    </row>
    <row r="1456" spans="1:5" x14ac:dyDescent="0.25">
      <c r="A1456" s="313" t="s">
        <v>577</v>
      </c>
      <c r="B1456" s="313" t="s">
        <v>26</v>
      </c>
      <c r="C1456" s="313" t="s">
        <v>2929</v>
      </c>
      <c r="D1456" s="313" t="s">
        <v>24</v>
      </c>
      <c r="E1456" s="313" t="s">
        <v>46</v>
      </c>
    </row>
    <row r="1457" spans="1:5" x14ac:dyDescent="0.25">
      <c r="A1457" s="313" t="s">
        <v>577</v>
      </c>
      <c r="B1457" s="313" t="s">
        <v>26</v>
      </c>
      <c r="C1457" s="313" t="s">
        <v>2930</v>
      </c>
      <c r="D1457" s="313" t="s">
        <v>24</v>
      </c>
      <c r="E1457" s="313" t="s">
        <v>35</v>
      </c>
    </row>
    <row r="1458" spans="1:5" x14ac:dyDescent="0.25">
      <c r="A1458" s="313" t="s">
        <v>577</v>
      </c>
      <c r="B1458" s="313" t="s">
        <v>26</v>
      </c>
      <c r="C1458" s="313" t="s">
        <v>1509</v>
      </c>
      <c r="D1458" s="313" t="s">
        <v>24</v>
      </c>
      <c r="E1458" s="313" t="s">
        <v>578</v>
      </c>
    </row>
    <row r="1459" spans="1:5" x14ac:dyDescent="0.25">
      <c r="A1459" s="313" t="s">
        <v>577</v>
      </c>
      <c r="B1459" s="313" t="s">
        <v>26</v>
      </c>
      <c r="C1459" s="313" t="s">
        <v>1510</v>
      </c>
      <c r="D1459" s="313" t="s">
        <v>24</v>
      </c>
      <c r="E1459" s="313" t="s">
        <v>46</v>
      </c>
    </row>
    <row r="1460" spans="1:5" x14ac:dyDescent="0.25">
      <c r="A1460" s="313" t="s">
        <v>577</v>
      </c>
      <c r="B1460" s="313" t="s">
        <v>26</v>
      </c>
      <c r="C1460" s="313" t="s">
        <v>1511</v>
      </c>
      <c r="D1460" s="313" t="s">
        <v>24</v>
      </c>
      <c r="E1460" s="313" t="s">
        <v>46</v>
      </c>
    </row>
    <row r="1461" spans="1:5" x14ac:dyDescent="0.25">
      <c r="A1461" s="313" t="s">
        <v>577</v>
      </c>
      <c r="B1461" s="313" t="s">
        <v>26</v>
      </c>
      <c r="C1461" s="313" t="s">
        <v>27</v>
      </c>
      <c r="D1461" s="313" t="s">
        <v>24</v>
      </c>
      <c r="E1461" s="313" t="s">
        <v>578</v>
      </c>
    </row>
    <row r="1462" spans="1:5" x14ac:dyDescent="0.25">
      <c r="A1462" s="313" t="s">
        <v>577</v>
      </c>
      <c r="B1462" s="313" t="s">
        <v>26</v>
      </c>
      <c r="C1462" s="313" t="s">
        <v>1512</v>
      </c>
      <c r="D1462" s="313" t="s">
        <v>24</v>
      </c>
      <c r="E1462" s="313" t="s">
        <v>46</v>
      </c>
    </row>
    <row r="1463" spans="1:5" x14ac:dyDescent="0.25">
      <c r="A1463" s="313" t="s">
        <v>577</v>
      </c>
      <c r="B1463" s="313" t="s">
        <v>26</v>
      </c>
      <c r="C1463" s="313" t="s">
        <v>1513</v>
      </c>
      <c r="D1463" s="313" t="s">
        <v>24</v>
      </c>
      <c r="E1463" s="313" t="s">
        <v>578</v>
      </c>
    </row>
    <row r="1464" spans="1:5" x14ac:dyDescent="0.25">
      <c r="A1464" s="313" t="s">
        <v>577</v>
      </c>
      <c r="B1464" s="313" t="s">
        <v>26</v>
      </c>
      <c r="C1464" s="313" t="s">
        <v>1514</v>
      </c>
      <c r="D1464" s="313" t="s">
        <v>24</v>
      </c>
      <c r="E1464" s="313" t="s">
        <v>1614</v>
      </c>
    </row>
    <row r="1465" spans="1:5" x14ac:dyDescent="0.25">
      <c r="A1465" s="313" t="s">
        <v>577</v>
      </c>
      <c r="B1465" s="313" t="s">
        <v>26</v>
      </c>
      <c r="C1465" s="313" t="s">
        <v>1515</v>
      </c>
      <c r="D1465" s="313" t="s">
        <v>24</v>
      </c>
      <c r="E1465" s="313" t="s">
        <v>1615</v>
      </c>
    </row>
    <row r="1466" spans="1:5" x14ac:dyDescent="0.25">
      <c r="A1466" s="313" t="s">
        <v>577</v>
      </c>
      <c r="B1466" s="313" t="s">
        <v>26</v>
      </c>
      <c r="C1466" s="313" t="s">
        <v>1516</v>
      </c>
      <c r="D1466" s="313" t="s">
        <v>24</v>
      </c>
      <c r="E1466" s="313" t="s">
        <v>1614</v>
      </c>
    </row>
    <row r="1467" spans="1:5" x14ac:dyDescent="0.25">
      <c r="A1467" s="313" t="s">
        <v>577</v>
      </c>
      <c r="B1467" s="313" t="s">
        <v>26</v>
      </c>
      <c r="C1467" s="313" t="s">
        <v>1517</v>
      </c>
      <c r="D1467" s="313" t="s">
        <v>24</v>
      </c>
      <c r="E1467" s="313" t="s">
        <v>1615</v>
      </c>
    </row>
    <row r="1468" spans="1:5" x14ac:dyDescent="0.25">
      <c r="A1468" s="313" t="s">
        <v>577</v>
      </c>
      <c r="B1468" s="313" t="s">
        <v>26</v>
      </c>
      <c r="C1468" s="313" t="s">
        <v>1518</v>
      </c>
      <c r="D1468" s="313" t="s">
        <v>24</v>
      </c>
      <c r="E1468" s="313" t="s">
        <v>46</v>
      </c>
    </row>
    <row r="1469" spans="1:5" x14ac:dyDescent="0.25">
      <c r="A1469" s="313" t="s">
        <v>577</v>
      </c>
      <c r="B1469" s="313" t="s">
        <v>26</v>
      </c>
      <c r="C1469" s="313" t="s">
        <v>1519</v>
      </c>
      <c r="D1469" s="313" t="s">
        <v>24</v>
      </c>
      <c r="E1469" s="313" t="s">
        <v>1613</v>
      </c>
    </row>
    <row r="1470" spans="1:5" x14ac:dyDescent="0.25">
      <c r="A1470" s="313" t="s">
        <v>581</v>
      </c>
      <c r="B1470" s="313" t="s">
        <v>19</v>
      </c>
      <c r="C1470" s="313" t="s">
        <v>1466</v>
      </c>
      <c r="D1470" s="313" t="s">
        <v>26</v>
      </c>
      <c r="E1470" s="313" t="s">
        <v>24</v>
      </c>
    </row>
    <row r="1471" spans="1:5" x14ac:dyDescent="0.25">
      <c r="A1471" s="313" t="s">
        <v>581</v>
      </c>
      <c r="B1471" s="313" t="s">
        <v>19</v>
      </c>
      <c r="C1471" s="313" t="s">
        <v>1471</v>
      </c>
      <c r="D1471" s="313" t="s">
        <v>26</v>
      </c>
      <c r="E1471" s="313" t="s">
        <v>24</v>
      </c>
    </row>
    <row r="1472" spans="1:5" x14ac:dyDescent="0.25">
      <c r="A1472" s="313" t="s">
        <v>581</v>
      </c>
      <c r="B1472" s="313" t="s">
        <v>19</v>
      </c>
      <c r="C1472" s="313" t="s">
        <v>1475</v>
      </c>
      <c r="D1472" s="313" t="s">
        <v>19</v>
      </c>
      <c r="E1472" s="313" t="s">
        <v>46</v>
      </c>
    </row>
    <row r="1473" spans="1:5" x14ac:dyDescent="0.25">
      <c r="A1473" s="313" t="s">
        <v>581</v>
      </c>
      <c r="B1473" s="313" t="s">
        <v>19</v>
      </c>
      <c r="C1473" s="313" t="s">
        <v>20</v>
      </c>
      <c r="D1473" s="313" t="s">
        <v>26</v>
      </c>
      <c r="E1473" s="313" t="s">
        <v>24</v>
      </c>
    </row>
    <row r="1474" spans="1:5" x14ac:dyDescent="0.25">
      <c r="A1474" s="313" t="s">
        <v>581</v>
      </c>
      <c r="B1474" s="313" t="s">
        <v>19</v>
      </c>
      <c r="C1474" s="313" t="s">
        <v>1487</v>
      </c>
      <c r="D1474" s="313" t="s">
        <v>26</v>
      </c>
      <c r="E1474" s="313" t="s">
        <v>24</v>
      </c>
    </row>
    <row r="1475" spans="1:5" x14ac:dyDescent="0.25">
      <c r="A1475" s="313" t="s">
        <v>581</v>
      </c>
      <c r="B1475" s="313" t="s">
        <v>19</v>
      </c>
      <c r="C1475" s="313" t="s">
        <v>1495</v>
      </c>
      <c r="D1475" s="313" t="s">
        <v>35</v>
      </c>
      <c r="E1475" s="313" t="s">
        <v>24</v>
      </c>
    </row>
    <row r="1476" spans="1:5" x14ac:dyDescent="0.25">
      <c r="A1476" s="313" t="s">
        <v>581</v>
      </c>
      <c r="B1476" s="313" t="s">
        <v>26</v>
      </c>
      <c r="C1476" s="313" t="s">
        <v>1501</v>
      </c>
      <c r="D1476" s="313" t="s">
        <v>24</v>
      </c>
      <c r="E1476" s="313" t="s">
        <v>582</v>
      </c>
    </row>
    <row r="1477" spans="1:5" x14ac:dyDescent="0.25">
      <c r="A1477" s="313" t="s">
        <v>581</v>
      </c>
      <c r="B1477" s="313" t="s">
        <v>26</v>
      </c>
      <c r="C1477" s="313" t="s">
        <v>1502</v>
      </c>
      <c r="D1477" s="313" t="s">
        <v>24</v>
      </c>
      <c r="E1477" s="313" t="s">
        <v>46</v>
      </c>
    </row>
    <row r="1478" spans="1:5" x14ac:dyDescent="0.25">
      <c r="A1478" s="313" t="s">
        <v>581</v>
      </c>
      <c r="B1478" s="313" t="s">
        <v>26</v>
      </c>
      <c r="C1478" s="313" t="s">
        <v>1503</v>
      </c>
      <c r="D1478" s="313" t="s">
        <v>24</v>
      </c>
      <c r="E1478" s="313" t="s">
        <v>46</v>
      </c>
    </row>
    <row r="1479" spans="1:5" x14ac:dyDescent="0.25">
      <c r="A1479" s="313" t="s">
        <v>581</v>
      </c>
      <c r="B1479" s="313" t="s">
        <v>26</v>
      </c>
      <c r="C1479" s="313" t="s">
        <v>2929</v>
      </c>
      <c r="D1479" s="313" t="s">
        <v>24</v>
      </c>
      <c r="E1479" s="313" t="s">
        <v>46</v>
      </c>
    </row>
    <row r="1480" spans="1:5" x14ac:dyDescent="0.25">
      <c r="A1480" s="313" t="s">
        <v>581</v>
      </c>
      <c r="B1480" s="313" t="s">
        <v>26</v>
      </c>
      <c r="C1480" s="313" t="s">
        <v>2930</v>
      </c>
      <c r="D1480" s="313" t="s">
        <v>24</v>
      </c>
      <c r="E1480" s="313" t="s">
        <v>35</v>
      </c>
    </row>
    <row r="1481" spans="1:5" x14ac:dyDescent="0.25">
      <c r="A1481" s="313" t="s">
        <v>581</v>
      </c>
      <c r="B1481" s="313" t="s">
        <v>26</v>
      </c>
      <c r="C1481" s="313" t="s">
        <v>1509</v>
      </c>
      <c r="D1481" s="313" t="s">
        <v>24</v>
      </c>
      <c r="E1481" s="313" t="s">
        <v>582</v>
      </c>
    </row>
    <row r="1482" spans="1:5" x14ac:dyDescent="0.25">
      <c r="A1482" s="313" t="s">
        <v>581</v>
      </c>
      <c r="B1482" s="313" t="s">
        <v>26</v>
      </c>
      <c r="C1482" s="313" t="s">
        <v>1510</v>
      </c>
      <c r="D1482" s="313" t="s">
        <v>24</v>
      </c>
      <c r="E1482" s="313" t="s">
        <v>582</v>
      </c>
    </row>
    <row r="1483" spans="1:5" x14ac:dyDescent="0.25">
      <c r="A1483" s="313" t="s">
        <v>581</v>
      </c>
      <c r="B1483" s="313" t="s">
        <v>26</v>
      </c>
      <c r="C1483" s="313" t="s">
        <v>1511</v>
      </c>
      <c r="D1483" s="313" t="s">
        <v>24</v>
      </c>
      <c r="E1483" s="313" t="s">
        <v>46</v>
      </c>
    </row>
    <row r="1484" spans="1:5" x14ac:dyDescent="0.25">
      <c r="A1484" s="313" t="s">
        <v>581</v>
      </c>
      <c r="B1484" s="313" t="s">
        <v>26</v>
      </c>
      <c r="C1484" s="313" t="s">
        <v>27</v>
      </c>
      <c r="D1484" s="313" t="s">
        <v>24</v>
      </c>
      <c r="E1484" s="313" t="s">
        <v>582</v>
      </c>
    </row>
    <row r="1485" spans="1:5" x14ac:dyDescent="0.25">
      <c r="A1485" s="313" t="s">
        <v>581</v>
      </c>
      <c r="B1485" s="313" t="s">
        <v>26</v>
      </c>
      <c r="C1485" s="313" t="s">
        <v>1512</v>
      </c>
      <c r="D1485" s="313" t="s">
        <v>24</v>
      </c>
      <c r="E1485" s="313" t="s">
        <v>46</v>
      </c>
    </row>
    <row r="1486" spans="1:5" x14ac:dyDescent="0.25">
      <c r="A1486" s="313" t="s">
        <v>581</v>
      </c>
      <c r="B1486" s="313" t="s">
        <v>26</v>
      </c>
      <c r="C1486" s="313" t="s">
        <v>1513</v>
      </c>
      <c r="D1486" s="313" t="s">
        <v>24</v>
      </c>
      <c r="E1486" s="313" t="s">
        <v>582</v>
      </c>
    </row>
    <row r="1487" spans="1:5" x14ac:dyDescent="0.25">
      <c r="A1487" s="313" t="s">
        <v>581</v>
      </c>
      <c r="B1487" s="313" t="s">
        <v>26</v>
      </c>
      <c r="C1487" s="313" t="s">
        <v>1514</v>
      </c>
      <c r="D1487" s="313" t="s">
        <v>24</v>
      </c>
      <c r="E1487" s="313" t="s">
        <v>1616</v>
      </c>
    </row>
    <row r="1488" spans="1:5" x14ac:dyDescent="0.25">
      <c r="A1488" s="313" t="s">
        <v>581</v>
      </c>
      <c r="B1488" s="313" t="s">
        <v>26</v>
      </c>
      <c r="C1488" s="313" t="s">
        <v>1515</v>
      </c>
      <c r="D1488" s="313" t="s">
        <v>24</v>
      </c>
      <c r="E1488" s="313" t="s">
        <v>1616</v>
      </c>
    </row>
    <row r="1489" spans="1:5" x14ac:dyDescent="0.25">
      <c r="A1489" s="313" t="s">
        <v>581</v>
      </c>
      <c r="B1489" s="313" t="s">
        <v>26</v>
      </c>
      <c r="C1489" s="313" t="s">
        <v>1516</v>
      </c>
      <c r="D1489" s="313" t="s">
        <v>24</v>
      </c>
      <c r="E1489" s="313" t="s">
        <v>1616</v>
      </c>
    </row>
    <row r="1490" spans="1:5" x14ac:dyDescent="0.25">
      <c r="A1490" s="313" t="s">
        <v>581</v>
      </c>
      <c r="B1490" s="313" t="s">
        <v>26</v>
      </c>
      <c r="C1490" s="313" t="s">
        <v>1517</v>
      </c>
      <c r="D1490" s="313" t="s">
        <v>24</v>
      </c>
      <c r="E1490" s="313" t="s">
        <v>1616</v>
      </c>
    </row>
    <row r="1491" spans="1:5" x14ac:dyDescent="0.25">
      <c r="A1491" s="313" t="s">
        <v>581</v>
      </c>
      <c r="B1491" s="313" t="s">
        <v>26</v>
      </c>
      <c r="C1491" s="313" t="s">
        <v>1518</v>
      </c>
      <c r="D1491" s="313" t="s">
        <v>24</v>
      </c>
      <c r="E1491" s="313" t="s">
        <v>46</v>
      </c>
    </row>
    <row r="1492" spans="1:5" x14ac:dyDescent="0.25">
      <c r="A1492" s="313" t="s">
        <v>581</v>
      </c>
      <c r="B1492" s="313" t="s">
        <v>26</v>
      </c>
      <c r="C1492" s="313" t="s">
        <v>1519</v>
      </c>
      <c r="D1492" s="313" t="s">
        <v>24</v>
      </c>
      <c r="E1492" s="313" t="s">
        <v>1616</v>
      </c>
    </row>
    <row r="1493" spans="1:5" x14ac:dyDescent="0.25">
      <c r="A1493" s="313" t="s">
        <v>585</v>
      </c>
      <c r="B1493" s="313" t="s">
        <v>19</v>
      </c>
      <c r="C1493" s="313" t="s">
        <v>1466</v>
      </c>
      <c r="D1493" s="313" t="s">
        <v>35</v>
      </c>
      <c r="E1493" s="313" t="s">
        <v>24</v>
      </c>
    </row>
    <row r="1494" spans="1:5" x14ac:dyDescent="0.25">
      <c r="A1494" s="313" t="s">
        <v>585</v>
      </c>
      <c r="B1494" s="313" t="s">
        <v>19</v>
      </c>
      <c r="C1494" s="313" t="s">
        <v>1471</v>
      </c>
      <c r="D1494" s="313" t="s">
        <v>35</v>
      </c>
      <c r="E1494" s="313" t="s">
        <v>24</v>
      </c>
    </row>
    <row r="1495" spans="1:5" x14ac:dyDescent="0.25">
      <c r="A1495" s="313" t="s">
        <v>585</v>
      </c>
      <c r="B1495" s="313" t="s">
        <v>19</v>
      </c>
      <c r="C1495" s="313" t="s">
        <v>1475</v>
      </c>
      <c r="D1495" s="313" t="s">
        <v>35</v>
      </c>
      <c r="E1495" s="313" t="s">
        <v>24</v>
      </c>
    </row>
    <row r="1496" spans="1:5" x14ac:dyDescent="0.25">
      <c r="A1496" s="313" t="s">
        <v>585</v>
      </c>
      <c r="B1496" s="313" t="s">
        <v>19</v>
      </c>
      <c r="C1496" s="313" t="s">
        <v>20</v>
      </c>
      <c r="D1496" s="313" t="s">
        <v>35</v>
      </c>
      <c r="E1496" s="313" t="s">
        <v>24</v>
      </c>
    </row>
    <row r="1497" spans="1:5" x14ac:dyDescent="0.25">
      <c r="A1497" s="313" t="s">
        <v>585</v>
      </c>
      <c r="B1497" s="313" t="s">
        <v>19</v>
      </c>
      <c r="C1497" s="313" t="s">
        <v>1487</v>
      </c>
      <c r="D1497" s="313" t="s">
        <v>35</v>
      </c>
      <c r="E1497" s="313" t="s">
        <v>24</v>
      </c>
    </row>
    <row r="1498" spans="1:5" x14ac:dyDescent="0.25">
      <c r="A1498" s="313" t="s">
        <v>585</v>
      </c>
      <c r="B1498" s="313" t="s">
        <v>19</v>
      </c>
      <c r="C1498" s="313" t="s">
        <v>1495</v>
      </c>
      <c r="D1498" s="313" t="s">
        <v>35</v>
      </c>
      <c r="E1498" s="313" t="s">
        <v>24</v>
      </c>
    </row>
    <row r="1499" spans="1:5" x14ac:dyDescent="0.25">
      <c r="A1499" s="313" t="s">
        <v>585</v>
      </c>
      <c r="B1499" s="313" t="s">
        <v>26</v>
      </c>
      <c r="C1499" s="313" t="s">
        <v>1515</v>
      </c>
      <c r="D1499" s="313" t="s">
        <v>24</v>
      </c>
      <c r="E1499" s="313" t="s">
        <v>1617</v>
      </c>
    </row>
    <row r="1500" spans="1:5" x14ac:dyDescent="0.25">
      <c r="A1500" s="313" t="s">
        <v>587</v>
      </c>
      <c r="B1500" s="313" t="s">
        <v>19</v>
      </c>
      <c r="C1500" s="313" t="s">
        <v>1466</v>
      </c>
      <c r="D1500" s="313" t="s">
        <v>26</v>
      </c>
      <c r="E1500" s="313" t="s">
        <v>24</v>
      </c>
    </row>
    <row r="1501" spans="1:5" x14ac:dyDescent="0.25">
      <c r="A1501" s="313" t="s">
        <v>587</v>
      </c>
      <c r="B1501" s="313" t="s">
        <v>19</v>
      </c>
      <c r="C1501" s="313" t="s">
        <v>1471</v>
      </c>
      <c r="D1501" s="313" t="s">
        <v>26</v>
      </c>
      <c r="E1501" s="313" t="s">
        <v>24</v>
      </c>
    </row>
    <row r="1502" spans="1:5" x14ac:dyDescent="0.25">
      <c r="A1502" s="313" t="s">
        <v>587</v>
      </c>
      <c r="B1502" s="313" t="s">
        <v>19</v>
      </c>
      <c r="C1502" s="313" t="s">
        <v>1475</v>
      </c>
      <c r="D1502" s="313" t="s">
        <v>19</v>
      </c>
      <c r="E1502" s="313" t="s">
        <v>46</v>
      </c>
    </row>
    <row r="1503" spans="1:5" x14ac:dyDescent="0.25">
      <c r="A1503" s="313" t="s">
        <v>587</v>
      </c>
      <c r="B1503" s="313" t="s">
        <v>19</v>
      </c>
      <c r="C1503" s="313" t="s">
        <v>20</v>
      </c>
      <c r="D1503" s="313" t="s">
        <v>26</v>
      </c>
      <c r="E1503" s="313" t="s">
        <v>24</v>
      </c>
    </row>
    <row r="1504" spans="1:5" x14ac:dyDescent="0.25">
      <c r="A1504" s="313" t="s">
        <v>587</v>
      </c>
      <c r="B1504" s="313" t="s">
        <v>19</v>
      </c>
      <c r="C1504" s="313" t="s">
        <v>1487</v>
      </c>
      <c r="D1504" s="313" t="s">
        <v>26</v>
      </c>
      <c r="E1504" s="313" t="s">
        <v>24</v>
      </c>
    </row>
    <row r="1505" spans="1:5" x14ac:dyDescent="0.25">
      <c r="A1505" s="313" t="s">
        <v>587</v>
      </c>
      <c r="B1505" s="313" t="s">
        <v>19</v>
      </c>
      <c r="C1505" s="313" t="s">
        <v>1495</v>
      </c>
      <c r="D1505" s="313" t="s">
        <v>35</v>
      </c>
      <c r="E1505" s="313" t="s">
        <v>24</v>
      </c>
    </row>
    <row r="1506" spans="1:5" x14ac:dyDescent="0.25">
      <c r="A1506" s="313" t="s">
        <v>587</v>
      </c>
      <c r="B1506" s="313" t="s">
        <v>26</v>
      </c>
      <c r="C1506" s="313" t="s">
        <v>1501</v>
      </c>
      <c r="D1506" s="313" t="s">
        <v>24</v>
      </c>
      <c r="E1506" s="313" t="s">
        <v>1618</v>
      </c>
    </row>
    <row r="1507" spans="1:5" x14ac:dyDescent="0.25">
      <c r="A1507" s="313" t="s">
        <v>587</v>
      </c>
      <c r="B1507" s="313" t="s">
        <v>26</v>
      </c>
      <c r="C1507" s="313" t="s">
        <v>1502</v>
      </c>
      <c r="D1507" s="313" t="s">
        <v>24</v>
      </c>
      <c r="E1507" s="313" t="s">
        <v>46</v>
      </c>
    </row>
    <row r="1508" spans="1:5" x14ac:dyDescent="0.25">
      <c r="A1508" s="313" t="s">
        <v>587</v>
      </c>
      <c r="B1508" s="313" t="s">
        <v>26</v>
      </c>
      <c r="C1508" s="313" t="s">
        <v>1503</v>
      </c>
      <c r="D1508" s="313" t="s">
        <v>24</v>
      </c>
      <c r="E1508" s="313" t="s">
        <v>46</v>
      </c>
    </row>
    <row r="1509" spans="1:5" x14ac:dyDescent="0.25">
      <c r="A1509" s="313" t="s">
        <v>587</v>
      </c>
      <c r="B1509" s="313" t="s">
        <v>26</v>
      </c>
      <c r="C1509" s="313" t="s">
        <v>2929</v>
      </c>
      <c r="D1509" s="313" t="s">
        <v>24</v>
      </c>
      <c r="E1509" s="313" t="s">
        <v>46</v>
      </c>
    </row>
    <row r="1510" spans="1:5" x14ac:dyDescent="0.25">
      <c r="A1510" s="313" t="s">
        <v>587</v>
      </c>
      <c r="B1510" s="313" t="s">
        <v>26</v>
      </c>
      <c r="C1510" s="313" t="s">
        <v>2930</v>
      </c>
      <c r="D1510" s="313" t="s">
        <v>24</v>
      </c>
      <c r="E1510" s="313" t="s">
        <v>35</v>
      </c>
    </row>
    <row r="1511" spans="1:5" x14ac:dyDescent="0.25">
      <c r="A1511" s="313" t="s">
        <v>587</v>
      </c>
      <c r="B1511" s="313" t="s">
        <v>26</v>
      </c>
      <c r="C1511" s="313" t="s">
        <v>1509</v>
      </c>
      <c r="D1511" s="313" t="s">
        <v>24</v>
      </c>
      <c r="E1511" s="313" t="s">
        <v>588</v>
      </c>
    </row>
    <row r="1512" spans="1:5" x14ac:dyDescent="0.25">
      <c r="A1512" s="313" t="s">
        <v>587</v>
      </c>
      <c r="B1512" s="313" t="s">
        <v>26</v>
      </c>
      <c r="C1512" s="313" t="s">
        <v>1510</v>
      </c>
      <c r="D1512" s="313" t="s">
        <v>24</v>
      </c>
      <c r="E1512" s="313" t="s">
        <v>1619</v>
      </c>
    </row>
    <row r="1513" spans="1:5" x14ac:dyDescent="0.25">
      <c r="A1513" s="313" t="s">
        <v>587</v>
      </c>
      <c r="B1513" s="313" t="s">
        <v>26</v>
      </c>
      <c r="C1513" s="313" t="s">
        <v>1511</v>
      </c>
      <c r="D1513" s="313" t="s">
        <v>24</v>
      </c>
      <c r="E1513" s="313" t="s">
        <v>46</v>
      </c>
    </row>
    <row r="1514" spans="1:5" x14ac:dyDescent="0.25">
      <c r="A1514" s="313" t="s">
        <v>587</v>
      </c>
      <c r="B1514" s="313" t="s">
        <v>26</v>
      </c>
      <c r="C1514" s="313" t="s">
        <v>27</v>
      </c>
      <c r="D1514" s="313" t="s">
        <v>24</v>
      </c>
      <c r="E1514" s="313" t="s">
        <v>588</v>
      </c>
    </row>
    <row r="1515" spans="1:5" x14ac:dyDescent="0.25">
      <c r="A1515" s="313" t="s">
        <v>587</v>
      </c>
      <c r="B1515" s="313" t="s">
        <v>26</v>
      </c>
      <c r="C1515" s="313" t="s">
        <v>1512</v>
      </c>
      <c r="D1515" s="313" t="s">
        <v>24</v>
      </c>
      <c r="E1515" s="313" t="s">
        <v>46</v>
      </c>
    </row>
    <row r="1516" spans="1:5" x14ac:dyDescent="0.25">
      <c r="A1516" s="313" t="s">
        <v>587</v>
      </c>
      <c r="B1516" s="313" t="s">
        <v>26</v>
      </c>
      <c r="C1516" s="313" t="s">
        <v>1513</v>
      </c>
      <c r="D1516" s="313" t="s">
        <v>24</v>
      </c>
      <c r="E1516" s="313" t="s">
        <v>588</v>
      </c>
    </row>
    <row r="1517" spans="1:5" x14ac:dyDescent="0.25">
      <c r="A1517" s="313" t="s">
        <v>587</v>
      </c>
      <c r="B1517" s="313" t="s">
        <v>26</v>
      </c>
      <c r="C1517" s="313" t="s">
        <v>1514</v>
      </c>
      <c r="D1517" s="313" t="s">
        <v>24</v>
      </c>
      <c r="E1517" s="313" t="s">
        <v>588</v>
      </c>
    </row>
    <row r="1518" spans="1:5" x14ac:dyDescent="0.25">
      <c r="A1518" s="313" t="s">
        <v>587</v>
      </c>
      <c r="B1518" s="313" t="s">
        <v>26</v>
      </c>
      <c r="C1518" s="313" t="s">
        <v>1515</v>
      </c>
      <c r="D1518" s="313" t="s">
        <v>24</v>
      </c>
      <c r="E1518" s="313" t="s">
        <v>588</v>
      </c>
    </row>
    <row r="1519" spans="1:5" x14ac:dyDescent="0.25">
      <c r="A1519" s="313" t="s">
        <v>587</v>
      </c>
      <c r="B1519" s="313" t="s">
        <v>26</v>
      </c>
      <c r="C1519" s="313" t="s">
        <v>1516</v>
      </c>
      <c r="D1519" s="313" t="s">
        <v>24</v>
      </c>
      <c r="E1519" s="313" t="s">
        <v>588</v>
      </c>
    </row>
    <row r="1520" spans="1:5" x14ac:dyDescent="0.25">
      <c r="A1520" s="313" t="s">
        <v>587</v>
      </c>
      <c r="B1520" s="313" t="s">
        <v>26</v>
      </c>
      <c r="C1520" s="313" t="s">
        <v>1517</v>
      </c>
      <c r="D1520" s="313" t="s">
        <v>24</v>
      </c>
      <c r="E1520" s="313" t="s">
        <v>588</v>
      </c>
    </row>
    <row r="1521" spans="1:5" x14ac:dyDescent="0.25">
      <c r="A1521" s="313" t="s">
        <v>587</v>
      </c>
      <c r="B1521" s="313" t="s">
        <v>26</v>
      </c>
      <c r="C1521" s="313" t="s">
        <v>1518</v>
      </c>
      <c r="D1521" s="313" t="s">
        <v>24</v>
      </c>
      <c r="E1521" s="313" t="s">
        <v>46</v>
      </c>
    </row>
    <row r="1522" spans="1:5" x14ac:dyDescent="0.25">
      <c r="A1522" s="313" t="s">
        <v>587</v>
      </c>
      <c r="B1522" s="313" t="s">
        <v>26</v>
      </c>
      <c r="C1522" s="313" t="s">
        <v>1519</v>
      </c>
      <c r="D1522" s="313" t="s">
        <v>24</v>
      </c>
      <c r="E1522" s="313" t="s">
        <v>588</v>
      </c>
    </row>
    <row r="1523" spans="1:5" x14ac:dyDescent="0.25">
      <c r="A1523" s="313" t="s">
        <v>591</v>
      </c>
      <c r="B1523" s="313" t="s">
        <v>19</v>
      </c>
      <c r="C1523" s="313" t="s">
        <v>1466</v>
      </c>
      <c r="D1523" s="313" t="s">
        <v>35</v>
      </c>
      <c r="E1523" s="313" t="s">
        <v>24</v>
      </c>
    </row>
    <row r="1524" spans="1:5" x14ac:dyDescent="0.25">
      <c r="A1524" s="313" t="s">
        <v>591</v>
      </c>
      <c r="B1524" s="313" t="s">
        <v>19</v>
      </c>
      <c r="C1524" s="313" t="s">
        <v>1471</v>
      </c>
      <c r="D1524" s="313" t="s">
        <v>35</v>
      </c>
      <c r="E1524" s="313" t="s">
        <v>24</v>
      </c>
    </row>
    <row r="1525" spans="1:5" x14ac:dyDescent="0.25">
      <c r="A1525" s="313" t="s">
        <v>591</v>
      </c>
      <c r="B1525" s="313" t="s">
        <v>19</v>
      </c>
      <c r="C1525" s="313" t="s">
        <v>1475</v>
      </c>
      <c r="D1525" s="313" t="s">
        <v>19</v>
      </c>
      <c r="E1525" s="313" t="s">
        <v>46</v>
      </c>
    </row>
    <row r="1526" spans="1:5" x14ac:dyDescent="0.25">
      <c r="A1526" s="313" t="s">
        <v>591</v>
      </c>
      <c r="B1526" s="313" t="s">
        <v>19</v>
      </c>
      <c r="C1526" s="313" t="s">
        <v>20</v>
      </c>
      <c r="D1526" s="313" t="s">
        <v>35</v>
      </c>
      <c r="E1526" s="313" t="s">
        <v>24</v>
      </c>
    </row>
    <row r="1527" spans="1:5" x14ac:dyDescent="0.25">
      <c r="A1527" s="313" t="s">
        <v>591</v>
      </c>
      <c r="B1527" s="313" t="s">
        <v>19</v>
      </c>
      <c r="C1527" s="313" t="s">
        <v>1487</v>
      </c>
      <c r="D1527" s="313" t="s">
        <v>26</v>
      </c>
      <c r="E1527" s="313" t="s">
        <v>24</v>
      </c>
    </row>
    <row r="1528" spans="1:5" x14ac:dyDescent="0.25">
      <c r="A1528" s="313" t="s">
        <v>591</v>
      </c>
      <c r="B1528" s="313" t="s">
        <v>19</v>
      </c>
      <c r="C1528" s="313" t="s">
        <v>1495</v>
      </c>
      <c r="D1528" s="313" t="s">
        <v>35</v>
      </c>
      <c r="E1528" s="313" t="s">
        <v>24</v>
      </c>
    </row>
    <row r="1529" spans="1:5" x14ac:dyDescent="0.25">
      <c r="A1529" s="313" t="s">
        <v>591</v>
      </c>
      <c r="B1529" s="313" t="s">
        <v>26</v>
      </c>
      <c r="C1529" s="313" t="s">
        <v>1514</v>
      </c>
      <c r="D1529" s="313" t="s">
        <v>24</v>
      </c>
      <c r="E1529" s="313" t="s">
        <v>1620</v>
      </c>
    </row>
    <row r="1530" spans="1:5" x14ac:dyDescent="0.25">
      <c r="A1530" s="313" t="s">
        <v>591</v>
      </c>
      <c r="B1530" s="313" t="s">
        <v>26</v>
      </c>
      <c r="C1530" s="313" t="s">
        <v>1515</v>
      </c>
      <c r="D1530" s="313" t="s">
        <v>24</v>
      </c>
      <c r="E1530" s="313" t="s">
        <v>1620</v>
      </c>
    </row>
    <row r="1531" spans="1:5" x14ac:dyDescent="0.25">
      <c r="A1531" s="313" t="s">
        <v>591</v>
      </c>
      <c r="B1531" s="313" t="s">
        <v>26</v>
      </c>
      <c r="C1531" s="313" t="s">
        <v>1516</v>
      </c>
      <c r="D1531" s="313" t="s">
        <v>24</v>
      </c>
      <c r="E1531" s="313" t="s">
        <v>1620</v>
      </c>
    </row>
    <row r="1532" spans="1:5" x14ac:dyDescent="0.25">
      <c r="A1532" s="313" t="s">
        <v>591</v>
      </c>
      <c r="B1532" s="313" t="s">
        <v>26</v>
      </c>
      <c r="C1532" s="313" t="s">
        <v>1517</v>
      </c>
      <c r="D1532" s="313" t="s">
        <v>24</v>
      </c>
      <c r="E1532" s="313" t="s">
        <v>1620</v>
      </c>
    </row>
    <row r="1533" spans="1:5" x14ac:dyDescent="0.25">
      <c r="A1533" s="313" t="s">
        <v>591</v>
      </c>
      <c r="B1533" s="313" t="s">
        <v>26</v>
      </c>
      <c r="C1533" s="313" t="s">
        <v>1518</v>
      </c>
      <c r="D1533" s="313" t="s">
        <v>24</v>
      </c>
      <c r="E1533" s="313" t="s">
        <v>46</v>
      </c>
    </row>
    <row r="1534" spans="1:5" x14ac:dyDescent="0.25">
      <c r="A1534" s="313" t="s">
        <v>591</v>
      </c>
      <c r="B1534" s="313" t="s">
        <v>26</v>
      </c>
      <c r="C1534" s="313" t="s">
        <v>1519</v>
      </c>
      <c r="D1534" s="313" t="s">
        <v>24</v>
      </c>
      <c r="E1534" s="313" t="s">
        <v>1620</v>
      </c>
    </row>
    <row r="1535" spans="1:5" x14ac:dyDescent="0.25">
      <c r="A1535" s="313" t="s">
        <v>594</v>
      </c>
      <c r="B1535" s="313" t="s">
        <v>19</v>
      </c>
      <c r="C1535" s="313" t="s">
        <v>1466</v>
      </c>
      <c r="D1535" s="313" t="s">
        <v>35</v>
      </c>
      <c r="E1535" s="313" t="s">
        <v>24</v>
      </c>
    </row>
    <row r="1536" spans="1:5" x14ac:dyDescent="0.25">
      <c r="A1536" s="313" t="s">
        <v>594</v>
      </c>
      <c r="B1536" s="313" t="s">
        <v>19</v>
      </c>
      <c r="C1536" s="313" t="s">
        <v>1471</v>
      </c>
      <c r="D1536" s="313" t="s">
        <v>35</v>
      </c>
      <c r="E1536" s="313" t="s">
        <v>24</v>
      </c>
    </row>
    <row r="1537" spans="1:5" x14ac:dyDescent="0.25">
      <c r="A1537" s="313" t="s">
        <v>594</v>
      </c>
      <c r="B1537" s="313" t="s">
        <v>19</v>
      </c>
      <c r="C1537" s="313" t="s">
        <v>1475</v>
      </c>
      <c r="D1537" s="313" t="s">
        <v>19</v>
      </c>
      <c r="E1537" s="313" t="s">
        <v>46</v>
      </c>
    </row>
    <row r="1538" spans="1:5" x14ac:dyDescent="0.25">
      <c r="A1538" s="313" t="s">
        <v>594</v>
      </c>
      <c r="B1538" s="313" t="s">
        <v>19</v>
      </c>
      <c r="C1538" s="313" t="s">
        <v>20</v>
      </c>
      <c r="D1538" s="313" t="s">
        <v>35</v>
      </c>
      <c r="E1538" s="313" t="s">
        <v>24</v>
      </c>
    </row>
    <row r="1539" spans="1:5" x14ac:dyDescent="0.25">
      <c r="A1539" s="313" t="s">
        <v>594</v>
      </c>
      <c r="B1539" s="313" t="s">
        <v>19</v>
      </c>
      <c r="C1539" s="313" t="s">
        <v>1487</v>
      </c>
      <c r="D1539" s="313" t="s">
        <v>35</v>
      </c>
      <c r="E1539" s="313" t="s">
        <v>24</v>
      </c>
    </row>
    <row r="1540" spans="1:5" x14ac:dyDescent="0.25">
      <c r="A1540" s="313" t="s">
        <v>594</v>
      </c>
      <c r="B1540" s="313" t="s">
        <v>19</v>
      </c>
      <c r="C1540" s="313" t="s">
        <v>1495</v>
      </c>
      <c r="D1540" s="313" t="s">
        <v>35</v>
      </c>
      <c r="E1540" s="313" t="s">
        <v>24</v>
      </c>
    </row>
    <row r="1541" spans="1:5" x14ac:dyDescent="0.25">
      <c r="A1541" s="313" t="s">
        <v>596</v>
      </c>
      <c r="B1541" s="313" t="s">
        <v>19</v>
      </c>
      <c r="C1541" s="313" t="s">
        <v>1466</v>
      </c>
      <c r="D1541" s="313" t="s">
        <v>35</v>
      </c>
      <c r="E1541" s="313" t="s">
        <v>24</v>
      </c>
    </row>
    <row r="1542" spans="1:5" x14ac:dyDescent="0.25">
      <c r="A1542" s="313" t="s">
        <v>596</v>
      </c>
      <c r="B1542" s="313" t="s">
        <v>19</v>
      </c>
      <c r="C1542" s="313" t="s">
        <v>1471</v>
      </c>
      <c r="D1542" s="313" t="s">
        <v>35</v>
      </c>
      <c r="E1542" s="313" t="s">
        <v>24</v>
      </c>
    </row>
    <row r="1543" spans="1:5" x14ac:dyDescent="0.25">
      <c r="A1543" s="313" t="s">
        <v>596</v>
      </c>
      <c r="B1543" s="313" t="s">
        <v>19</v>
      </c>
      <c r="C1543" s="313" t="s">
        <v>1475</v>
      </c>
      <c r="D1543" s="313" t="s">
        <v>19</v>
      </c>
      <c r="E1543" s="313" t="s">
        <v>46</v>
      </c>
    </row>
    <row r="1544" spans="1:5" x14ac:dyDescent="0.25">
      <c r="A1544" s="313" t="s">
        <v>596</v>
      </c>
      <c r="B1544" s="313" t="s">
        <v>19</v>
      </c>
      <c r="C1544" s="313" t="s">
        <v>20</v>
      </c>
      <c r="D1544" s="313" t="s">
        <v>35</v>
      </c>
      <c r="E1544" s="313" t="s">
        <v>24</v>
      </c>
    </row>
    <row r="1545" spans="1:5" x14ac:dyDescent="0.25">
      <c r="A1545" s="313" t="s">
        <v>596</v>
      </c>
      <c r="B1545" s="313" t="s">
        <v>19</v>
      </c>
      <c r="C1545" s="313" t="s">
        <v>1487</v>
      </c>
      <c r="D1545" s="313" t="s">
        <v>35</v>
      </c>
      <c r="E1545" s="313" t="s">
        <v>24</v>
      </c>
    </row>
    <row r="1546" spans="1:5" x14ac:dyDescent="0.25">
      <c r="A1546" s="313" t="s">
        <v>596</v>
      </c>
      <c r="B1546" s="313" t="s">
        <v>19</v>
      </c>
      <c r="C1546" s="313" t="s">
        <v>1495</v>
      </c>
      <c r="D1546" s="313" t="s">
        <v>35</v>
      </c>
      <c r="E1546" s="313" t="s">
        <v>24</v>
      </c>
    </row>
    <row r="1547" spans="1:5" x14ac:dyDescent="0.25">
      <c r="A1547" s="313" t="s">
        <v>598</v>
      </c>
      <c r="B1547" s="313" t="s">
        <v>19</v>
      </c>
      <c r="C1547" s="313" t="s">
        <v>1466</v>
      </c>
      <c r="D1547" s="313" t="s">
        <v>19</v>
      </c>
      <c r="E1547" s="313" t="s">
        <v>1621</v>
      </c>
    </row>
    <row r="1548" spans="1:5" x14ac:dyDescent="0.25">
      <c r="A1548" s="313" t="s">
        <v>598</v>
      </c>
      <c r="B1548" s="313" t="s">
        <v>19</v>
      </c>
      <c r="C1548" s="313" t="s">
        <v>1471</v>
      </c>
      <c r="D1548" s="313" t="s">
        <v>26</v>
      </c>
      <c r="E1548" s="313" t="s">
        <v>24</v>
      </c>
    </row>
    <row r="1549" spans="1:5" x14ac:dyDescent="0.25">
      <c r="A1549" s="313" t="s">
        <v>598</v>
      </c>
      <c r="B1549" s="313" t="s">
        <v>19</v>
      </c>
      <c r="C1549" s="313" t="s">
        <v>1475</v>
      </c>
      <c r="D1549" s="313" t="s">
        <v>19</v>
      </c>
      <c r="E1549" s="313" t="s">
        <v>46</v>
      </c>
    </row>
    <row r="1550" spans="1:5" x14ac:dyDescent="0.25">
      <c r="A1550" s="313" t="s">
        <v>598</v>
      </c>
      <c r="B1550" s="313" t="s">
        <v>19</v>
      </c>
      <c r="C1550" s="313" t="s">
        <v>20</v>
      </c>
      <c r="D1550" s="313" t="s">
        <v>26</v>
      </c>
      <c r="E1550" s="313" t="s">
        <v>24</v>
      </c>
    </row>
    <row r="1551" spans="1:5" x14ac:dyDescent="0.25">
      <c r="A1551" s="313" t="s">
        <v>598</v>
      </c>
      <c r="B1551" s="313" t="s">
        <v>19</v>
      </c>
      <c r="C1551" s="313" t="s">
        <v>1487</v>
      </c>
      <c r="D1551" s="313" t="s">
        <v>26</v>
      </c>
      <c r="E1551" s="313" t="s">
        <v>24</v>
      </c>
    </row>
    <row r="1552" spans="1:5" x14ac:dyDescent="0.25">
      <c r="A1552" s="313" t="s">
        <v>598</v>
      </c>
      <c r="B1552" s="313" t="s">
        <v>19</v>
      </c>
      <c r="C1552" s="313" t="s">
        <v>1495</v>
      </c>
      <c r="D1552" s="313" t="s">
        <v>35</v>
      </c>
      <c r="E1552" s="313" t="s">
        <v>24</v>
      </c>
    </row>
    <row r="1553" spans="1:5" x14ac:dyDescent="0.25">
      <c r="A1553" s="313" t="s">
        <v>598</v>
      </c>
      <c r="B1553" s="313" t="s">
        <v>26</v>
      </c>
      <c r="C1553" s="313" t="s">
        <v>2929</v>
      </c>
      <c r="D1553" s="313" t="s">
        <v>24</v>
      </c>
      <c r="E1553" s="313" t="s">
        <v>46</v>
      </c>
    </row>
    <row r="1554" spans="1:5" x14ac:dyDescent="0.25">
      <c r="A1554" s="313" t="s">
        <v>598</v>
      </c>
      <c r="B1554" s="313" t="s">
        <v>26</v>
      </c>
      <c r="C1554" s="313" t="s">
        <v>2930</v>
      </c>
      <c r="D1554" s="313" t="s">
        <v>24</v>
      </c>
      <c r="E1554" s="313" t="s">
        <v>35</v>
      </c>
    </row>
    <row r="1555" spans="1:5" x14ac:dyDescent="0.25">
      <c r="A1555" s="313" t="s">
        <v>598</v>
      </c>
      <c r="B1555" s="313" t="s">
        <v>26</v>
      </c>
      <c r="C1555" s="313" t="s">
        <v>1509</v>
      </c>
      <c r="D1555" s="313" t="s">
        <v>24</v>
      </c>
      <c r="E1555" s="313" t="s">
        <v>1621</v>
      </c>
    </row>
    <row r="1556" spans="1:5" x14ac:dyDescent="0.25">
      <c r="A1556" s="313" t="s">
        <v>598</v>
      </c>
      <c r="B1556" s="313" t="s">
        <v>26</v>
      </c>
      <c r="C1556" s="313" t="s">
        <v>1510</v>
      </c>
      <c r="D1556" s="313" t="s">
        <v>24</v>
      </c>
      <c r="E1556" s="313" t="s">
        <v>1622</v>
      </c>
    </row>
    <row r="1557" spans="1:5" x14ac:dyDescent="0.25">
      <c r="A1557" s="313" t="s">
        <v>598</v>
      </c>
      <c r="B1557" s="313" t="s">
        <v>26</v>
      </c>
      <c r="C1557" s="313" t="s">
        <v>1511</v>
      </c>
      <c r="D1557" s="313" t="s">
        <v>24</v>
      </c>
      <c r="E1557" s="313" t="s">
        <v>46</v>
      </c>
    </row>
    <row r="1558" spans="1:5" x14ac:dyDescent="0.25">
      <c r="A1558" s="313" t="s">
        <v>598</v>
      </c>
      <c r="B1558" s="313" t="s">
        <v>26</v>
      </c>
      <c r="C1558" s="313" t="s">
        <v>27</v>
      </c>
      <c r="D1558" s="313" t="s">
        <v>24</v>
      </c>
      <c r="E1558" s="313" t="s">
        <v>46</v>
      </c>
    </row>
    <row r="1559" spans="1:5" x14ac:dyDescent="0.25">
      <c r="A1559" s="313" t="s">
        <v>598</v>
      </c>
      <c r="B1559" s="313" t="s">
        <v>26</v>
      </c>
      <c r="C1559" s="313" t="s">
        <v>1512</v>
      </c>
      <c r="D1559" s="313" t="s">
        <v>24</v>
      </c>
      <c r="E1559" s="313" t="s">
        <v>46</v>
      </c>
    </row>
    <row r="1560" spans="1:5" x14ac:dyDescent="0.25">
      <c r="A1560" s="313" t="s">
        <v>598</v>
      </c>
      <c r="B1560" s="313" t="s">
        <v>26</v>
      </c>
      <c r="C1560" s="313" t="s">
        <v>1513</v>
      </c>
      <c r="D1560" s="313" t="s">
        <v>24</v>
      </c>
      <c r="E1560" s="313" t="s">
        <v>1622</v>
      </c>
    </row>
    <row r="1561" spans="1:5" x14ac:dyDescent="0.25">
      <c r="A1561" s="313" t="s">
        <v>598</v>
      </c>
      <c r="B1561" s="313" t="s">
        <v>26</v>
      </c>
      <c r="C1561" s="313" t="s">
        <v>1514</v>
      </c>
      <c r="D1561" s="313" t="s">
        <v>24</v>
      </c>
      <c r="E1561" s="313" t="s">
        <v>1621</v>
      </c>
    </row>
    <row r="1562" spans="1:5" x14ac:dyDescent="0.25">
      <c r="A1562" s="313" t="s">
        <v>598</v>
      </c>
      <c r="B1562" s="313" t="s">
        <v>26</v>
      </c>
      <c r="C1562" s="313" t="s">
        <v>1515</v>
      </c>
      <c r="D1562" s="313" t="s">
        <v>24</v>
      </c>
      <c r="E1562" s="313" t="s">
        <v>1621</v>
      </c>
    </row>
    <row r="1563" spans="1:5" x14ac:dyDescent="0.25">
      <c r="A1563" s="313" t="s">
        <v>598</v>
      </c>
      <c r="B1563" s="313" t="s">
        <v>26</v>
      </c>
      <c r="C1563" s="313" t="s">
        <v>1516</v>
      </c>
      <c r="D1563" s="313" t="s">
        <v>24</v>
      </c>
      <c r="E1563" s="313" t="s">
        <v>1621</v>
      </c>
    </row>
    <row r="1564" spans="1:5" x14ac:dyDescent="0.25">
      <c r="A1564" s="313" t="s">
        <v>598</v>
      </c>
      <c r="B1564" s="313" t="s">
        <v>26</v>
      </c>
      <c r="C1564" s="313" t="s">
        <v>1517</v>
      </c>
      <c r="D1564" s="313" t="s">
        <v>24</v>
      </c>
      <c r="E1564" s="313" t="s">
        <v>1621</v>
      </c>
    </row>
    <row r="1565" spans="1:5" x14ac:dyDescent="0.25">
      <c r="A1565" s="313" t="s">
        <v>598</v>
      </c>
      <c r="B1565" s="313" t="s">
        <v>26</v>
      </c>
      <c r="C1565" s="313" t="s">
        <v>1518</v>
      </c>
      <c r="D1565" s="313" t="s">
        <v>24</v>
      </c>
      <c r="E1565" s="313" t="s">
        <v>46</v>
      </c>
    </row>
    <row r="1566" spans="1:5" x14ac:dyDescent="0.25">
      <c r="A1566" s="313" t="s">
        <v>598</v>
      </c>
      <c r="B1566" s="313" t="s">
        <v>26</v>
      </c>
      <c r="C1566" s="313" t="s">
        <v>1519</v>
      </c>
      <c r="D1566" s="313" t="s">
        <v>24</v>
      </c>
      <c r="E1566" s="313" t="s">
        <v>1621</v>
      </c>
    </row>
    <row r="1567" spans="1:5" x14ac:dyDescent="0.25">
      <c r="A1567" s="313" t="s">
        <v>601</v>
      </c>
      <c r="B1567" s="313" t="s">
        <v>19</v>
      </c>
      <c r="C1567" s="313" t="s">
        <v>1466</v>
      </c>
      <c r="D1567" s="313" t="s">
        <v>19</v>
      </c>
      <c r="E1567" s="313" t="s">
        <v>1623</v>
      </c>
    </row>
    <row r="1568" spans="1:5" x14ac:dyDescent="0.25">
      <c r="A1568" s="313" t="s">
        <v>601</v>
      </c>
      <c r="B1568" s="313" t="s">
        <v>19</v>
      </c>
      <c r="C1568" s="313" t="s">
        <v>1471</v>
      </c>
      <c r="D1568" s="313" t="s">
        <v>26</v>
      </c>
      <c r="E1568" s="313" t="s">
        <v>24</v>
      </c>
    </row>
    <row r="1569" spans="1:5" x14ac:dyDescent="0.25">
      <c r="A1569" s="313" t="s">
        <v>601</v>
      </c>
      <c r="B1569" s="313" t="s">
        <v>19</v>
      </c>
      <c r="C1569" s="313" t="s">
        <v>1475</v>
      </c>
      <c r="D1569" s="313" t="s">
        <v>19</v>
      </c>
      <c r="E1569" s="313" t="s">
        <v>46</v>
      </c>
    </row>
    <row r="1570" spans="1:5" x14ac:dyDescent="0.25">
      <c r="A1570" s="313" t="s">
        <v>601</v>
      </c>
      <c r="B1570" s="313" t="s">
        <v>19</v>
      </c>
      <c r="C1570" s="313" t="s">
        <v>20</v>
      </c>
      <c r="D1570" s="313" t="s">
        <v>19</v>
      </c>
      <c r="E1570" s="313" t="s">
        <v>46</v>
      </c>
    </row>
    <row r="1571" spans="1:5" x14ac:dyDescent="0.25">
      <c r="A1571" s="313" t="s">
        <v>601</v>
      </c>
      <c r="B1571" s="313" t="s">
        <v>19</v>
      </c>
      <c r="C1571" s="313" t="s">
        <v>1487</v>
      </c>
      <c r="D1571" s="313" t="s">
        <v>26</v>
      </c>
      <c r="E1571" s="313" t="s">
        <v>24</v>
      </c>
    </row>
    <row r="1572" spans="1:5" x14ac:dyDescent="0.25">
      <c r="A1572" s="313" t="s">
        <v>601</v>
      </c>
      <c r="B1572" s="313" t="s">
        <v>19</v>
      </c>
      <c r="C1572" s="313" t="s">
        <v>1495</v>
      </c>
      <c r="D1572" s="313" t="s">
        <v>35</v>
      </c>
      <c r="E1572" s="313" t="s">
        <v>24</v>
      </c>
    </row>
    <row r="1573" spans="1:5" x14ac:dyDescent="0.25">
      <c r="A1573" s="313" t="s">
        <v>601</v>
      </c>
      <c r="B1573" s="313" t="s">
        <v>26</v>
      </c>
      <c r="C1573" s="313" t="s">
        <v>2929</v>
      </c>
      <c r="D1573" s="313" t="s">
        <v>24</v>
      </c>
      <c r="E1573" s="313" t="s">
        <v>46</v>
      </c>
    </row>
    <row r="1574" spans="1:5" x14ac:dyDescent="0.25">
      <c r="A1574" s="313" t="s">
        <v>601</v>
      </c>
      <c r="B1574" s="313" t="s">
        <v>26</v>
      </c>
      <c r="C1574" s="313" t="s">
        <v>2930</v>
      </c>
      <c r="D1574" s="313" t="s">
        <v>24</v>
      </c>
      <c r="E1574" s="313" t="s">
        <v>35</v>
      </c>
    </row>
    <row r="1575" spans="1:5" x14ac:dyDescent="0.25">
      <c r="A1575" s="313" t="s">
        <v>601</v>
      </c>
      <c r="B1575" s="313" t="s">
        <v>26</v>
      </c>
      <c r="C1575" s="313" t="s">
        <v>1514</v>
      </c>
      <c r="D1575" s="313" t="s">
        <v>24</v>
      </c>
      <c r="E1575" s="313" t="s">
        <v>1624</v>
      </c>
    </row>
    <row r="1576" spans="1:5" x14ac:dyDescent="0.25">
      <c r="A1576" s="313" t="s">
        <v>601</v>
      </c>
      <c r="B1576" s="313" t="s">
        <v>26</v>
      </c>
      <c r="C1576" s="313" t="s">
        <v>1515</v>
      </c>
      <c r="D1576" s="313" t="s">
        <v>24</v>
      </c>
      <c r="E1576" s="313" t="s">
        <v>1624</v>
      </c>
    </row>
    <row r="1577" spans="1:5" x14ac:dyDescent="0.25">
      <c r="A1577" s="313" t="s">
        <v>601</v>
      </c>
      <c r="B1577" s="313" t="s">
        <v>26</v>
      </c>
      <c r="C1577" s="313" t="s">
        <v>1516</v>
      </c>
      <c r="D1577" s="313" t="s">
        <v>24</v>
      </c>
      <c r="E1577" s="313" t="s">
        <v>1624</v>
      </c>
    </row>
    <row r="1578" spans="1:5" x14ac:dyDescent="0.25">
      <c r="A1578" s="313" t="s">
        <v>601</v>
      </c>
      <c r="B1578" s="313" t="s">
        <v>26</v>
      </c>
      <c r="C1578" s="313" t="s">
        <v>1517</v>
      </c>
      <c r="D1578" s="313" t="s">
        <v>24</v>
      </c>
      <c r="E1578" s="313" t="s">
        <v>1624</v>
      </c>
    </row>
    <row r="1579" spans="1:5" x14ac:dyDescent="0.25">
      <c r="A1579" s="313" t="s">
        <v>601</v>
      </c>
      <c r="B1579" s="313" t="s">
        <v>26</v>
      </c>
      <c r="C1579" s="313" t="s">
        <v>1518</v>
      </c>
      <c r="D1579" s="313" t="s">
        <v>24</v>
      </c>
      <c r="E1579" s="313" t="s">
        <v>46</v>
      </c>
    </row>
    <row r="1580" spans="1:5" x14ac:dyDescent="0.25">
      <c r="A1580" s="313" t="s">
        <v>601</v>
      </c>
      <c r="B1580" s="313" t="s">
        <v>26</v>
      </c>
      <c r="C1580" s="313" t="s">
        <v>1519</v>
      </c>
      <c r="D1580" s="313" t="s">
        <v>24</v>
      </c>
      <c r="E1580" s="313" t="s">
        <v>1624</v>
      </c>
    </row>
    <row r="1581" spans="1:5" x14ac:dyDescent="0.25">
      <c r="A1581" s="313" t="s">
        <v>606</v>
      </c>
      <c r="B1581" s="313" t="s">
        <v>19</v>
      </c>
      <c r="C1581" s="313" t="s">
        <v>1466</v>
      </c>
      <c r="D1581" s="313" t="s">
        <v>26</v>
      </c>
      <c r="E1581" s="313" t="s">
        <v>24</v>
      </c>
    </row>
    <row r="1582" spans="1:5" x14ac:dyDescent="0.25">
      <c r="A1582" s="313" t="s">
        <v>606</v>
      </c>
      <c r="B1582" s="313" t="s">
        <v>19</v>
      </c>
      <c r="C1582" s="313" t="s">
        <v>1471</v>
      </c>
      <c r="D1582" s="313" t="s">
        <v>26</v>
      </c>
      <c r="E1582" s="313" t="s">
        <v>24</v>
      </c>
    </row>
    <row r="1583" spans="1:5" x14ac:dyDescent="0.25">
      <c r="A1583" s="313" t="s">
        <v>606</v>
      </c>
      <c r="B1583" s="313" t="s">
        <v>19</v>
      </c>
      <c r="C1583" s="313" t="s">
        <v>1475</v>
      </c>
      <c r="D1583" s="313" t="s">
        <v>19</v>
      </c>
      <c r="E1583" s="313" t="s">
        <v>46</v>
      </c>
    </row>
    <row r="1584" spans="1:5" x14ac:dyDescent="0.25">
      <c r="A1584" s="313" t="s">
        <v>606</v>
      </c>
      <c r="B1584" s="313" t="s">
        <v>19</v>
      </c>
      <c r="C1584" s="313" t="s">
        <v>20</v>
      </c>
      <c r="D1584" s="313" t="s">
        <v>35</v>
      </c>
      <c r="E1584" s="313" t="s">
        <v>24</v>
      </c>
    </row>
    <row r="1585" spans="1:5" x14ac:dyDescent="0.25">
      <c r="A1585" s="313" t="s">
        <v>606</v>
      </c>
      <c r="B1585" s="313" t="s">
        <v>19</v>
      </c>
      <c r="C1585" s="313" t="s">
        <v>1487</v>
      </c>
      <c r="D1585" s="313" t="s">
        <v>26</v>
      </c>
      <c r="E1585" s="313" t="s">
        <v>24</v>
      </c>
    </row>
    <row r="1586" spans="1:5" x14ac:dyDescent="0.25">
      <c r="A1586" s="313" t="s">
        <v>606</v>
      </c>
      <c r="B1586" s="313" t="s">
        <v>19</v>
      </c>
      <c r="C1586" s="313" t="s">
        <v>1495</v>
      </c>
      <c r="D1586" s="313" t="s">
        <v>35</v>
      </c>
      <c r="E1586" s="313" t="s">
        <v>24</v>
      </c>
    </row>
    <row r="1587" spans="1:5" x14ac:dyDescent="0.25">
      <c r="A1587" s="313" t="s">
        <v>606</v>
      </c>
      <c r="B1587" s="313" t="s">
        <v>26</v>
      </c>
      <c r="C1587" s="313" t="s">
        <v>1501</v>
      </c>
      <c r="D1587" s="313" t="s">
        <v>24</v>
      </c>
      <c r="E1587" s="313" t="s">
        <v>1625</v>
      </c>
    </row>
    <row r="1588" spans="1:5" x14ac:dyDescent="0.25">
      <c r="A1588" s="313" t="s">
        <v>606</v>
      </c>
      <c r="B1588" s="313" t="s">
        <v>26</v>
      </c>
      <c r="C1588" s="313" t="s">
        <v>1502</v>
      </c>
      <c r="D1588" s="313" t="s">
        <v>24</v>
      </c>
      <c r="E1588" s="313" t="s">
        <v>46</v>
      </c>
    </row>
    <row r="1589" spans="1:5" x14ac:dyDescent="0.25">
      <c r="A1589" s="313" t="s">
        <v>606</v>
      </c>
      <c r="B1589" s="313" t="s">
        <v>26</v>
      </c>
      <c r="C1589" s="313" t="s">
        <v>1503</v>
      </c>
      <c r="D1589" s="313" t="s">
        <v>24</v>
      </c>
      <c r="E1589" s="313" t="s">
        <v>1625</v>
      </c>
    </row>
    <row r="1590" spans="1:5" x14ac:dyDescent="0.25">
      <c r="A1590" s="313" t="s">
        <v>606</v>
      </c>
      <c r="B1590" s="313" t="s">
        <v>26</v>
      </c>
      <c r="C1590" s="313" t="s">
        <v>2929</v>
      </c>
      <c r="D1590" s="313" t="s">
        <v>24</v>
      </c>
      <c r="E1590" s="313" t="s">
        <v>46</v>
      </c>
    </row>
    <row r="1591" spans="1:5" x14ac:dyDescent="0.25">
      <c r="A1591" s="313" t="s">
        <v>606</v>
      </c>
      <c r="B1591" s="313" t="s">
        <v>26</v>
      </c>
      <c r="C1591" s="313" t="s">
        <v>2930</v>
      </c>
      <c r="D1591" s="313" t="s">
        <v>24</v>
      </c>
      <c r="E1591" s="313" t="s">
        <v>35</v>
      </c>
    </row>
    <row r="1592" spans="1:5" x14ac:dyDescent="0.25">
      <c r="A1592" s="313" t="s">
        <v>606</v>
      </c>
      <c r="B1592" s="313" t="s">
        <v>26</v>
      </c>
      <c r="C1592" s="313" t="s">
        <v>1514</v>
      </c>
      <c r="D1592" s="313" t="s">
        <v>24</v>
      </c>
      <c r="E1592" s="313" t="s">
        <v>1626</v>
      </c>
    </row>
    <row r="1593" spans="1:5" x14ac:dyDescent="0.25">
      <c r="A1593" s="313" t="s">
        <v>606</v>
      </c>
      <c r="B1593" s="313" t="s">
        <v>26</v>
      </c>
      <c r="C1593" s="313" t="s">
        <v>1515</v>
      </c>
      <c r="D1593" s="313" t="s">
        <v>24</v>
      </c>
      <c r="E1593" s="313" t="s">
        <v>1626</v>
      </c>
    </row>
    <row r="1594" spans="1:5" x14ac:dyDescent="0.25">
      <c r="A1594" s="313" t="s">
        <v>606</v>
      </c>
      <c r="B1594" s="313" t="s">
        <v>26</v>
      </c>
      <c r="C1594" s="313" t="s">
        <v>1516</v>
      </c>
      <c r="D1594" s="313" t="s">
        <v>24</v>
      </c>
      <c r="E1594" s="313" t="s">
        <v>1626</v>
      </c>
    </row>
    <row r="1595" spans="1:5" x14ac:dyDescent="0.25">
      <c r="A1595" s="313" t="s">
        <v>606</v>
      </c>
      <c r="B1595" s="313" t="s">
        <v>26</v>
      </c>
      <c r="C1595" s="313" t="s">
        <v>1517</v>
      </c>
      <c r="D1595" s="313" t="s">
        <v>24</v>
      </c>
      <c r="E1595" s="313" t="s">
        <v>1626</v>
      </c>
    </row>
    <row r="1596" spans="1:5" x14ac:dyDescent="0.25">
      <c r="A1596" s="313" t="s">
        <v>606</v>
      </c>
      <c r="B1596" s="313" t="s">
        <v>26</v>
      </c>
      <c r="C1596" s="313" t="s">
        <v>1518</v>
      </c>
      <c r="D1596" s="313" t="s">
        <v>24</v>
      </c>
      <c r="E1596" s="313" t="s">
        <v>46</v>
      </c>
    </row>
    <row r="1597" spans="1:5" x14ac:dyDescent="0.25">
      <c r="A1597" s="313" t="s">
        <v>606</v>
      </c>
      <c r="B1597" s="313" t="s">
        <v>26</v>
      </c>
      <c r="C1597" s="313" t="s">
        <v>1519</v>
      </c>
      <c r="D1597" s="313" t="s">
        <v>24</v>
      </c>
      <c r="E1597" s="313" t="s">
        <v>1575</v>
      </c>
    </row>
    <row r="1598" spans="1:5" x14ac:dyDescent="0.25">
      <c r="A1598" s="313" t="s">
        <v>609</v>
      </c>
      <c r="B1598" s="313" t="s">
        <v>19</v>
      </c>
      <c r="C1598" s="313" t="s">
        <v>1466</v>
      </c>
      <c r="D1598" s="313" t="s">
        <v>35</v>
      </c>
      <c r="E1598" s="313" t="s">
        <v>24</v>
      </c>
    </row>
    <row r="1599" spans="1:5" x14ac:dyDescent="0.25">
      <c r="A1599" s="313" t="s">
        <v>609</v>
      </c>
      <c r="B1599" s="313" t="s">
        <v>19</v>
      </c>
      <c r="C1599" s="313" t="s">
        <v>1471</v>
      </c>
      <c r="D1599" s="313" t="s">
        <v>35</v>
      </c>
      <c r="E1599" s="313" t="s">
        <v>24</v>
      </c>
    </row>
    <row r="1600" spans="1:5" x14ac:dyDescent="0.25">
      <c r="A1600" s="313" t="s">
        <v>609</v>
      </c>
      <c r="B1600" s="313" t="s">
        <v>19</v>
      </c>
      <c r="C1600" s="313" t="s">
        <v>1475</v>
      </c>
      <c r="D1600" s="313" t="s">
        <v>19</v>
      </c>
      <c r="E1600" s="313" t="s">
        <v>46</v>
      </c>
    </row>
    <row r="1601" spans="1:5" x14ac:dyDescent="0.25">
      <c r="A1601" s="313" t="s">
        <v>609</v>
      </c>
      <c r="B1601" s="313" t="s">
        <v>19</v>
      </c>
      <c r="C1601" s="313" t="s">
        <v>20</v>
      </c>
      <c r="D1601" s="313" t="s">
        <v>35</v>
      </c>
      <c r="E1601" s="313" t="s">
        <v>24</v>
      </c>
    </row>
    <row r="1602" spans="1:5" x14ac:dyDescent="0.25">
      <c r="A1602" s="313" t="s">
        <v>609</v>
      </c>
      <c r="B1602" s="313" t="s">
        <v>19</v>
      </c>
      <c r="C1602" s="313" t="s">
        <v>1487</v>
      </c>
      <c r="D1602" s="313" t="s">
        <v>35</v>
      </c>
      <c r="E1602" s="313" t="s">
        <v>24</v>
      </c>
    </row>
    <row r="1603" spans="1:5" x14ac:dyDescent="0.25">
      <c r="A1603" s="313" t="s">
        <v>609</v>
      </c>
      <c r="B1603" s="313" t="s">
        <v>19</v>
      </c>
      <c r="C1603" s="313" t="s">
        <v>1495</v>
      </c>
      <c r="D1603" s="313" t="s">
        <v>35</v>
      </c>
      <c r="E1603" s="313" t="s">
        <v>24</v>
      </c>
    </row>
    <row r="1604" spans="1:5" x14ac:dyDescent="0.25">
      <c r="A1604" s="313" t="s">
        <v>611</v>
      </c>
      <c r="B1604" s="313" t="s">
        <v>19</v>
      </c>
      <c r="C1604" s="313" t="s">
        <v>1466</v>
      </c>
      <c r="D1604" s="313" t="s">
        <v>26</v>
      </c>
      <c r="E1604" s="313" t="s">
        <v>24</v>
      </c>
    </row>
    <row r="1605" spans="1:5" x14ac:dyDescent="0.25">
      <c r="A1605" s="313" t="s">
        <v>611</v>
      </c>
      <c r="B1605" s="313" t="s">
        <v>19</v>
      </c>
      <c r="C1605" s="313" t="s">
        <v>1471</v>
      </c>
      <c r="D1605" s="313" t="s">
        <v>26</v>
      </c>
      <c r="E1605" s="313" t="s">
        <v>24</v>
      </c>
    </row>
    <row r="1606" spans="1:5" x14ac:dyDescent="0.25">
      <c r="A1606" s="313" t="s">
        <v>611</v>
      </c>
      <c r="B1606" s="313" t="s">
        <v>19</v>
      </c>
      <c r="C1606" s="313" t="s">
        <v>1475</v>
      </c>
      <c r="D1606" s="313" t="s">
        <v>19</v>
      </c>
      <c r="E1606" s="313" t="s">
        <v>46</v>
      </c>
    </row>
    <row r="1607" spans="1:5" x14ac:dyDescent="0.25">
      <c r="A1607" s="313" t="s">
        <v>611</v>
      </c>
      <c r="B1607" s="313" t="s">
        <v>19</v>
      </c>
      <c r="C1607" s="313" t="s">
        <v>20</v>
      </c>
      <c r="D1607" s="313" t="s">
        <v>26</v>
      </c>
      <c r="E1607" s="313" t="s">
        <v>24</v>
      </c>
    </row>
    <row r="1608" spans="1:5" x14ac:dyDescent="0.25">
      <c r="A1608" s="313" t="s">
        <v>611</v>
      </c>
      <c r="B1608" s="313" t="s">
        <v>19</v>
      </c>
      <c r="C1608" s="313" t="s">
        <v>1487</v>
      </c>
      <c r="D1608" s="313" t="s">
        <v>26</v>
      </c>
      <c r="E1608" s="313" t="s">
        <v>24</v>
      </c>
    </row>
    <row r="1609" spans="1:5" x14ac:dyDescent="0.25">
      <c r="A1609" s="313" t="s">
        <v>611</v>
      </c>
      <c r="B1609" s="313" t="s">
        <v>19</v>
      </c>
      <c r="C1609" s="313" t="s">
        <v>1495</v>
      </c>
      <c r="D1609" s="313" t="s">
        <v>35</v>
      </c>
      <c r="E1609" s="313" t="s">
        <v>24</v>
      </c>
    </row>
    <row r="1610" spans="1:5" x14ac:dyDescent="0.25">
      <c r="A1610" s="313" t="s">
        <v>611</v>
      </c>
      <c r="B1610" s="313" t="s">
        <v>26</v>
      </c>
      <c r="C1610" s="313" t="s">
        <v>1501</v>
      </c>
      <c r="D1610" s="313" t="s">
        <v>24</v>
      </c>
      <c r="E1610" s="313" t="s">
        <v>1627</v>
      </c>
    </row>
    <row r="1611" spans="1:5" x14ac:dyDescent="0.25">
      <c r="A1611" s="313" t="s">
        <v>611</v>
      </c>
      <c r="B1611" s="313" t="s">
        <v>26</v>
      </c>
      <c r="C1611" s="313" t="s">
        <v>1502</v>
      </c>
      <c r="D1611" s="313" t="s">
        <v>24</v>
      </c>
      <c r="E1611" s="313" t="s">
        <v>1628</v>
      </c>
    </row>
    <row r="1612" spans="1:5" x14ac:dyDescent="0.25">
      <c r="A1612" s="313" t="s">
        <v>611</v>
      </c>
      <c r="B1612" s="313" t="s">
        <v>26</v>
      </c>
      <c r="C1612" s="313" t="s">
        <v>1503</v>
      </c>
      <c r="D1612" s="313" t="s">
        <v>24</v>
      </c>
      <c r="E1612" s="313" t="s">
        <v>1628</v>
      </c>
    </row>
    <row r="1613" spans="1:5" x14ac:dyDescent="0.25">
      <c r="A1613" s="313" t="s">
        <v>611</v>
      </c>
      <c r="B1613" s="313" t="s">
        <v>26</v>
      </c>
      <c r="C1613" s="313" t="s">
        <v>2929</v>
      </c>
      <c r="D1613" s="313" t="s">
        <v>24</v>
      </c>
      <c r="E1613" s="313" t="s">
        <v>612</v>
      </c>
    </row>
    <row r="1614" spans="1:5" x14ac:dyDescent="0.25">
      <c r="A1614" s="313" t="s">
        <v>611</v>
      </c>
      <c r="B1614" s="313" t="s">
        <v>26</v>
      </c>
      <c r="C1614" s="313" t="s">
        <v>2930</v>
      </c>
      <c r="D1614" s="313" t="s">
        <v>24</v>
      </c>
      <c r="E1614" s="313" t="s">
        <v>35</v>
      </c>
    </row>
    <row r="1615" spans="1:5" x14ac:dyDescent="0.25">
      <c r="A1615" s="313" t="s">
        <v>611</v>
      </c>
      <c r="B1615" s="313" t="s">
        <v>26</v>
      </c>
      <c r="C1615" s="313" t="s">
        <v>1509</v>
      </c>
      <c r="D1615" s="313" t="s">
        <v>24</v>
      </c>
      <c r="E1615" s="313" t="s">
        <v>612</v>
      </c>
    </row>
    <row r="1616" spans="1:5" x14ac:dyDescent="0.25">
      <c r="A1616" s="313" t="s">
        <v>611</v>
      </c>
      <c r="B1616" s="313" t="s">
        <v>26</v>
      </c>
      <c r="C1616" s="313" t="s">
        <v>1510</v>
      </c>
      <c r="D1616" s="313" t="s">
        <v>24</v>
      </c>
      <c r="E1616" s="313" t="s">
        <v>46</v>
      </c>
    </row>
    <row r="1617" spans="1:5" x14ac:dyDescent="0.25">
      <c r="A1617" s="313" t="s">
        <v>611</v>
      </c>
      <c r="B1617" s="313" t="s">
        <v>26</v>
      </c>
      <c r="C1617" s="313" t="s">
        <v>1511</v>
      </c>
      <c r="D1617" s="313" t="s">
        <v>24</v>
      </c>
      <c r="E1617" s="313" t="s">
        <v>46</v>
      </c>
    </row>
    <row r="1618" spans="1:5" x14ac:dyDescent="0.25">
      <c r="A1618" s="313" t="s">
        <v>611</v>
      </c>
      <c r="B1618" s="313" t="s">
        <v>26</v>
      </c>
      <c r="C1618" s="313" t="s">
        <v>27</v>
      </c>
      <c r="D1618" s="313" t="s">
        <v>24</v>
      </c>
      <c r="E1618" s="313" t="s">
        <v>612</v>
      </c>
    </row>
    <row r="1619" spans="1:5" x14ac:dyDescent="0.25">
      <c r="A1619" s="313" t="s">
        <v>611</v>
      </c>
      <c r="B1619" s="313" t="s">
        <v>26</v>
      </c>
      <c r="C1619" s="313" t="s">
        <v>1512</v>
      </c>
      <c r="D1619" s="313" t="s">
        <v>24</v>
      </c>
      <c r="E1619" s="313" t="s">
        <v>612</v>
      </c>
    </row>
    <row r="1620" spans="1:5" x14ac:dyDescent="0.25">
      <c r="A1620" s="313" t="s">
        <v>611</v>
      </c>
      <c r="B1620" s="313" t="s">
        <v>26</v>
      </c>
      <c r="C1620" s="313" t="s">
        <v>1513</v>
      </c>
      <c r="D1620" s="313" t="s">
        <v>24</v>
      </c>
      <c r="E1620" s="313" t="s">
        <v>612</v>
      </c>
    </row>
    <row r="1621" spans="1:5" x14ac:dyDescent="0.25">
      <c r="A1621" s="313" t="s">
        <v>611</v>
      </c>
      <c r="B1621" s="313" t="s">
        <v>26</v>
      </c>
      <c r="C1621" s="313" t="s">
        <v>1514</v>
      </c>
      <c r="D1621" s="313" t="s">
        <v>24</v>
      </c>
      <c r="E1621" s="313" t="s">
        <v>1628</v>
      </c>
    </row>
    <row r="1622" spans="1:5" x14ac:dyDescent="0.25">
      <c r="A1622" s="313" t="s">
        <v>611</v>
      </c>
      <c r="B1622" s="313" t="s">
        <v>26</v>
      </c>
      <c r="C1622" s="313" t="s">
        <v>1515</v>
      </c>
      <c r="D1622" s="313" t="s">
        <v>24</v>
      </c>
      <c r="E1622" s="313" t="s">
        <v>1628</v>
      </c>
    </row>
    <row r="1623" spans="1:5" x14ac:dyDescent="0.25">
      <c r="A1623" s="313" t="s">
        <v>611</v>
      </c>
      <c r="B1623" s="313" t="s">
        <v>26</v>
      </c>
      <c r="C1623" s="313" t="s">
        <v>1516</v>
      </c>
      <c r="D1623" s="313" t="s">
        <v>24</v>
      </c>
      <c r="E1623" s="313" t="s">
        <v>1628</v>
      </c>
    </row>
    <row r="1624" spans="1:5" x14ac:dyDescent="0.25">
      <c r="A1624" s="313" t="s">
        <v>611</v>
      </c>
      <c r="B1624" s="313" t="s">
        <v>26</v>
      </c>
      <c r="C1624" s="313" t="s">
        <v>1517</v>
      </c>
      <c r="D1624" s="313" t="s">
        <v>24</v>
      </c>
      <c r="E1624" s="313" t="s">
        <v>1628</v>
      </c>
    </row>
    <row r="1625" spans="1:5" x14ac:dyDescent="0.25">
      <c r="A1625" s="313" t="s">
        <v>611</v>
      </c>
      <c r="B1625" s="313" t="s">
        <v>26</v>
      </c>
      <c r="C1625" s="313" t="s">
        <v>1518</v>
      </c>
      <c r="D1625" s="313" t="s">
        <v>24</v>
      </c>
      <c r="E1625" s="313" t="s">
        <v>46</v>
      </c>
    </row>
    <row r="1626" spans="1:5" x14ac:dyDescent="0.25">
      <c r="A1626" s="313" t="s">
        <v>611</v>
      </c>
      <c r="B1626" s="313" t="s">
        <v>26</v>
      </c>
      <c r="C1626" s="313" t="s">
        <v>1519</v>
      </c>
      <c r="D1626" s="313" t="s">
        <v>24</v>
      </c>
      <c r="E1626" s="313" t="s">
        <v>1628</v>
      </c>
    </row>
    <row r="1627" spans="1:5" x14ac:dyDescent="0.25">
      <c r="A1627" s="313" t="s">
        <v>615</v>
      </c>
      <c r="B1627" s="313" t="s">
        <v>19</v>
      </c>
      <c r="C1627" s="313" t="s">
        <v>1466</v>
      </c>
      <c r="D1627" s="313" t="s">
        <v>26</v>
      </c>
      <c r="E1627" s="313" t="s">
        <v>24</v>
      </c>
    </row>
    <row r="1628" spans="1:5" x14ac:dyDescent="0.25">
      <c r="A1628" s="313" t="s">
        <v>615</v>
      </c>
      <c r="B1628" s="313" t="s">
        <v>19</v>
      </c>
      <c r="C1628" s="313" t="s">
        <v>1471</v>
      </c>
      <c r="D1628" s="313" t="s">
        <v>26</v>
      </c>
      <c r="E1628" s="313" t="s">
        <v>24</v>
      </c>
    </row>
    <row r="1629" spans="1:5" x14ac:dyDescent="0.25">
      <c r="A1629" s="313" t="s">
        <v>615</v>
      </c>
      <c r="B1629" s="313" t="s">
        <v>19</v>
      </c>
      <c r="C1629" s="313" t="s">
        <v>1475</v>
      </c>
      <c r="D1629" s="313" t="s">
        <v>19</v>
      </c>
      <c r="E1629" s="313" t="s">
        <v>46</v>
      </c>
    </row>
    <row r="1630" spans="1:5" x14ac:dyDescent="0.25">
      <c r="A1630" s="313" t="s">
        <v>615</v>
      </c>
      <c r="B1630" s="313" t="s">
        <v>19</v>
      </c>
      <c r="C1630" s="313" t="s">
        <v>20</v>
      </c>
      <c r="D1630" s="313" t="s">
        <v>35</v>
      </c>
      <c r="E1630" s="313" t="s">
        <v>24</v>
      </c>
    </row>
    <row r="1631" spans="1:5" x14ac:dyDescent="0.25">
      <c r="A1631" s="313" t="s">
        <v>615</v>
      </c>
      <c r="B1631" s="313" t="s">
        <v>19</v>
      </c>
      <c r="C1631" s="313" t="s">
        <v>1487</v>
      </c>
      <c r="D1631" s="313" t="s">
        <v>26</v>
      </c>
      <c r="E1631" s="313" t="s">
        <v>24</v>
      </c>
    </row>
    <row r="1632" spans="1:5" x14ac:dyDescent="0.25">
      <c r="A1632" s="313" t="s">
        <v>615</v>
      </c>
      <c r="B1632" s="313" t="s">
        <v>19</v>
      </c>
      <c r="C1632" s="313" t="s">
        <v>1495</v>
      </c>
      <c r="D1632" s="313" t="s">
        <v>35</v>
      </c>
      <c r="E1632" s="313" t="s">
        <v>24</v>
      </c>
    </row>
    <row r="1633" spans="1:5" x14ac:dyDescent="0.25">
      <c r="A1633" s="313" t="s">
        <v>615</v>
      </c>
      <c r="B1633" s="313" t="s">
        <v>26</v>
      </c>
      <c r="C1633" s="313" t="s">
        <v>1501</v>
      </c>
      <c r="D1633" s="313" t="s">
        <v>24</v>
      </c>
      <c r="E1633" s="313" t="s">
        <v>46</v>
      </c>
    </row>
    <row r="1634" spans="1:5" x14ac:dyDescent="0.25">
      <c r="A1634" s="313" t="s">
        <v>615</v>
      </c>
      <c r="B1634" s="313" t="s">
        <v>26</v>
      </c>
      <c r="C1634" s="313" t="s">
        <v>1502</v>
      </c>
      <c r="D1634" s="313" t="s">
        <v>24</v>
      </c>
      <c r="E1634" s="313" t="s">
        <v>46</v>
      </c>
    </row>
    <row r="1635" spans="1:5" x14ac:dyDescent="0.25">
      <c r="A1635" s="313" t="s">
        <v>615</v>
      </c>
      <c r="B1635" s="313" t="s">
        <v>26</v>
      </c>
      <c r="C1635" s="313" t="s">
        <v>1503</v>
      </c>
      <c r="D1635" s="313" t="s">
        <v>24</v>
      </c>
      <c r="E1635" s="313" t="s">
        <v>46</v>
      </c>
    </row>
    <row r="1636" spans="1:5" x14ac:dyDescent="0.25">
      <c r="A1636" s="313" t="s">
        <v>615</v>
      </c>
      <c r="B1636" s="313" t="s">
        <v>26</v>
      </c>
      <c r="C1636" s="313" t="s">
        <v>2929</v>
      </c>
      <c r="D1636" s="313" t="s">
        <v>24</v>
      </c>
      <c r="E1636" s="313" t="s">
        <v>1629</v>
      </c>
    </row>
    <row r="1637" spans="1:5" x14ac:dyDescent="0.25">
      <c r="A1637" s="313" t="s">
        <v>615</v>
      </c>
      <c r="B1637" s="313" t="s">
        <v>26</v>
      </c>
      <c r="C1637" s="313" t="s">
        <v>2930</v>
      </c>
      <c r="D1637" s="313" t="s">
        <v>24</v>
      </c>
      <c r="E1637" s="313" t="s">
        <v>35</v>
      </c>
    </row>
    <row r="1638" spans="1:5" x14ac:dyDescent="0.25">
      <c r="A1638" s="313" t="s">
        <v>615</v>
      </c>
      <c r="B1638" s="313" t="s">
        <v>26</v>
      </c>
      <c r="C1638" s="313" t="s">
        <v>1514</v>
      </c>
      <c r="D1638" s="313" t="s">
        <v>24</v>
      </c>
      <c r="E1638" s="313" t="s">
        <v>1630</v>
      </c>
    </row>
    <row r="1639" spans="1:5" x14ac:dyDescent="0.25">
      <c r="A1639" s="313" t="s">
        <v>615</v>
      </c>
      <c r="B1639" s="313" t="s">
        <v>26</v>
      </c>
      <c r="C1639" s="313" t="s">
        <v>1515</v>
      </c>
      <c r="D1639" s="313" t="s">
        <v>24</v>
      </c>
      <c r="E1639" s="313" t="s">
        <v>46</v>
      </c>
    </row>
    <row r="1640" spans="1:5" x14ac:dyDescent="0.25">
      <c r="A1640" s="313" t="s">
        <v>615</v>
      </c>
      <c r="B1640" s="313" t="s">
        <v>26</v>
      </c>
      <c r="C1640" s="313" t="s">
        <v>1516</v>
      </c>
      <c r="D1640" s="313" t="s">
        <v>24</v>
      </c>
      <c r="E1640" s="313" t="s">
        <v>46</v>
      </c>
    </row>
    <row r="1641" spans="1:5" x14ac:dyDescent="0.25">
      <c r="A1641" s="313" t="s">
        <v>615</v>
      </c>
      <c r="B1641" s="313" t="s">
        <v>26</v>
      </c>
      <c r="C1641" s="313" t="s">
        <v>1517</v>
      </c>
      <c r="D1641" s="313" t="s">
        <v>24</v>
      </c>
      <c r="E1641" s="313" t="s">
        <v>46</v>
      </c>
    </row>
    <row r="1642" spans="1:5" x14ac:dyDescent="0.25">
      <c r="A1642" s="313" t="s">
        <v>615</v>
      </c>
      <c r="B1642" s="313" t="s">
        <v>26</v>
      </c>
      <c r="C1642" s="313" t="s">
        <v>1518</v>
      </c>
      <c r="D1642" s="313" t="s">
        <v>24</v>
      </c>
      <c r="E1642" s="313" t="s">
        <v>46</v>
      </c>
    </row>
    <row r="1643" spans="1:5" x14ac:dyDescent="0.25">
      <c r="A1643" s="313" t="s">
        <v>615</v>
      </c>
      <c r="B1643" s="313" t="s">
        <v>26</v>
      </c>
      <c r="C1643" s="313" t="s">
        <v>1519</v>
      </c>
      <c r="D1643" s="313" t="s">
        <v>24</v>
      </c>
      <c r="E1643" s="313" t="s">
        <v>46</v>
      </c>
    </row>
    <row r="1644" spans="1:5" x14ac:dyDescent="0.25">
      <c r="A1644" s="313" t="s">
        <v>622</v>
      </c>
      <c r="B1644" s="313" t="s">
        <v>51</v>
      </c>
      <c r="C1644" s="313" t="s">
        <v>24</v>
      </c>
      <c r="D1644" s="313" t="s">
        <v>24</v>
      </c>
      <c r="E1644" s="313" t="s">
        <v>623</v>
      </c>
    </row>
    <row r="1645" spans="1:5" x14ac:dyDescent="0.25">
      <c r="A1645" s="313" t="s">
        <v>622</v>
      </c>
      <c r="B1645" s="313" t="s">
        <v>19</v>
      </c>
      <c r="C1645" s="313" t="s">
        <v>1466</v>
      </c>
      <c r="D1645" s="313" t="s">
        <v>51</v>
      </c>
      <c r="E1645" s="313" t="s">
        <v>24</v>
      </c>
    </row>
    <row r="1646" spans="1:5" x14ac:dyDescent="0.25">
      <c r="A1646" s="313" t="s">
        <v>622</v>
      </c>
      <c r="B1646" s="313" t="s">
        <v>19</v>
      </c>
      <c r="C1646" s="313" t="s">
        <v>1471</v>
      </c>
      <c r="D1646" s="313" t="s">
        <v>51</v>
      </c>
      <c r="E1646" s="313" t="s">
        <v>24</v>
      </c>
    </row>
    <row r="1647" spans="1:5" x14ac:dyDescent="0.25">
      <c r="A1647" s="313" t="s">
        <v>622</v>
      </c>
      <c r="B1647" s="313" t="s">
        <v>19</v>
      </c>
      <c r="C1647" s="313" t="s">
        <v>1475</v>
      </c>
      <c r="D1647" s="313" t="s">
        <v>51</v>
      </c>
      <c r="E1647" s="313" t="s">
        <v>24</v>
      </c>
    </row>
    <row r="1648" spans="1:5" x14ac:dyDescent="0.25">
      <c r="A1648" s="313" t="s">
        <v>622</v>
      </c>
      <c r="B1648" s="313" t="s">
        <v>19</v>
      </c>
      <c r="C1648" s="313" t="s">
        <v>20</v>
      </c>
      <c r="D1648" s="313" t="s">
        <v>51</v>
      </c>
      <c r="E1648" s="313" t="s">
        <v>24</v>
      </c>
    </row>
    <row r="1649" spans="1:5" x14ac:dyDescent="0.25">
      <c r="A1649" s="313" t="s">
        <v>622</v>
      </c>
      <c r="B1649" s="313" t="s">
        <v>19</v>
      </c>
      <c r="C1649" s="313" t="s">
        <v>1487</v>
      </c>
      <c r="D1649" s="313" t="s">
        <v>51</v>
      </c>
      <c r="E1649" s="313" t="s">
        <v>24</v>
      </c>
    </row>
    <row r="1650" spans="1:5" x14ac:dyDescent="0.25">
      <c r="A1650" s="313" t="s">
        <v>622</v>
      </c>
      <c r="B1650" s="313" t="s">
        <v>19</v>
      </c>
      <c r="C1650" s="313" t="s">
        <v>1495</v>
      </c>
      <c r="D1650" s="313" t="s">
        <v>51</v>
      </c>
      <c r="E1650" s="313" t="s">
        <v>24</v>
      </c>
    </row>
    <row r="1651" spans="1:5" x14ac:dyDescent="0.25">
      <c r="A1651" s="313" t="s">
        <v>626</v>
      </c>
      <c r="B1651" s="313" t="s">
        <v>19</v>
      </c>
      <c r="C1651" s="313" t="s">
        <v>1466</v>
      </c>
      <c r="D1651" s="313" t="s">
        <v>35</v>
      </c>
      <c r="E1651" s="313" t="s">
        <v>24</v>
      </c>
    </row>
    <row r="1652" spans="1:5" x14ac:dyDescent="0.25">
      <c r="A1652" s="313" t="s">
        <v>626</v>
      </c>
      <c r="B1652" s="313" t="s">
        <v>19</v>
      </c>
      <c r="C1652" s="313" t="s">
        <v>1471</v>
      </c>
      <c r="D1652" s="313" t="s">
        <v>35</v>
      </c>
      <c r="E1652" s="313" t="s">
        <v>24</v>
      </c>
    </row>
    <row r="1653" spans="1:5" x14ac:dyDescent="0.25">
      <c r="A1653" s="313" t="s">
        <v>626</v>
      </c>
      <c r="B1653" s="313" t="s">
        <v>19</v>
      </c>
      <c r="C1653" s="313" t="s">
        <v>1475</v>
      </c>
      <c r="D1653" s="313" t="s">
        <v>35</v>
      </c>
      <c r="E1653" s="313" t="s">
        <v>24</v>
      </c>
    </row>
    <row r="1654" spans="1:5" x14ac:dyDescent="0.25">
      <c r="A1654" s="313" t="s">
        <v>626</v>
      </c>
      <c r="B1654" s="313" t="s">
        <v>19</v>
      </c>
      <c r="C1654" s="313" t="s">
        <v>20</v>
      </c>
      <c r="D1654" s="313" t="s">
        <v>35</v>
      </c>
      <c r="E1654" s="313" t="s">
        <v>24</v>
      </c>
    </row>
    <row r="1655" spans="1:5" x14ac:dyDescent="0.25">
      <c r="A1655" s="313" t="s">
        <v>626</v>
      </c>
      <c r="B1655" s="313" t="s">
        <v>19</v>
      </c>
      <c r="C1655" s="313" t="s">
        <v>1487</v>
      </c>
      <c r="D1655" s="313" t="s">
        <v>35</v>
      </c>
      <c r="E1655" s="313" t="s">
        <v>24</v>
      </c>
    </row>
    <row r="1656" spans="1:5" x14ac:dyDescent="0.25">
      <c r="A1656" s="313" t="s">
        <v>626</v>
      </c>
      <c r="B1656" s="313" t="s">
        <v>19</v>
      </c>
      <c r="C1656" s="313" t="s">
        <v>1495</v>
      </c>
      <c r="D1656" s="313" t="s">
        <v>35</v>
      </c>
      <c r="E1656" s="313" t="s">
        <v>24</v>
      </c>
    </row>
    <row r="1657" spans="1:5" ht="90" x14ac:dyDescent="0.25">
      <c r="A1657" s="313" t="s">
        <v>626</v>
      </c>
      <c r="B1657" s="313" t="s">
        <v>26</v>
      </c>
      <c r="C1657" s="313" t="s">
        <v>1517</v>
      </c>
      <c r="D1657" s="313" t="s">
        <v>24</v>
      </c>
      <c r="E1657" s="315" t="s">
        <v>1631</v>
      </c>
    </row>
    <row r="1658" spans="1:5" x14ac:dyDescent="0.25">
      <c r="A1658" s="313" t="s">
        <v>628</v>
      </c>
      <c r="B1658" s="313" t="s">
        <v>51</v>
      </c>
      <c r="C1658" s="313" t="s">
        <v>24</v>
      </c>
      <c r="D1658" s="313" t="s">
        <v>24</v>
      </c>
      <c r="E1658" s="313" t="s">
        <v>629</v>
      </c>
    </row>
    <row r="1659" spans="1:5" x14ac:dyDescent="0.25">
      <c r="A1659" s="313" t="s">
        <v>628</v>
      </c>
      <c r="B1659" s="313" t="s">
        <v>19</v>
      </c>
      <c r="C1659" s="313" t="s">
        <v>1466</v>
      </c>
      <c r="D1659" s="313" t="s">
        <v>51</v>
      </c>
      <c r="E1659" s="313" t="s">
        <v>24</v>
      </c>
    </row>
    <row r="1660" spans="1:5" x14ac:dyDescent="0.25">
      <c r="A1660" s="313" t="s">
        <v>628</v>
      </c>
      <c r="B1660" s="313" t="s">
        <v>19</v>
      </c>
      <c r="C1660" s="313" t="s">
        <v>1471</v>
      </c>
      <c r="D1660" s="313" t="s">
        <v>51</v>
      </c>
      <c r="E1660" s="313" t="s">
        <v>24</v>
      </c>
    </row>
    <row r="1661" spans="1:5" x14ac:dyDescent="0.25">
      <c r="A1661" s="313" t="s">
        <v>628</v>
      </c>
      <c r="B1661" s="313" t="s">
        <v>19</v>
      </c>
      <c r="C1661" s="313" t="s">
        <v>1475</v>
      </c>
      <c r="D1661" s="313" t="s">
        <v>51</v>
      </c>
      <c r="E1661" s="313" t="s">
        <v>24</v>
      </c>
    </row>
    <row r="1662" spans="1:5" x14ac:dyDescent="0.25">
      <c r="A1662" s="313" t="s">
        <v>628</v>
      </c>
      <c r="B1662" s="313" t="s">
        <v>19</v>
      </c>
      <c r="C1662" s="313" t="s">
        <v>20</v>
      </c>
      <c r="D1662" s="313" t="s">
        <v>51</v>
      </c>
      <c r="E1662" s="313" t="s">
        <v>24</v>
      </c>
    </row>
    <row r="1663" spans="1:5" x14ac:dyDescent="0.25">
      <c r="A1663" s="313" t="s">
        <v>628</v>
      </c>
      <c r="B1663" s="313" t="s">
        <v>19</v>
      </c>
      <c r="C1663" s="313" t="s">
        <v>1487</v>
      </c>
      <c r="D1663" s="313" t="s">
        <v>51</v>
      </c>
      <c r="E1663" s="313" t="s">
        <v>24</v>
      </c>
    </row>
    <row r="1664" spans="1:5" x14ac:dyDescent="0.25">
      <c r="A1664" s="313" t="s">
        <v>628</v>
      </c>
      <c r="B1664" s="313" t="s">
        <v>19</v>
      </c>
      <c r="C1664" s="313" t="s">
        <v>1495</v>
      </c>
      <c r="D1664" s="313" t="s">
        <v>51</v>
      </c>
      <c r="E1664" s="313" t="s">
        <v>24</v>
      </c>
    </row>
    <row r="1665" spans="1:5" x14ac:dyDescent="0.25">
      <c r="A1665" s="313" t="s">
        <v>632</v>
      </c>
      <c r="B1665" s="313" t="s">
        <v>19</v>
      </c>
      <c r="C1665" s="313" t="s">
        <v>1466</v>
      </c>
      <c r="D1665" s="313" t="s">
        <v>35</v>
      </c>
      <c r="E1665" s="313" t="s">
        <v>24</v>
      </c>
    </row>
    <row r="1666" spans="1:5" x14ac:dyDescent="0.25">
      <c r="A1666" s="313" t="s">
        <v>632</v>
      </c>
      <c r="B1666" s="313" t="s">
        <v>19</v>
      </c>
      <c r="C1666" s="313" t="s">
        <v>1471</v>
      </c>
      <c r="D1666" s="313" t="s">
        <v>35</v>
      </c>
      <c r="E1666" s="313" t="s">
        <v>24</v>
      </c>
    </row>
    <row r="1667" spans="1:5" x14ac:dyDescent="0.25">
      <c r="A1667" s="313" t="s">
        <v>632</v>
      </c>
      <c r="B1667" s="313" t="s">
        <v>19</v>
      </c>
      <c r="C1667" s="313" t="s">
        <v>1475</v>
      </c>
      <c r="D1667" s="313" t="s">
        <v>35</v>
      </c>
      <c r="E1667" s="313" t="s">
        <v>24</v>
      </c>
    </row>
    <row r="1668" spans="1:5" x14ac:dyDescent="0.25">
      <c r="A1668" s="313" t="s">
        <v>632</v>
      </c>
      <c r="B1668" s="313" t="s">
        <v>19</v>
      </c>
      <c r="C1668" s="313" t="s">
        <v>20</v>
      </c>
      <c r="D1668" s="313" t="s">
        <v>35</v>
      </c>
      <c r="E1668" s="313" t="s">
        <v>24</v>
      </c>
    </row>
    <row r="1669" spans="1:5" x14ac:dyDescent="0.25">
      <c r="A1669" s="313" t="s">
        <v>632</v>
      </c>
      <c r="B1669" s="313" t="s">
        <v>19</v>
      </c>
      <c r="C1669" s="313" t="s">
        <v>1487</v>
      </c>
      <c r="D1669" s="313" t="s">
        <v>35</v>
      </c>
      <c r="E1669" s="313" t="s">
        <v>24</v>
      </c>
    </row>
    <row r="1670" spans="1:5" x14ac:dyDescent="0.25">
      <c r="A1670" s="313" t="s">
        <v>632</v>
      </c>
      <c r="B1670" s="313" t="s">
        <v>19</v>
      </c>
      <c r="C1670" s="313" t="s">
        <v>1495</v>
      </c>
      <c r="D1670" s="313" t="s">
        <v>35</v>
      </c>
      <c r="E1670" s="313" t="s">
        <v>24</v>
      </c>
    </row>
    <row r="1671" spans="1:5" x14ac:dyDescent="0.25">
      <c r="A1671" s="313" t="s">
        <v>632</v>
      </c>
      <c r="B1671" s="313" t="s">
        <v>26</v>
      </c>
      <c r="C1671" s="313" t="s">
        <v>1517</v>
      </c>
      <c r="D1671" s="313" t="s">
        <v>24</v>
      </c>
      <c r="E1671" s="313" t="s">
        <v>1632</v>
      </c>
    </row>
    <row r="1672" spans="1:5" x14ac:dyDescent="0.25">
      <c r="A1672" s="313" t="s">
        <v>634</v>
      </c>
      <c r="B1672" s="313" t="s">
        <v>19</v>
      </c>
      <c r="C1672" s="313" t="s">
        <v>1466</v>
      </c>
      <c r="D1672" s="313" t="s">
        <v>19</v>
      </c>
      <c r="E1672" s="313" t="s">
        <v>1633</v>
      </c>
    </row>
    <row r="1673" spans="1:5" x14ac:dyDescent="0.25">
      <c r="A1673" s="313" t="s">
        <v>634</v>
      </c>
      <c r="B1673" s="313" t="s">
        <v>19</v>
      </c>
      <c r="C1673" s="313" t="s">
        <v>1471</v>
      </c>
      <c r="D1673" s="313" t="s">
        <v>26</v>
      </c>
      <c r="E1673" s="313" t="s">
        <v>24</v>
      </c>
    </row>
    <row r="1674" spans="1:5" x14ac:dyDescent="0.25">
      <c r="A1674" s="313" t="s">
        <v>634</v>
      </c>
      <c r="B1674" s="313" t="s">
        <v>19</v>
      </c>
      <c r="C1674" s="313" t="s">
        <v>1475</v>
      </c>
      <c r="D1674" s="313" t="s">
        <v>26</v>
      </c>
      <c r="E1674" s="313" t="s">
        <v>24</v>
      </c>
    </row>
    <row r="1675" spans="1:5" x14ac:dyDescent="0.25">
      <c r="A1675" s="313" t="s">
        <v>634</v>
      </c>
      <c r="B1675" s="313" t="s">
        <v>19</v>
      </c>
      <c r="C1675" s="313" t="s">
        <v>20</v>
      </c>
      <c r="D1675" s="313" t="s">
        <v>19</v>
      </c>
      <c r="E1675" s="313" t="s">
        <v>635</v>
      </c>
    </row>
    <row r="1676" spans="1:5" x14ac:dyDescent="0.25">
      <c r="A1676" s="313" t="s">
        <v>634</v>
      </c>
      <c r="B1676" s="313" t="s">
        <v>19</v>
      </c>
      <c r="C1676" s="313" t="s">
        <v>1487</v>
      </c>
      <c r="D1676" s="313" t="s">
        <v>19</v>
      </c>
      <c r="E1676" s="313" t="s">
        <v>635</v>
      </c>
    </row>
    <row r="1677" spans="1:5" x14ac:dyDescent="0.25">
      <c r="A1677" s="313" t="s">
        <v>634</v>
      </c>
      <c r="B1677" s="313" t="s">
        <v>19</v>
      </c>
      <c r="C1677" s="313" t="s">
        <v>1495</v>
      </c>
      <c r="D1677" s="313" t="s">
        <v>35</v>
      </c>
      <c r="E1677" s="313" t="s">
        <v>24</v>
      </c>
    </row>
    <row r="1678" spans="1:5" x14ac:dyDescent="0.25">
      <c r="A1678" s="313" t="s">
        <v>634</v>
      </c>
      <c r="B1678" s="313" t="s">
        <v>26</v>
      </c>
      <c r="C1678" s="313" t="s">
        <v>2929</v>
      </c>
      <c r="D1678" s="313" t="s">
        <v>24</v>
      </c>
      <c r="E1678" s="313" t="s">
        <v>1633</v>
      </c>
    </row>
    <row r="1679" spans="1:5" x14ac:dyDescent="0.25">
      <c r="A1679" s="313" t="s">
        <v>634</v>
      </c>
      <c r="B1679" s="313" t="s">
        <v>26</v>
      </c>
      <c r="C1679" s="313" t="s">
        <v>2930</v>
      </c>
      <c r="D1679" s="313" t="s">
        <v>24</v>
      </c>
      <c r="E1679" s="313" t="s">
        <v>35</v>
      </c>
    </row>
    <row r="1680" spans="1:5" x14ac:dyDescent="0.25">
      <c r="A1680" s="313" t="s">
        <v>634</v>
      </c>
      <c r="B1680" s="313" t="s">
        <v>26</v>
      </c>
      <c r="C1680" s="313" t="s">
        <v>1506</v>
      </c>
      <c r="D1680" s="313" t="s">
        <v>24</v>
      </c>
      <c r="E1680" s="313" t="s">
        <v>635</v>
      </c>
    </row>
    <row r="1681" spans="1:5" x14ac:dyDescent="0.25">
      <c r="A1681" s="313" t="s">
        <v>634</v>
      </c>
      <c r="B1681" s="313" t="s">
        <v>26</v>
      </c>
      <c r="C1681" s="313" t="s">
        <v>1507</v>
      </c>
      <c r="D1681" s="313" t="s">
        <v>24</v>
      </c>
      <c r="E1681" s="313" t="s">
        <v>1633</v>
      </c>
    </row>
    <row r="1682" spans="1:5" x14ac:dyDescent="0.25">
      <c r="A1682" s="313" t="s">
        <v>634</v>
      </c>
      <c r="B1682" s="313" t="s">
        <v>26</v>
      </c>
      <c r="C1682" s="313" t="s">
        <v>1508</v>
      </c>
      <c r="D1682" s="313" t="s">
        <v>24</v>
      </c>
      <c r="E1682" s="313" t="s">
        <v>1633</v>
      </c>
    </row>
    <row r="1683" spans="1:5" x14ac:dyDescent="0.25">
      <c r="A1683" s="313" t="s">
        <v>638</v>
      </c>
      <c r="B1683" s="313" t="s">
        <v>19</v>
      </c>
      <c r="C1683" s="313" t="s">
        <v>1466</v>
      </c>
      <c r="D1683" s="313" t="s">
        <v>19</v>
      </c>
      <c r="E1683" s="313" t="s">
        <v>1634</v>
      </c>
    </row>
    <row r="1684" spans="1:5" x14ac:dyDescent="0.25">
      <c r="A1684" s="313" t="s">
        <v>638</v>
      </c>
      <c r="B1684" s="313" t="s">
        <v>19</v>
      </c>
      <c r="C1684" s="313" t="s">
        <v>1471</v>
      </c>
      <c r="D1684" s="313" t="s">
        <v>26</v>
      </c>
      <c r="E1684" s="313" t="s">
        <v>24</v>
      </c>
    </row>
    <row r="1685" spans="1:5" x14ac:dyDescent="0.25">
      <c r="A1685" s="313" t="s">
        <v>638</v>
      </c>
      <c r="B1685" s="313" t="s">
        <v>19</v>
      </c>
      <c r="C1685" s="313" t="s">
        <v>1475</v>
      </c>
      <c r="D1685" s="313" t="s">
        <v>35</v>
      </c>
      <c r="E1685" s="313" t="s">
        <v>24</v>
      </c>
    </row>
    <row r="1686" spans="1:5" x14ac:dyDescent="0.25">
      <c r="A1686" s="313" t="s">
        <v>638</v>
      </c>
      <c r="B1686" s="313" t="s">
        <v>19</v>
      </c>
      <c r="C1686" s="313" t="s">
        <v>20</v>
      </c>
      <c r="D1686" s="313" t="s">
        <v>19</v>
      </c>
      <c r="E1686" s="313" t="s">
        <v>46</v>
      </c>
    </row>
    <row r="1687" spans="1:5" x14ac:dyDescent="0.25">
      <c r="A1687" s="313" t="s">
        <v>638</v>
      </c>
      <c r="B1687" s="313" t="s">
        <v>19</v>
      </c>
      <c r="C1687" s="313" t="s">
        <v>1487</v>
      </c>
      <c r="D1687" s="313" t="s">
        <v>35</v>
      </c>
      <c r="E1687" s="313" t="s">
        <v>24</v>
      </c>
    </row>
    <row r="1688" spans="1:5" x14ac:dyDescent="0.25">
      <c r="A1688" s="313" t="s">
        <v>638</v>
      </c>
      <c r="B1688" s="313" t="s">
        <v>19</v>
      </c>
      <c r="C1688" s="313" t="s">
        <v>1495</v>
      </c>
      <c r="D1688" s="313" t="s">
        <v>35</v>
      </c>
      <c r="E1688" s="313" t="s">
        <v>24</v>
      </c>
    </row>
    <row r="1689" spans="1:5" x14ac:dyDescent="0.25">
      <c r="A1689" s="313" t="s">
        <v>638</v>
      </c>
      <c r="B1689" s="313" t="s">
        <v>26</v>
      </c>
      <c r="C1689" s="313" t="s">
        <v>2929</v>
      </c>
      <c r="D1689" s="313" t="s">
        <v>24</v>
      </c>
      <c r="E1689" s="313" t="s">
        <v>1635</v>
      </c>
    </row>
    <row r="1690" spans="1:5" x14ac:dyDescent="0.25">
      <c r="A1690" s="313" t="s">
        <v>638</v>
      </c>
      <c r="B1690" s="313" t="s">
        <v>26</v>
      </c>
      <c r="C1690" s="313" t="s">
        <v>2930</v>
      </c>
      <c r="D1690" s="313" t="s">
        <v>24</v>
      </c>
      <c r="E1690" s="313" t="s">
        <v>35</v>
      </c>
    </row>
    <row r="1691" spans="1:5" x14ac:dyDescent="0.25">
      <c r="A1691" s="313" t="s">
        <v>641</v>
      </c>
      <c r="B1691" s="313" t="s">
        <v>19</v>
      </c>
      <c r="C1691" s="313" t="s">
        <v>1466</v>
      </c>
      <c r="D1691" s="313" t="s">
        <v>35</v>
      </c>
      <c r="E1691" s="313" t="s">
        <v>24</v>
      </c>
    </row>
    <row r="1692" spans="1:5" x14ac:dyDescent="0.25">
      <c r="A1692" s="313" t="s">
        <v>641</v>
      </c>
      <c r="B1692" s="313" t="s">
        <v>19</v>
      </c>
      <c r="C1692" s="313" t="s">
        <v>1471</v>
      </c>
      <c r="D1692" s="313" t="s">
        <v>35</v>
      </c>
      <c r="E1692" s="313" t="s">
        <v>24</v>
      </c>
    </row>
    <row r="1693" spans="1:5" x14ac:dyDescent="0.25">
      <c r="A1693" s="313" t="s">
        <v>641</v>
      </c>
      <c r="B1693" s="313" t="s">
        <v>19</v>
      </c>
      <c r="C1693" s="313" t="s">
        <v>1475</v>
      </c>
      <c r="D1693" s="313" t="s">
        <v>35</v>
      </c>
      <c r="E1693" s="313" t="s">
        <v>24</v>
      </c>
    </row>
    <row r="1694" spans="1:5" x14ac:dyDescent="0.25">
      <c r="A1694" s="313" t="s">
        <v>641</v>
      </c>
      <c r="B1694" s="313" t="s">
        <v>19</v>
      </c>
      <c r="C1694" s="313" t="s">
        <v>20</v>
      </c>
      <c r="D1694" s="313" t="s">
        <v>19</v>
      </c>
      <c r="E1694" s="313" t="s">
        <v>46</v>
      </c>
    </row>
    <row r="1695" spans="1:5" x14ac:dyDescent="0.25">
      <c r="A1695" s="313" t="s">
        <v>641</v>
      </c>
      <c r="B1695" s="313" t="s">
        <v>19</v>
      </c>
      <c r="C1695" s="313" t="s">
        <v>1487</v>
      </c>
      <c r="D1695" s="313" t="s">
        <v>35</v>
      </c>
      <c r="E1695" s="313" t="s">
        <v>24</v>
      </c>
    </row>
    <row r="1696" spans="1:5" x14ac:dyDescent="0.25">
      <c r="A1696" s="313" t="s">
        <v>641</v>
      </c>
      <c r="B1696" s="313" t="s">
        <v>19</v>
      </c>
      <c r="C1696" s="313" t="s">
        <v>1495</v>
      </c>
      <c r="D1696" s="313" t="s">
        <v>35</v>
      </c>
      <c r="E1696" s="313" t="s">
        <v>24</v>
      </c>
    </row>
    <row r="1697" spans="1:5" x14ac:dyDescent="0.25">
      <c r="A1697" s="313" t="s">
        <v>645</v>
      </c>
      <c r="B1697" s="313" t="s">
        <v>51</v>
      </c>
      <c r="C1697" s="313" t="s">
        <v>24</v>
      </c>
      <c r="D1697" s="313" t="s">
        <v>24</v>
      </c>
      <c r="E1697" s="313" t="s">
        <v>646</v>
      </c>
    </row>
    <row r="1698" spans="1:5" x14ac:dyDescent="0.25">
      <c r="A1698" s="313" t="s">
        <v>645</v>
      </c>
      <c r="B1698" s="313" t="s">
        <v>19</v>
      </c>
      <c r="C1698" s="313" t="s">
        <v>1466</v>
      </c>
      <c r="D1698" s="313" t="s">
        <v>51</v>
      </c>
      <c r="E1698" s="313" t="s">
        <v>24</v>
      </c>
    </row>
    <row r="1699" spans="1:5" x14ac:dyDescent="0.25">
      <c r="A1699" s="313" t="s">
        <v>645</v>
      </c>
      <c r="B1699" s="313" t="s">
        <v>19</v>
      </c>
      <c r="C1699" s="313" t="s">
        <v>1471</v>
      </c>
      <c r="D1699" s="313" t="s">
        <v>51</v>
      </c>
      <c r="E1699" s="313" t="s">
        <v>24</v>
      </c>
    </row>
    <row r="1700" spans="1:5" x14ac:dyDescent="0.25">
      <c r="A1700" s="313" t="s">
        <v>645</v>
      </c>
      <c r="B1700" s="313" t="s">
        <v>19</v>
      </c>
      <c r="C1700" s="313" t="s">
        <v>1475</v>
      </c>
      <c r="D1700" s="313" t="s">
        <v>51</v>
      </c>
      <c r="E1700" s="313" t="s">
        <v>24</v>
      </c>
    </row>
    <row r="1701" spans="1:5" x14ac:dyDescent="0.25">
      <c r="A1701" s="313" t="s">
        <v>645</v>
      </c>
      <c r="B1701" s="313" t="s">
        <v>19</v>
      </c>
      <c r="C1701" s="313" t="s">
        <v>20</v>
      </c>
      <c r="D1701" s="313" t="s">
        <v>51</v>
      </c>
      <c r="E1701" s="313" t="s">
        <v>24</v>
      </c>
    </row>
    <row r="1702" spans="1:5" x14ac:dyDescent="0.25">
      <c r="A1702" s="313" t="s">
        <v>645</v>
      </c>
      <c r="B1702" s="313" t="s">
        <v>19</v>
      </c>
      <c r="C1702" s="313" t="s">
        <v>1487</v>
      </c>
      <c r="D1702" s="313" t="s">
        <v>51</v>
      </c>
      <c r="E1702" s="313" t="s">
        <v>24</v>
      </c>
    </row>
    <row r="1703" spans="1:5" x14ac:dyDescent="0.25">
      <c r="A1703" s="313" t="s">
        <v>645</v>
      </c>
      <c r="B1703" s="313" t="s">
        <v>19</v>
      </c>
      <c r="C1703" s="313" t="s">
        <v>1495</v>
      </c>
      <c r="D1703" s="313" t="s">
        <v>51</v>
      </c>
      <c r="E1703" s="313" t="s">
        <v>24</v>
      </c>
    </row>
    <row r="1704" spans="1:5" x14ac:dyDescent="0.25">
      <c r="A1704" s="313" t="s">
        <v>649</v>
      </c>
      <c r="B1704" s="313" t="s">
        <v>19</v>
      </c>
      <c r="C1704" s="313" t="s">
        <v>1466</v>
      </c>
      <c r="D1704" s="313" t="s">
        <v>35</v>
      </c>
      <c r="E1704" s="313" t="s">
        <v>24</v>
      </c>
    </row>
    <row r="1705" spans="1:5" x14ac:dyDescent="0.25">
      <c r="A1705" s="313" t="s">
        <v>649</v>
      </c>
      <c r="B1705" s="313" t="s">
        <v>19</v>
      </c>
      <c r="C1705" s="313" t="s">
        <v>1471</v>
      </c>
      <c r="D1705" s="313" t="s">
        <v>35</v>
      </c>
      <c r="E1705" s="313" t="s">
        <v>24</v>
      </c>
    </row>
    <row r="1706" spans="1:5" x14ac:dyDescent="0.25">
      <c r="A1706" s="313" t="s">
        <v>649</v>
      </c>
      <c r="B1706" s="313" t="s">
        <v>19</v>
      </c>
      <c r="C1706" s="313" t="s">
        <v>1475</v>
      </c>
      <c r="D1706" s="313" t="s">
        <v>35</v>
      </c>
      <c r="E1706" s="313" t="s">
        <v>24</v>
      </c>
    </row>
    <row r="1707" spans="1:5" x14ac:dyDescent="0.25">
      <c r="A1707" s="313" t="s">
        <v>649</v>
      </c>
      <c r="B1707" s="313" t="s">
        <v>19</v>
      </c>
      <c r="C1707" s="313" t="s">
        <v>20</v>
      </c>
      <c r="D1707" s="313" t="s">
        <v>35</v>
      </c>
      <c r="E1707" s="313" t="s">
        <v>24</v>
      </c>
    </row>
    <row r="1708" spans="1:5" x14ac:dyDescent="0.25">
      <c r="A1708" s="313" t="s">
        <v>649</v>
      </c>
      <c r="B1708" s="313" t="s">
        <v>19</v>
      </c>
      <c r="C1708" s="313" t="s">
        <v>1487</v>
      </c>
      <c r="D1708" s="313" t="s">
        <v>35</v>
      </c>
      <c r="E1708" s="313" t="s">
        <v>24</v>
      </c>
    </row>
    <row r="1709" spans="1:5" x14ac:dyDescent="0.25">
      <c r="A1709" s="313" t="s">
        <v>649</v>
      </c>
      <c r="B1709" s="313" t="s">
        <v>19</v>
      </c>
      <c r="C1709" s="313" t="s">
        <v>1495</v>
      </c>
      <c r="D1709" s="313" t="s">
        <v>35</v>
      </c>
      <c r="E1709" s="313" t="s">
        <v>24</v>
      </c>
    </row>
    <row r="1710" spans="1:5" x14ac:dyDescent="0.25">
      <c r="A1710" s="313" t="s">
        <v>651</v>
      </c>
      <c r="B1710" s="313" t="s">
        <v>19</v>
      </c>
      <c r="C1710" s="313" t="s">
        <v>1466</v>
      </c>
      <c r="D1710" s="313" t="s">
        <v>35</v>
      </c>
      <c r="E1710" s="313" t="s">
        <v>24</v>
      </c>
    </row>
    <row r="1711" spans="1:5" x14ac:dyDescent="0.25">
      <c r="A1711" s="313" t="s">
        <v>651</v>
      </c>
      <c r="B1711" s="313" t="s">
        <v>19</v>
      </c>
      <c r="C1711" s="313" t="s">
        <v>1471</v>
      </c>
      <c r="D1711" s="313" t="s">
        <v>35</v>
      </c>
      <c r="E1711" s="313" t="s">
        <v>24</v>
      </c>
    </row>
    <row r="1712" spans="1:5" x14ac:dyDescent="0.25">
      <c r="A1712" s="313" t="s">
        <v>651</v>
      </c>
      <c r="B1712" s="313" t="s">
        <v>19</v>
      </c>
      <c r="C1712" s="313" t="s">
        <v>1475</v>
      </c>
      <c r="D1712" s="313" t="s">
        <v>35</v>
      </c>
      <c r="E1712" s="313" t="s">
        <v>24</v>
      </c>
    </row>
    <row r="1713" spans="1:5" x14ac:dyDescent="0.25">
      <c r="A1713" s="313" t="s">
        <v>651</v>
      </c>
      <c r="B1713" s="313" t="s">
        <v>19</v>
      </c>
      <c r="C1713" s="313" t="s">
        <v>20</v>
      </c>
      <c r="D1713" s="313" t="s">
        <v>35</v>
      </c>
      <c r="E1713" s="313" t="s">
        <v>24</v>
      </c>
    </row>
    <row r="1714" spans="1:5" x14ac:dyDescent="0.25">
      <c r="A1714" s="313" t="s">
        <v>651</v>
      </c>
      <c r="B1714" s="313" t="s">
        <v>19</v>
      </c>
      <c r="C1714" s="313" t="s">
        <v>1487</v>
      </c>
      <c r="D1714" s="313" t="s">
        <v>35</v>
      </c>
      <c r="E1714" s="313" t="s">
        <v>24</v>
      </c>
    </row>
    <row r="1715" spans="1:5" x14ac:dyDescent="0.25">
      <c r="A1715" s="313" t="s">
        <v>651</v>
      </c>
      <c r="B1715" s="313" t="s">
        <v>19</v>
      </c>
      <c r="C1715" s="313" t="s">
        <v>1495</v>
      </c>
      <c r="D1715" s="313" t="s">
        <v>35</v>
      </c>
      <c r="E1715" s="313" t="s">
        <v>24</v>
      </c>
    </row>
    <row r="1716" spans="1:5" x14ac:dyDescent="0.25">
      <c r="A1716" s="313" t="s">
        <v>654</v>
      </c>
      <c r="B1716" s="313" t="s">
        <v>19</v>
      </c>
      <c r="C1716" s="313" t="s">
        <v>1466</v>
      </c>
      <c r="D1716" s="313" t="s">
        <v>19</v>
      </c>
      <c r="E1716" s="313" t="s">
        <v>655</v>
      </c>
    </row>
    <row r="1717" spans="1:5" x14ac:dyDescent="0.25">
      <c r="A1717" s="313" t="s">
        <v>654</v>
      </c>
      <c r="B1717" s="313" t="s">
        <v>19</v>
      </c>
      <c r="C1717" s="313" t="s">
        <v>1471</v>
      </c>
      <c r="D1717" s="313" t="s">
        <v>26</v>
      </c>
      <c r="E1717" s="313" t="s">
        <v>24</v>
      </c>
    </row>
    <row r="1718" spans="1:5" x14ac:dyDescent="0.25">
      <c r="A1718" s="313" t="s">
        <v>654</v>
      </c>
      <c r="B1718" s="313" t="s">
        <v>19</v>
      </c>
      <c r="C1718" s="313" t="s">
        <v>1475</v>
      </c>
      <c r="D1718" s="313" t="s">
        <v>35</v>
      </c>
      <c r="E1718" s="313" t="s">
        <v>24</v>
      </c>
    </row>
    <row r="1719" spans="1:5" x14ac:dyDescent="0.25">
      <c r="A1719" s="313" t="s">
        <v>654</v>
      </c>
      <c r="B1719" s="313" t="s">
        <v>19</v>
      </c>
      <c r="C1719" s="313" t="s">
        <v>20</v>
      </c>
      <c r="D1719" s="313" t="s">
        <v>26</v>
      </c>
      <c r="E1719" s="313" t="s">
        <v>24</v>
      </c>
    </row>
    <row r="1720" spans="1:5" x14ac:dyDescent="0.25">
      <c r="A1720" s="313" t="s">
        <v>654</v>
      </c>
      <c r="B1720" s="313" t="s">
        <v>19</v>
      </c>
      <c r="C1720" s="313" t="s">
        <v>1487</v>
      </c>
      <c r="D1720" s="313" t="s">
        <v>26</v>
      </c>
      <c r="E1720" s="313" t="s">
        <v>24</v>
      </c>
    </row>
    <row r="1721" spans="1:5" x14ac:dyDescent="0.25">
      <c r="A1721" s="313" t="s">
        <v>654</v>
      </c>
      <c r="B1721" s="313" t="s">
        <v>19</v>
      </c>
      <c r="C1721" s="313" t="s">
        <v>1495</v>
      </c>
      <c r="D1721" s="313" t="s">
        <v>35</v>
      </c>
      <c r="E1721" s="313" t="s">
        <v>24</v>
      </c>
    </row>
    <row r="1722" spans="1:5" x14ac:dyDescent="0.25">
      <c r="A1722" s="313" t="s">
        <v>654</v>
      </c>
      <c r="B1722" s="313" t="s">
        <v>26</v>
      </c>
      <c r="C1722" s="313" t="s">
        <v>2929</v>
      </c>
      <c r="D1722" s="313" t="s">
        <v>24</v>
      </c>
      <c r="E1722" s="313" t="s">
        <v>1636</v>
      </c>
    </row>
    <row r="1723" spans="1:5" x14ac:dyDescent="0.25">
      <c r="A1723" s="313" t="s">
        <v>654</v>
      </c>
      <c r="B1723" s="313" t="s">
        <v>26</v>
      </c>
      <c r="C1723" s="313" t="s">
        <v>2930</v>
      </c>
      <c r="D1723" s="313" t="s">
        <v>24</v>
      </c>
      <c r="E1723" s="313" t="s">
        <v>35</v>
      </c>
    </row>
    <row r="1724" spans="1:5" x14ac:dyDescent="0.25">
      <c r="A1724" s="313" t="s">
        <v>654</v>
      </c>
      <c r="B1724" s="313" t="s">
        <v>26</v>
      </c>
      <c r="C1724" s="313" t="s">
        <v>1506</v>
      </c>
      <c r="D1724" s="313" t="s">
        <v>24</v>
      </c>
      <c r="E1724" s="313" t="s">
        <v>1637</v>
      </c>
    </row>
    <row r="1725" spans="1:5" x14ac:dyDescent="0.25">
      <c r="A1725" s="313" t="s">
        <v>654</v>
      </c>
      <c r="B1725" s="313" t="s">
        <v>26</v>
      </c>
      <c r="C1725" s="313" t="s">
        <v>1509</v>
      </c>
      <c r="D1725" s="313" t="s">
        <v>24</v>
      </c>
      <c r="E1725" s="313" t="s">
        <v>1636</v>
      </c>
    </row>
    <row r="1726" spans="1:5" x14ac:dyDescent="0.25">
      <c r="A1726" s="313" t="s">
        <v>654</v>
      </c>
      <c r="B1726" s="313" t="s">
        <v>26</v>
      </c>
      <c r="C1726" s="313" t="s">
        <v>1510</v>
      </c>
      <c r="D1726" s="313" t="s">
        <v>24</v>
      </c>
      <c r="E1726" s="313" t="s">
        <v>655</v>
      </c>
    </row>
    <row r="1727" spans="1:5" x14ac:dyDescent="0.25">
      <c r="A1727" s="313" t="s">
        <v>654</v>
      </c>
      <c r="B1727" s="313" t="s">
        <v>26</v>
      </c>
      <c r="C1727" s="313" t="s">
        <v>1511</v>
      </c>
      <c r="D1727" s="313" t="s">
        <v>24</v>
      </c>
      <c r="E1727" s="313" t="s">
        <v>1636</v>
      </c>
    </row>
    <row r="1728" spans="1:5" x14ac:dyDescent="0.25">
      <c r="A1728" s="313" t="s">
        <v>654</v>
      </c>
      <c r="B1728" s="313" t="s">
        <v>26</v>
      </c>
      <c r="C1728" s="313" t="s">
        <v>27</v>
      </c>
      <c r="D1728" s="313" t="s">
        <v>24</v>
      </c>
      <c r="E1728" s="313" t="s">
        <v>655</v>
      </c>
    </row>
    <row r="1729" spans="1:5" x14ac:dyDescent="0.25">
      <c r="A1729" s="313" t="s">
        <v>654</v>
      </c>
      <c r="B1729" s="313" t="s">
        <v>26</v>
      </c>
      <c r="C1729" s="313" t="s">
        <v>1512</v>
      </c>
      <c r="D1729" s="313" t="s">
        <v>24</v>
      </c>
      <c r="E1729" s="313" t="s">
        <v>655</v>
      </c>
    </row>
    <row r="1730" spans="1:5" x14ac:dyDescent="0.25">
      <c r="A1730" s="313" t="s">
        <v>654</v>
      </c>
      <c r="B1730" s="313" t="s">
        <v>26</v>
      </c>
      <c r="C1730" s="313" t="s">
        <v>1513</v>
      </c>
      <c r="D1730" s="313" t="s">
        <v>24</v>
      </c>
      <c r="E1730" s="313" t="s">
        <v>655</v>
      </c>
    </row>
    <row r="1731" spans="1:5" x14ac:dyDescent="0.25">
      <c r="A1731" s="313" t="s">
        <v>654</v>
      </c>
      <c r="B1731" s="313" t="s">
        <v>26</v>
      </c>
      <c r="C1731" s="313" t="s">
        <v>1514</v>
      </c>
      <c r="D1731" s="313" t="s">
        <v>24</v>
      </c>
      <c r="E1731" s="313" t="s">
        <v>657</v>
      </c>
    </row>
    <row r="1732" spans="1:5" x14ac:dyDescent="0.25">
      <c r="A1732" s="313" t="s">
        <v>654</v>
      </c>
      <c r="B1732" s="313" t="s">
        <v>26</v>
      </c>
      <c r="C1732" s="313" t="s">
        <v>1515</v>
      </c>
      <c r="D1732" s="313" t="s">
        <v>24</v>
      </c>
      <c r="E1732" s="313" t="s">
        <v>657</v>
      </c>
    </row>
    <row r="1733" spans="1:5" x14ac:dyDescent="0.25">
      <c r="A1733" s="313" t="s">
        <v>654</v>
      </c>
      <c r="B1733" s="313" t="s">
        <v>26</v>
      </c>
      <c r="C1733" s="313" t="s">
        <v>1516</v>
      </c>
      <c r="D1733" s="313" t="s">
        <v>24</v>
      </c>
      <c r="E1733" s="313" t="s">
        <v>657</v>
      </c>
    </row>
    <row r="1734" spans="1:5" x14ac:dyDescent="0.25">
      <c r="A1734" s="313" t="s">
        <v>654</v>
      </c>
      <c r="B1734" s="313" t="s">
        <v>26</v>
      </c>
      <c r="C1734" s="313" t="s">
        <v>1517</v>
      </c>
      <c r="D1734" s="313" t="s">
        <v>24</v>
      </c>
      <c r="E1734" s="313" t="s">
        <v>657</v>
      </c>
    </row>
    <row r="1735" spans="1:5" x14ac:dyDescent="0.25">
      <c r="A1735" s="313" t="s">
        <v>654</v>
      </c>
      <c r="B1735" s="313" t="s">
        <v>26</v>
      </c>
      <c r="C1735" s="313" t="s">
        <v>1518</v>
      </c>
      <c r="D1735" s="313" t="s">
        <v>24</v>
      </c>
      <c r="E1735" s="313" t="s">
        <v>657</v>
      </c>
    </row>
    <row r="1736" spans="1:5" x14ac:dyDescent="0.25">
      <c r="A1736" s="313" t="s">
        <v>654</v>
      </c>
      <c r="B1736" s="313" t="s">
        <v>26</v>
      </c>
      <c r="C1736" s="313" t="s">
        <v>1519</v>
      </c>
      <c r="D1736" s="313" t="s">
        <v>24</v>
      </c>
      <c r="E1736" s="313" t="s">
        <v>657</v>
      </c>
    </row>
    <row r="1737" spans="1:5" x14ac:dyDescent="0.25">
      <c r="A1737" s="313" t="s">
        <v>661</v>
      </c>
      <c r="B1737" s="313" t="s">
        <v>19</v>
      </c>
      <c r="C1737" s="313" t="s">
        <v>1466</v>
      </c>
      <c r="D1737" s="313" t="s">
        <v>35</v>
      </c>
      <c r="E1737" s="313" t="s">
        <v>24</v>
      </c>
    </row>
    <row r="1738" spans="1:5" x14ac:dyDescent="0.25">
      <c r="A1738" s="313" t="s">
        <v>661</v>
      </c>
      <c r="B1738" s="313" t="s">
        <v>19</v>
      </c>
      <c r="C1738" s="313" t="s">
        <v>1471</v>
      </c>
      <c r="D1738" s="313" t="s">
        <v>35</v>
      </c>
      <c r="E1738" s="313" t="s">
        <v>24</v>
      </c>
    </row>
    <row r="1739" spans="1:5" x14ac:dyDescent="0.25">
      <c r="A1739" s="313" t="s">
        <v>661</v>
      </c>
      <c r="B1739" s="313" t="s">
        <v>19</v>
      </c>
      <c r="C1739" s="313" t="s">
        <v>1475</v>
      </c>
      <c r="D1739" s="313" t="s">
        <v>35</v>
      </c>
      <c r="E1739" s="313" t="s">
        <v>24</v>
      </c>
    </row>
    <row r="1740" spans="1:5" x14ac:dyDescent="0.25">
      <c r="A1740" s="313" t="s">
        <v>661</v>
      </c>
      <c r="B1740" s="313" t="s">
        <v>19</v>
      </c>
      <c r="C1740" s="313" t="s">
        <v>20</v>
      </c>
      <c r="D1740" s="313" t="s">
        <v>26</v>
      </c>
      <c r="E1740" s="313" t="s">
        <v>24</v>
      </c>
    </row>
    <row r="1741" spans="1:5" x14ac:dyDescent="0.25">
      <c r="A1741" s="313" t="s">
        <v>661</v>
      </c>
      <c r="B1741" s="313" t="s">
        <v>19</v>
      </c>
      <c r="C1741" s="313" t="s">
        <v>1487</v>
      </c>
      <c r="D1741" s="313" t="s">
        <v>26</v>
      </c>
      <c r="E1741" s="313" t="s">
        <v>24</v>
      </c>
    </row>
    <row r="1742" spans="1:5" x14ac:dyDescent="0.25">
      <c r="A1742" s="313" t="s">
        <v>661</v>
      </c>
      <c r="B1742" s="313" t="s">
        <v>19</v>
      </c>
      <c r="C1742" s="313" t="s">
        <v>1495</v>
      </c>
      <c r="D1742" s="313" t="s">
        <v>35</v>
      </c>
      <c r="E1742" s="313" t="s">
        <v>24</v>
      </c>
    </row>
    <row r="1743" spans="1:5" x14ac:dyDescent="0.25">
      <c r="A1743" s="313" t="s">
        <v>661</v>
      </c>
      <c r="B1743" s="313" t="s">
        <v>26</v>
      </c>
      <c r="C1743" s="313" t="s">
        <v>1506</v>
      </c>
      <c r="D1743" s="313" t="s">
        <v>24</v>
      </c>
      <c r="E1743" s="313" t="s">
        <v>1636</v>
      </c>
    </row>
    <row r="1744" spans="1:5" x14ac:dyDescent="0.25">
      <c r="A1744" s="313" t="s">
        <v>661</v>
      </c>
      <c r="B1744" s="313" t="s">
        <v>26</v>
      </c>
      <c r="C1744" s="313" t="s">
        <v>1509</v>
      </c>
      <c r="D1744" s="313" t="s">
        <v>24</v>
      </c>
      <c r="E1744" s="313" t="s">
        <v>659</v>
      </c>
    </row>
    <row r="1745" spans="1:5" x14ac:dyDescent="0.25">
      <c r="A1745" s="313" t="s">
        <v>661</v>
      </c>
      <c r="B1745" s="313" t="s">
        <v>26</v>
      </c>
      <c r="C1745" s="313" t="s">
        <v>1510</v>
      </c>
      <c r="D1745" s="313" t="s">
        <v>24</v>
      </c>
      <c r="E1745" s="313" t="s">
        <v>1629</v>
      </c>
    </row>
    <row r="1746" spans="1:5" x14ac:dyDescent="0.25">
      <c r="A1746" s="313" t="s">
        <v>661</v>
      </c>
      <c r="B1746" s="313" t="s">
        <v>26</v>
      </c>
      <c r="C1746" s="313" t="s">
        <v>1511</v>
      </c>
      <c r="D1746" s="313" t="s">
        <v>24</v>
      </c>
      <c r="E1746" s="313" t="s">
        <v>659</v>
      </c>
    </row>
    <row r="1747" spans="1:5" x14ac:dyDescent="0.25">
      <c r="A1747" s="313" t="s">
        <v>661</v>
      </c>
      <c r="B1747" s="313" t="s">
        <v>26</v>
      </c>
      <c r="C1747" s="313" t="s">
        <v>27</v>
      </c>
      <c r="D1747" s="313" t="s">
        <v>24</v>
      </c>
      <c r="E1747" s="313" t="s">
        <v>659</v>
      </c>
    </row>
    <row r="1748" spans="1:5" x14ac:dyDescent="0.25">
      <c r="A1748" s="313" t="s">
        <v>661</v>
      </c>
      <c r="B1748" s="313" t="s">
        <v>26</v>
      </c>
      <c r="C1748" s="313" t="s">
        <v>1512</v>
      </c>
      <c r="D1748" s="313" t="s">
        <v>24</v>
      </c>
      <c r="E1748" s="313" t="s">
        <v>659</v>
      </c>
    </row>
    <row r="1749" spans="1:5" x14ac:dyDescent="0.25">
      <c r="A1749" s="313" t="s">
        <v>661</v>
      </c>
      <c r="B1749" s="313" t="s">
        <v>26</v>
      </c>
      <c r="C1749" s="313" t="s">
        <v>1513</v>
      </c>
      <c r="D1749" s="313" t="s">
        <v>24</v>
      </c>
      <c r="E1749" s="313" t="s">
        <v>1640</v>
      </c>
    </row>
    <row r="1750" spans="1:5" x14ac:dyDescent="0.25">
      <c r="A1750" s="313" t="s">
        <v>661</v>
      </c>
      <c r="B1750" s="313" t="s">
        <v>26</v>
      </c>
      <c r="C1750" s="313" t="s">
        <v>1514</v>
      </c>
      <c r="D1750" s="313" t="s">
        <v>24</v>
      </c>
      <c r="E1750" s="313" t="s">
        <v>1630</v>
      </c>
    </row>
    <row r="1751" spans="1:5" x14ac:dyDescent="0.25">
      <c r="A1751" s="313" t="s">
        <v>661</v>
      </c>
      <c r="B1751" s="313" t="s">
        <v>26</v>
      </c>
      <c r="C1751" s="313" t="s">
        <v>1515</v>
      </c>
      <c r="D1751" s="313" t="s">
        <v>24</v>
      </c>
      <c r="E1751" s="313" t="s">
        <v>1630</v>
      </c>
    </row>
    <row r="1752" spans="1:5" x14ac:dyDescent="0.25">
      <c r="A1752" s="313" t="s">
        <v>661</v>
      </c>
      <c r="B1752" s="313" t="s">
        <v>26</v>
      </c>
      <c r="C1752" s="313" t="s">
        <v>1516</v>
      </c>
      <c r="D1752" s="313" t="s">
        <v>24</v>
      </c>
      <c r="E1752" s="313" t="s">
        <v>1630</v>
      </c>
    </row>
    <row r="1753" spans="1:5" x14ac:dyDescent="0.25">
      <c r="A1753" s="313" t="s">
        <v>661</v>
      </c>
      <c r="B1753" s="313" t="s">
        <v>26</v>
      </c>
      <c r="C1753" s="313" t="s">
        <v>1517</v>
      </c>
      <c r="D1753" s="313" t="s">
        <v>24</v>
      </c>
      <c r="E1753" s="313" t="s">
        <v>1630</v>
      </c>
    </row>
    <row r="1754" spans="1:5" x14ac:dyDescent="0.25">
      <c r="A1754" s="313" t="s">
        <v>661</v>
      </c>
      <c r="B1754" s="313" t="s">
        <v>26</v>
      </c>
      <c r="C1754" s="313" t="s">
        <v>1518</v>
      </c>
      <c r="D1754" s="313" t="s">
        <v>24</v>
      </c>
      <c r="E1754" s="313" t="s">
        <v>1630</v>
      </c>
    </row>
    <row r="1755" spans="1:5" x14ac:dyDescent="0.25">
      <c r="A1755" s="313" t="s">
        <v>661</v>
      </c>
      <c r="B1755" s="313" t="s">
        <v>26</v>
      </c>
      <c r="C1755" s="313" t="s">
        <v>1519</v>
      </c>
      <c r="D1755" s="313" t="s">
        <v>24</v>
      </c>
      <c r="E1755" s="313" t="s">
        <v>1630</v>
      </c>
    </row>
    <row r="1756" spans="1:5" x14ac:dyDescent="0.25">
      <c r="A1756" s="313" t="s">
        <v>666</v>
      </c>
      <c r="B1756" s="313" t="s">
        <v>51</v>
      </c>
      <c r="C1756" s="313" t="s">
        <v>24</v>
      </c>
      <c r="D1756" s="313" t="s">
        <v>24</v>
      </c>
      <c r="E1756" s="313" t="s">
        <v>667</v>
      </c>
    </row>
    <row r="1757" spans="1:5" x14ac:dyDescent="0.25">
      <c r="A1757" s="313" t="s">
        <v>666</v>
      </c>
      <c r="B1757" s="313" t="s">
        <v>19</v>
      </c>
      <c r="C1757" s="313" t="s">
        <v>1466</v>
      </c>
      <c r="D1757" s="313" t="s">
        <v>51</v>
      </c>
      <c r="E1757" s="313" t="s">
        <v>24</v>
      </c>
    </row>
    <row r="1758" spans="1:5" x14ac:dyDescent="0.25">
      <c r="A1758" s="313" t="s">
        <v>666</v>
      </c>
      <c r="B1758" s="313" t="s">
        <v>19</v>
      </c>
      <c r="C1758" s="313" t="s">
        <v>1471</v>
      </c>
      <c r="D1758" s="313" t="s">
        <v>51</v>
      </c>
      <c r="E1758" s="313" t="s">
        <v>24</v>
      </c>
    </row>
    <row r="1759" spans="1:5" x14ac:dyDescent="0.25">
      <c r="A1759" s="313" t="s">
        <v>666</v>
      </c>
      <c r="B1759" s="313" t="s">
        <v>19</v>
      </c>
      <c r="C1759" s="313" t="s">
        <v>1475</v>
      </c>
      <c r="D1759" s="313" t="s">
        <v>51</v>
      </c>
      <c r="E1759" s="313" t="s">
        <v>24</v>
      </c>
    </row>
    <row r="1760" spans="1:5" x14ac:dyDescent="0.25">
      <c r="A1760" s="313" t="s">
        <v>666</v>
      </c>
      <c r="B1760" s="313" t="s">
        <v>19</v>
      </c>
      <c r="C1760" s="313" t="s">
        <v>20</v>
      </c>
      <c r="D1760" s="313" t="s">
        <v>51</v>
      </c>
      <c r="E1760" s="313" t="s">
        <v>24</v>
      </c>
    </row>
    <row r="1761" spans="1:5" x14ac:dyDescent="0.25">
      <c r="A1761" s="313" t="s">
        <v>666</v>
      </c>
      <c r="B1761" s="313" t="s">
        <v>19</v>
      </c>
      <c r="C1761" s="313" t="s">
        <v>1487</v>
      </c>
      <c r="D1761" s="313" t="s">
        <v>51</v>
      </c>
      <c r="E1761" s="313" t="s">
        <v>24</v>
      </c>
    </row>
    <row r="1762" spans="1:5" x14ac:dyDescent="0.25">
      <c r="A1762" s="313" t="s">
        <v>666</v>
      </c>
      <c r="B1762" s="313" t="s">
        <v>19</v>
      </c>
      <c r="C1762" s="313" t="s">
        <v>1495</v>
      </c>
      <c r="D1762" s="313" t="s">
        <v>51</v>
      </c>
      <c r="E1762" s="313" t="s">
        <v>24</v>
      </c>
    </row>
    <row r="1763" spans="1:5" x14ac:dyDescent="0.25">
      <c r="A1763" s="313" t="s">
        <v>670</v>
      </c>
      <c r="B1763" s="313" t="s">
        <v>19</v>
      </c>
      <c r="C1763" s="313" t="s">
        <v>1466</v>
      </c>
      <c r="D1763" s="313" t="s">
        <v>35</v>
      </c>
      <c r="E1763" s="313" t="s">
        <v>24</v>
      </c>
    </row>
    <row r="1764" spans="1:5" x14ac:dyDescent="0.25">
      <c r="A1764" s="313" t="s">
        <v>670</v>
      </c>
      <c r="B1764" s="313" t="s">
        <v>19</v>
      </c>
      <c r="C1764" s="313" t="s">
        <v>1471</v>
      </c>
      <c r="D1764" s="313" t="s">
        <v>35</v>
      </c>
      <c r="E1764" s="313" t="s">
        <v>24</v>
      </c>
    </row>
    <row r="1765" spans="1:5" x14ac:dyDescent="0.25">
      <c r="A1765" s="313" t="s">
        <v>670</v>
      </c>
      <c r="B1765" s="313" t="s">
        <v>19</v>
      </c>
      <c r="C1765" s="313" t="s">
        <v>1475</v>
      </c>
      <c r="D1765" s="313" t="s">
        <v>35</v>
      </c>
      <c r="E1765" s="313" t="s">
        <v>24</v>
      </c>
    </row>
    <row r="1766" spans="1:5" x14ac:dyDescent="0.25">
      <c r="A1766" s="313" t="s">
        <v>670</v>
      </c>
      <c r="B1766" s="313" t="s">
        <v>19</v>
      </c>
      <c r="C1766" s="313" t="s">
        <v>20</v>
      </c>
      <c r="D1766" s="313" t="s">
        <v>35</v>
      </c>
      <c r="E1766" s="313" t="s">
        <v>24</v>
      </c>
    </row>
    <row r="1767" spans="1:5" x14ac:dyDescent="0.25">
      <c r="A1767" s="313" t="s">
        <v>670</v>
      </c>
      <c r="B1767" s="313" t="s">
        <v>19</v>
      </c>
      <c r="C1767" s="313" t="s">
        <v>1487</v>
      </c>
      <c r="D1767" s="313" t="s">
        <v>35</v>
      </c>
      <c r="E1767" s="313" t="s">
        <v>24</v>
      </c>
    </row>
    <row r="1768" spans="1:5" x14ac:dyDescent="0.25">
      <c r="A1768" s="313" t="s">
        <v>670</v>
      </c>
      <c r="B1768" s="313" t="s">
        <v>19</v>
      </c>
      <c r="C1768" s="313" t="s">
        <v>1495</v>
      </c>
      <c r="D1768" s="313" t="s">
        <v>35</v>
      </c>
      <c r="E1768" s="313" t="s">
        <v>24</v>
      </c>
    </row>
    <row r="1769" spans="1:5" x14ac:dyDescent="0.25">
      <c r="A1769" s="313" t="s">
        <v>672</v>
      </c>
      <c r="B1769" s="313" t="s">
        <v>19</v>
      </c>
      <c r="C1769" s="313" t="s">
        <v>1466</v>
      </c>
      <c r="D1769" s="313" t="s">
        <v>19</v>
      </c>
      <c r="E1769" s="313" t="s">
        <v>673</v>
      </c>
    </row>
    <row r="1770" spans="1:5" x14ac:dyDescent="0.25">
      <c r="A1770" s="313" t="s">
        <v>672</v>
      </c>
      <c r="B1770" s="313" t="s">
        <v>19</v>
      </c>
      <c r="C1770" s="313" t="s">
        <v>1471</v>
      </c>
      <c r="D1770" s="313" t="s">
        <v>26</v>
      </c>
      <c r="E1770" s="313" t="s">
        <v>24</v>
      </c>
    </row>
    <row r="1771" spans="1:5" x14ac:dyDescent="0.25">
      <c r="A1771" s="313" t="s">
        <v>672</v>
      </c>
      <c r="B1771" s="313" t="s">
        <v>19</v>
      </c>
      <c r="C1771" s="313" t="s">
        <v>1475</v>
      </c>
      <c r="D1771" s="313" t="s">
        <v>26</v>
      </c>
      <c r="E1771" s="313" t="s">
        <v>24</v>
      </c>
    </row>
    <row r="1772" spans="1:5" x14ac:dyDescent="0.25">
      <c r="A1772" s="313" t="s">
        <v>672</v>
      </c>
      <c r="B1772" s="313" t="s">
        <v>19</v>
      </c>
      <c r="C1772" s="313" t="s">
        <v>20</v>
      </c>
      <c r="D1772" s="313" t="s">
        <v>26</v>
      </c>
      <c r="E1772" s="313" t="s">
        <v>24</v>
      </c>
    </row>
    <row r="1773" spans="1:5" x14ac:dyDescent="0.25">
      <c r="A1773" s="313" t="s">
        <v>672</v>
      </c>
      <c r="B1773" s="313" t="s">
        <v>19</v>
      </c>
      <c r="C1773" s="313" t="s">
        <v>1487</v>
      </c>
      <c r="D1773" s="313" t="s">
        <v>26</v>
      </c>
      <c r="E1773" s="313" t="s">
        <v>24</v>
      </c>
    </row>
    <row r="1774" spans="1:5" x14ac:dyDescent="0.25">
      <c r="A1774" s="313" t="s">
        <v>672</v>
      </c>
      <c r="B1774" s="313" t="s">
        <v>19</v>
      </c>
      <c r="C1774" s="313" t="s">
        <v>1495</v>
      </c>
      <c r="D1774" s="313" t="s">
        <v>35</v>
      </c>
      <c r="E1774" s="313" t="s">
        <v>24</v>
      </c>
    </row>
    <row r="1775" spans="1:5" x14ac:dyDescent="0.25">
      <c r="A1775" s="313" t="s">
        <v>672</v>
      </c>
      <c r="B1775" s="313" t="s">
        <v>26</v>
      </c>
      <c r="C1775" s="313" t="s">
        <v>2929</v>
      </c>
      <c r="D1775" s="313" t="s">
        <v>24</v>
      </c>
      <c r="E1775" s="313" t="s">
        <v>673</v>
      </c>
    </row>
    <row r="1776" spans="1:5" x14ac:dyDescent="0.25">
      <c r="A1776" s="313" t="s">
        <v>672</v>
      </c>
      <c r="B1776" s="313" t="s">
        <v>26</v>
      </c>
      <c r="C1776" s="313" t="s">
        <v>2930</v>
      </c>
      <c r="D1776" s="313" t="s">
        <v>24</v>
      </c>
      <c r="E1776" s="313" t="s">
        <v>35</v>
      </c>
    </row>
    <row r="1777" spans="1:5" x14ac:dyDescent="0.25">
      <c r="A1777" s="313" t="s">
        <v>672</v>
      </c>
      <c r="B1777" s="313" t="s">
        <v>26</v>
      </c>
      <c r="C1777" s="313" t="s">
        <v>1506</v>
      </c>
      <c r="D1777" s="313" t="s">
        <v>24</v>
      </c>
      <c r="E1777" s="313" t="s">
        <v>1642</v>
      </c>
    </row>
    <row r="1778" spans="1:5" x14ac:dyDescent="0.25">
      <c r="A1778" s="313" t="s">
        <v>672</v>
      </c>
      <c r="B1778" s="313" t="s">
        <v>26</v>
      </c>
      <c r="C1778" s="313" t="s">
        <v>1507</v>
      </c>
      <c r="D1778" s="313" t="s">
        <v>24</v>
      </c>
      <c r="E1778" s="313" t="s">
        <v>673</v>
      </c>
    </row>
    <row r="1779" spans="1:5" x14ac:dyDescent="0.25">
      <c r="A1779" s="313" t="s">
        <v>672</v>
      </c>
      <c r="B1779" s="313" t="s">
        <v>26</v>
      </c>
      <c r="C1779" s="313" t="s">
        <v>1508</v>
      </c>
      <c r="D1779" s="313" t="s">
        <v>24</v>
      </c>
      <c r="E1779" s="313" t="s">
        <v>673</v>
      </c>
    </row>
    <row r="1780" spans="1:5" x14ac:dyDescent="0.25">
      <c r="A1780" s="313" t="s">
        <v>672</v>
      </c>
      <c r="B1780" s="313" t="s">
        <v>26</v>
      </c>
      <c r="C1780" s="313" t="s">
        <v>1509</v>
      </c>
      <c r="D1780" s="313" t="s">
        <v>24</v>
      </c>
      <c r="E1780" s="313" t="s">
        <v>1642</v>
      </c>
    </row>
    <row r="1781" spans="1:5" x14ac:dyDescent="0.25">
      <c r="A1781" s="313" t="s">
        <v>672</v>
      </c>
      <c r="B1781" s="313" t="s">
        <v>26</v>
      </c>
      <c r="C1781" s="313" t="s">
        <v>1510</v>
      </c>
      <c r="D1781" s="313" t="s">
        <v>24</v>
      </c>
      <c r="E1781" s="313" t="s">
        <v>1642</v>
      </c>
    </row>
    <row r="1782" spans="1:5" x14ac:dyDescent="0.25">
      <c r="A1782" s="313" t="s">
        <v>672</v>
      </c>
      <c r="B1782" s="313" t="s">
        <v>26</v>
      </c>
      <c r="C1782" s="313" t="s">
        <v>1511</v>
      </c>
      <c r="D1782" s="313" t="s">
        <v>24</v>
      </c>
      <c r="E1782" s="313" t="s">
        <v>673</v>
      </c>
    </row>
    <row r="1783" spans="1:5" x14ac:dyDescent="0.25">
      <c r="A1783" s="313" t="s">
        <v>672</v>
      </c>
      <c r="B1783" s="313" t="s">
        <v>26</v>
      </c>
      <c r="C1783" s="313" t="s">
        <v>27</v>
      </c>
      <c r="D1783" s="313" t="s">
        <v>24</v>
      </c>
      <c r="E1783" s="313" t="s">
        <v>673</v>
      </c>
    </row>
    <row r="1784" spans="1:5" x14ac:dyDescent="0.25">
      <c r="A1784" s="313" t="s">
        <v>672</v>
      </c>
      <c r="B1784" s="313" t="s">
        <v>26</v>
      </c>
      <c r="C1784" s="313" t="s">
        <v>1512</v>
      </c>
      <c r="D1784" s="313" t="s">
        <v>24</v>
      </c>
      <c r="E1784" s="313" t="s">
        <v>1642</v>
      </c>
    </row>
    <row r="1785" spans="1:5" x14ac:dyDescent="0.25">
      <c r="A1785" s="313" t="s">
        <v>672</v>
      </c>
      <c r="B1785" s="313" t="s">
        <v>26</v>
      </c>
      <c r="C1785" s="313" t="s">
        <v>1513</v>
      </c>
      <c r="D1785" s="313" t="s">
        <v>24</v>
      </c>
      <c r="E1785" s="313" t="s">
        <v>1642</v>
      </c>
    </row>
    <row r="1786" spans="1:5" x14ac:dyDescent="0.25">
      <c r="A1786" s="313" t="s">
        <v>672</v>
      </c>
      <c r="B1786" s="313" t="s">
        <v>26</v>
      </c>
      <c r="C1786" s="313" t="s">
        <v>1514</v>
      </c>
      <c r="D1786" s="313" t="s">
        <v>24</v>
      </c>
      <c r="E1786" s="313" t="s">
        <v>1642</v>
      </c>
    </row>
    <row r="1787" spans="1:5" x14ac:dyDescent="0.25">
      <c r="A1787" s="313" t="s">
        <v>672</v>
      </c>
      <c r="B1787" s="313" t="s">
        <v>26</v>
      </c>
      <c r="C1787" s="313" t="s">
        <v>1515</v>
      </c>
      <c r="D1787" s="313" t="s">
        <v>24</v>
      </c>
      <c r="E1787" s="313" t="s">
        <v>1642</v>
      </c>
    </row>
    <row r="1788" spans="1:5" x14ac:dyDescent="0.25">
      <c r="A1788" s="313" t="s">
        <v>672</v>
      </c>
      <c r="B1788" s="313" t="s">
        <v>26</v>
      </c>
      <c r="C1788" s="313" t="s">
        <v>1516</v>
      </c>
      <c r="D1788" s="313" t="s">
        <v>24</v>
      </c>
      <c r="E1788" s="313" t="s">
        <v>1642</v>
      </c>
    </row>
    <row r="1789" spans="1:5" x14ac:dyDescent="0.25">
      <c r="A1789" s="313" t="s">
        <v>672</v>
      </c>
      <c r="B1789" s="313" t="s">
        <v>26</v>
      </c>
      <c r="C1789" s="313" t="s">
        <v>1517</v>
      </c>
      <c r="D1789" s="313" t="s">
        <v>24</v>
      </c>
      <c r="E1789" s="313" t="s">
        <v>1642</v>
      </c>
    </row>
    <row r="1790" spans="1:5" x14ac:dyDescent="0.25">
      <c r="A1790" s="313" t="s">
        <v>672</v>
      </c>
      <c r="B1790" s="313" t="s">
        <v>26</v>
      </c>
      <c r="C1790" s="313" t="s">
        <v>1518</v>
      </c>
      <c r="D1790" s="313" t="s">
        <v>24</v>
      </c>
      <c r="E1790" s="313" t="s">
        <v>673</v>
      </c>
    </row>
    <row r="1791" spans="1:5" x14ac:dyDescent="0.25">
      <c r="A1791" s="313" t="s">
        <v>672</v>
      </c>
      <c r="B1791" s="313" t="s">
        <v>26</v>
      </c>
      <c r="C1791" s="313" t="s">
        <v>1519</v>
      </c>
      <c r="D1791" s="313" t="s">
        <v>24</v>
      </c>
      <c r="E1791" s="313" t="s">
        <v>673</v>
      </c>
    </row>
    <row r="1792" spans="1:5" x14ac:dyDescent="0.25">
      <c r="A1792" s="313" t="s">
        <v>676</v>
      </c>
      <c r="B1792" s="313" t="s">
        <v>19</v>
      </c>
      <c r="C1792" s="313" t="s">
        <v>1466</v>
      </c>
      <c r="D1792" s="313" t="s">
        <v>19</v>
      </c>
      <c r="E1792" s="313" t="s">
        <v>1644</v>
      </c>
    </row>
    <row r="1793" spans="1:5" x14ac:dyDescent="0.25">
      <c r="A1793" s="313" t="s">
        <v>676</v>
      </c>
      <c r="B1793" s="313" t="s">
        <v>19</v>
      </c>
      <c r="C1793" s="313" t="s">
        <v>1471</v>
      </c>
      <c r="D1793" s="313" t="s">
        <v>26</v>
      </c>
      <c r="E1793" s="313" t="s">
        <v>24</v>
      </c>
    </row>
    <row r="1794" spans="1:5" x14ac:dyDescent="0.25">
      <c r="A1794" s="313" t="s">
        <v>676</v>
      </c>
      <c r="B1794" s="313" t="s">
        <v>19</v>
      </c>
      <c r="C1794" s="313" t="s">
        <v>1475</v>
      </c>
      <c r="D1794" s="313" t="s">
        <v>26</v>
      </c>
      <c r="E1794" s="313" t="s">
        <v>24</v>
      </c>
    </row>
    <row r="1795" spans="1:5" x14ac:dyDescent="0.25">
      <c r="A1795" s="313" t="s">
        <v>676</v>
      </c>
      <c r="B1795" s="313" t="s">
        <v>19</v>
      </c>
      <c r="C1795" s="313" t="s">
        <v>20</v>
      </c>
      <c r="D1795" s="313" t="s">
        <v>26</v>
      </c>
      <c r="E1795" s="313" t="s">
        <v>24</v>
      </c>
    </row>
    <row r="1796" spans="1:5" x14ac:dyDescent="0.25">
      <c r="A1796" s="313" t="s">
        <v>676</v>
      </c>
      <c r="B1796" s="313" t="s">
        <v>19</v>
      </c>
      <c r="C1796" s="313" t="s">
        <v>1487</v>
      </c>
      <c r="D1796" s="313" t="s">
        <v>26</v>
      </c>
      <c r="E1796" s="313" t="s">
        <v>24</v>
      </c>
    </row>
    <row r="1797" spans="1:5" x14ac:dyDescent="0.25">
      <c r="A1797" s="313" t="s">
        <v>676</v>
      </c>
      <c r="B1797" s="313" t="s">
        <v>19</v>
      </c>
      <c r="C1797" s="313" t="s">
        <v>1495</v>
      </c>
      <c r="D1797" s="313" t="s">
        <v>35</v>
      </c>
      <c r="E1797" s="313" t="s">
        <v>24</v>
      </c>
    </row>
    <row r="1798" spans="1:5" x14ac:dyDescent="0.25">
      <c r="A1798" s="313" t="s">
        <v>676</v>
      </c>
      <c r="B1798" s="313" t="s">
        <v>26</v>
      </c>
      <c r="C1798" s="313" t="s">
        <v>2929</v>
      </c>
      <c r="D1798" s="313" t="s">
        <v>24</v>
      </c>
      <c r="E1798" s="313" t="s">
        <v>1644</v>
      </c>
    </row>
    <row r="1799" spans="1:5" x14ac:dyDescent="0.25">
      <c r="A1799" s="313" t="s">
        <v>676</v>
      </c>
      <c r="B1799" s="313" t="s">
        <v>26</v>
      </c>
      <c r="C1799" s="313" t="s">
        <v>2930</v>
      </c>
      <c r="D1799" s="313" t="s">
        <v>24</v>
      </c>
      <c r="E1799" s="313" t="s">
        <v>35</v>
      </c>
    </row>
    <row r="1800" spans="1:5" x14ac:dyDescent="0.25">
      <c r="A1800" s="313" t="s">
        <v>676</v>
      </c>
      <c r="B1800" s="313" t="s">
        <v>26</v>
      </c>
      <c r="C1800" s="313" t="s">
        <v>1506</v>
      </c>
      <c r="D1800" s="313" t="s">
        <v>24</v>
      </c>
      <c r="E1800" s="313" t="s">
        <v>1642</v>
      </c>
    </row>
    <row r="1801" spans="1:5" x14ac:dyDescent="0.25">
      <c r="A1801" s="313" t="s">
        <v>676</v>
      </c>
      <c r="B1801" s="313" t="s">
        <v>26</v>
      </c>
      <c r="C1801" s="313" t="s">
        <v>1507</v>
      </c>
      <c r="D1801" s="313" t="s">
        <v>24</v>
      </c>
      <c r="E1801" s="313" t="s">
        <v>1644</v>
      </c>
    </row>
    <row r="1802" spans="1:5" x14ac:dyDescent="0.25">
      <c r="A1802" s="313" t="s">
        <v>676</v>
      </c>
      <c r="B1802" s="313" t="s">
        <v>26</v>
      </c>
      <c r="C1802" s="313" t="s">
        <v>1508</v>
      </c>
      <c r="D1802" s="313" t="s">
        <v>24</v>
      </c>
      <c r="E1802" s="313" t="s">
        <v>1644</v>
      </c>
    </row>
    <row r="1803" spans="1:5" x14ac:dyDescent="0.25">
      <c r="A1803" s="313" t="s">
        <v>676</v>
      </c>
      <c r="B1803" s="313" t="s">
        <v>26</v>
      </c>
      <c r="C1803" s="313" t="s">
        <v>1509</v>
      </c>
      <c r="D1803" s="313" t="s">
        <v>24</v>
      </c>
      <c r="E1803" s="313" t="s">
        <v>677</v>
      </c>
    </row>
    <row r="1804" spans="1:5" x14ac:dyDescent="0.25">
      <c r="A1804" s="313" t="s">
        <v>676</v>
      </c>
      <c r="B1804" s="313" t="s">
        <v>26</v>
      </c>
      <c r="C1804" s="313" t="s">
        <v>1510</v>
      </c>
      <c r="D1804" s="313" t="s">
        <v>24</v>
      </c>
      <c r="E1804" s="313" t="s">
        <v>677</v>
      </c>
    </row>
    <row r="1805" spans="1:5" x14ac:dyDescent="0.25">
      <c r="A1805" s="313" t="s">
        <v>676</v>
      </c>
      <c r="B1805" s="313" t="s">
        <v>26</v>
      </c>
      <c r="C1805" s="313" t="s">
        <v>1511</v>
      </c>
      <c r="D1805" s="313" t="s">
        <v>24</v>
      </c>
      <c r="E1805" s="313" t="s">
        <v>1644</v>
      </c>
    </row>
    <row r="1806" spans="1:5" x14ac:dyDescent="0.25">
      <c r="A1806" s="313" t="s">
        <v>676</v>
      </c>
      <c r="B1806" s="313" t="s">
        <v>26</v>
      </c>
      <c r="C1806" s="313" t="s">
        <v>27</v>
      </c>
      <c r="D1806" s="313" t="s">
        <v>24</v>
      </c>
      <c r="E1806" s="313" t="s">
        <v>677</v>
      </c>
    </row>
    <row r="1807" spans="1:5" x14ac:dyDescent="0.25">
      <c r="A1807" s="313" t="s">
        <v>676</v>
      </c>
      <c r="B1807" s="313" t="s">
        <v>26</v>
      </c>
      <c r="C1807" s="313" t="s">
        <v>1512</v>
      </c>
      <c r="D1807" s="313" t="s">
        <v>24</v>
      </c>
      <c r="E1807" s="313" t="s">
        <v>677</v>
      </c>
    </row>
    <row r="1808" spans="1:5" x14ac:dyDescent="0.25">
      <c r="A1808" s="313" t="s">
        <v>676</v>
      </c>
      <c r="B1808" s="313" t="s">
        <v>26</v>
      </c>
      <c r="C1808" s="313" t="s">
        <v>1513</v>
      </c>
      <c r="D1808" s="313" t="s">
        <v>24</v>
      </c>
      <c r="E1808" s="313" t="s">
        <v>677</v>
      </c>
    </row>
    <row r="1809" spans="1:5" x14ac:dyDescent="0.25">
      <c r="A1809" s="313" t="s">
        <v>676</v>
      </c>
      <c r="B1809" s="313" t="s">
        <v>26</v>
      </c>
      <c r="C1809" s="313" t="s">
        <v>1514</v>
      </c>
      <c r="D1809" s="313" t="s">
        <v>24</v>
      </c>
      <c r="E1809" s="313" t="s">
        <v>677</v>
      </c>
    </row>
    <row r="1810" spans="1:5" x14ac:dyDescent="0.25">
      <c r="A1810" s="313" t="s">
        <v>676</v>
      </c>
      <c r="B1810" s="313" t="s">
        <v>26</v>
      </c>
      <c r="C1810" s="313" t="s">
        <v>1515</v>
      </c>
      <c r="D1810" s="313" t="s">
        <v>24</v>
      </c>
      <c r="E1810" s="313" t="s">
        <v>677</v>
      </c>
    </row>
    <row r="1811" spans="1:5" x14ac:dyDescent="0.25">
      <c r="A1811" s="313" t="s">
        <v>676</v>
      </c>
      <c r="B1811" s="313" t="s">
        <v>26</v>
      </c>
      <c r="C1811" s="313" t="s">
        <v>1516</v>
      </c>
      <c r="D1811" s="313" t="s">
        <v>24</v>
      </c>
      <c r="E1811" s="313" t="s">
        <v>677</v>
      </c>
    </row>
    <row r="1812" spans="1:5" x14ac:dyDescent="0.25">
      <c r="A1812" s="313" t="s">
        <v>676</v>
      </c>
      <c r="B1812" s="313" t="s">
        <v>26</v>
      </c>
      <c r="C1812" s="313" t="s">
        <v>1517</v>
      </c>
      <c r="D1812" s="313" t="s">
        <v>24</v>
      </c>
      <c r="E1812" s="313" t="s">
        <v>677</v>
      </c>
    </row>
    <row r="1813" spans="1:5" x14ac:dyDescent="0.25">
      <c r="A1813" s="313" t="s">
        <v>676</v>
      </c>
      <c r="B1813" s="313" t="s">
        <v>26</v>
      </c>
      <c r="C1813" s="313" t="s">
        <v>1518</v>
      </c>
      <c r="D1813" s="313" t="s">
        <v>24</v>
      </c>
      <c r="E1813" s="313" t="s">
        <v>46</v>
      </c>
    </row>
    <row r="1814" spans="1:5" x14ac:dyDescent="0.25">
      <c r="A1814" s="313" t="s">
        <v>676</v>
      </c>
      <c r="B1814" s="313" t="s">
        <v>26</v>
      </c>
      <c r="C1814" s="313" t="s">
        <v>1519</v>
      </c>
      <c r="D1814" s="313" t="s">
        <v>24</v>
      </c>
      <c r="E1814" s="313" t="s">
        <v>46</v>
      </c>
    </row>
    <row r="1815" spans="1:5" x14ac:dyDescent="0.25">
      <c r="A1815" s="313" t="s">
        <v>680</v>
      </c>
      <c r="B1815" s="313" t="s">
        <v>19</v>
      </c>
      <c r="C1815" s="313" t="s">
        <v>1466</v>
      </c>
      <c r="D1815" s="313" t="s">
        <v>19</v>
      </c>
      <c r="E1815" s="313" t="s">
        <v>46</v>
      </c>
    </row>
    <row r="1816" spans="1:5" x14ac:dyDescent="0.25">
      <c r="A1816" s="313" t="s">
        <v>680</v>
      </c>
      <c r="B1816" s="313" t="s">
        <v>19</v>
      </c>
      <c r="C1816" s="313" t="s">
        <v>1471</v>
      </c>
      <c r="D1816" s="313" t="s">
        <v>26</v>
      </c>
      <c r="E1816" s="313" t="s">
        <v>24</v>
      </c>
    </row>
    <row r="1817" spans="1:5" x14ac:dyDescent="0.25">
      <c r="A1817" s="313" t="s">
        <v>680</v>
      </c>
      <c r="B1817" s="313" t="s">
        <v>19</v>
      </c>
      <c r="C1817" s="313" t="s">
        <v>1475</v>
      </c>
      <c r="D1817" s="313" t="s">
        <v>35</v>
      </c>
      <c r="E1817" s="313" t="s">
        <v>24</v>
      </c>
    </row>
    <row r="1818" spans="1:5" x14ac:dyDescent="0.25">
      <c r="A1818" s="313" t="s">
        <v>680</v>
      </c>
      <c r="B1818" s="313" t="s">
        <v>19</v>
      </c>
      <c r="C1818" s="313" t="s">
        <v>20</v>
      </c>
      <c r="D1818" s="313" t="s">
        <v>35</v>
      </c>
      <c r="E1818" s="313" t="s">
        <v>24</v>
      </c>
    </row>
    <row r="1819" spans="1:5" x14ac:dyDescent="0.25">
      <c r="A1819" s="313" t="s">
        <v>680</v>
      </c>
      <c r="B1819" s="313" t="s">
        <v>19</v>
      </c>
      <c r="C1819" s="313" t="s">
        <v>1487</v>
      </c>
      <c r="D1819" s="313" t="s">
        <v>35</v>
      </c>
      <c r="E1819" s="313" t="s">
        <v>24</v>
      </c>
    </row>
    <row r="1820" spans="1:5" x14ac:dyDescent="0.25">
      <c r="A1820" s="313" t="s">
        <v>680</v>
      </c>
      <c r="B1820" s="313" t="s">
        <v>19</v>
      </c>
      <c r="C1820" s="313" t="s">
        <v>1495</v>
      </c>
      <c r="D1820" s="313" t="s">
        <v>35</v>
      </c>
      <c r="E1820" s="313" t="s">
        <v>24</v>
      </c>
    </row>
    <row r="1821" spans="1:5" x14ac:dyDescent="0.25">
      <c r="A1821" s="313" t="s">
        <v>680</v>
      </c>
      <c r="B1821" s="313" t="s">
        <v>26</v>
      </c>
      <c r="C1821" s="313" t="s">
        <v>2929</v>
      </c>
      <c r="D1821" s="313" t="s">
        <v>24</v>
      </c>
      <c r="E1821" s="313" t="s">
        <v>46</v>
      </c>
    </row>
    <row r="1822" spans="1:5" x14ac:dyDescent="0.25">
      <c r="A1822" s="313" t="s">
        <v>680</v>
      </c>
      <c r="B1822" s="313" t="s">
        <v>26</v>
      </c>
      <c r="C1822" s="313" t="s">
        <v>2930</v>
      </c>
      <c r="D1822" s="313" t="s">
        <v>24</v>
      </c>
      <c r="E1822" s="313" t="s">
        <v>35</v>
      </c>
    </row>
    <row r="1823" spans="1:5" x14ac:dyDescent="0.25">
      <c r="A1823" s="313" t="s">
        <v>682</v>
      </c>
      <c r="B1823" s="313" t="s">
        <v>19</v>
      </c>
      <c r="C1823" s="313" t="s">
        <v>1466</v>
      </c>
      <c r="D1823" s="313" t="s">
        <v>35</v>
      </c>
      <c r="E1823" s="313" t="s">
        <v>24</v>
      </c>
    </row>
    <row r="1824" spans="1:5" x14ac:dyDescent="0.25">
      <c r="A1824" s="313" t="s">
        <v>682</v>
      </c>
      <c r="B1824" s="313" t="s">
        <v>19</v>
      </c>
      <c r="C1824" s="313" t="s">
        <v>1471</v>
      </c>
      <c r="D1824" s="313" t="s">
        <v>35</v>
      </c>
      <c r="E1824" s="313" t="s">
        <v>24</v>
      </c>
    </row>
    <row r="1825" spans="1:5" x14ac:dyDescent="0.25">
      <c r="A1825" s="313" t="s">
        <v>682</v>
      </c>
      <c r="B1825" s="313" t="s">
        <v>19</v>
      </c>
      <c r="C1825" s="313" t="s">
        <v>1475</v>
      </c>
      <c r="D1825" s="313" t="s">
        <v>35</v>
      </c>
      <c r="E1825" s="313" t="s">
        <v>24</v>
      </c>
    </row>
    <row r="1826" spans="1:5" x14ac:dyDescent="0.25">
      <c r="A1826" s="313" t="s">
        <v>682</v>
      </c>
      <c r="B1826" s="313" t="s">
        <v>19</v>
      </c>
      <c r="C1826" s="313" t="s">
        <v>20</v>
      </c>
      <c r="D1826" s="313" t="s">
        <v>35</v>
      </c>
      <c r="E1826" s="313" t="s">
        <v>24</v>
      </c>
    </row>
    <row r="1827" spans="1:5" x14ac:dyDescent="0.25">
      <c r="A1827" s="313" t="s">
        <v>682</v>
      </c>
      <c r="B1827" s="313" t="s">
        <v>19</v>
      </c>
      <c r="C1827" s="313" t="s">
        <v>1487</v>
      </c>
      <c r="D1827" s="313" t="s">
        <v>35</v>
      </c>
      <c r="E1827" s="313" t="s">
        <v>24</v>
      </c>
    </row>
    <row r="1828" spans="1:5" x14ac:dyDescent="0.25">
      <c r="A1828" s="313" t="s">
        <v>682</v>
      </c>
      <c r="B1828" s="313" t="s">
        <v>19</v>
      </c>
      <c r="C1828" s="313" t="s">
        <v>1495</v>
      </c>
      <c r="D1828" s="313" t="s">
        <v>35</v>
      </c>
      <c r="E1828" s="313" t="s">
        <v>24</v>
      </c>
    </row>
    <row r="1829" spans="1:5" x14ac:dyDescent="0.25">
      <c r="A1829" s="313" t="s">
        <v>685</v>
      </c>
      <c r="B1829" s="313" t="s">
        <v>19</v>
      </c>
      <c r="C1829" s="313" t="s">
        <v>1466</v>
      </c>
      <c r="D1829" s="313" t="s">
        <v>35</v>
      </c>
      <c r="E1829" s="313" t="s">
        <v>24</v>
      </c>
    </row>
    <row r="1830" spans="1:5" x14ac:dyDescent="0.25">
      <c r="A1830" s="313" t="s">
        <v>685</v>
      </c>
      <c r="B1830" s="313" t="s">
        <v>19</v>
      </c>
      <c r="C1830" s="313" t="s">
        <v>1471</v>
      </c>
      <c r="D1830" s="313" t="s">
        <v>35</v>
      </c>
      <c r="E1830" s="313" t="s">
        <v>24</v>
      </c>
    </row>
    <row r="1831" spans="1:5" x14ac:dyDescent="0.25">
      <c r="A1831" s="313" t="s">
        <v>685</v>
      </c>
      <c r="B1831" s="313" t="s">
        <v>19</v>
      </c>
      <c r="C1831" s="313" t="s">
        <v>1475</v>
      </c>
      <c r="D1831" s="313" t="s">
        <v>35</v>
      </c>
      <c r="E1831" s="313" t="s">
        <v>24</v>
      </c>
    </row>
    <row r="1832" spans="1:5" x14ac:dyDescent="0.25">
      <c r="A1832" s="313" t="s">
        <v>685</v>
      </c>
      <c r="B1832" s="313" t="s">
        <v>19</v>
      </c>
      <c r="C1832" s="313" t="s">
        <v>20</v>
      </c>
      <c r="D1832" s="313" t="s">
        <v>35</v>
      </c>
      <c r="E1832" s="313" t="s">
        <v>24</v>
      </c>
    </row>
    <row r="1833" spans="1:5" x14ac:dyDescent="0.25">
      <c r="A1833" s="313" t="s">
        <v>685</v>
      </c>
      <c r="B1833" s="313" t="s">
        <v>19</v>
      </c>
      <c r="C1833" s="313" t="s">
        <v>1487</v>
      </c>
      <c r="D1833" s="313" t="s">
        <v>35</v>
      </c>
      <c r="E1833" s="313" t="s">
        <v>24</v>
      </c>
    </row>
    <row r="1834" spans="1:5" x14ac:dyDescent="0.25">
      <c r="A1834" s="313" t="s">
        <v>685</v>
      </c>
      <c r="B1834" s="313" t="s">
        <v>19</v>
      </c>
      <c r="C1834" s="313" t="s">
        <v>1495</v>
      </c>
      <c r="D1834" s="313" t="s">
        <v>35</v>
      </c>
      <c r="E1834" s="313" t="s">
        <v>24</v>
      </c>
    </row>
    <row r="1835" spans="1:5" x14ac:dyDescent="0.25">
      <c r="A1835" s="313" t="s">
        <v>685</v>
      </c>
      <c r="B1835" s="313" t="s">
        <v>26</v>
      </c>
      <c r="C1835" s="313" t="s">
        <v>1506</v>
      </c>
      <c r="D1835" s="313" t="s">
        <v>24</v>
      </c>
      <c r="E1835" s="313" t="s">
        <v>1645</v>
      </c>
    </row>
    <row r="1836" spans="1:5" x14ac:dyDescent="0.25">
      <c r="A1836" s="313" t="s">
        <v>687</v>
      </c>
      <c r="B1836" s="313" t="s">
        <v>19</v>
      </c>
      <c r="C1836" s="313" t="s">
        <v>1466</v>
      </c>
      <c r="D1836" s="313" t="s">
        <v>35</v>
      </c>
      <c r="E1836" s="313" t="s">
        <v>24</v>
      </c>
    </row>
    <row r="1837" spans="1:5" x14ac:dyDescent="0.25">
      <c r="A1837" s="313" t="s">
        <v>687</v>
      </c>
      <c r="B1837" s="313" t="s">
        <v>19</v>
      </c>
      <c r="C1837" s="313" t="s">
        <v>1471</v>
      </c>
      <c r="D1837" s="313" t="s">
        <v>35</v>
      </c>
      <c r="E1837" s="313" t="s">
        <v>24</v>
      </c>
    </row>
    <row r="1838" spans="1:5" x14ac:dyDescent="0.25">
      <c r="A1838" s="313" t="s">
        <v>687</v>
      </c>
      <c r="B1838" s="313" t="s">
        <v>19</v>
      </c>
      <c r="C1838" s="313" t="s">
        <v>1475</v>
      </c>
      <c r="D1838" s="313" t="s">
        <v>35</v>
      </c>
      <c r="E1838" s="313" t="s">
        <v>24</v>
      </c>
    </row>
    <row r="1839" spans="1:5" x14ac:dyDescent="0.25">
      <c r="A1839" s="313" t="s">
        <v>687</v>
      </c>
      <c r="B1839" s="313" t="s">
        <v>19</v>
      </c>
      <c r="C1839" s="313" t="s">
        <v>20</v>
      </c>
      <c r="D1839" s="313" t="s">
        <v>35</v>
      </c>
      <c r="E1839" s="313" t="s">
        <v>24</v>
      </c>
    </row>
    <row r="1840" spans="1:5" x14ac:dyDescent="0.25">
      <c r="A1840" s="313" t="s">
        <v>687</v>
      </c>
      <c r="B1840" s="313" t="s">
        <v>19</v>
      </c>
      <c r="C1840" s="313" t="s">
        <v>1487</v>
      </c>
      <c r="D1840" s="313" t="s">
        <v>35</v>
      </c>
      <c r="E1840" s="313" t="s">
        <v>24</v>
      </c>
    </row>
    <row r="1841" spans="1:5" x14ac:dyDescent="0.25">
      <c r="A1841" s="313" t="s">
        <v>687</v>
      </c>
      <c r="B1841" s="313" t="s">
        <v>19</v>
      </c>
      <c r="C1841" s="313" t="s">
        <v>1495</v>
      </c>
      <c r="D1841" s="313" t="s">
        <v>35</v>
      </c>
      <c r="E1841" s="313" t="s">
        <v>24</v>
      </c>
    </row>
    <row r="1842" spans="1:5" x14ac:dyDescent="0.25">
      <c r="A1842" s="313" t="s">
        <v>687</v>
      </c>
      <c r="B1842" s="313" t="s">
        <v>26</v>
      </c>
      <c r="C1842" s="313" t="s">
        <v>1506</v>
      </c>
      <c r="D1842" s="313" t="s">
        <v>24</v>
      </c>
      <c r="E1842" s="313" t="s">
        <v>1646</v>
      </c>
    </row>
    <row r="1843" spans="1:5" x14ac:dyDescent="0.25">
      <c r="A1843" s="313" t="s">
        <v>689</v>
      </c>
      <c r="B1843" s="313" t="s">
        <v>19</v>
      </c>
      <c r="C1843" s="313" t="s">
        <v>1466</v>
      </c>
      <c r="D1843" s="313" t="s">
        <v>35</v>
      </c>
      <c r="E1843" s="313" t="s">
        <v>24</v>
      </c>
    </row>
    <row r="1844" spans="1:5" x14ac:dyDescent="0.25">
      <c r="A1844" s="313" t="s">
        <v>689</v>
      </c>
      <c r="B1844" s="313" t="s">
        <v>19</v>
      </c>
      <c r="C1844" s="313" t="s">
        <v>1471</v>
      </c>
      <c r="D1844" s="313" t="s">
        <v>35</v>
      </c>
      <c r="E1844" s="313" t="s">
        <v>24</v>
      </c>
    </row>
    <row r="1845" spans="1:5" x14ac:dyDescent="0.25">
      <c r="A1845" s="313" t="s">
        <v>689</v>
      </c>
      <c r="B1845" s="313" t="s">
        <v>19</v>
      </c>
      <c r="C1845" s="313" t="s">
        <v>1475</v>
      </c>
      <c r="D1845" s="313" t="s">
        <v>35</v>
      </c>
      <c r="E1845" s="313" t="s">
        <v>24</v>
      </c>
    </row>
    <row r="1846" spans="1:5" x14ac:dyDescent="0.25">
      <c r="A1846" s="313" t="s">
        <v>689</v>
      </c>
      <c r="B1846" s="313" t="s">
        <v>19</v>
      </c>
      <c r="C1846" s="313" t="s">
        <v>20</v>
      </c>
      <c r="D1846" s="313" t="s">
        <v>35</v>
      </c>
      <c r="E1846" s="313" t="s">
        <v>24</v>
      </c>
    </row>
    <row r="1847" spans="1:5" x14ac:dyDescent="0.25">
      <c r="A1847" s="313" t="s">
        <v>689</v>
      </c>
      <c r="B1847" s="313" t="s">
        <v>19</v>
      </c>
      <c r="C1847" s="313" t="s">
        <v>1487</v>
      </c>
      <c r="D1847" s="313" t="s">
        <v>35</v>
      </c>
      <c r="E1847" s="313" t="s">
        <v>24</v>
      </c>
    </row>
    <row r="1848" spans="1:5" x14ac:dyDescent="0.25">
      <c r="A1848" s="313" t="s">
        <v>689</v>
      </c>
      <c r="B1848" s="313" t="s">
        <v>19</v>
      </c>
      <c r="C1848" s="313" t="s">
        <v>1495</v>
      </c>
      <c r="D1848" s="313" t="s">
        <v>35</v>
      </c>
      <c r="E1848" s="313" t="s">
        <v>24</v>
      </c>
    </row>
    <row r="1849" spans="1:5" x14ac:dyDescent="0.25">
      <c r="A1849" s="313" t="s">
        <v>691</v>
      </c>
      <c r="B1849" s="313" t="s">
        <v>19</v>
      </c>
      <c r="C1849" s="313" t="s">
        <v>1466</v>
      </c>
      <c r="D1849" s="313" t="s">
        <v>35</v>
      </c>
      <c r="E1849" s="313" t="s">
        <v>24</v>
      </c>
    </row>
    <row r="1850" spans="1:5" x14ac:dyDescent="0.25">
      <c r="A1850" s="313" t="s">
        <v>691</v>
      </c>
      <c r="B1850" s="313" t="s">
        <v>19</v>
      </c>
      <c r="C1850" s="313" t="s">
        <v>1471</v>
      </c>
      <c r="D1850" s="313" t="s">
        <v>35</v>
      </c>
      <c r="E1850" s="313" t="s">
        <v>24</v>
      </c>
    </row>
    <row r="1851" spans="1:5" x14ac:dyDescent="0.25">
      <c r="A1851" s="313" t="s">
        <v>691</v>
      </c>
      <c r="B1851" s="313" t="s">
        <v>19</v>
      </c>
      <c r="C1851" s="313" t="s">
        <v>1475</v>
      </c>
      <c r="D1851" s="313" t="s">
        <v>19</v>
      </c>
      <c r="E1851" s="313" t="s">
        <v>1647</v>
      </c>
    </row>
    <row r="1852" spans="1:5" x14ac:dyDescent="0.25">
      <c r="A1852" s="313" t="s">
        <v>691</v>
      </c>
      <c r="B1852" s="313" t="s">
        <v>19</v>
      </c>
      <c r="C1852" s="313" t="s">
        <v>20</v>
      </c>
      <c r="D1852" s="313" t="s">
        <v>35</v>
      </c>
      <c r="E1852" s="313" t="s">
        <v>24</v>
      </c>
    </row>
    <row r="1853" spans="1:5" x14ac:dyDescent="0.25">
      <c r="A1853" s="313" t="s">
        <v>691</v>
      </c>
      <c r="B1853" s="313" t="s">
        <v>19</v>
      </c>
      <c r="C1853" s="313" t="s">
        <v>1487</v>
      </c>
      <c r="D1853" s="313" t="s">
        <v>26</v>
      </c>
      <c r="E1853" s="313" t="s">
        <v>24</v>
      </c>
    </row>
    <row r="1854" spans="1:5" x14ac:dyDescent="0.25">
      <c r="A1854" s="313" t="s">
        <v>691</v>
      </c>
      <c r="B1854" s="313" t="s">
        <v>19</v>
      </c>
      <c r="C1854" s="313" t="s">
        <v>1495</v>
      </c>
      <c r="D1854" s="313" t="s">
        <v>35</v>
      </c>
      <c r="E1854" s="313" t="s">
        <v>24</v>
      </c>
    </row>
    <row r="1855" spans="1:5" x14ac:dyDescent="0.25">
      <c r="A1855" s="313" t="s">
        <v>691</v>
      </c>
      <c r="B1855" s="313" t="s">
        <v>26</v>
      </c>
      <c r="C1855" s="313" t="s">
        <v>1514</v>
      </c>
      <c r="D1855" s="313" t="s">
        <v>24</v>
      </c>
      <c r="E1855" s="313" t="s">
        <v>1648</v>
      </c>
    </row>
    <row r="1856" spans="1:5" x14ac:dyDescent="0.25">
      <c r="A1856" s="313" t="s">
        <v>691</v>
      </c>
      <c r="B1856" s="313" t="s">
        <v>26</v>
      </c>
      <c r="C1856" s="313" t="s">
        <v>1515</v>
      </c>
      <c r="D1856" s="313" t="s">
        <v>24</v>
      </c>
      <c r="E1856" s="313" t="s">
        <v>1647</v>
      </c>
    </row>
    <row r="1857" spans="1:5" x14ac:dyDescent="0.25">
      <c r="A1857" s="313" t="s">
        <v>691</v>
      </c>
      <c r="B1857" s="313" t="s">
        <v>26</v>
      </c>
      <c r="C1857" s="313" t="s">
        <v>1516</v>
      </c>
      <c r="D1857" s="313" t="s">
        <v>24</v>
      </c>
      <c r="E1857" s="313" t="s">
        <v>1647</v>
      </c>
    </row>
    <row r="1858" spans="1:5" x14ac:dyDescent="0.25">
      <c r="A1858" s="313" t="s">
        <v>691</v>
      </c>
      <c r="B1858" s="313" t="s">
        <v>26</v>
      </c>
      <c r="C1858" s="313" t="s">
        <v>1517</v>
      </c>
      <c r="D1858" s="313" t="s">
        <v>24</v>
      </c>
      <c r="E1858" s="313" t="s">
        <v>1648</v>
      </c>
    </row>
    <row r="1859" spans="1:5" x14ac:dyDescent="0.25">
      <c r="A1859" s="313" t="s">
        <v>691</v>
      </c>
      <c r="B1859" s="313" t="s">
        <v>26</v>
      </c>
      <c r="C1859" s="313" t="s">
        <v>1518</v>
      </c>
      <c r="D1859" s="313" t="s">
        <v>24</v>
      </c>
      <c r="E1859" s="313" t="s">
        <v>1647</v>
      </c>
    </row>
    <row r="1860" spans="1:5" x14ac:dyDescent="0.25">
      <c r="A1860" s="313" t="s">
        <v>691</v>
      </c>
      <c r="B1860" s="313" t="s">
        <v>26</v>
      </c>
      <c r="C1860" s="313" t="s">
        <v>1519</v>
      </c>
      <c r="D1860" s="313" t="s">
        <v>24</v>
      </c>
      <c r="E1860" s="313" t="s">
        <v>1647</v>
      </c>
    </row>
    <row r="1861" spans="1:5" x14ac:dyDescent="0.25">
      <c r="A1861" s="313" t="s">
        <v>694</v>
      </c>
      <c r="B1861" s="313" t="s">
        <v>51</v>
      </c>
      <c r="C1861" s="313" t="s">
        <v>24</v>
      </c>
      <c r="D1861" s="313" t="s">
        <v>24</v>
      </c>
      <c r="E1861" s="313" t="s">
        <v>695</v>
      </c>
    </row>
    <row r="1862" spans="1:5" x14ac:dyDescent="0.25">
      <c r="A1862" s="313" t="s">
        <v>694</v>
      </c>
      <c r="B1862" s="313" t="s">
        <v>19</v>
      </c>
      <c r="C1862" s="313" t="s">
        <v>1466</v>
      </c>
      <c r="D1862" s="313" t="s">
        <v>51</v>
      </c>
      <c r="E1862" s="313" t="s">
        <v>24</v>
      </c>
    </row>
    <row r="1863" spans="1:5" x14ac:dyDescent="0.25">
      <c r="A1863" s="313" t="s">
        <v>694</v>
      </c>
      <c r="B1863" s="313" t="s">
        <v>19</v>
      </c>
      <c r="C1863" s="313" t="s">
        <v>1471</v>
      </c>
      <c r="D1863" s="313" t="s">
        <v>51</v>
      </c>
      <c r="E1863" s="313" t="s">
        <v>24</v>
      </c>
    </row>
    <row r="1864" spans="1:5" x14ac:dyDescent="0.25">
      <c r="A1864" s="313" t="s">
        <v>694</v>
      </c>
      <c r="B1864" s="313" t="s">
        <v>19</v>
      </c>
      <c r="C1864" s="313" t="s">
        <v>1475</v>
      </c>
      <c r="D1864" s="313" t="s">
        <v>51</v>
      </c>
      <c r="E1864" s="313" t="s">
        <v>24</v>
      </c>
    </row>
    <row r="1865" spans="1:5" x14ac:dyDescent="0.25">
      <c r="A1865" s="313" t="s">
        <v>694</v>
      </c>
      <c r="B1865" s="313" t="s">
        <v>19</v>
      </c>
      <c r="C1865" s="313" t="s">
        <v>20</v>
      </c>
      <c r="D1865" s="313" t="s">
        <v>51</v>
      </c>
      <c r="E1865" s="313" t="s">
        <v>24</v>
      </c>
    </row>
    <row r="1866" spans="1:5" x14ac:dyDescent="0.25">
      <c r="A1866" s="313" t="s">
        <v>694</v>
      </c>
      <c r="B1866" s="313" t="s">
        <v>19</v>
      </c>
      <c r="C1866" s="313" t="s">
        <v>1487</v>
      </c>
      <c r="D1866" s="313" t="s">
        <v>51</v>
      </c>
      <c r="E1866" s="313" t="s">
        <v>24</v>
      </c>
    </row>
    <row r="1867" spans="1:5" x14ac:dyDescent="0.25">
      <c r="A1867" s="313" t="s">
        <v>694</v>
      </c>
      <c r="B1867" s="313" t="s">
        <v>19</v>
      </c>
      <c r="C1867" s="313" t="s">
        <v>1495</v>
      </c>
      <c r="D1867" s="313" t="s">
        <v>51</v>
      </c>
      <c r="E1867" s="313" t="s">
        <v>24</v>
      </c>
    </row>
    <row r="1868" spans="1:5" x14ac:dyDescent="0.25">
      <c r="A1868" s="313" t="s">
        <v>698</v>
      </c>
      <c r="B1868" s="313" t="s">
        <v>19</v>
      </c>
      <c r="C1868" s="313" t="s">
        <v>1466</v>
      </c>
      <c r="D1868" s="313" t="s">
        <v>35</v>
      </c>
      <c r="E1868" s="313" t="s">
        <v>24</v>
      </c>
    </row>
    <row r="1869" spans="1:5" x14ac:dyDescent="0.25">
      <c r="A1869" s="313" t="s">
        <v>698</v>
      </c>
      <c r="B1869" s="313" t="s">
        <v>19</v>
      </c>
      <c r="C1869" s="313" t="s">
        <v>1471</v>
      </c>
      <c r="D1869" s="313" t="s">
        <v>35</v>
      </c>
      <c r="E1869" s="313" t="s">
        <v>24</v>
      </c>
    </row>
    <row r="1870" spans="1:5" x14ac:dyDescent="0.25">
      <c r="A1870" s="313" t="s">
        <v>698</v>
      </c>
      <c r="B1870" s="313" t="s">
        <v>19</v>
      </c>
      <c r="C1870" s="313" t="s">
        <v>1475</v>
      </c>
      <c r="D1870" s="313" t="s">
        <v>35</v>
      </c>
      <c r="E1870" s="313" t="s">
        <v>24</v>
      </c>
    </row>
    <row r="1871" spans="1:5" x14ac:dyDescent="0.25">
      <c r="A1871" s="313" t="s">
        <v>698</v>
      </c>
      <c r="B1871" s="313" t="s">
        <v>19</v>
      </c>
      <c r="C1871" s="313" t="s">
        <v>20</v>
      </c>
      <c r="D1871" s="313" t="s">
        <v>35</v>
      </c>
      <c r="E1871" s="313" t="s">
        <v>24</v>
      </c>
    </row>
    <row r="1872" spans="1:5" x14ac:dyDescent="0.25">
      <c r="A1872" s="313" t="s">
        <v>698</v>
      </c>
      <c r="B1872" s="313" t="s">
        <v>19</v>
      </c>
      <c r="C1872" s="313" t="s">
        <v>1487</v>
      </c>
      <c r="D1872" s="313" t="s">
        <v>35</v>
      </c>
      <c r="E1872" s="313" t="s">
        <v>24</v>
      </c>
    </row>
    <row r="1873" spans="1:5" x14ac:dyDescent="0.25">
      <c r="A1873" s="313" t="s">
        <v>698</v>
      </c>
      <c r="B1873" s="313" t="s">
        <v>19</v>
      </c>
      <c r="C1873" s="313" t="s">
        <v>1495</v>
      </c>
      <c r="D1873" s="313" t="s">
        <v>35</v>
      </c>
      <c r="E1873" s="313" t="s">
        <v>24</v>
      </c>
    </row>
    <row r="1874" spans="1:5" x14ac:dyDescent="0.25">
      <c r="A1874" s="313" t="s">
        <v>700</v>
      </c>
      <c r="B1874" s="313" t="s">
        <v>19</v>
      </c>
      <c r="C1874" s="313" t="s">
        <v>1466</v>
      </c>
      <c r="D1874" s="313" t="s">
        <v>19</v>
      </c>
      <c r="E1874" s="313" t="s">
        <v>701</v>
      </c>
    </row>
    <row r="1875" spans="1:5" x14ac:dyDescent="0.25">
      <c r="A1875" s="313" t="s">
        <v>700</v>
      </c>
      <c r="B1875" s="313" t="s">
        <v>19</v>
      </c>
      <c r="C1875" s="313" t="s">
        <v>1471</v>
      </c>
      <c r="D1875" s="313" t="s">
        <v>26</v>
      </c>
      <c r="E1875" s="313" t="s">
        <v>24</v>
      </c>
    </row>
    <row r="1876" spans="1:5" x14ac:dyDescent="0.25">
      <c r="A1876" s="313" t="s">
        <v>700</v>
      </c>
      <c r="B1876" s="313" t="s">
        <v>19</v>
      </c>
      <c r="C1876" s="313" t="s">
        <v>1475</v>
      </c>
      <c r="D1876" s="313" t="s">
        <v>26</v>
      </c>
      <c r="E1876" s="313" t="s">
        <v>24</v>
      </c>
    </row>
    <row r="1877" spans="1:5" x14ac:dyDescent="0.25">
      <c r="A1877" s="313" t="s">
        <v>700</v>
      </c>
      <c r="B1877" s="313" t="s">
        <v>19</v>
      </c>
      <c r="C1877" s="313" t="s">
        <v>20</v>
      </c>
      <c r="D1877" s="313" t="s">
        <v>19</v>
      </c>
      <c r="E1877" s="313" t="s">
        <v>701</v>
      </c>
    </row>
    <row r="1878" spans="1:5" x14ac:dyDescent="0.25">
      <c r="A1878" s="313" t="s">
        <v>700</v>
      </c>
      <c r="B1878" s="313" t="s">
        <v>19</v>
      </c>
      <c r="C1878" s="313" t="s">
        <v>1487</v>
      </c>
      <c r="D1878" s="313" t="s">
        <v>26</v>
      </c>
      <c r="E1878" s="313" t="s">
        <v>24</v>
      </c>
    </row>
    <row r="1879" spans="1:5" x14ac:dyDescent="0.25">
      <c r="A1879" s="313" t="s">
        <v>700</v>
      </c>
      <c r="B1879" s="313" t="s">
        <v>19</v>
      </c>
      <c r="C1879" s="313" t="s">
        <v>1495</v>
      </c>
      <c r="D1879" s="313" t="s">
        <v>35</v>
      </c>
      <c r="E1879" s="313" t="s">
        <v>24</v>
      </c>
    </row>
    <row r="1880" spans="1:5" x14ac:dyDescent="0.25">
      <c r="A1880" s="313" t="s">
        <v>700</v>
      </c>
      <c r="B1880" s="313" t="s">
        <v>26</v>
      </c>
      <c r="C1880" s="313" t="s">
        <v>2929</v>
      </c>
      <c r="D1880" s="313" t="s">
        <v>24</v>
      </c>
      <c r="E1880" s="313" t="s">
        <v>701</v>
      </c>
    </row>
    <row r="1881" spans="1:5" x14ac:dyDescent="0.25">
      <c r="A1881" s="313" t="s">
        <v>700</v>
      </c>
      <c r="B1881" s="313" t="s">
        <v>26</v>
      </c>
      <c r="C1881" s="313" t="s">
        <v>2930</v>
      </c>
      <c r="D1881" s="313" t="s">
        <v>24</v>
      </c>
      <c r="E1881" s="313" t="s">
        <v>35</v>
      </c>
    </row>
    <row r="1882" spans="1:5" x14ac:dyDescent="0.25">
      <c r="A1882" s="313" t="s">
        <v>700</v>
      </c>
      <c r="B1882" s="313" t="s">
        <v>26</v>
      </c>
      <c r="C1882" s="313" t="s">
        <v>1506</v>
      </c>
      <c r="D1882" s="313" t="s">
        <v>24</v>
      </c>
      <c r="E1882" s="313" t="s">
        <v>701</v>
      </c>
    </row>
    <row r="1883" spans="1:5" x14ac:dyDescent="0.25">
      <c r="A1883" s="313" t="s">
        <v>700</v>
      </c>
      <c r="B1883" s="313" t="s">
        <v>26</v>
      </c>
      <c r="C1883" s="313" t="s">
        <v>1507</v>
      </c>
      <c r="D1883" s="313" t="s">
        <v>24</v>
      </c>
      <c r="E1883" s="313" t="s">
        <v>701</v>
      </c>
    </row>
    <row r="1884" spans="1:5" x14ac:dyDescent="0.25">
      <c r="A1884" s="313" t="s">
        <v>700</v>
      </c>
      <c r="B1884" s="313" t="s">
        <v>26</v>
      </c>
      <c r="C1884" s="313" t="s">
        <v>1508</v>
      </c>
      <c r="D1884" s="313" t="s">
        <v>24</v>
      </c>
      <c r="E1884" s="313" t="s">
        <v>1649</v>
      </c>
    </row>
    <row r="1885" spans="1:5" x14ac:dyDescent="0.25">
      <c r="A1885" s="313" t="s">
        <v>700</v>
      </c>
      <c r="B1885" s="313" t="s">
        <v>26</v>
      </c>
      <c r="C1885" s="313" t="s">
        <v>1514</v>
      </c>
      <c r="D1885" s="313" t="s">
        <v>24</v>
      </c>
      <c r="E1885" s="313" t="s">
        <v>701</v>
      </c>
    </row>
    <row r="1886" spans="1:5" x14ac:dyDescent="0.25">
      <c r="A1886" s="313" t="s">
        <v>700</v>
      </c>
      <c r="B1886" s="313" t="s">
        <v>26</v>
      </c>
      <c r="C1886" s="313" t="s">
        <v>1515</v>
      </c>
      <c r="D1886" s="313" t="s">
        <v>24</v>
      </c>
      <c r="E1886" s="313" t="s">
        <v>701</v>
      </c>
    </row>
    <row r="1887" spans="1:5" x14ac:dyDescent="0.25">
      <c r="A1887" s="313" t="s">
        <v>700</v>
      </c>
      <c r="B1887" s="313" t="s">
        <v>26</v>
      </c>
      <c r="C1887" s="313" t="s">
        <v>1516</v>
      </c>
      <c r="D1887" s="313" t="s">
        <v>24</v>
      </c>
      <c r="E1887" s="313" t="s">
        <v>701</v>
      </c>
    </row>
    <row r="1888" spans="1:5" x14ac:dyDescent="0.25">
      <c r="A1888" s="313" t="s">
        <v>700</v>
      </c>
      <c r="B1888" s="313" t="s">
        <v>26</v>
      </c>
      <c r="C1888" s="313" t="s">
        <v>1517</v>
      </c>
      <c r="D1888" s="313" t="s">
        <v>24</v>
      </c>
      <c r="E1888" s="313" t="s">
        <v>701</v>
      </c>
    </row>
    <row r="1889" spans="1:5" x14ac:dyDescent="0.25">
      <c r="A1889" s="313" t="s">
        <v>700</v>
      </c>
      <c r="B1889" s="313" t="s">
        <v>26</v>
      </c>
      <c r="C1889" s="313" t="s">
        <v>1518</v>
      </c>
      <c r="D1889" s="313" t="s">
        <v>24</v>
      </c>
      <c r="E1889" s="313" t="s">
        <v>701</v>
      </c>
    </row>
    <row r="1890" spans="1:5" x14ac:dyDescent="0.25">
      <c r="A1890" s="313" t="s">
        <v>700</v>
      </c>
      <c r="B1890" s="313" t="s">
        <v>26</v>
      </c>
      <c r="C1890" s="313" t="s">
        <v>1519</v>
      </c>
      <c r="D1890" s="313" t="s">
        <v>24</v>
      </c>
      <c r="E1890" s="313" t="s">
        <v>1649</v>
      </c>
    </row>
    <row r="1891" spans="1:5" x14ac:dyDescent="0.25">
      <c r="A1891" s="313" t="s">
        <v>706</v>
      </c>
      <c r="B1891" s="313" t="s">
        <v>19</v>
      </c>
      <c r="C1891" s="313" t="s">
        <v>1466</v>
      </c>
      <c r="D1891" s="313" t="s">
        <v>26</v>
      </c>
      <c r="E1891" s="313" t="s">
        <v>24</v>
      </c>
    </row>
    <row r="1892" spans="1:5" x14ac:dyDescent="0.25">
      <c r="A1892" s="313" t="s">
        <v>706</v>
      </c>
      <c r="B1892" s="313" t="s">
        <v>19</v>
      </c>
      <c r="C1892" s="313" t="s">
        <v>1471</v>
      </c>
      <c r="D1892" s="313" t="s">
        <v>26</v>
      </c>
      <c r="E1892" s="313" t="s">
        <v>24</v>
      </c>
    </row>
    <row r="1893" spans="1:5" x14ac:dyDescent="0.25">
      <c r="A1893" s="313" t="s">
        <v>706</v>
      </c>
      <c r="B1893" s="313" t="s">
        <v>19</v>
      </c>
      <c r="C1893" s="313" t="s">
        <v>1475</v>
      </c>
      <c r="D1893" s="313" t="s">
        <v>19</v>
      </c>
      <c r="E1893" s="313" t="s">
        <v>707</v>
      </c>
    </row>
    <row r="1894" spans="1:5" x14ac:dyDescent="0.25">
      <c r="A1894" s="313" t="s">
        <v>706</v>
      </c>
      <c r="B1894" s="313" t="s">
        <v>19</v>
      </c>
      <c r="C1894" s="313" t="s">
        <v>20</v>
      </c>
      <c r="D1894" s="313" t="s">
        <v>26</v>
      </c>
      <c r="E1894" s="313" t="s">
        <v>24</v>
      </c>
    </row>
    <row r="1895" spans="1:5" x14ac:dyDescent="0.25">
      <c r="A1895" s="313" t="s">
        <v>706</v>
      </c>
      <c r="B1895" s="313" t="s">
        <v>19</v>
      </c>
      <c r="C1895" s="313" t="s">
        <v>1487</v>
      </c>
      <c r="D1895" s="313" t="s">
        <v>35</v>
      </c>
      <c r="E1895" s="313" t="s">
        <v>24</v>
      </c>
    </row>
    <row r="1896" spans="1:5" x14ac:dyDescent="0.25">
      <c r="A1896" s="313" t="s">
        <v>706</v>
      </c>
      <c r="B1896" s="313" t="s">
        <v>19</v>
      </c>
      <c r="C1896" s="313" t="s">
        <v>1495</v>
      </c>
      <c r="D1896" s="313" t="s">
        <v>35</v>
      </c>
      <c r="E1896" s="313" t="s">
        <v>24</v>
      </c>
    </row>
    <row r="1897" spans="1:5" x14ac:dyDescent="0.25">
      <c r="A1897" s="313" t="s">
        <v>706</v>
      </c>
      <c r="B1897" s="313" t="s">
        <v>26</v>
      </c>
      <c r="C1897" s="313" t="s">
        <v>1501</v>
      </c>
      <c r="D1897" s="313" t="s">
        <v>24</v>
      </c>
      <c r="E1897" s="313" t="s">
        <v>1650</v>
      </c>
    </row>
    <row r="1898" spans="1:5" x14ac:dyDescent="0.25">
      <c r="A1898" s="313" t="s">
        <v>706</v>
      </c>
      <c r="B1898" s="313" t="s">
        <v>26</v>
      </c>
      <c r="C1898" s="313" t="s">
        <v>1502</v>
      </c>
      <c r="D1898" s="313" t="s">
        <v>24</v>
      </c>
      <c r="E1898" s="313" t="s">
        <v>707</v>
      </c>
    </row>
    <row r="1899" spans="1:5" x14ac:dyDescent="0.25">
      <c r="A1899" s="313" t="s">
        <v>706</v>
      </c>
      <c r="B1899" s="313" t="s">
        <v>26</v>
      </c>
      <c r="C1899" s="313" t="s">
        <v>1503</v>
      </c>
      <c r="D1899" s="313" t="s">
        <v>24</v>
      </c>
      <c r="E1899" s="313" t="s">
        <v>1650</v>
      </c>
    </row>
    <row r="1900" spans="1:5" x14ac:dyDescent="0.25">
      <c r="A1900" s="313" t="s">
        <v>706</v>
      </c>
      <c r="B1900" s="313" t="s">
        <v>26</v>
      </c>
      <c r="C1900" s="313" t="s">
        <v>2929</v>
      </c>
      <c r="D1900" s="313" t="s">
        <v>24</v>
      </c>
      <c r="E1900" s="313" t="s">
        <v>707</v>
      </c>
    </row>
    <row r="1901" spans="1:5" x14ac:dyDescent="0.25">
      <c r="A1901" s="313" t="s">
        <v>706</v>
      </c>
      <c r="B1901" s="313" t="s">
        <v>26</v>
      </c>
      <c r="C1901" s="313" t="s">
        <v>2930</v>
      </c>
      <c r="D1901" s="313" t="s">
        <v>24</v>
      </c>
      <c r="E1901" s="313" t="s">
        <v>35</v>
      </c>
    </row>
    <row r="1902" spans="1:5" x14ac:dyDescent="0.25">
      <c r="A1902" s="313" t="s">
        <v>706</v>
      </c>
      <c r="B1902" s="313" t="s">
        <v>26</v>
      </c>
      <c r="C1902" s="313" t="s">
        <v>1509</v>
      </c>
      <c r="D1902" s="313" t="s">
        <v>24</v>
      </c>
      <c r="E1902" s="313" t="s">
        <v>707</v>
      </c>
    </row>
    <row r="1903" spans="1:5" x14ac:dyDescent="0.25">
      <c r="A1903" s="313" t="s">
        <v>706</v>
      </c>
      <c r="B1903" s="313" t="s">
        <v>26</v>
      </c>
      <c r="C1903" s="313" t="s">
        <v>1510</v>
      </c>
      <c r="D1903" s="313" t="s">
        <v>24</v>
      </c>
      <c r="E1903" s="313" t="s">
        <v>1650</v>
      </c>
    </row>
    <row r="1904" spans="1:5" x14ac:dyDescent="0.25">
      <c r="A1904" s="313" t="s">
        <v>706</v>
      </c>
      <c r="B1904" s="313" t="s">
        <v>26</v>
      </c>
      <c r="C1904" s="313" t="s">
        <v>1511</v>
      </c>
      <c r="D1904" s="313" t="s">
        <v>24</v>
      </c>
      <c r="E1904" s="313" t="s">
        <v>707</v>
      </c>
    </row>
    <row r="1905" spans="1:5" x14ac:dyDescent="0.25">
      <c r="A1905" s="313" t="s">
        <v>706</v>
      </c>
      <c r="B1905" s="313" t="s">
        <v>26</v>
      </c>
      <c r="C1905" s="313" t="s">
        <v>27</v>
      </c>
      <c r="D1905" s="313" t="s">
        <v>24</v>
      </c>
      <c r="E1905" s="313" t="s">
        <v>707</v>
      </c>
    </row>
    <row r="1906" spans="1:5" x14ac:dyDescent="0.25">
      <c r="A1906" s="313" t="s">
        <v>706</v>
      </c>
      <c r="B1906" s="313" t="s">
        <v>26</v>
      </c>
      <c r="C1906" s="313" t="s">
        <v>1512</v>
      </c>
      <c r="D1906" s="313" t="s">
        <v>24</v>
      </c>
      <c r="E1906" s="313" t="s">
        <v>1650</v>
      </c>
    </row>
    <row r="1907" spans="1:5" x14ac:dyDescent="0.25">
      <c r="A1907" s="313" t="s">
        <v>706</v>
      </c>
      <c r="B1907" s="313" t="s">
        <v>26</v>
      </c>
      <c r="C1907" s="313" t="s">
        <v>1513</v>
      </c>
      <c r="D1907" s="313" t="s">
        <v>24</v>
      </c>
      <c r="E1907" s="313" t="s">
        <v>707</v>
      </c>
    </row>
    <row r="1908" spans="1:5" x14ac:dyDescent="0.25">
      <c r="A1908" s="313" t="s">
        <v>710</v>
      </c>
      <c r="B1908" s="313" t="s">
        <v>19</v>
      </c>
      <c r="C1908" s="313" t="s">
        <v>1466</v>
      </c>
      <c r="D1908" s="313" t="s">
        <v>26</v>
      </c>
      <c r="E1908" s="313" t="s">
        <v>24</v>
      </c>
    </row>
    <row r="1909" spans="1:5" x14ac:dyDescent="0.25">
      <c r="A1909" s="313" t="s">
        <v>710</v>
      </c>
      <c r="B1909" s="313" t="s">
        <v>19</v>
      </c>
      <c r="C1909" s="313" t="s">
        <v>1471</v>
      </c>
      <c r="D1909" s="313" t="s">
        <v>35</v>
      </c>
      <c r="E1909" s="313" t="s">
        <v>24</v>
      </c>
    </row>
    <row r="1910" spans="1:5" x14ac:dyDescent="0.25">
      <c r="A1910" s="313" t="s">
        <v>710</v>
      </c>
      <c r="B1910" s="313" t="s">
        <v>19</v>
      </c>
      <c r="C1910" s="313" t="s">
        <v>1475</v>
      </c>
      <c r="D1910" s="313" t="s">
        <v>35</v>
      </c>
      <c r="E1910" s="313" t="s">
        <v>24</v>
      </c>
    </row>
    <row r="1911" spans="1:5" x14ac:dyDescent="0.25">
      <c r="A1911" s="313" t="s">
        <v>710</v>
      </c>
      <c r="B1911" s="313" t="s">
        <v>19</v>
      </c>
      <c r="C1911" s="313" t="s">
        <v>20</v>
      </c>
      <c r="D1911" s="313" t="s">
        <v>35</v>
      </c>
      <c r="E1911" s="313" t="s">
        <v>24</v>
      </c>
    </row>
    <row r="1912" spans="1:5" x14ac:dyDescent="0.25">
      <c r="A1912" s="313" t="s">
        <v>710</v>
      </c>
      <c r="B1912" s="313" t="s">
        <v>19</v>
      </c>
      <c r="C1912" s="313" t="s">
        <v>1487</v>
      </c>
      <c r="D1912" s="313" t="s">
        <v>35</v>
      </c>
      <c r="E1912" s="313" t="s">
        <v>24</v>
      </c>
    </row>
    <row r="1913" spans="1:5" x14ac:dyDescent="0.25">
      <c r="A1913" s="313" t="s">
        <v>710</v>
      </c>
      <c r="B1913" s="313" t="s">
        <v>19</v>
      </c>
      <c r="C1913" s="313" t="s">
        <v>1495</v>
      </c>
      <c r="D1913" s="313" t="s">
        <v>35</v>
      </c>
      <c r="E1913" s="313" t="s">
        <v>24</v>
      </c>
    </row>
    <row r="1914" spans="1:5" x14ac:dyDescent="0.25">
      <c r="A1914" s="313" t="s">
        <v>710</v>
      </c>
      <c r="B1914" s="313" t="s">
        <v>26</v>
      </c>
      <c r="C1914" s="313" t="s">
        <v>1501</v>
      </c>
      <c r="D1914" s="313" t="s">
        <v>24</v>
      </c>
      <c r="E1914" s="313" t="s">
        <v>1651</v>
      </c>
    </row>
    <row r="1915" spans="1:5" x14ac:dyDescent="0.25">
      <c r="A1915" s="313" t="s">
        <v>710</v>
      </c>
      <c r="B1915" s="313" t="s">
        <v>26</v>
      </c>
      <c r="C1915" s="313" t="s">
        <v>1502</v>
      </c>
      <c r="D1915" s="313" t="s">
        <v>24</v>
      </c>
      <c r="E1915" s="313" t="s">
        <v>46</v>
      </c>
    </row>
    <row r="1916" spans="1:5" x14ac:dyDescent="0.25">
      <c r="A1916" s="313" t="s">
        <v>710</v>
      </c>
      <c r="B1916" s="313" t="s">
        <v>26</v>
      </c>
      <c r="C1916" s="313" t="s">
        <v>1503</v>
      </c>
      <c r="D1916" s="313" t="s">
        <v>24</v>
      </c>
      <c r="E1916" s="313" t="s">
        <v>1651</v>
      </c>
    </row>
    <row r="1917" spans="1:5" x14ac:dyDescent="0.25">
      <c r="A1917" s="313" t="s">
        <v>710</v>
      </c>
      <c r="B1917" s="313" t="s">
        <v>26</v>
      </c>
      <c r="C1917" s="313" t="s">
        <v>2929</v>
      </c>
      <c r="D1917" s="313" t="s">
        <v>24</v>
      </c>
      <c r="E1917" s="313" t="s">
        <v>46</v>
      </c>
    </row>
    <row r="1918" spans="1:5" x14ac:dyDescent="0.25">
      <c r="A1918" s="313" t="s">
        <v>712</v>
      </c>
      <c r="B1918" s="313" t="s">
        <v>19</v>
      </c>
      <c r="C1918" s="313" t="s">
        <v>1466</v>
      </c>
      <c r="D1918" s="313" t="s">
        <v>26</v>
      </c>
      <c r="E1918" s="313" t="s">
        <v>24</v>
      </c>
    </row>
    <row r="1919" spans="1:5" x14ac:dyDescent="0.25">
      <c r="A1919" s="313" t="s">
        <v>712</v>
      </c>
      <c r="B1919" s="313" t="s">
        <v>19</v>
      </c>
      <c r="C1919" s="313" t="s">
        <v>1471</v>
      </c>
      <c r="D1919" s="313" t="s">
        <v>35</v>
      </c>
      <c r="E1919" s="313" t="s">
        <v>24</v>
      </c>
    </row>
    <row r="1920" spans="1:5" x14ac:dyDescent="0.25">
      <c r="A1920" s="313" t="s">
        <v>712</v>
      </c>
      <c r="B1920" s="313" t="s">
        <v>19</v>
      </c>
      <c r="C1920" s="313" t="s">
        <v>1475</v>
      </c>
      <c r="D1920" s="313" t="s">
        <v>35</v>
      </c>
      <c r="E1920" s="313" t="s">
        <v>24</v>
      </c>
    </row>
    <row r="1921" spans="1:5" x14ac:dyDescent="0.25">
      <c r="A1921" s="313" t="s">
        <v>712</v>
      </c>
      <c r="B1921" s="313" t="s">
        <v>19</v>
      </c>
      <c r="C1921" s="313" t="s">
        <v>20</v>
      </c>
      <c r="D1921" s="313" t="s">
        <v>35</v>
      </c>
      <c r="E1921" s="313" t="s">
        <v>24</v>
      </c>
    </row>
    <row r="1922" spans="1:5" x14ac:dyDescent="0.25">
      <c r="A1922" s="313" t="s">
        <v>712</v>
      </c>
      <c r="B1922" s="313" t="s">
        <v>19</v>
      </c>
      <c r="C1922" s="313" t="s">
        <v>1487</v>
      </c>
      <c r="D1922" s="313" t="s">
        <v>35</v>
      </c>
      <c r="E1922" s="313" t="s">
        <v>24</v>
      </c>
    </row>
    <row r="1923" spans="1:5" x14ac:dyDescent="0.25">
      <c r="A1923" s="313" t="s">
        <v>712</v>
      </c>
      <c r="B1923" s="313" t="s">
        <v>19</v>
      </c>
      <c r="C1923" s="313" t="s">
        <v>1495</v>
      </c>
      <c r="D1923" s="313" t="s">
        <v>35</v>
      </c>
      <c r="E1923" s="313" t="s">
        <v>24</v>
      </c>
    </row>
    <row r="1924" spans="1:5" x14ac:dyDescent="0.25">
      <c r="A1924" s="313" t="s">
        <v>712</v>
      </c>
      <c r="B1924" s="313" t="s">
        <v>26</v>
      </c>
      <c r="C1924" s="313" t="s">
        <v>1501</v>
      </c>
      <c r="D1924" s="313" t="s">
        <v>24</v>
      </c>
      <c r="E1924" s="313" t="s">
        <v>1652</v>
      </c>
    </row>
    <row r="1925" spans="1:5" x14ac:dyDescent="0.25">
      <c r="A1925" s="313" t="s">
        <v>712</v>
      </c>
      <c r="B1925" s="313" t="s">
        <v>26</v>
      </c>
      <c r="C1925" s="313" t="s">
        <v>1502</v>
      </c>
      <c r="D1925" s="313" t="s">
        <v>24</v>
      </c>
      <c r="E1925" s="313" t="s">
        <v>46</v>
      </c>
    </row>
    <row r="1926" spans="1:5" x14ac:dyDescent="0.25">
      <c r="A1926" s="313" t="s">
        <v>712</v>
      </c>
      <c r="B1926" s="313" t="s">
        <v>26</v>
      </c>
      <c r="C1926" s="313" t="s">
        <v>1503</v>
      </c>
      <c r="D1926" s="313" t="s">
        <v>24</v>
      </c>
      <c r="E1926" s="313" t="s">
        <v>1652</v>
      </c>
    </row>
    <row r="1927" spans="1:5" x14ac:dyDescent="0.25">
      <c r="A1927" s="313" t="s">
        <v>712</v>
      </c>
      <c r="B1927" s="313" t="s">
        <v>26</v>
      </c>
      <c r="C1927" s="313" t="s">
        <v>2929</v>
      </c>
      <c r="D1927" s="313" t="s">
        <v>24</v>
      </c>
      <c r="E1927" s="313" t="s">
        <v>46</v>
      </c>
    </row>
    <row r="1928" spans="1:5" x14ac:dyDescent="0.25">
      <c r="A1928" s="313" t="s">
        <v>714</v>
      </c>
      <c r="B1928" s="313" t="s">
        <v>19</v>
      </c>
      <c r="C1928" s="313" t="s">
        <v>1466</v>
      </c>
      <c r="D1928" s="313" t="s">
        <v>26</v>
      </c>
      <c r="E1928" s="313" t="s">
        <v>24</v>
      </c>
    </row>
    <row r="1929" spans="1:5" x14ac:dyDescent="0.25">
      <c r="A1929" s="313" t="s">
        <v>714</v>
      </c>
      <c r="B1929" s="313" t="s">
        <v>19</v>
      </c>
      <c r="C1929" s="313" t="s">
        <v>1471</v>
      </c>
      <c r="D1929" s="313" t="s">
        <v>35</v>
      </c>
      <c r="E1929" s="313" t="s">
        <v>24</v>
      </c>
    </row>
    <row r="1930" spans="1:5" x14ac:dyDescent="0.25">
      <c r="A1930" s="313" t="s">
        <v>714</v>
      </c>
      <c r="B1930" s="313" t="s">
        <v>19</v>
      </c>
      <c r="C1930" s="313" t="s">
        <v>1475</v>
      </c>
      <c r="D1930" s="313" t="s">
        <v>35</v>
      </c>
      <c r="E1930" s="313" t="s">
        <v>24</v>
      </c>
    </row>
    <row r="1931" spans="1:5" x14ac:dyDescent="0.25">
      <c r="A1931" s="313" t="s">
        <v>714</v>
      </c>
      <c r="B1931" s="313" t="s">
        <v>19</v>
      </c>
      <c r="C1931" s="313" t="s">
        <v>20</v>
      </c>
      <c r="D1931" s="313" t="s">
        <v>35</v>
      </c>
      <c r="E1931" s="313" t="s">
        <v>24</v>
      </c>
    </row>
    <row r="1932" spans="1:5" x14ac:dyDescent="0.25">
      <c r="A1932" s="313" t="s">
        <v>714</v>
      </c>
      <c r="B1932" s="313" t="s">
        <v>19</v>
      </c>
      <c r="C1932" s="313" t="s">
        <v>1487</v>
      </c>
      <c r="D1932" s="313" t="s">
        <v>35</v>
      </c>
      <c r="E1932" s="313" t="s">
        <v>24</v>
      </c>
    </row>
    <row r="1933" spans="1:5" x14ac:dyDescent="0.25">
      <c r="A1933" s="313" t="s">
        <v>714</v>
      </c>
      <c r="B1933" s="313" t="s">
        <v>19</v>
      </c>
      <c r="C1933" s="313" t="s">
        <v>1495</v>
      </c>
      <c r="D1933" s="313" t="s">
        <v>35</v>
      </c>
      <c r="E1933" s="313" t="s">
        <v>24</v>
      </c>
    </row>
    <row r="1934" spans="1:5" x14ac:dyDescent="0.25">
      <c r="A1934" s="313" t="s">
        <v>714</v>
      </c>
      <c r="B1934" s="313" t="s">
        <v>26</v>
      </c>
      <c r="C1934" s="313" t="s">
        <v>1501</v>
      </c>
      <c r="D1934" s="313" t="s">
        <v>24</v>
      </c>
      <c r="E1934" s="313" t="s">
        <v>1653</v>
      </c>
    </row>
    <row r="1935" spans="1:5" x14ac:dyDescent="0.25">
      <c r="A1935" s="313" t="s">
        <v>714</v>
      </c>
      <c r="B1935" s="313" t="s">
        <v>26</v>
      </c>
      <c r="C1935" s="313" t="s">
        <v>1502</v>
      </c>
      <c r="D1935" s="313" t="s">
        <v>24</v>
      </c>
      <c r="E1935" s="313" t="s">
        <v>46</v>
      </c>
    </row>
    <row r="1936" spans="1:5" x14ac:dyDescent="0.25">
      <c r="A1936" s="313" t="s">
        <v>714</v>
      </c>
      <c r="B1936" s="313" t="s">
        <v>26</v>
      </c>
      <c r="C1936" s="313" t="s">
        <v>1503</v>
      </c>
      <c r="D1936" s="313" t="s">
        <v>24</v>
      </c>
      <c r="E1936" s="313" t="s">
        <v>1653</v>
      </c>
    </row>
    <row r="1937" spans="1:5" x14ac:dyDescent="0.25">
      <c r="A1937" s="313" t="s">
        <v>714</v>
      </c>
      <c r="B1937" s="313" t="s">
        <v>26</v>
      </c>
      <c r="C1937" s="313" t="s">
        <v>2929</v>
      </c>
      <c r="D1937" s="313" t="s">
        <v>24</v>
      </c>
      <c r="E1937" s="313" t="s">
        <v>46</v>
      </c>
    </row>
    <row r="1938" spans="1:5" x14ac:dyDescent="0.25">
      <c r="A1938" s="313" t="s">
        <v>716</v>
      </c>
      <c r="B1938" s="313" t="s">
        <v>19</v>
      </c>
      <c r="C1938" s="313" t="s">
        <v>1466</v>
      </c>
      <c r="D1938" s="313" t="s">
        <v>19</v>
      </c>
      <c r="E1938" s="313" t="s">
        <v>717</v>
      </c>
    </row>
    <row r="1939" spans="1:5" x14ac:dyDescent="0.25">
      <c r="A1939" s="313" t="s">
        <v>716</v>
      </c>
      <c r="B1939" s="313" t="s">
        <v>19</v>
      </c>
      <c r="C1939" s="313" t="s">
        <v>1471</v>
      </c>
      <c r="D1939" s="313" t="s">
        <v>26</v>
      </c>
      <c r="E1939" s="313" t="s">
        <v>24</v>
      </c>
    </row>
    <row r="1940" spans="1:5" x14ac:dyDescent="0.25">
      <c r="A1940" s="313" t="s">
        <v>716</v>
      </c>
      <c r="B1940" s="313" t="s">
        <v>19</v>
      </c>
      <c r="C1940" s="313" t="s">
        <v>1475</v>
      </c>
      <c r="D1940" s="313" t="s">
        <v>19</v>
      </c>
      <c r="E1940" s="313" t="s">
        <v>46</v>
      </c>
    </row>
    <row r="1941" spans="1:5" x14ac:dyDescent="0.25">
      <c r="A1941" s="313" t="s">
        <v>716</v>
      </c>
      <c r="B1941" s="313" t="s">
        <v>19</v>
      </c>
      <c r="C1941" s="313" t="s">
        <v>20</v>
      </c>
      <c r="D1941" s="313" t="s">
        <v>26</v>
      </c>
      <c r="E1941" s="313" t="s">
        <v>24</v>
      </c>
    </row>
    <row r="1942" spans="1:5" x14ac:dyDescent="0.25">
      <c r="A1942" s="313" t="s">
        <v>716</v>
      </c>
      <c r="B1942" s="313" t="s">
        <v>19</v>
      </c>
      <c r="C1942" s="313" t="s">
        <v>1487</v>
      </c>
      <c r="D1942" s="313" t="s">
        <v>26</v>
      </c>
      <c r="E1942" s="313" t="s">
        <v>24</v>
      </c>
    </row>
    <row r="1943" spans="1:5" x14ac:dyDescent="0.25">
      <c r="A1943" s="313" t="s">
        <v>716</v>
      </c>
      <c r="B1943" s="313" t="s">
        <v>19</v>
      </c>
      <c r="C1943" s="313" t="s">
        <v>1495</v>
      </c>
      <c r="D1943" s="313" t="s">
        <v>35</v>
      </c>
      <c r="E1943" s="313" t="s">
        <v>24</v>
      </c>
    </row>
    <row r="1944" spans="1:5" x14ac:dyDescent="0.25">
      <c r="A1944" s="313" t="s">
        <v>716</v>
      </c>
      <c r="B1944" s="313" t="s">
        <v>26</v>
      </c>
      <c r="C1944" s="313" t="s">
        <v>2929</v>
      </c>
      <c r="D1944" s="313" t="s">
        <v>24</v>
      </c>
      <c r="E1944" s="313" t="s">
        <v>1654</v>
      </c>
    </row>
    <row r="1945" spans="1:5" x14ac:dyDescent="0.25">
      <c r="A1945" s="313" t="s">
        <v>716</v>
      </c>
      <c r="B1945" s="313" t="s">
        <v>26</v>
      </c>
      <c r="C1945" s="313" t="s">
        <v>2930</v>
      </c>
      <c r="D1945" s="313" t="s">
        <v>24</v>
      </c>
      <c r="E1945" s="313" t="s">
        <v>35</v>
      </c>
    </row>
    <row r="1946" spans="1:5" x14ac:dyDescent="0.25">
      <c r="A1946" s="313" t="s">
        <v>716</v>
      </c>
      <c r="B1946" s="313" t="s">
        <v>26</v>
      </c>
      <c r="C1946" s="313" t="s">
        <v>1509</v>
      </c>
      <c r="D1946" s="313" t="s">
        <v>24</v>
      </c>
      <c r="E1946" s="313" t="s">
        <v>717</v>
      </c>
    </row>
    <row r="1947" spans="1:5" x14ac:dyDescent="0.25">
      <c r="A1947" s="313" t="s">
        <v>716</v>
      </c>
      <c r="B1947" s="313" t="s">
        <v>26</v>
      </c>
      <c r="C1947" s="313" t="s">
        <v>1510</v>
      </c>
      <c r="D1947" s="313" t="s">
        <v>24</v>
      </c>
      <c r="E1947" s="313" t="s">
        <v>717</v>
      </c>
    </row>
    <row r="1948" spans="1:5" x14ac:dyDescent="0.25">
      <c r="A1948" s="313" t="s">
        <v>716</v>
      </c>
      <c r="B1948" s="313" t="s">
        <v>26</v>
      </c>
      <c r="C1948" s="313" t="s">
        <v>1511</v>
      </c>
      <c r="D1948" s="313" t="s">
        <v>24</v>
      </c>
      <c r="E1948" s="313" t="s">
        <v>1655</v>
      </c>
    </row>
    <row r="1949" spans="1:5" x14ac:dyDescent="0.25">
      <c r="A1949" s="313" t="s">
        <v>716</v>
      </c>
      <c r="B1949" s="313" t="s">
        <v>26</v>
      </c>
      <c r="C1949" s="313" t="s">
        <v>27</v>
      </c>
      <c r="D1949" s="313" t="s">
        <v>24</v>
      </c>
      <c r="E1949" s="313" t="s">
        <v>717</v>
      </c>
    </row>
    <row r="1950" spans="1:5" x14ac:dyDescent="0.25">
      <c r="A1950" s="313" t="s">
        <v>716</v>
      </c>
      <c r="B1950" s="313" t="s">
        <v>26</v>
      </c>
      <c r="C1950" s="313" t="s">
        <v>1512</v>
      </c>
      <c r="D1950" s="313" t="s">
        <v>24</v>
      </c>
      <c r="E1950" s="313" t="s">
        <v>717</v>
      </c>
    </row>
    <row r="1951" spans="1:5" x14ac:dyDescent="0.25">
      <c r="A1951" s="313" t="s">
        <v>716</v>
      </c>
      <c r="B1951" s="313" t="s">
        <v>26</v>
      </c>
      <c r="C1951" s="313" t="s">
        <v>1513</v>
      </c>
      <c r="D1951" s="313" t="s">
        <v>24</v>
      </c>
      <c r="E1951" s="313" t="s">
        <v>1655</v>
      </c>
    </row>
    <row r="1952" spans="1:5" x14ac:dyDescent="0.25">
      <c r="A1952" s="313" t="s">
        <v>716</v>
      </c>
      <c r="B1952" s="313" t="s">
        <v>26</v>
      </c>
      <c r="C1952" s="313" t="s">
        <v>1514</v>
      </c>
      <c r="D1952" s="313" t="s">
        <v>24</v>
      </c>
      <c r="E1952" s="313" t="s">
        <v>717</v>
      </c>
    </row>
    <row r="1953" spans="1:5" x14ac:dyDescent="0.25">
      <c r="A1953" s="313" t="s">
        <v>716</v>
      </c>
      <c r="B1953" s="313" t="s">
        <v>26</v>
      </c>
      <c r="C1953" s="313" t="s">
        <v>1515</v>
      </c>
      <c r="D1953" s="313" t="s">
        <v>24</v>
      </c>
      <c r="E1953" s="313" t="s">
        <v>717</v>
      </c>
    </row>
    <row r="1954" spans="1:5" x14ac:dyDescent="0.25">
      <c r="A1954" s="313" t="s">
        <v>716</v>
      </c>
      <c r="B1954" s="313" t="s">
        <v>26</v>
      </c>
      <c r="C1954" s="313" t="s">
        <v>1516</v>
      </c>
      <c r="D1954" s="313" t="s">
        <v>24</v>
      </c>
      <c r="E1954" s="313" t="s">
        <v>717</v>
      </c>
    </row>
    <row r="1955" spans="1:5" x14ac:dyDescent="0.25">
      <c r="A1955" s="313" t="s">
        <v>716</v>
      </c>
      <c r="B1955" s="313" t="s">
        <v>26</v>
      </c>
      <c r="C1955" s="313" t="s">
        <v>1517</v>
      </c>
      <c r="D1955" s="313" t="s">
        <v>24</v>
      </c>
      <c r="E1955" s="313" t="s">
        <v>717</v>
      </c>
    </row>
    <row r="1956" spans="1:5" x14ac:dyDescent="0.25">
      <c r="A1956" s="313" t="s">
        <v>716</v>
      </c>
      <c r="B1956" s="313" t="s">
        <v>26</v>
      </c>
      <c r="C1956" s="313" t="s">
        <v>1518</v>
      </c>
      <c r="D1956" s="313" t="s">
        <v>24</v>
      </c>
      <c r="E1956" s="313" t="s">
        <v>717</v>
      </c>
    </row>
    <row r="1957" spans="1:5" x14ac:dyDescent="0.25">
      <c r="A1957" s="313" t="s">
        <v>716</v>
      </c>
      <c r="B1957" s="313" t="s">
        <v>26</v>
      </c>
      <c r="C1957" s="313" t="s">
        <v>1519</v>
      </c>
      <c r="D1957" s="313" t="s">
        <v>24</v>
      </c>
      <c r="E1957" s="313" t="s">
        <v>717</v>
      </c>
    </row>
    <row r="1958" spans="1:5" x14ac:dyDescent="0.25">
      <c r="A1958" s="313" t="s">
        <v>722</v>
      </c>
      <c r="B1958" s="313" t="s">
        <v>51</v>
      </c>
      <c r="C1958" s="313" t="s">
        <v>24</v>
      </c>
      <c r="D1958" s="313" t="s">
        <v>24</v>
      </c>
      <c r="E1958" s="313" t="s">
        <v>723</v>
      </c>
    </row>
    <row r="1959" spans="1:5" x14ac:dyDescent="0.25">
      <c r="A1959" s="313" t="s">
        <v>722</v>
      </c>
      <c r="B1959" s="313" t="s">
        <v>19</v>
      </c>
      <c r="C1959" s="313" t="s">
        <v>1466</v>
      </c>
      <c r="D1959" s="313" t="s">
        <v>51</v>
      </c>
      <c r="E1959" s="313" t="s">
        <v>24</v>
      </c>
    </row>
    <row r="1960" spans="1:5" x14ac:dyDescent="0.25">
      <c r="A1960" s="313" t="s">
        <v>722</v>
      </c>
      <c r="B1960" s="313" t="s">
        <v>19</v>
      </c>
      <c r="C1960" s="313" t="s">
        <v>1471</v>
      </c>
      <c r="D1960" s="313" t="s">
        <v>51</v>
      </c>
      <c r="E1960" s="313" t="s">
        <v>24</v>
      </c>
    </row>
    <row r="1961" spans="1:5" x14ac:dyDescent="0.25">
      <c r="A1961" s="313" t="s">
        <v>722</v>
      </c>
      <c r="B1961" s="313" t="s">
        <v>19</v>
      </c>
      <c r="C1961" s="313" t="s">
        <v>1475</v>
      </c>
      <c r="D1961" s="313" t="s">
        <v>51</v>
      </c>
      <c r="E1961" s="313" t="s">
        <v>24</v>
      </c>
    </row>
    <row r="1962" spans="1:5" x14ac:dyDescent="0.25">
      <c r="A1962" s="313" t="s">
        <v>722</v>
      </c>
      <c r="B1962" s="313" t="s">
        <v>19</v>
      </c>
      <c r="C1962" s="313" t="s">
        <v>20</v>
      </c>
      <c r="D1962" s="313" t="s">
        <v>51</v>
      </c>
      <c r="E1962" s="313" t="s">
        <v>24</v>
      </c>
    </row>
    <row r="1963" spans="1:5" x14ac:dyDescent="0.25">
      <c r="A1963" s="313" t="s">
        <v>722</v>
      </c>
      <c r="B1963" s="313" t="s">
        <v>19</v>
      </c>
      <c r="C1963" s="313" t="s">
        <v>1487</v>
      </c>
      <c r="D1963" s="313" t="s">
        <v>51</v>
      </c>
      <c r="E1963" s="313" t="s">
        <v>24</v>
      </c>
    </row>
    <row r="1964" spans="1:5" x14ac:dyDescent="0.25">
      <c r="A1964" s="313" t="s">
        <v>722</v>
      </c>
      <c r="B1964" s="313" t="s">
        <v>19</v>
      </c>
      <c r="C1964" s="313" t="s">
        <v>1495</v>
      </c>
      <c r="D1964" s="313" t="s">
        <v>51</v>
      </c>
      <c r="E1964" s="313" t="s">
        <v>24</v>
      </c>
    </row>
    <row r="1965" spans="1:5" x14ac:dyDescent="0.25">
      <c r="A1965" s="313" t="s">
        <v>726</v>
      </c>
      <c r="B1965" s="313" t="s">
        <v>19</v>
      </c>
      <c r="C1965" s="313" t="s">
        <v>1466</v>
      </c>
      <c r="D1965" s="313" t="s">
        <v>35</v>
      </c>
      <c r="E1965" s="313" t="s">
        <v>24</v>
      </c>
    </row>
    <row r="1966" spans="1:5" x14ac:dyDescent="0.25">
      <c r="A1966" s="313" t="s">
        <v>726</v>
      </c>
      <c r="B1966" s="313" t="s">
        <v>19</v>
      </c>
      <c r="C1966" s="313" t="s">
        <v>1471</v>
      </c>
      <c r="D1966" s="313" t="s">
        <v>35</v>
      </c>
      <c r="E1966" s="313" t="s">
        <v>24</v>
      </c>
    </row>
    <row r="1967" spans="1:5" x14ac:dyDescent="0.25">
      <c r="A1967" s="313" t="s">
        <v>726</v>
      </c>
      <c r="B1967" s="313" t="s">
        <v>19</v>
      </c>
      <c r="C1967" s="313" t="s">
        <v>1475</v>
      </c>
      <c r="D1967" s="313" t="s">
        <v>35</v>
      </c>
      <c r="E1967" s="313" t="s">
        <v>24</v>
      </c>
    </row>
    <row r="1968" spans="1:5" x14ac:dyDescent="0.25">
      <c r="A1968" s="313" t="s">
        <v>726</v>
      </c>
      <c r="B1968" s="313" t="s">
        <v>19</v>
      </c>
      <c r="C1968" s="313" t="s">
        <v>20</v>
      </c>
      <c r="D1968" s="313" t="s">
        <v>35</v>
      </c>
      <c r="E1968" s="313" t="s">
        <v>24</v>
      </c>
    </row>
    <row r="1969" spans="1:5" x14ac:dyDescent="0.25">
      <c r="A1969" s="313" t="s">
        <v>726</v>
      </c>
      <c r="B1969" s="313" t="s">
        <v>19</v>
      </c>
      <c r="C1969" s="313" t="s">
        <v>1487</v>
      </c>
      <c r="D1969" s="313" t="s">
        <v>35</v>
      </c>
      <c r="E1969" s="313" t="s">
        <v>24</v>
      </c>
    </row>
    <row r="1970" spans="1:5" x14ac:dyDescent="0.25">
      <c r="A1970" s="313" t="s">
        <v>726</v>
      </c>
      <c r="B1970" s="313" t="s">
        <v>19</v>
      </c>
      <c r="C1970" s="313" t="s">
        <v>1495</v>
      </c>
      <c r="D1970" s="313" t="s">
        <v>35</v>
      </c>
      <c r="E1970" s="313" t="s">
        <v>24</v>
      </c>
    </row>
    <row r="1971" spans="1:5" x14ac:dyDescent="0.25">
      <c r="A1971" s="313" t="s">
        <v>728</v>
      </c>
      <c r="B1971" s="313" t="s">
        <v>19</v>
      </c>
      <c r="C1971" s="313" t="s">
        <v>1466</v>
      </c>
      <c r="D1971" s="313" t="s">
        <v>19</v>
      </c>
      <c r="E1971" s="313" t="s">
        <v>1656</v>
      </c>
    </row>
    <row r="1972" spans="1:5" x14ac:dyDescent="0.25">
      <c r="A1972" s="313" t="s">
        <v>728</v>
      </c>
      <c r="B1972" s="313" t="s">
        <v>19</v>
      </c>
      <c r="C1972" s="313" t="s">
        <v>1471</v>
      </c>
      <c r="D1972" s="313" t="s">
        <v>26</v>
      </c>
      <c r="E1972" s="313" t="s">
        <v>24</v>
      </c>
    </row>
    <row r="1973" spans="1:5" x14ac:dyDescent="0.25">
      <c r="A1973" s="313" t="s">
        <v>728</v>
      </c>
      <c r="B1973" s="313" t="s">
        <v>19</v>
      </c>
      <c r="C1973" s="313" t="s">
        <v>1475</v>
      </c>
      <c r="D1973" s="313" t="s">
        <v>19</v>
      </c>
      <c r="E1973" s="313" t="s">
        <v>1656</v>
      </c>
    </row>
    <row r="1974" spans="1:5" x14ac:dyDescent="0.25">
      <c r="A1974" s="313" t="s">
        <v>728</v>
      </c>
      <c r="B1974" s="313" t="s">
        <v>19</v>
      </c>
      <c r="C1974" s="313" t="s">
        <v>20</v>
      </c>
      <c r="D1974" s="313" t="s">
        <v>19</v>
      </c>
      <c r="E1974" s="313" t="s">
        <v>729</v>
      </c>
    </row>
    <row r="1975" spans="1:5" x14ac:dyDescent="0.25">
      <c r="A1975" s="313" t="s">
        <v>728</v>
      </c>
      <c r="B1975" s="313" t="s">
        <v>19</v>
      </c>
      <c r="C1975" s="313" t="s">
        <v>1487</v>
      </c>
      <c r="D1975" s="313" t="s">
        <v>19</v>
      </c>
      <c r="E1975" s="313" t="s">
        <v>1656</v>
      </c>
    </row>
    <row r="1976" spans="1:5" x14ac:dyDescent="0.25">
      <c r="A1976" s="313" t="s">
        <v>728</v>
      </c>
      <c r="B1976" s="313" t="s">
        <v>19</v>
      </c>
      <c r="C1976" s="313" t="s">
        <v>1495</v>
      </c>
      <c r="D1976" s="313" t="s">
        <v>35</v>
      </c>
      <c r="E1976" s="313" t="s">
        <v>24</v>
      </c>
    </row>
    <row r="1977" spans="1:5" x14ac:dyDescent="0.25">
      <c r="A1977" s="313" t="s">
        <v>728</v>
      </c>
      <c r="B1977" s="313" t="s">
        <v>26</v>
      </c>
      <c r="C1977" s="313" t="s">
        <v>2929</v>
      </c>
      <c r="D1977" s="313" t="s">
        <v>24</v>
      </c>
      <c r="E1977" s="313" t="s">
        <v>1656</v>
      </c>
    </row>
    <row r="1978" spans="1:5" x14ac:dyDescent="0.25">
      <c r="A1978" s="313" t="s">
        <v>728</v>
      </c>
      <c r="B1978" s="313" t="s">
        <v>26</v>
      </c>
      <c r="C1978" s="313" t="s">
        <v>2930</v>
      </c>
      <c r="D1978" s="313" t="s">
        <v>24</v>
      </c>
      <c r="E1978" s="313" t="s">
        <v>35</v>
      </c>
    </row>
    <row r="1979" spans="1:5" x14ac:dyDescent="0.25">
      <c r="A1979" s="313" t="s">
        <v>732</v>
      </c>
      <c r="B1979" s="313" t="s">
        <v>19</v>
      </c>
      <c r="C1979" s="313" t="s">
        <v>1466</v>
      </c>
      <c r="D1979" s="313" t="s">
        <v>35</v>
      </c>
      <c r="E1979" s="313" t="s">
        <v>24</v>
      </c>
    </row>
    <row r="1980" spans="1:5" x14ac:dyDescent="0.25">
      <c r="A1980" s="313" t="s">
        <v>732</v>
      </c>
      <c r="B1980" s="313" t="s">
        <v>19</v>
      </c>
      <c r="C1980" s="313" t="s">
        <v>1471</v>
      </c>
      <c r="D1980" s="313" t="s">
        <v>35</v>
      </c>
      <c r="E1980" s="313" t="s">
        <v>24</v>
      </c>
    </row>
    <row r="1981" spans="1:5" x14ac:dyDescent="0.25">
      <c r="A1981" s="313" t="s">
        <v>732</v>
      </c>
      <c r="B1981" s="313" t="s">
        <v>19</v>
      </c>
      <c r="C1981" s="313" t="s">
        <v>1475</v>
      </c>
      <c r="D1981" s="313" t="s">
        <v>35</v>
      </c>
      <c r="E1981" s="313" t="s">
        <v>24</v>
      </c>
    </row>
    <row r="1982" spans="1:5" x14ac:dyDescent="0.25">
      <c r="A1982" s="313" t="s">
        <v>732</v>
      </c>
      <c r="B1982" s="313" t="s">
        <v>19</v>
      </c>
      <c r="C1982" s="313" t="s">
        <v>20</v>
      </c>
      <c r="D1982" s="313" t="s">
        <v>19</v>
      </c>
      <c r="E1982" s="313" t="s">
        <v>733</v>
      </c>
    </row>
    <row r="1983" spans="1:5" x14ac:dyDescent="0.25">
      <c r="A1983" s="313" t="s">
        <v>732</v>
      </c>
      <c r="B1983" s="313" t="s">
        <v>19</v>
      </c>
      <c r="C1983" s="313" t="s">
        <v>1487</v>
      </c>
      <c r="D1983" s="313" t="s">
        <v>35</v>
      </c>
      <c r="E1983" s="313" t="s">
        <v>24</v>
      </c>
    </row>
    <row r="1984" spans="1:5" x14ac:dyDescent="0.25">
      <c r="A1984" s="313" t="s">
        <v>732</v>
      </c>
      <c r="B1984" s="313" t="s">
        <v>19</v>
      </c>
      <c r="C1984" s="313" t="s">
        <v>1495</v>
      </c>
      <c r="D1984" s="313" t="s">
        <v>35</v>
      </c>
      <c r="E1984" s="313" t="s">
        <v>24</v>
      </c>
    </row>
    <row r="1985" spans="1:5" x14ac:dyDescent="0.25">
      <c r="A1985" s="313" t="s">
        <v>735</v>
      </c>
      <c r="B1985" s="313" t="s">
        <v>19</v>
      </c>
      <c r="C1985" s="313" t="s">
        <v>1466</v>
      </c>
      <c r="D1985" s="313" t="s">
        <v>35</v>
      </c>
      <c r="E1985" s="313" t="s">
        <v>24</v>
      </c>
    </row>
    <row r="1986" spans="1:5" x14ac:dyDescent="0.25">
      <c r="A1986" s="313" t="s">
        <v>735</v>
      </c>
      <c r="B1986" s="313" t="s">
        <v>19</v>
      </c>
      <c r="C1986" s="313" t="s">
        <v>1471</v>
      </c>
      <c r="D1986" s="313" t="s">
        <v>35</v>
      </c>
      <c r="E1986" s="313" t="s">
        <v>24</v>
      </c>
    </row>
    <row r="1987" spans="1:5" x14ac:dyDescent="0.25">
      <c r="A1987" s="313" t="s">
        <v>735</v>
      </c>
      <c r="B1987" s="313" t="s">
        <v>19</v>
      </c>
      <c r="C1987" s="313" t="s">
        <v>1475</v>
      </c>
      <c r="D1987" s="313" t="s">
        <v>35</v>
      </c>
      <c r="E1987" s="313" t="s">
        <v>24</v>
      </c>
    </row>
    <row r="1988" spans="1:5" x14ac:dyDescent="0.25">
      <c r="A1988" s="313" t="s">
        <v>735</v>
      </c>
      <c r="B1988" s="313" t="s">
        <v>19</v>
      </c>
      <c r="C1988" s="313" t="s">
        <v>20</v>
      </c>
      <c r="D1988" s="313" t="s">
        <v>26</v>
      </c>
      <c r="E1988" s="313" t="s">
        <v>24</v>
      </c>
    </row>
    <row r="1989" spans="1:5" x14ac:dyDescent="0.25">
      <c r="A1989" s="313" t="s">
        <v>735</v>
      </c>
      <c r="B1989" s="313" t="s">
        <v>19</v>
      </c>
      <c r="C1989" s="313" t="s">
        <v>1487</v>
      </c>
      <c r="D1989" s="313" t="s">
        <v>35</v>
      </c>
      <c r="E1989" s="313" t="s">
        <v>24</v>
      </c>
    </row>
    <row r="1990" spans="1:5" x14ac:dyDescent="0.25">
      <c r="A1990" s="313" t="s">
        <v>735</v>
      </c>
      <c r="B1990" s="313" t="s">
        <v>19</v>
      </c>
      <c r="C1990" s="313" t="s">
        <v>1495</v>
      </c>
      <c r="D1990" s="313" t="s">
        <v>35</v>
      </c>
      <c r="E1990" s="313" t="s">
        <v>24</v>
      </c>
    </row>
    <row r="1991" spans="1:5" x14ac:dyDescent="0.25">
      <c r="A1991" s="313" t="s">
        <v>735</v>
      </c>
      <c r="B1991" s="313" t="s">
        <v>26</v>
      </c>
      <c r="C1991" s="313" t="s">
        <v>1509</v>
      </c>
      <c r="D1991" s="313" t="s">
        <v>24</v>
      </c>
      <c r="E1991" s="313" t="s">
        <v>2933</v>
      </c>
    </row>
    <row r="1992" spans="1:5" x14ac:dyDescent="0.25">
      <c r="A1992" s="313" t="s">
        <v>735</v>
      </c>
      <c r="B1992" s="313" t="s">
        <v>26</v>
      </c>
      <c r="C1992" s="313" t="s">
        <v>1510</v>
      </c>
      <c r="D1992" s="313" t="s">
        <v>24</v>
      </c>
      <c r="E1992" s="313" t="s">
        <v>2933</v>
      </c>
    </row>
    <row r="1993" spans="1:5" x14ac:dyDescent="0.25">
      <c r="A1993" s="313" t="s">
        <v>735</v>
      </c>
      <c r="B1993" s="313" t="s">
        <v>26</v>
      </c>
      <c r="C1993" s="313" t="s">
        <v>1511</v>
      </c>
      <c r="D1993" s="313" t="s">
        <v>24</v>
      </c>
      <c r="E1993" s="313" t="s">
        <v>2933</v>
      </c>
    </row>
    <row r="1994" spans="1:5" x14ac:dyDescent="0.25">
      <c r="A1994" s="313" t="s">
        <v>735</v>
      </c>
      <c r="B1994" s="313" t="s">
        <v>26</v>
      </c>
      <c r="C1994" s="313" t="s">
        <v>27</v>
      </c>
      <c r="D1994" s="313" t="s">
        <v>24</v>
      </c>
      <c r="E1994" s="313" t="s">
        <v>2934</v>
      </c>
    </row>
    <row r="1995" spans="1:5" x14ac:dyDescent="0.25">
      <c r="A1995" s="313" t="s">
        <v>735</v>
      </c>
      <c r="B1995" s="313" t="s">
        <v>26</v>
      </c>
      <c r="C1995" s="313" t="s">
        <v>1512</v>
      </c>
      <c r="D1995" s="313" t="s">
        <v>24</v>
      </c>
      <c r="E1995" s="313" t="s">
        <v>2935</v>
      </c>
    </row>
    <row r="1996" spans="1:5" x14ac:dyDescent="0.25">
      <c r="A1996" s="313" t="s">
        <v>735</v>
      </c>
      <c r="B1996" s="313" t="s">
        <v>26</v>
      </c>
      <c r="C1996" s="313" t="s">
        <v>1513</v>
      </c>
      <c r="D1996" s="313" t="s">
        <v>24</v>
      </c>
      <c r="E1996" s="313" t="s">
        <v>2933</v>
      </c>
    </row>
    <row r="1997" spans="1:5" x14ac:dyDescent="0.25">
      <c r="A1997" s="313" t="s">
        <v>737</v>
      </c>
      <c r="B1997" s="313" t="s">
        <v>19</v>
      </c>
      <c r="C1997" s="313" t="s">
        <v>1466</v>
      </c>
      <c r="D1997" s="313" t="s">
        <v>26</v>
      </c>
      <c r="E1997" s="313" t="s">
        <v>24</v>
      </c>
    </row>
    <row r="1998" spans="1:5" x14ac:dyDescent="0.25">
      <c r="A1998" s="313" t="s">
        <v>737</v>
      </c>
      <c r="B1998" s="313" t="s">
        <v>19</v>
      </c>
      <c r="C1998" s="313" t="s">
        <v>1471</v>
      </c>
      <c r="D1998" s="313" t="s">
        <v>26</v>
      </c>
      <c r="E1998" s="313" t="s">
        <v>24</v>
      </c>
    </row>
    <row r="1999" spans="1:5" x14ac:dyDescent="0.25">
      <c r="A1999" s="313" t="s">
        <v>737</v>
      </c>
      <c r="B1999" s="313" t="s">
        <v>19</v>
      </c>
      <c r="C1999" s="313" t="s">
        <v>1475</v>
      </c>
      <c r="D1999" s="313" t="s">
        <v>19</v>
      </c>
      <c r="E1999" s="313" t="s">
        <v>46</v>
      </c>
    </row>
    <row r="2000" spans="1:5" x14ac:dyDescent="0.25">
      <c r="A2000" s="313" t="s">
        <v>737</v>
      </c>
      <c r="B2000" s="313" t="s">
        <v>19</v>
      </c>
      <c r="C2000" s="313" t="s">
        <v>20</v>
      </c>
      <c r="D2000" s="313" t="s">
        <v>19</v>
      </c>
      <c r="E2000" s="313" t="s">
        <v>738</v>
      </c>
    </row>
    <row r="2001" spans="1:5" x14ac:dyDescent="0.25">
      <c r="A2001" s="313" t="s">
        <v>737</v>
      </c>
      <c r="B2001" s="313" t="s">
        <v>19</v>
      </c>
      <c r="C2001" s="313" t="s">
        <v>1487</v>
      </c>
      <c r="D2001" s="313" t="s">
        <v>26</v>
      </c>
      <c r="E2001" s="313" t="s">
        <v>24</v>
      </c>
    </row>
    <row r="2002" spans="1:5" x14ac:dyDescent="0.25">
      <c r="A2002" s="313" t="s">
        <v>737</v>
      </c>
      <c r="B2002" s="313" t="s">
        <v>19</v>
      </c>
      <c r="C2002" s="313" t="s">
        <v>1495</v>
      </c>
      <c r="D2002" s="313" t="s">
        <v>35</v>
      </c>
      <c r="E2002" s="313" t="s">
        <v>24</v>
      </c>
    </row>
    <row r="2003" spans="1:5" x14ac:dyDescent="0.25">
      <c r="A2003" s="313" t="s">
        <v>737</v>
      </c>
      <c r="B2003" s="313" t="s">
        <v>26</v>
      </c>
      <c r="C2003" s="313" t="s">
        <v>1501</v>
      </c>
      <c r="D2003" s="313" t="s">
        <v>24</v>
      </c>
      <c r="E2003" s="313" t="s">
        <v>1657</v>
      </c>
    </row>
    <row r="2004" spans="1:5" x14ac:dyDescent="0.25">
      <c r="A2004" s="313" t="s">
        <v>737</v>
      </c>
      <c r="B2004" s="313" t="s">
        <v>26</v>
      </c>
      <c r="C2004" s="313" t="s">
        <v>1502</v>
      </c>
      <c r="D2004" s="313" t="s">
        <v>24</v>
      </c>
      <c r="E2004" s="313" t="s">
        <v>738</v>
      </c>
    </row>
    <row r="2005" spans="1:5" x14ac:dyDescent="0.25">
      <c r="A2005" s="313" t="s">
        <v>737</v>
      </c>
      <c r="B2005" s="313" t="s">
        <v>26</v>
      </c>
      <c r="C2005" s="313" t="s">
        <v>1503</v>
      </c>
      <c r="D2005" s="313" t="s">
        <v>24</v>
      </c>
      <c r="E2005" s="313" t="s">
        <v>1657</v>
      </c>
    </row>
    <row r="2006" spans="1:5" x14ac:dyDescent="0.25">
      <c r="A2006" s="313" t="s">
        <v>737</v>
      </c>
      <c r="B2006" s="313" t="s">
        <v>26</v>
      </c>
      <c r="C2006" s="313" t="s">
        <v>2929</v>
      </c>
      <c r="D2006" s="313" t="s">
        <v>24</v>
      </c>
      <c r="E2006" s="313" t="s">
        <v>1657</v>
      </c>
    </row>
    <row r="2007" spans="1:5" x14ac:dyDescent="0.25">
      <c r="A2007" s="313" t="s">
        <v>737</v>
      </c>
      <c r="B2007" s="313" t="s">
        <v>26</v>
      </c>
      <c r="C2007" s="313" t="s">
        <v>2930</v>
      </c>
      <c r="D2007" s="313" t="s">
        <v>24</v>
      </c>
      <c r="E2007" s="313" t="s">
        <v>35</v>
      </c>
    </row>
    <row r="2008" spans="1:5" x14ac:dyDescent="0.25">
      <c r="A2008" s="313" t="s">
        <v>737</v>
      </c>
      <c r="B2008" s="313" t="s">
        <v>26</v>
      </c>
      <c r="C2008" s="313" t="s">
        <v>1514</v>
      </c>
      <c r="D2008" s="313" t="s">
        <v>24</v>
      </c>
      <c r="E2008" s="313" t="s">
        <v>1657</v>
      </c>
    </row>
    <row r="2009" spans="1:5" x14ac:dyDescent="0.25">
      <c r="A2009" s="313" t="s">
        <v>737</v>
      </c>
      <c r="B2009" s="313" t="s">
        <v>26</v>
      </c>
      <c r="C2009" s="313" t="s">
        <v>1515</v>
      </c>
      <c r="D2009" s="313" t="s">
        <v>24</v>
      </c>
      <c r="E2009" s="313" t="s">
        <v>1657</v>
      </c>
    </row>
    <row r="2010" spans="1:5" x14ac:dyDescent="0.25">
      <c r="A2010" s="313" t="s">
        <v>737</v>
      </c>
      <c r="B2010" s="313" t="s">
        <v>26</v>
      </c>
      <c r="C2010" s="313" t="s">
        <v>1516</v>
      </c>
      <c r="D2010" s="313" t="s">
        <v>24</v>
      </c>
      <c r="E2010" s="313" t="s">
        <v>1657</v>
      </c>
    </row>
    <row r="2011" spans="1:5" x14ac:dyDescent="0.25">
      <c r="A2011" s="313" t="s">
        <v>737</v>
      </c>
      <c r="B2011" s="313" t="s">
        <v>26</v>
      </c>
      <c r="C2011" s="313" t="s">
        <v>1517</v>
      </c>
      <c r="D2011" s="313" t="s">
        <v>24</v>
      </c>
      <c r="E2011" s="313" t="s">
        <v>1657</v>
      </c>
    </row>
    <row r="2012" spans="1:5" x14ac:dyDescent="0.25">
      <c r="A2012" s="313" t="s">
        <v>737</v>
      </c>
      <c r="B2012" s="313" t="s">
        <v>26</v>
      </c>
      <c r="C2012" s="313" t="s">
        <v>1518</v>
      </c>
      <c r="D2012" s="313" t="s">
        <v>24</v>
      </c>
      <c r="E2012" s="313" t="s">
        <v>1657</v>
      </c>
    </row>
    <row r="2013" spans="1:5" x14ac:dyDescent="0.25">
      <c r="A2013" s="313" t="s">
        <v>737</v>
      </c>
      <c r="B2013" s="313" t="s">
        <v>26</v>
      </c>
      <c r="C2013" s="313" t="s">
        <v>1519</v>
      </c>
      <c r="D2013" s="313" t="s">
        <v>24</v>
      </c>
      <c r="E2013" s="313" t="s">
        <v>738</v>
      </c>
    </row>
    <row r="2014" spans="1:5" x14ac:dyDescent="0.25">
      <c r="A2014" s="313" t="s">
        <v>741</v>
      </c>
      <c r="B2014" s="313" t="s">
        <v>19</v>
      </c>
      <c r="C2014" s="313" t="s">
        <v>1466</v>
      </c>
      <c r="D2014" s="313" t="s">
        <v>26</v>
      </c>
      <c r="E2014" s="313" t="s">
        <v>24</v>
      </c>
    </row>
    <row r="2015" spans="1:5" x14ac:dyDescent="0.25">
      <c r="A2015" s="313" t="s">
        <v>741</v>
      </c>
      <c r="B2015" s="313" t="s">
        <v>19</v>
      </c>
      <c r="C2015" s="313" t="s">
        <v>1471</v>
      </c>
      <c r="D2015" s="313" t="s">
        <v>26</v>
      </c>
      <c r="E2015" s="313" t="s">
        <v>24</v>
      </c>
    </row>
    <row r="2016" spans="1:5" x14ac:dyDescent="0.25">
      <c r="A2016" s="313" t="s">
        <v>741</v>
      </c>
      <c r="B2016" s="313" t="s">
        <v>19</v>
      </c>
      <c r="C2016" s="313" t="s">
        <v>1475</v>
      </c>
      <c r="D2016" s="313" t="s">
        <v>19</v>
      </c>
      <c r="E2016" s="313" t="s">
        <v>46</v>
      </c>
    </row>
    <row r="2017" spans="1:5" x14ac:dyDescent="0.25">
      <c r="A2017" s="313" t="s">
        <v>741</v>
      </c>
      <c r="B2017" s="313" t="s">
        <v>19</v>
      </c>
      <c r="C2017" s="313" t="s">
        <v>20</v>
      </c>
      <c r="D2017" s="313" t="s">
        <v>19</v>
      </c>
      <c r="E2017" s="313" t="s">
        <v>46</v>
      </c>
    </row>
    <row r="2018" spans="1:5" x14ac:dyDescent="0.25">
      <c r="A2018" s="313" t="s">
        <v>741</v>
      </c>
      <c r="B2018" s="313" t="s">
        <v>19</v>
      </c>
      <c r="C2018" s="313" t="s">
        <v>1487</v>
      </c>
      <c r="D2018" s="313" t="s">
        <v>19</v>
      </c>
      <c r="E2018" s="313" t="s">
        <v>1659</v>
      </c>
    </row>
    <row r="2019" spans="1:5" x14ac:dyDescent="0.25">
      <c r="A2019" s="313" t="s">
        <v>741</v>
      </c>
      <c r="B2019" s="313" t="s">
        <v>19</v>
      </c>
      <c r="C2019" s="313" t="s">
        <v>1495</v>
      </c>
      <c r="D2019" s="313" t="s">
        <v>35</v>
      </c>
      <c r="E2019" s="313" t="s">
        <v>24</v>
      </c>
    </row>
    <row r="2020" spans="1:5" x14ac:dyDescent="0.25">
      <c r="A2020" s="313" t="s">
        <v>741</v>
      </c>
      <c r="B2020" s="313" t="s">
        <v>26</v>
      </c>
      <c r="C2020" s="313" t="s">
        <v>1501</v>
      </c>
      <c r="D2020" s="313" t="s">
        <v>24</v>
      </c>
      <c r="E2020" s="313" t="s">
        <v>1658</v>
      </c>
    </row>
    <row r="2021" spans="1:5" x14ac:dyDescent="0.25">
      <c r="A2021" s="313" t="s">
        <v>741</v>
      </c>
      <c r="B2021" s="313" t="s">
        <v>26</v>
      </c>
      <c r="C2021" s="313" t="s">
        <v>1502</v>
      </c>
      <c r="D2021" s="313" t="s">
        <v>24</v>
      </c>
      <c r="E2021" s="313" t="s">
        <v>46</v>
      </c>
    </row>
    <row r="2022" spans="1:5" x14ac:dyDescent="0.25">
      <c r="A2022" s="313" t="s">
        <v>741</v>
      </c>
      <c r="B2022" s="313" t="s">
        <v>26</v>
      </c>
      <c r="C2022" s="313" t="s">
        <v>1503</v>
      </c>
      <c r="D2022" s="313" t="s">
        <v>24</v>
      </c>
      <c r="E2022" s="313" t="s">
        <v>1658</v>
      </c>
    </row>
    <row r="2023" spans="1:5" x14ac:dyDescent="0.25">
      <c r="A2023" s="313" t="s">
        <v>741</v>
      </c>
      <c r="B2023" s="313" t="s">
        <v>26</v>
      </c>
      <c r="C2023" s="313" t="s">
        <v>2929</v>
      </c>
      <c r="D2023" s="313" t="s">
        <v>24</v>
      </c>
      <c r="E2023" s="313" t="s">
        <v>1658</v>
      </c>
    </row>
    <row r="2024" spans="1:5" x14ac:dyDescent="0.25">
      <c r="A2024" s="313" t="s">
        <v>741</v>
      </c>
      <c r="B2024" s="313" t="s">
        <v>26</v>
      </c>
      <c r="C2024" s="313" t="s">
        <v>2930</v>
      </c>
      <c r="D2024" s="313" t="s">
        <v>24</v>
      </c>
      <c r="E2024" s="313" t="s">
        <v>35</v>
      </c>
    </row>
    <row r="2025" spans="1:5" x14ac:dyDescent="0.25">
      <c r="A2025" s="313" t="s">
        <v>744</v>
      </c>
      <c r="B2025" s="313" t="s">
        <v>19</v>
      </c>
      <c r="C2025" s="313" t="s">
        <v>1466</v>
      </c>
      <c r="D2025" s="313" t="s">
        <v>35</v>
      </c>
      <c r="E2025" s="313" t="s">
        <v>24</v>
      </c>
    </row>
    <row r="2026" spans="1:5" x14ac:dyDescent="0.25">
      <c r="A2026" s="313" t="s">
        <v>744</v>
      </c>
      <c r="B2026" s="313" t="s">
        <v>19</v>
      </c>
      <c r="C2026" s="313" t="s">
        <v>1471</v>
      </c>
      <c r="D2026" s="313" t="s">
        <v>35</v>
      </c>
      <c r="E2026" s="313" t="s">
        <v>24</v>
      </c>
    </row>
    <row r="2027" spans="1:5" x14ac:dyDescent="0.25">
      <c r="A2027" s="313" t="s">
        <v>744</v>
      </c>
      <c r="B2027" s="313" t="s">
        <v>19</v>
      </c>
      <c r="C2027" s="313" t="s">
        <v>1475</v>
      </c>
      <c r="D2027" s="313" t="s">
        <v>19</v>
      </c>
      <c r="E2027" s="313" t="s">
        <v>46</v>
      </c>
    </row>
    <row r="2028" spans="1:5" x14ac:dyDescent="0.25">
      <c r="A2028" s="313" t="s">
        <v>744</v>
      </c>
      <c r="B2028" s="313" t="s">
        <v>19</v>
      </c>
      <c r="C2028" s="313" t="s">
        <v>20</v>
      </c>
      <c r="D2028" s="313" t="s">
        <v>19</v>
      </c>
      <c r="E2028" s="313" t="s">
        <v>46</v>
      </c>
    </row>
    <row r="2029" spans="1:5" x14ac:dyDescent="0.25">
      <c r="A2029" s="313" t="s">
        <v>744</v>
      </c>
      <c r="B2029" s="313" t="s">
        <v>19</v>
      </c>
      <c r="C2029" s="313" t="s">
        <v>1487</v>
      </c>
      <c r="D2029" s="313" t="s">
        <v>35</v>
      </c>
      <c r="E2029" s="313" t="s">
        <v>24</v>
      </c>
    </row>
    <row r="2030" spans="1:5" x14ac:dyDescent="0.25">
      <c r="A2030" s="313" t="s">
        <v>744</v>
      </c>
      <c r="B2030" s="313" t="s">
        <v>19</v>
      </c>
      <c r="C2030" s="313" t="s">
        <v>1495</v>
      </c>
      <c r="D2030" s="313" t="s">
        <v>35</v>
      </c>
      <c r="E2030" s="313" t="s">
        <v>24</v>
      </c>
    </row>
    <row r="2031" spans="1:5" x14ac:dyDescent="0.25">
      <c r="A2031" s="313" t="s">
        <v>744</v>
      </c>
      <c r="B2031" s="313" t="s">
        <v>26</v>
      </c>
      <c r="C2031" s="313" t="s">
        <v>1514</v>
      </c>
      <c r="D2031" s="313" t="s">
        <v>24</v>
      </c>
      <c r="E2031" s="313" t="s">
        <v>1660</v>
      </c>
    </row>
    <row r="2032" spans="1:5" x14ac:dyDescent="0.25">
      <c r="A2032" s="313" t="s">
        <v>744</v>
      </c>
      <c r="B2032" s="313" t="s">
        <v>26</v>
      </c>
      <c r="C2032" s="313" t="s">
        <v>1515</v>
      </c>
      <c r="D2032" s="313" t="s">
        <v>24</v>
      </c>
      <c r="E2032" s="313" t="s">
        <v>1660</v>
      </c>
    </row>
    <row r="2033" spans="1:5" x14ac:dyDescent="0.25">
      <c r="A2033" s="313" t="s">
        <v>744</v>
      </c>
      <c r="B2033" s="313" t="s">
        <v>26</v>
      </c>
      <c r="C2033" s="313" t="s">
        <v>1516</v>
      </c>
      <c r="D2033" s="313" t="s">
        <v>24</v>
      </c>
      <c r="E2033" s="313" t="s">
        <v>1660</v>
      </c>
    </row>
    <row r="2034" spans="1:5" x14ac:dyDescent="0.25">
      <c r="A2034" s="313" t="s">
        <v>744</v>
      </c>
      <c r="B2034" s="313" t="s">
        <v>26</v>
      </c>
      <c r="C2034" s="313" t="s">
        <v>1517</v>
      </c>
      <c r="D2034" s="313" t="s">
        <v>24</v>
      </c>
      <c r="E2034" s="313" t="s">
        <v>1660</v>
      </c>
    </row>
    <row r="2035" spans="1:5" x14ac:dyDescent="0.25">
      <c r="A2035" s="313" t="s">
        <v>744</v>
      </c>
      <c r="B2035" s="313" t="s">
        <v>26</v>
      </c>
      <c r="C2035" s="313" t="s">
        <v>1518</v>
      </c>
      <c r="D2035" s="313" t="s">
        <v>24</v>
      </c>
      <c r="E2035" s="313" t="s">
        <v>1660</v>
      </c>
    </row>
    <row r="2036" spans="1:5" x14ac:dyDescent="0.25">
      <c r="A2036" s="313" t="s">
        <v>746</v>
      </c>
      <c r="B2036" s="313" t="s">
        <v>19</v>
      </c>
      <c r="C2036" s="313" t="s">
        <v>1466</v>
      </c>
      <c r="D2036" s="313" t="s">
        <v>26</v>
      </c>
      <c r="E2036" s="313" t="s">
        <v>24</v>
      </c>
    </row>
    <row r="2037" spans="1:5" x14ac:dyDescent="0.25">
      <c r="A2037" s="313" t="s">
        <v>746</v>
      </c>
      <c r="B2037" s="313" t="s">
        <v>19</v>
      </c>
      <c r="C2037" s="313" t="s">
        <v>1471</v>
      </c>
      <c r="D2037" s="313" t="s">
        <v>26</v>
      </c>
      <c r="E2037" s="313" t="s">
        <v>24</v>
      </c>
    </row>
    <row r="2038" spans="1:5" x14ac:dyDescent="0.25">
      <c r="A2038" s="313" t="s">
        <v>746</v>
      </c>
      <c r="B2038" s="313" t="s">
        <v>19</v>
      </c>
      <c r="C2038" s="313" t="s">
        <v>1475</v>
      </c>
      <c r="D2038" s="313" t="s">
        <v>19</v>
      </c>
      <c r="E2038" s="313" t="s">
        <v>46</v>
      </c>
    </row>
    <row r="2039" spans="1:5" x14ac:dyDescent="0.25">
      <c r="A2039" s="313" t="s">
        <v>746</v>
      </c>
      <c r="B2039" s="313" t="s">
        <v>19</v>
      </c>
      <c r="C2039" s="313" t="s">
        <v>20</v>
      </c>
      <c r="D2039" s="313" t="s">
        <v>19</v>
      </c>
      <c r="E2039" s="313" t="s">
        <v>747</v>
      </c>
    </row>
    <row r="2040" spans="1:5" x14ac:dyDescent="0.25">
      <c r="A2040" s="313" t="s">
        <v>746</v>
      </c>
      <c r="B2040" s="313" t="s">
        <v>19</v>
      </c>
      <c r="C2040" s="313" t="s">
        <v>1487</v>
      </c>
      <c r="D2040" s="313" t="s">
        <v>19</v>
      </c>
      <c r="E2040" s="313" t="s">
        <v>747</v>
      </c>
    </row>
    <row r="2041" spans="1:5" x14ac:dyDescent="0.25">
      <c r="A2041" s="313" t="s">
        <v>746</v>
      </c>
      <c r="B2041" s="313" t="s">
        <v>19</v>
      </c>
      <c r="C2041" s="313" t="s">
        <v>1495</v>
      </c>
      <c r="D2041" s="313" t="s">
        <v>35</v>
      </c>
      <c r="E2041" s="313" t="s">
        <v>24</v>
      </c>
    </row>
    <row r="2042" spans="1:5" x14ac:dyDescent="0.25">
      <c r="A2042" s="313" t="s">
        <v>746</v>
      </c>
      <c r="B2042" s="313" t="s">
        <v>26</v>
      </c>
      <c r="C2042" s="313" t="s">
        <v>1501</v>
      </c>
      <c r="D2042" s="313" t="s">
        <v>24</v>
      </c>
      <c r="E2042" s="313" t="s">
        <v>747</v>
      </c>
    </row>
    <row r="2043" spans="1:5" x14ac:dyDescent="0.25">
      <c r="A2043" s="313" t="s">
        <v>746</v>
      </c>
      <c r="B2043" s="313" t="s">
        <v>26</v>
      </c>
      <c r="C2043" s="313" t="s">
        <v>1502</v>
      </c>
      <c r="D2043" s="313" t="s">
        <v>24</v>
      </c>
      <c r="E2043" s="313" t="s">
        <v>46</v>
      </c>
    </row>
    <row r="2044" spans="1:5" x14ac:dyDescent="0.25">
      <c r="A2044" s="313" t="s">
        <v>746</v>
      </c>
      <c r="B2044" s="313" t="s">
        <v>26</v>
      </c>
      <c r="C2044" s="313" t="s">
        <v>1503</v>
      </c>
      <c r="D2044" s="313" t="s">
        <v>24</v>
      </c>
      <c r="E2044" s="313" t="s">
        <v>747</v>
      </c>
    </row>
    <row r="2045" spans="1:5" x14ac:dyDescent="0.25">
      <c r="A2045" s="313" t="s">
        <v>746</v>
      </c>
      <c r="B2045" s="313" t="s">
        <v>26</v>
      </c>
      <c r="C2045" s="313" t="s">
        <v>2929</v>
      </c>
      <c r="D2045" s="313" t="s">
        <v>24</v>
      </c>
      <c r="E2045" s="313" t="s">
        <v>747</v>
      </c>
    </row>
    <row r="2046" spans="1:5" x14ac:dyDescent="0.25">
      <c r="A2046" s="313" t="s">
        <v>746</v>
      </c>
      <c r="B2046" s="313" t="s">
        <v>26</v>
      </c>
      <c r="C2046" s="313" t="s">
        <v>2930</v>
      </c>
      <c r="D2046" s="313" t="s">
        <v>24</v>
      </c>
      <c r="E2046" s="313" t="s">
        <v>35</v>
      </c>
    </row>
    <row r="2047" spans="1:5" x14ac:dyDescent="0.25">
      <c r="A2047" s="313" t="s">
        <v>750</v>
      </c>
      <c r="B2047" s="313" t="s">
        <v>51</v>
      </c>
      <c r="C2047" s="313" t="s">
        <v>24</v>
      </c>
      <c r="D2047" s="313" t="s">
        <v>24</v>
      </c>
      <c r="E2047" s="313" t="s">
        <v>751</v>
      </c>
    </row>
    <row r="2048" spans="1:5" x14ac:dyDescent="0.25">
      <c r="A2048" s="313" t="s">
        <v>750</v>
      </c>
      <c r="B2048" s="313" t="s">
        <v>19</v>
      </c>
      <c r="C2048" s="313" t="s">
        <v>1466</v>
      </c>
      <c r="D2048" s="313" t="s">
        <v>51</v>
      </c>
      <c r="E2048" s="313" t="s">
        <v>24</v>
      </c>
    </row>
    <row r="2049" spans="1:5" x14ac:dyDescent="0.25">
      <c r="A2049" s="313" t="s">
        <v>750</v>
      </c>
      <c r="B2049" s="313" t="s">
        <v>19</v>
      </c>
      <c r="C2049" s="313" t="s">
        <v>1471</v>
      </c>
      <c r="D2049" s="313" t="s">
        <v>51</v>
      </c>
      <c r="E2049" s="313" t="s">
        <v>24</v>
      </c>
    </row>
    <row r="2050" spans="1:5" x14ac:dyDescent="0.25">
      <c r="A2050" s="313" t="s">
        <v>750</v>
      </c>
      <c r="B2050" s="313" t="s">
        <v>19</v>
      </c>
      <c r="C2050" s="313" t="s">
        <v>1475</v>
      </c>
      <c r="D2050" s="313" t="s">
        <v>51</v>
      </c>
      <c r="E2050" s="313" t="s">
        <v>24</v>
      </c>
    </row>
    <row r="2051" spans="1:5" x14ac:dyDescent="0.25">
      <c r="A2051" s="313" t="s">
        <v>750</v>
      </c>
      <c r="B2051" s="313" t="s">
        <v>19</v>
      </c>
      <c r="C2051" s="313" t="s">
        <v>20</v>
      </c>
      <c r="D2051" s="313" t="s">
        <v>51</v>
      </c>
      <c r="E2051" s="313" t="s">
        <v>24</v>
      </c>
    </row>
    <row r="2052" spans="1:5" x14ac:dyDescent="0.25">
      <c r="A2052" s="313" t="s">
        <v>750</v>
      </c>
      <c r="B2052" s="313" t="s">
        <v>19</v>
      </c>
      <c r="C2052" s="313" t="s">
        <v>1487</v>
      </c>
      <c r="D2052" s="313" t="s">
        <v>51</v>
      </c>
      <c r="E2052" s="313" t="s">
        <v>24</v>
      </c>
    </row>
    <row r="2053" spans="1:5" x14ac:dyDescent="0.25">
      <c r="A2053" s="313" t="s">
        <v>750</v>
      </c>
      <c r="B2053" s="313" t="s">
        <v>19</v>
      </c>
      <c r="C2053" s="313" t="s">
        <v>1495</v>
      </c>
      <c r="D2053" s="313" t="s">
        <v>51</v>
      </c>
      <c r="E2053" s="313" t="s">
        <v>24</v>
      </c>
    </row>
    <row r="2054" spans="1:5" x14ac:dyDescent="0.25">
      <c r="A2054" s="313" t="s">
        <v>754</v>
      </c>
      <c r="B2054" s="313" t="s">
        <v>19</v>
      </c>
      <c r="C2054" s="313" t="s">
        <v>1466</v>
      </c>
      <c r="D2054" s="313" t="s">
        <v>35</v>
      </c>
      <c r="E2054" s="313" t="s">
        <v>24</v>
      </c>
    </row>
    <row r="2055" spans="1:5" x14ac:dyDescent="0.25">
      <c r="A2055" s="313" t="s">
        <v>754</v>
      </c>
      <c r="B2055" s="313" t="s">
        <v>19</v>
      </c>
      <c r="C2055" s="313" t="s">
        <v>1471</v>
      </c>
      <c r="D2055" s="313" t="s">
        <v>35</v>
      </c>
      <c r="E2055" s="313" t="s">
        <v>24</v>
      </c>
    </row>
    <row r="2056" spans="1:5" x14ac:dyDescent="0.25">
      <c r="A2056" s="313" t="s">
        <v>754</v>
      </c>
      <c r="B2056" s="313" t="s">
        <v>19</v>
      </c>
      <c r="C2056" s="313" t="s">
        <v>1475</v>
      </c>
      <c r="D2056" s="313" t="s">
        <v>19</v>
      </c>
      <c r="E2056" s="313" t="s">
        <v>46</v>
      </c>
    </row>
    <row r="2057" spans="1:5" x14ac:dyDescent="0.25">
      <c r="A2057" s="313" t="s">
        <v>754</v>
      </c>
      <c r="B2057" s="313" t="s">
        <v>19</v>
      </c>
      <c r="C2057" s="313" t="s">
        <v>20</v>
      </c>
      <c r="D2057" s="313" t="s">
        <v>35</v>
      </c>
      <c r="E2057" s="313" t="s">
        <v>24</v>
      </c>
    </row>
    <row r="2058" spans="1:5" x14ac:dyDescent="0.25">
      <c r="A2058" s="313" t="s">
        <v>754</v>
      </c>
      <c r="B2058" s="313" t="s">
        <v>19</v>
      </c>
      <c r="C2058" s="313" t="s">
        <v>1487</v>
      </c>
      <c r="D2058" s="313" t="s">
        <v>35</v>
      </c>
      <c r="E2058" s="313" t="s">
        <v>1661</v>
      </c>
    </row>
    <row r="2059" spans="1:5" x14ac:dyDescent="0.25">
      <c r="A2059" s="313" t="s">
        <v>754</v>
      </c>
      <c r="B2059" s="313" t="s">
        <v>19</v>
      </c>
      <c r="C2059" s="313" t="s">
        <v>1495</v>
      </c>
      <c r="D2059" s="313" t="s">
        <v>35</v>
      </c>
      <c r="E2059" s="313" t="s">
        <v>24</v>
      </c>
    </row>
    <row r="2060" spans="1:5" x14ac:dyDescent="0.25">
      <c r="A2060" s="313" t="s">
        <v>754</v>
      </c>
      <c r="B2060" s="313" t="s">
        <v>26</v>
      </c>
      <c r="C2060" s="313" t="s">
        <v>1514</v>
      </c>
      <c r="D2060" s="313" t="s">
        <v>24</v>
      </c>
      <c r="E2060" s="313" t="s">
        <v>1661</v>
      </c>
    </row>
    <row r="2061" spans="1:5" x14ac:dyDescent="0.25">
      <c r="A2061" s="313" t="s">
        <v>754</v>
      </c>
      <c r="B2061" s="313" t="s">
        <v>26</v>
      </c>
      <c r="C2061" s="313" t="s">
        <v>1515</v>
      </c>
      <c r="D2061" s="313" t="s">
        <v>24</v>
      </c>
      <c r="E2061" s="313" t="s">
        <v>1661</v>
      </c>
    </row>
    <row r="2062" spans="1:5" x14ac:dyDescent="0.25">
      <c r="A2062" s="313" t="s">
        <v>754</v>
      </c>
      <c r="B2062" s="313" t="s">
        <v>26</v>
      </c>
      <c r="C2062" s="313" t="s">
        <v>1516</v>
      </c>
      <c r="D2062" s="313" t="s">
        <v>24</v>
      </c>
      <c r="E2062" s="313" t="s">
        <v>1661</v>
      </c>
    </row>
    <row r="2063" spans="1:5" x14ac:dyDescent="0.25">
      <c r="A2063" s="313" t="s">
        <v>754</v>
      </c>
      <c r="B2063" s="313" t="s">
        <v>26</v>
      </c>
      <c r="C2063" s="313" t="s">
        <v>1517</v>
      </c>
      <c r="D2063" s="313" t="s">
        <v>24</v>
      </c>
      <c r="E2063" s="313" t="s">
        <v>1661</v>
      </c>
    </row>
    <row r="2064" spans="1:5" x14ac:dyDescent="0.25">
      <c r="A2064" s="313" t="s">
        <v>754</v>
      </c>
      <c r="B2064" s="313" t="s">
        <v>26</v>
      </c>
      <c r="C2064" s="313" t="s">
        <v>1518</v>
      </c>
      <c r="D2064" s="313" t="s">
        <v>24</v>
      </c>
      <c r="E2064" s="313" t="s">
        <v>1661</v>
      </c>
    </row>
    <row r="2065" spans="1:5" x14ac:dyDescent="0.25">
      <c r="A2065" s="313" t="s">
        <v>754</v>
      </c>
      <c r="B2065" s="313" t="s">
        <v>26</v>
      </c>
      <c r="C2065" s="313" t="s">
        <v>1519</v>
      </c>
      <c r="D2065" s="313" t="s">
        <v>24</v>
      </c>
      <c r="E2065" s="313" t="s">
        <v>1661</v>
      </c>
    </row>
    <row r="2066" spans="1:5" x14ac:dyDescent="0.25">
      <c r="A2066" s="313" t="s">
        <v>756</v>
      </c>
      <c r="B2066" s="313" t="s">
        <v>19</v>
      </c>
      <c r="C2066" s="313" t="s">
        <v>1466</v>
      </c>
      <c r="D2066" s="313" t="s">
        <v>35</v>
      </c>
      <c r="E2066" s="313" t="s">
        <v>24</v>
      </c>
    </row>
    <row r="2067" spans="1:5" x14ac:dyDescent="0.25">
      <c r="A2067" s="313" t="s">
        <v>756</v>
      </c>
      <c r="B2067" s="313" t="s">
        <v>19</v>
      </c>
      <c r="C2067" s="313" t="s">
        <v>1471</v>
      </c>
      <c r="D2067" s="313" t="s">
        <v>26</v>
      </c>
      <c r="E2067" s="313" t="s">
        <v>24</v>
      </c>
    </row>
    <row r="2068" spans="1:5" x14ac:dyDescent="0.25">
      <c r="A2068" s="313" t="s">
        <v>756</v>
      </c>
      <c r="B2068" s="313" t="s">
        <v>19</v>
      </c>
      <c r="C2068" s="313" t="s">
        <v>1475</v>
      </c>
      <c r="D2068" s="313" t="s">
        <v>19</v>
      </c>
      <c r="E2068" s="313" t="s">
        <v>46</v>
      </c>
    </row>
    <row r="2069" spans="1:5" x14ac:dyDescent="0.25">
      <c r="A2069" s="313" t="s">
        <v>756</v>
      </c>
      <c r="B2069" s="313" t="s">
        <v>19</v>
      </c>
      <c r="C2069" s="313" t="s">
        <v>20</v>
      </c>
      <c r="D2069" s="313" t="s">
        <v>19</v>
      </c>
      <c r="E2069" s="313" t="s">
        <v>46</v>
      </c>
    </row>
    <row r="2070" spans="1:5" x14ac:dyDescent="0.25">
      <c r="A2070" s="313" t="s">
        <v>756</v>
      </c>
      <c r="B2070" s="313" t="s">
        <v>19</v>
      </c>
      <c r="C2070" s="313" t="s">
        <v>1487</v>
      </c>
      <c r="D2070" s="313" t="s">
        <v>19</v>
      </c>
      <c r="E2070" s="313" t="s">
        <v>46</v>
      </c>
    </row>
    <row r="2071" spans="1:5" x14ac:dyDescent="0.25">
      <c r="A2071" s="313" t="s">
        <v>756</v>
      </c>
      <c r="B2071" s="313" t="s">
        <v>19</v>
      </c>
      <c r="C2071" s="313" t="s">
        <v>1495</v>
      </c>
      <c r="D2071" s="313" t="s">
        <v>35</v>
      </c>
      <c r="E2071" s="313" t="s">
        <v>24</v>
      </c>
    </row>
    <row r="2072" spans="1:5" x14ac:dyDescent="0.25">
      <c r="A2072" s="313" t="s">
        <v>756</v>
      </c>
      <c r="B2072" s="313" t="s">
        <v>26</v>
      </c>
      <c r="C2072" s="313" t="s">
        <v>2929</v>
      </c>
      <c r="D2072" s="313" t="s">
        <v>24</v>
      </c>
      <c r="E2072" s="313" t="s">
        <v>46</v>
      </c>
    </row>
    <row r="2073" spans="1:5" x14ac:dyDescent="0.25">
      <c r="A2073" s="313" t="s">
        <v>756</v>
      </c>
      <c r="B2073" s="313" t="s">
        <v>26</v>
      </c>
      <c r="C2073" s="313" t="s">
        <v>2930</v>
      </c>
      <c r="D2073" s="313" t="s">
        <v>24</v>
      </c>
      <c r="E2073" s="313" t="s">
        <v>46</v>
      </c>
    </row>
    <row r="2074" spans="1:5" x14ac:dyDescent="0.25">
      <c r="A2074" s="313" t="s">
        <v>759</v>
      </c>
      <c r="B2074" s="313" t="s">
        <v>19</v>
      </c>
      <c r="C2074" s="313" t="s">
        <v>1466</v>
      </c>
      <c r="D2074" s="313" t="s">
        <v>35</v>
      </c>
      <c r="E2074" s="313" t="s">
        <v>24</v>
      </c>
    </row>
    <row r="2075" spans="1:5" x14ac:dyDescent="0.25">
      <c r="A2075" s="313" t="s">
        <v>759</v>
      </c>
      <c r="B2075" s="313" t="s">
        <v>19</v>
      </c>
      <c r="C2075" s="313" t="s">
        <v>1471</v>
      </c>
      <c r="D2075" s="313" t="s">
        <v>26</v>
      </c>
      <c r="E2075" s="313" t="s">
        <v>24</v>
      </c>
    </row>
    <row r="2076" spans="1:5" x14ac:dyDescent="0.25">
      <c r="A2076" s="313" t="s">
        <v>759</v>
      </c>
      <c r="B2076" s="313" t="s">
        <v>19</v>
      </c>
      <c r="C2076" s="313" t="s">
        <v>1475</v>
      </c>
      <c r="D2076" s="313" t="s">
        <v>19</v>
      </c>
      <c r="E2076" s="313" t="s">
        <v>46</v>
      </c>
    </row>
    <row r="2077" spans="1:5" x14ac:dyDescent="0.25">
      <c r="A2077" s="313" t="s">
        <v>759</v>
      </c>
      <c r="B2077" s="313" t="s">
        <v>19</v>
      </c>
      <c r="C2077" s="313" t="s">
        <v>20</v>
      </c>
      <c r="D2077" s="313" t="s">
        <v>19</v>
      </c>
      <c r="E2077" s="313" t="s">
        <v>46</v>
      </c>
    </row>
    <row r="2078" spans="1:5" x14ac:dyDescent="0.25">
      <c r="A2078" s="313" t="s">
        <v>759</v>
      </c>
      <c r="B2078" s="313" t="s">
        <v>19</v>
      </c>
      <c r="C2078" s="313" t="s">
        <v>1487</v>
      </c>
      <c r="D2078" s="313" t="s">
        <v>26</v>
      </c>
      <c r="E2078" s="313" t="s">
        <v>24</v>
      </c>
    </row>
    <row r="2079" spans="1:5" x14ac:dyDescent="0.25">
      <c r="A2079" s="313" t="s">
        <v>759</v>
      </c>
      <c r="B2079" s="313" t="s">
        <v>19</v>
      </c>
      <c r="C2079" s="313" t="s">
        <v>1495</v>
      </c>
      <c r="D2079" s="313" t="s">
        <v>35</v>
      </c>
      <c r="E2079" s="313" t="s">
        <v>24</v>
      </c>
    </row>
    <row r="2080" spans="1:5" x14ac:dyDescent="0.25">
      <c r="A2080" s="313" t="s">
        <v>759</v>
      </c>
      <c r="B2080" s="313" t="s">
        <v>26</v>
      </c>
      <c r="C2080" s="313" t="s">
        <v>2929</v>
      </c>
      <c r="D2080" s="313" t="s">
        <v>24</v>
      </c>
      <c r="E2080" s="313" t="s">
        <v>46</v>
      </c>
    </row>
    <row r="2081" spans="1:5" x14ac:dyDescent="0.25">
      <c r="A2081" s="313" t="s">
        <v>759</v>
      </c>
      <c r="B2081" s="313" t="s">
        <v>26</v>
      </c>
      <c r="C2081" s="313" t="s">
        <v>2930</v>
      </c>
      <c r="D2081" s="313" t="s">
        <v>24</v>
      </c>
      <c r="E2081" s="313" t="s">
        <v>46</v>
      </c>
    </row>
    <row r="2082" spans="1:5" x14ac:dyDescent="0.25">
      <c r="A2082" s="313" t="s">
        <v>759</v>
      </c>
      <c r="B2082" s="313" t="s">
        <v>26</v>
      </c>
      <c r="C2082" s="313" t="s">
        <v>1514</v>
      </c>
      <c r="D2082" s="313" t="s">
        <v>24</v>
      </c>
      <c r="E2082" s="313" t="s">
        <v>46</v>
      </c>
    </row>
    <row r="2083" spans="1:5" x14ac:dyDescent="0.25">
      <c r="A2083" s="313" t="s">
        <v>759</v>
      </c>
      <c r="B2083" s="313" t="s">
        <v>26</v>
      </c>
      <c r="C2083" s="313" t="s">
        <v>1515</v>
      </c>
      <c r="D2083" s="313" t="s">
        <v>24</v>
      </c>
      <c r="E2083" s="313" t="s">
        <v>46</v>
      </c>
    </row>
    <row r="2084" spans="1:5" x14ac:dyDescent="0.25">
      <c r="A2084" s="313" t="s">
        <v>759</v>
      </c>
      <c r="B2084" s="313" t="s">
        <v>26</v>
      </c>
      <c r="C2084" s="313" t="s">
        <v>1516</v>
      </c>
      <c r="D2084" s="313" t="s">
        <v>24</v>
      </c>
      <c r="E2084" s="313" t="s">
        <v>46</v>
      </c>
    </row>
    <row r="2085" spans="1:5" x14ac:dyDescent="0.25">
      <c r="A2085" s="313" t="s">
        <v>759</v>
      </c>
      <c r="B2085" s="313" t="s">
        <v>26</v>
      </c>
      <c r="C2085" s="313" t="s">
        <v>1517</v>
      </c>
      <c r="D2085" s="313" t="s">
        <v>24</v>
      </c>
      <c r="E2085" s="313" t="s">
        <v>46</v>
      </c>
    </row>
    <row r="2086" spans="1:5" x14ac:dyDescent="0.25">
      <c r="A2086" s="313" t="s">
        <v>759</v>
      </c>
      <c r="B2086" s="313" t="s">
        <v>26</v>
      </c>
      <c r="C2086" s="313" t="s">
        <v>1518</v>
      </c>
      <c r="D2086" s="313" t="s">
        <v>24</v>
      </c>
      <c r="E2086" s="313" t="s">
        <v>46</v>
      </c>
    </row>
    <row r="2087" spans="1:5" x14ac:dyDescent="0.25">
      <c r="A2087" s="313" t="s">
        <v>759</v>
      </c>
      <c r="B2087" s="313" t="s">
        <v>26</v>
      </c>
      <c r="C2087" s="313" t="s">
        <v>1519</v>
      </c>
      <c r="D2087" s="313" t="s">
        <v>24</v>
      </c>
      <c r="E2087" s="313" t="s">
        <v>46</v>
      </c>
    </row>
    <row r="2088" spans="1:5" x14ac:dyDescent="0.25">
      <c r="A2088" s="313" t="s">
        <v>766</v>
      </c>
      <c r="B2088" s="313" t="s">
        <v>51</v>
      </c>
      <c r="C2088" s="313" t="s">
        <v>24</v>
      </c>
      <c r="D2088" s="313" t="s">
        <v>24</v>
      </c>
      <c r="E2088" s="313" t="s">
        <v>767</v>
      </c>
    </row>
    <row r="2089" spans="1:5" x14ac:dyDescent="0.25">
      <c r="A2089" s="313" t="s">
        <v>766</v>
      </c>
      <c r="B2089" s="313" t="s">
        <v>19</v>
      </c>
      <c r="C2089" s="313" t="s">
        <v>1466</v>
      </c>
      <c r="D2089" s="313" t="s">
        <v>51</v>
      </c>
      <c r="E2089" s="313" t="s">
        <v>24</v>
      </c>
    </row>
    <row r="2090" spans="1:5" x14ac:dyDescent="0.25">
      <c r="A2090" s="313" t="s">
        <v>766</v>
      </c>
      <c r="B2090" s="313" t="s">
        <v>19</v>
      </c>
      <c r="C2090" s="313" t="s">
        <v>1471</v>
      </c>
      <c r="D2090" s="313" t="s">
        <v>51</v>
      </c>
      <c r="E2090" s="313" t="s">
        <v>24</v>
      </c>
    </row>
    <row r="2091" spans="1:5" x14ac:dyDescent="0.25">
      <c r="A2091" s="313" t="s">
        <v>766</v>
      </c>
      <c r="B2091" s="313" t="s">
        <v>19</v>
      </c>
      <c r="C2091" s="313" t="s">
        <v>1475</v>
      </c>
      <c r="D2091" s="313" t="s">
        <v>51</v>
      </c>
      <c r="E2091" s="313" t="s">
        <v>24</v>
      </c>
    </row>
    <row r="2092" spans="1:5" x14ac:dyDescent="0.25">
      <c r="A2092" s="313" t="s">
        <v>766</v>
      </c>
      <c r="B2092" s="313" t="s">
        <v>19</v>
      </c>
      <c r="C2092" s="313" t="s">
        <v>20</v>
      </c>
      <c r="D2092" s="313" t="s">
        <v>51</v>
      </c>
      <c r="E2092" s="313" t="s">
        <v>24</v>
      </c>
    </row>
    <row r="2093" spans="1:5" x14ac:dyDescent="0.25">
      <c r="A2093" s="313" t="s">
        <v>766</v>
      </c>
      <c r="B2093" s="313" t="s">
        <v>19</v>
      </c>
      <c r="C2093" s="313" t="s">
        <v>1487</v>
      </c>
      <c r="D2093" s="313" t="s">
        <v>51</v>
      </c>
      <c r="E2093" s="313" t="s">
        <v>24</v>
      </c>
    </row>
    <row r="2094" spans="1:5" x14ac:dyDescent="0.25">
      <c r="A2094" s="313" t="s">
        <v>766</v>
      </c>
      <c r="B2094" s="313" t="s">
        <v>19</v>
      </c>
      <c r="C2094" s="313" t="s">
        <v>1495</v>
      </c>
      <c r="D2094" s="313" t="s">
        <v>51</v>
      </c>
      <c r="E2094" s="313" t="s">
        <v>24</v>
      </c>
    </row>
    <row r="2095" spans="1:5" x14ac:dyDescent="0.25">
      <c r="A2095" s="313" t="s">
        <v>770</v>
      </c>
      <c r="B2095" s="313" t="s">
        <v>51</v>
      </c>
      <c r="C2095" s="313" t="s">
        <v>24</v>
      </c>
      <c r="D2095" s="313" t="s">
        <v>24</v>
      </c>
      <c r="E2095" s="313" t="s">
        <v>771</v>
      </c>
    </row>
    <row r="2096" spans="1:5" x14ac:dyDescent="0.25">
      <c r="A2096" s="313" t="s">
        <v>770</v>
      </c>
      <c r="B2096" s="313" t="s">
        <v>19</v>
      </c>
      <c r="C2096" s="313" t="s">
        <v>1466</v>
      </c>
      <c r="D2096" s="313" t="s">
        <v>51</v>
      </c>
      <c r="E2096" s="313" t="s">
        <v>24</v>
      </c>
    </row>
    <row r="2097" spans="1:5" x14ac:dyDescent="0.25">
      <c r="A2097" s="313" t="s">
        <v>770</v>
      </c>
      <c r="B2097" s="313" t="s">
        <v>19</v>
      </c>
      <c r="C2097" s="313" t="s">
        <v>1471</v>
      </c>
      <c r="D2097" s="313" t="s">
        <v>51</v>
      </c>
      <c r="E2097" s="313" t="s">
        <v>24</v>
      </c>
    </row>
    <row r="2098" spans="1:5" x14ac:dyDescent="0.25">
      <c r="A2098" s="313" t="s">
        <v>770</v>
      </c>
      <c r="B2098" s="313" t="s">
        <v>19</v>
      </c>
      <c r="C2098" s="313" t="s">
        <v>1475</v>
      </c>
      <c r="D2098" s="313" t="s">
        <v>51</v>
      </c>
      <c r="E2098" s="313" t="s">
        <v>24</v>
      </c>
    </row>
    <row r="2099" spans="1:5" x14ac:dyDescent="0.25">
      <c r="A2099" s="313" t="s">
        <v>770</v>
      </c>
      <c r="B2099" s="313" t="s">
        <v>19</v>
      </c>
      <c r="C2099" s="313" t="s">
        <v>20</v>
      </c>
      <c r="D2099" s="313" t="s">
        <v>51</v>
      </c>
      <c r="E2099" s="313" t="s">
        <v>24</v>
      </c>
    </row>
    <row r="2100" spans="1:5" x14ac:dyDescent="0.25">
      <c r="A2100" s="313" t="s">
        <v>770</v>
      </c>
      <c r="B2100" s="313" t="s">
        <v>19</v>
      </c>
      <c r="C2100" s="313" t="s">
        <v>1487</v>
      </c>
      <c r="D2100" s="313" t="s">
        <v>51</v>
      </c>
      <c r="E2100" s="313" t="s">
        <v>24</v>
      </c>
    </row>
    <row r="2101" spans="1:5" x14ac:dyDescent="0.25">
      <c r="A2101" s="313" t="s">
        <v>770</v>
      </c>
      <c r="B2101" s="313" t="s">
        <v>19</v>
      </c>
      <c r="C2101" s="313" t="s">
        <v>1495</v>
      </c>
      <c r="D2101" s="313" t="s">
        <v>51</v>
      </c>
      <c r="E2101" s="313" t="s">
        <v>24</v>
      </c>
    </row>
    <row r="2102" spans="1:5" x14ac:dyDescent="0.25">
      <c r="A2102" s="313" t="s">
        <v>774</v>
      </c>
      <c r="B2102" s="313" t="s">
        <v>19</v>
      </c>
      <c r="C2102" s="313" t="s">
        <v>1466</v>
      </c>
      <c r="D2102" s="313" t="s">
        <v>26</v>
      </c>
      <c r="E2102" s="313" t="s">
        <v>24</v>
      </c>
    </row>
    <row r="2103" spans="1:5" x14ac:dyDescent="0.25">
      <c r="A2103" s="313" t="s">
        <v>774</v>
      </c>
      <c r="B2103" s="313" t="s">
        <v>19</v>
      </c>
      <c r="C2103" s="313" t="s">
        <v>1471</v>
      </c>
      <c r="D2103" s="313" t="s">
        <v>26</v>
      </c>
      <c r="E2103" s="313" t="s">
        <v>24</v>
      </c>
    </row>
    <row r="2104" spans="1:5" x14ac:dyDescent="0.25">
      <c r="A2104" s="313" t="s">
        <v>774</v>
      </c>
      <c r="B2104" s="313" t="s">
        <v>19</v>
      </c>
      <c r="C2104" s="313" t="s">
        <v>1475</v>
      </c>
      <c r="D2104" s="313" t="s">
        <v>26</v>
      </c>
      <c r="E2104" s="313" t="s">
        <v>24</v>
      </c>
    </row>
    <row r="2105" spans="1:5" x14ac:dyDescent="0.25">
      <c r="A2105" s="313" t="s">
        <v>774</v>
      </c>
      <c r="B2105" s="313" t="s">
        <v>19</v>
      </c>
      <c r="C2105" s="313" t="s">
        <v>20</v>
      </c>
      <c r="D2105" s="313" t="s">
        <v>19</v>
      </c>
      <c r="E2105" s="313" t="s">
        <v>775</v>
      </c>
    </row>
    <row r="2106" spans="1:5" x14ac:dyDescent="0.25">
      <c r="A2106" s="313" t="s">
        <v>774</v>
      </c>
      <c r="B2106" s="313" t="s">
        <v>19</v>
      </c>
      <c r="C2106" s="313" t="s">
        <v>1487</v>
      </c>
      <c r="D2106" s="313" t="s">
        <v>19</v>
      </c>
      <c r="E2106" s="313" t="s">
        <v>775</v>
      </c>
    </row>
    <row r="2107" spans="1:5" x14ac:dyDescent="0.25">
      <c r="A2107" s="313" t="s">
        <v>774</v>
      </c>
      <c r="B2107" s="313" t="s">
        <v>19</v>
      </c>
      <c r="C2107" s="313" t="s">
        <v>1495</v>
      </c>
      <c r="D2107" s="313" t="s">
        <v>35</v>
      </c>
      <c r="E2107" s="313" t="s">
        <v>24</v>
      </c>
    </row>
    <row r="2108" spans="1:5" x14ac:dyDescent="0.25">
      <c r="A2108" s="313" t="s">
        <v>774</v>
      </c>
      <c r="B2108" s="313" t="s">
        <v>26</v>
      </c>
      <c r="C2108" s="313" t="s">
        <v>1501</v>
      </c>
      <c r="D2108" s="313" t="s">
        <v>24</v>
      </c>
      <c r="E2108" s="313" t="s">
        <v>775</v>
      </c>
    </row>
    <row r="2109" spans="1:5" x14ac:dyDescent="0.25">
      <c r="A2109" s="313" t="s">
        <v>774</v>
      </c>
      <c r="B2109" s="313" t="s">
        <v>26</v>
      </c>
      <c r="C2109" s="313" t="s">
        <v>1502</v>
      </c>
      <c r="D2109" s="313" t="s">
        <v>24</v>
      </c>
      <c r="E2109" s="313" t="s">
        <v>1663</v>
      </c>
    </row>
    <row r="2110" spans="1:5" x14ac:dyDescent="0.25">
      <c r="A2110" s="313" t="s">
        <v>774</v>
      </c>
      <c r="B2110" s="313" t="s">
        <v>26</v>
      </c>
      <c r="C2110" s="313" t="s">
        <v>1503</v>
      </c>
      <c r="D2110" s="313" t="s">
        <v>24</v>
      </c>
      <c r="E2110" s="313" t="s">
        <v>775</v>
      </c>
    </row>
    <row r="2111" spans="1:5" x14ac:dyDescent="0.25">
      <c r="A2111" s="313" t="s">
        <v>774</v>
      </c>
      <c r="B2111" s="313" t="s">
        <v>26</v>
      </c>
      <c r="C2111" s="313" t="s">
        <v>2929</v>
      </c>
      <c r="D2111" s="313" t="s">
        <v>24</v>
      </c>
      <c r="E2111" s="313" t="s">
        <v>775</v>
      </c>
    </row>
    <row r="2112" spans="1:5" x14ac:dyDescent="0.25">
      <c r="A2112" s="313" t="s">
        <v>774</v>
      </c>
      <c r="B2112" s="313" t="s">
        <v>26</v>
      </c>
      <c r="C2112" s="313" t="s">
        <v>2930</v>
      </c>
      <c r="D2112" s="313" t="s">
        <v>24</v>
      </c>
      <c r="E2112" s="313" t="s">
        <v>35</v>
      </c>
    </row>
    <row r="2113" spans="1:5" x14ac:dyDescent="0.25">
      <c r="A2113" s="313" t="s">
        <v>774</v>
      </c>
      <c r="B2113" s="313" t="s">
        <v>26</v>
      </c>
      <c r="C2113" s="313" t="s">
        <v>1506</v>
      </c>
      <c r="D2113" s="313" t="s">
        <v>24</v>
      </c>
      <c r="E2113" s="313" t="s">
        <v>1664</v>
      </c>
    </row>
    <row r="2114" spans="1:5" x14ac:dyDescent="0.25">
      <c r="A2114" s="313" t="s">
        <v>774</v>
      </c>
      <c r="B2114" s="313" t="s">
        <v>26</v>
      </c>
      <c r="C2114" s="313" t="s">
        <v>1507</v>
      </c>
      <c r="D2114" s="313" t="s">
        <v>24</v>
      </c>
      <c r="E2114" s="313" t="s">
        <v>1664</v>
      </c>
    </row>
    <row r="2115" spans="1:5" x14ac:dyDescent="0.25">
      <c r="A2115" s="313" t="s">
        <v>774</v>
      </c>
      <c r="B2115" s="313" t="s">
        <v>26</v>
      </c>
      <c r="C2115" s="313" t="s">
        <v>1508</v>
      </c>
      <c r="D2115" s="313" t="s">
        <v>24</v>
      </c>
      <c r="E2115" s="313" t="s">
        <v>775</v>
      </c>
    </row>
    <row r="2116" spans="1:5" x14ac:dyDescent="0.25">
      <c r="A2116" s="313" t="s">
        <v>778</v>
      </c>
      <c r="B2116" s="313" t="s">
        <v>19</v>
      </c>
      <c r="C2116" s="313" t="s">
        <v>1466</v>
      </c>
      <c r="D2116" s="313" t="s">
        <v>26</v>
      </c>
      <c r="E2116" s="313" t="s">
        <v>24</v>
      </c>
    </row>
    <row r="2117" spans="1:5" x14ac:dyDescent="0.25">
      <c r="A2117" s="313" t="s">
        <v>778</v>
      </c>
      <c r="B2117" s="313" t="s">
        <v>19</v>
      </c>
      <c r="C2117" s="313" t="s">
        <v>1471</v>
      </c>
      <c r="D2117" s="313" t="s">
        <v>26</v>
      </c>
      <c r="E2117" s="313" t="s">
        <v>24</v>
      </c>
    </row>
    <row r="2118" spans="1:5" x14ac:dyDescent="0.25">
      <c r="A2118" s="313" t="s">
        <v>778</v>
      </c>
      <c r="B2118" s="313" t="s">
        <v>19</v>
      </c>
      <c r="C2118" s="313" t="s">
        <v>1475</v>
      </c>
      <c r="D2118" s="313" t="s">
        <v>19</v>
      </c>
      <c r="E2118" s="313" t="s">
        <v>1575</v>
      </c>
    </row>
    <row r="2119" spans="1:5" x14ac:dyDescent="0.25">
      <c r="A2119" s="313" t="s">
        <v>778</v>
      </c>
      <c r="B2119" s="313" t="s">
        <v>19</v>
      </c>
      <c r="C2119" s="313" t="s">
        <v>20</v>
      </c>
      <c r="D2119" s="313" t="s">
        <v>19</v>
      </c>
      <c r="E2119" s="313" t="s">
        <v>779</v>
      </c>
    </row>
    <row r="2120" spans="1:5" x14ac:dyDescent="0.25">
      <c r="A2120" s="313" t="s">
        <v>778</v>
      </c>
      <c r="B2120" s="313" t="s">
        <v>19</v>
      </c>
      <c r="C2120" s="313" t="s">
        <v>1487</v>
      </c>
      <c r="D2120" s="313" t="s">
        <v>26</v>
      </c>
      <c r="E2120" s="313" t="s">
        <v>24</v>
      </c>
    </row>
    <row r="2121" spans="1:5" x14ac:dyDescent="0.25">
      <c r="A2121" s="313" t="s">
        <v>778</v>
      </c>
      <c r="B2121" s="313" t="s">
        <v>19</v>
      </c>
      <c r="C2121" s="313" t="s">
        <v>1495</v>
      </c>
      <c r="D2121" s="313" t="s">
        <v>35</v>
      </c>
      <c r="E2121" s="313" t="s">
        <v>24</v>
      </c>
    </row>
    <row r="2122" spans="1:5" x14ac:dyDescent="0.25">
      <c r="A2122" s="313" t="s">
        <v>778</v>
      </c>
      <c r="B2122" s="313" t="s">
        <v>26</v>
      </c>
      <c r="C2122" s="313" t="s">
        <v>1501</v>
      </c>
      <c r="D2122" s="313" t="s">
        <v>24</v>
      </c>
      <c r="E2122" s="313" t="s">
        <v>1575</v>
      </c>
    </row>
    <row r="2123" spans="1:5" x14ac:dyDescent="0.25">
      <c r="A2123" s="313" t="s">
        <v>778</v>
      </c>
      <c r="B2123" s="313" t="s">
        <v>26</v>
      </c>
      <c r="C2123" s="313" t="s">
        <v>1502</v>
      </c>
      <c r="D2123" s="313" t="s">
        <v>24</v>
      </c>
      <c r="E2123" s="313" t="s">
        <v>1575</v>
      </c>
    </row>
    <row r="2124" spans="1:5" x14ac:dyDescent="0.25">
      <c r="A2124" s="313" t="s">
        <v>778</v>
      </c>
      <c r="B2124" s="313" t="s">
        <v>26</v>
      </c>
      <c r="C2124" s="313" t="s">
        <v>1503</v>
      </c>
      <c r="D2124" s="313" t="s">
        <v>24</v>
      </c>
      <c r="E2124" s="313" t="s">
        <v>1665</v>
      </c>
    </row>
    <row r="2125" spans="1:5" x14ac:dyDescent="0.25">
      <c r="A2125" s="313" t="s">
        <v>778</v>
      </c>
      <c r="B2125" s="313" t="s">
        <v>26</v>
      </c>
      <c r="C2125" s="313" t="s">
        <v>2929</v>
      </c>
      <c r="D2125" s="313" t="s">
        <v>24</v>
      </c>
      <c r="E2125" s="313" t="s">
        <v>46</v>
      </c>
    </row>
    <row r="2126" spans="1:5" x14ac:dyDescent="0.25">
      <c r="A2126" s="313" t="s">
        <v>778</v>
      </c>
      <c r="B2126" s="313" t="s">
        <v>26</v>
      </c>
      <c r="C2126" s="313" t="s">
        <v>2930</v>
      </c>
      <c r="D2126" s="313" t="s">
        <v>24</v>
      </c>
      <c r="E2126" s="313" t="s">
        <v>35</v>
      </c>
    </row>
    <row r="2127" spans="1:5" x14ac:dyDescent="0.25">
      <c r="A2127" s="313" t="s">
        <v>778</v>
      </c>
      <c r="B2127" s="313" t="s">
        <v>26</v>
      </c>
      <c r="C2127" s="313" t="s">
        <v>1514</v>
      </c>
      <c r="D2127" s="313" t="s">
        <v>24</v>
      </c>
      <c r="E2127" s="313" t="s">
        <v>46</v>
      </c>
    </row>
    <row r="2128" spans="1:5" x14ac:dyDescent="0.25">
      <c r="A2128" s="313" t="s">
        <v>778</v>
      </c>
      <c r="B2128" s="313" t="s">
        <v>26</v>
      </c>
      <c r="C2128" s="313" t="s">
        <v>1515</v>
      </c>
      <c r="D2128" s="313" t="s">
        <v>24</v>
      </c>
      <c r="E2128" s="313" t="s">
        <v>46</v>
      </c>
    </row>
    <row r="2129" spans="1:5" x14ac:dyDescent="0.25">
      <c r="A2129" s="313" t="s">
        <v>778</v>
      </c>
      <c r="B2129" s="313" t="s">
        <v>26</v>
      </c>
      <c r="C2129" s="313" t="s">
        <v>1516</v>
      </c>
      <c r="D2129" s="313" t="s">
        <v>24</v>
      </c>
      <c r="E2129" s="313" t="s">
        <v>46</v>
      </c>
    </row>
    <row r="2130" spans="1:5" x14ac:dyDescent="0.25">
      <c r="A2130" s="313" t="s">
        <v>778</v>
      </c>
      <c r="B2130" s="313" t="s">
        <v>26</v>
      </c>
      <c r="C2130" s="313" t="s">
        <v>1517</v>
      </c>
      <c r="D2130" s="313" t="s">
        <v>24</v>
      </c>
      <c r="E2130" s="313" t="s">
        <v>46</v>
      </c>
    </row>
    <row r="2131" spans="1:5" x14ac:dyDescent="0.25">
      <c r="A2131" s="313" t="s">
        <v>778</v>
      </c>
      <c r="B2131" s="313" t="s">
        <v>26</v>
      </c>
      <c r="C2131" s="313" t="s">
        <v>1518</v>
      </c>
      <c r="D2131" s="313" t="s">
        <v>24</v>
      </c>
      <c r="E2131" s="313" t="s">
        <v>46</v>
      </c>
    </row>
    <row r="2132" spans="1:5" x14ac:dyDescent="0.25">
      <c r="A2132" s="313" t="s">
        <v>778</v>
      </c>
      <c r="B2132" s="313" t="s">
        <v>26</v>
      </c>
      <c r="C2132" s="313" t="s">
        <v>1519</v>
      </c>
      <c r="D2132" s="313" t="s">
        <v>24</v>
      </c>
      <c r="E2132" s="313" t="s">
        <v>46</v>
      </c>
    </row>
    <row r="2133" spans="1:5" x14ac:dyDescent="0.25">
      <c r="A2133" s="313" t="s">
        <v>782</v>
      </c>
      <c r="B2133" s="313" t="s">
        <v>19</v>
      </c>
      <c r="C2133" s="313" t="s">
        <v>1466</v>
      </c>
      <c r="D2133" s="313" t="s">
        <v>26</v>
      </c>
      <c r="E2133" s="313" t="s">
        <v>24</v>
      </c>
    </row>
    <row r="2134" spans="1:5" x14ac:dyDescent="0.25">
      <c r="A2134" s="313" t="s">
        <v>782</v>
      </c>
      <c r="B2134" s="313" t="s">
        <v>19</v>
      </c>
      <c r="C2134" s="313" t="s">
        <v>1471</v>
      </c>
      <c r="D2134" s="313" t="s">
        <v>26</v>
      </c>
      <c r="E2134" s="313" t="s">
        <v>24</v>
      </c>
    </row>
    <row r="2135" spans="1:5" x14ac:dyDescent="0.25">
      <c r="A2135" s="313" t="s">
        <v>782</v>
      </c>
      <c r="B2135" s="313" t="s">
        <v>19</v>
      </c>
      <c r="C2135" s="313" t="s">
        <v>1475</v>
      </c>
      <c r="D2135" s="313" t="s">
        <v>35</v>
      </c>
      <c r="E2135" s="313" t="s">
        <v>24</v>
      </c>
    </row>
    <row r="2136" spans="1:5" x14ac:dyDescent="0.25">
      <c r="A2136" s="313" t="s">
        <v>782</v>
      </c>
      <c r="B2136" s="313" t="s">
        <v>19</v>
      </c>
      <c r="C2136" s="313" t="s">
        <v>20</v>
      </c>
      <c r="D2136" s="313" t="s">
        <v>35</v>
      </c>
      <c r="E2136" s="313" t="s">
        <v>24</v>
      </c>
    </row>
    <row r="2137" spans="1:5" x14ac:dyDescent="0.25">
      <c r="A2137" s="313" t="s">
        <v>782</v>
      </c>
      <c r="B2137" s="313" t="s">
        <v>19</v>
      </c>
      <c r="C2137" s="313" t="s">
        <v>1487</v>
      </c>
      <c r="D2137" s="313" t="s">
        <v>35</v>
      </c>
      <c r="E2137" s="313" t="s">
        <v>24</v>
      </c>
    </row>
    <row r="2138" spans="1:5" x14ac:dyDescent="0.25">
      <c r="A2138" s="313" t="s">
        <v>782</v>
      </c>
      <c r="B2138" s="313" t="s">
        <v>19</v>
      </c>
      <c r="C2138" s="313" t="s">
        <v>1495</v>
      </c>
      <c r="D2138" s="313" t="s">
        <v>35</v>
      </c>
      <c r="E2138" s="313" t="s">
        <v>24</v>
      </c>
    </row>
    <row r="2139" spans="1:5" x14ac:dyDescent="0.25">
      <c r="A2139" s="313" t="s">
        <v>782</v>
      </c>
      <c r="B2139" s="313" t="s">
        <v>26</v>
      </c>
      <c r="C2139" s="313" t="s">
        <v>1501</v>
      </c>
      <c r="D2139" s="313" t="s">
        <v>24</v>
      </c>
      <c r="E2139" s="313" t="s">
        <v>46</v>
      </c>
    </row>
    <row r="2140" spans="1:5" x14ac:dyDescent="0.25">
      <c r="A2140" s="313" t="s">
        <v>782</v>
      </c>
      <c r="B2140" s="313" t="s">
        <v>26</v>
      </c>
      <c r="C2140" s="313" t="s">
        <v>1502</v>
      </c>
      <c r="D2140" s="313" t="s">
        <v>24</v>
      </c>
      <c r="E2140" s="313" t="s">
        <v>1666</v>
      </c>
    </row>
    <row r="2141" spans="1:5" x14ac:dyDescent="0.25">
      <c r="A2141" s="313" t="s">
        <v>782</v>
      </c>
      <c r="B2141" s="313" t="s">
        <v>26</v>
      </c>
      <c r="C2141" s="313" t="s">
        <v>1503</v>
      </c>
      <c r="D2141" s="313" t="s">
        <v>24</v>
      </c>
      <c r="E2141" s="313" t="s">
        <v>46</v>
      </c>
    </row>
    <row r="2142" spans="1:5" x14ac:dyDescent="0.25">
      <c r="A2142" s="313" t="s">
        <v>782</v>
      </c>
      <c r="B2142" s="313" t="s">
        <v>26</v>
      </c>
      <c r="C2142" s="313" t="s">
        <v>2929</v>
      </c>
      <c r="D2142" s="313" t="s">
        <v>24</v>
      </c>
      <c r="E2142" s="313" t="s">
        <v>46</v>
      </c>
    </row>
    <row r="2143" spans="1:5" x14ac:dyDescent="0.25">
      <c r="A2143" s="313" t="s">
        <v>782</v>
      </c>
      <c r="B2143" s="313" t="s">
        <v>26</v>
      </c>
      <c r="C2143" s="313" t="s">
        <v>2930</v>
      </c>
      <c r="D2143" s="313" t="s">
        <v>24</v>
      </c>
      <c r="E2143" s="313" t="s">
        <v>35</v>
      </c>
    </row>
    <row r="2144" spans="1:5" x14ac:dyDescent="0.25">
      <c r="A2144" s="313" t="s">
        <v>785</v>
      </c>
      <c r="B2144" s="313" t="s">
        <v>19</v>
      </c>
      <c r="C2144" s="313" t="s">
        <v>1466</v>
      </c>
      <c r="D2144" s="313" t="s">
        <v>35</v>
      </c>
      <c r="E2144" s="313" t="s">
        <v>24</v>
      </c>
    </row>
    <row r="2145" spans="1:5" x14ac:dyDescent="0.25">
      <c r="A2145" s="313" t="s">
        <v>785</v>
      </c>
      <c r="B2145" s="313" t="s">
        <v>19</v>
      </c>
      <c r="C2145" s="313" t="s">
        <v>1471</v>
      </c>
      <c r="D2145" s="313" t="s">
        <v>35</v>
      </c>
      <c r="E2145" s="313" t="s">
        <v>24</v>
      </c>
    </row>
    <row r="2146" spans="1:5" x14ac:dyDescent="0.25">
      <c r="A2146" s="313" t="s">
        <v>785</v>
      </c>
      <c r="B2146" s="313" t="s">
        <v>19</v>
      </c>
      <c r="C2146" s="313" t="s">
        <v>1475</v>
      </c>
      <c r="D2146" s="313" t="s">
        <v>35</v>
      </c>
      <c r="E2146" s="313" t="s">
        <v>24</v>
      </c>
    </row>
    <row r="2147" spans="1:5" x14ac:dyDescent="0.25">
      <c r="A2147" s="313" t="s">
        <v>785</v>
      </c>
      <c r="B2147" s="313" t="s">
        <v>19</v>
      </c>
      <c r="C2147" s="313" t="s">
        <v>20</v>
      </c>
      <c r="D2147" s="313" t="s">
        <v>35</v>
      </c>
      <c r="E2147" s="313" t="s">
        <v>24</v>
      </c>
    </row>
    <row r="2148" spans="1:5" x14ac:dyDescent="0.25">
      <c r="A2148" s="313" t="s">
        <v>785</v>
      </c>
      <c r="B2148" s="313" t="s">
        <v>19</v>
      </c>
      <c r="C2148" s="313" t="s">
        <v>1487</v>
      </c>
      <c r="D2148" s="313" t="s">
        <v>35</v>
      </c>
      <c r="E2148" s="313" t="s">
        <v>24</v>
      </c>
    </row>
    <row r="2149" spans="1:5" x14ac:dyDescent="0.25">
      <c r="A2149" s="313" t="s">
        <v>785</v>
      </c>
      <c r="B2149" s="313" t="s">
        <v>19</v>
      </c>
      <c r="C2149" s="313" t="s">
        <v>1495</v>
      </c>
      <c r="D2149" s="313" t="s">
        <v>35</v>
      </c>
      <c r="E2149" s="313" t="s">
        <v>24</v>
      </c>
    </row>
    <row r="2150" spans="1:5" x14ac:dyDescent="0.25">
      <c r="A2150" s="313" t="s">
        <v>789</v>
      </c>
      <c r="B2150" s="313" t="s">
        <v>19</v>
      </c>
      <c r="C2150" s="313" t="s">
        <v>1466</v>
      </c>
      <c r="D2150" s="313" t="s">
        <v>19</v>
      </c>
      <c r="E2150" s="313" t="s">
        <v>1667</v>
      </c>
    </row>
    <row r="2151" spans="1:5" x14ac:dyDescent="0.25">
      <c r="A2151" s="313" t="s">
        <v>789</v>
      </c>
      <c r="B2151" s="313" t="s">
        <v>19</v>
      </c>
      <c r="C2151" s="313" t="s">
        <v>1471</v>
      </c>
      <c r="D2151" s="313" t="s">
        <v>26</v>
      </c>
      <c r="E2151" s="313" t="s">
        <v>24</v>
      </c>
    </row>
    <row r="2152" spans="1:5" x14ac:dyDescent="0.25">
      <c r="A2152" s="313" t="s">
        <v>789</v>
      </c>
      <c r="B2152" s="313" t="s">
        <v>19</v>
      </c>
      <c r="C2152" s="313" t="s">
        <v>1475</v>
      </c>
      <c r="D2152" s="313" t="s">
        <v>19</v>
      </c>
      <c r="E2152" s="313" t="s">
        <v>46</v>
      </c>
    </row>
    <row r="2153" spans="1:5" x14ac:dyDescent="0.25">
      <c r="A2153" s="313" t="s">
        <v>789</v>
      </c>
      <c r="B2153" s="313" t="s">
        <v>19</v>
      </c>
      <c r="C2153" s="313" t="s">
        <v>20</v>
      </c>
      <c r="D2153" s="313" t="s">
        <v>26</v>
      </c>
      <c r="E2153" s="313" t="s">
        <v>24</v>
      </c>
    </row>
    <row r="2154" spans="1:5" x14ac:dyDescent="0.25">
      <c r="A2154" s="313" t="s">
        <v>789</v>
      </c>
      <c r="B2154" s="313" t="s">
        <v>19</v>
      </c>
      <c r="C2154" s="313" t="s">
        <v>1487</v>
      </c>
      <c r="D2154" s="313" t="s">
        <v>19</v>
      </c>
      <c r="E2154" s="313" t="s">
        <v>790</v>
      </c>
    </row>
    <row r="2155" spans="1:5" x14ac:dyDescent="0.25">
      <c r="A2155" s="313" t="s">
        <v>789</v>
      </c>
      <c r="B2155" s="313" t="s">
        <v>19</v>
      </c>
      <c r="C2155" s="313" t="s">
        <v>1495</v>
      </c>
      <c r="D2155" s="313" t="s">
        <v>35</v>
      </c>
      <c r="E2155" s="313" t="s">
        <v>24</v>
      </c>
    </row>
    <row r="2156" spans="1:5" x14ac:dyDescent="0.25">
      <c r="A2156" s="313" t="s">
        <v>789</v>
      </c>
      <c r="B2156" s="313" t="s">
        <v>26</v>
      </c>
      <c r="C2156" s="313" t="s">
        <v>2929</v>
      </c>
      <c r="D2156" s="313" t="s">
        <v>24</v>
      </c>
      <c r="E2156" s="313" t="s">
        <v>46</v>
      </c>
    </row>
    <row r="2157" spans="1:5" x14ac:dyDescent="0.25">
      <c r="A2157" s="313" t="s">
        <v>789</v>
      </c>
      <c r="B2157" s="313" t="s">
        <v>26</v>
      </c>
      <c r="C2157" s="313" t="s">
        <v>2930</v>
      </c>
      <c r="D2157" s="313" t="s">
        <v>24</v>
      </c>
      <c r="E2157" s="313" t="s">
        <v>35</v>
      </c>
    </row>
    <row r="2158" spans="1:5" x14ac:dyDescent="0.25">
      <c r="A2158" s="313" t="s">
        <v>789</v>
      </c>
      <c r="B2158" s="313" t="s">
        <v>26</v>
      </c>
      <c r="C2158" s="313" t="s">
        <v>1509</v>
      </c>
      <c r="D2158" s="313" t="s">
        <v>24</v>
      </c>
      <c r="E2158" s="313" t="s">
        <v>790</v>
      </c>
    </row>
    <row r="2159" spans="1:5" x14ac:dyDescent="0.25">
      <c r="A2159" s="313" t="s">
        <v>789</v>
      </c>
      <c r="B2159" s="313" t="s">
        <v>26</v>
      </c>
      <c r="C2159" s="313" t="s">
        <v>1510</v>
      </c>
      <c r="D2159" s="313" t="s">
        <v>24</v>
      </c>
      <c r="E2159" s="313" t="s">
        <v>1668</v>
      </c>
    </row>
    <row r="2160" spans="1:5" x14ac:dyDescent="0.25">
      <c r="A2160" s="313" t="s">
        <v>789</v>
      </c>
      <c r="B2160" s="313" t="s">
        <v>26</v>
      </c>
      <c r="C2160" s="313" t="s">
        <v>1511</v>
      </c>
      <c r="D2160" s="313" t="s">
        <v>24</v>
      </c>
      <c r="E2160" s="313" t="s">
        <v>790</v>
      </c>
    </row>
    <row r="2161" spans="1:5" x14ac:dyDescent="0.25">
      <c r="A2161" s="313" t="s">
        <v>789</v>
      </c>
      <c r="B2161" s="313" t="s">
        <v>26</v>
      </c>
      <c r="C2161" s="313" t="s">
        <v>27</v>
      </c>
      <c r="D2161" s="313" t="s">
        <v>24</v>
      </c>
      <c r="E2161" s="313" t="s">
        <v>790</v>
      </c>
    </row>
    <row r="2162" spans="1:5" x14ac:dyDescent="0.25">
      <c r="A2162" s="313" t="s">
        <v>789</v>
      </c>
      <c r="B2162" s="313" t="s">
        <v>26</v>
      </c>
      <c r="C2162" s="313" t="s">
        <v>1512</v>
      </c>
      <c r="D2162" s="313" t="s">
        <v>24</v>
      </c>
      <c r="E2162" s="313" t="s">
        <v>790</v>
      </c>
    </row>
    <row r="2163" spans="1:5" x14ac:dyDescent="0.25">
      <c r="A2163" s="313" t="s">
        <v>789</v>
      </c>
      <c r="B2163" s="313" t="s">
        <v>26</v>
      </c>
      <c r="C2163" s="313" t="s">
        <v>1513</v>
      </c>
      <c r="D2163" s="313" t="s">
        <v>24</v>
      </c>
      <c r="E2163" s="313" t="s">
        <v>1668</v>
      </c>
    </row>
    <row r="2164" spans="1:5" x14ac:dyDescent="0.25">
      <c r="A2164" s="313" t="s">
        <v>793</v>
      </c>
      <c r="B2164" s="313" t="s">
        <v>19</v>
      </c>
      <c r="C2164" s="313" t="s">
        <v>1466</v>
      </c>
      <c r="D2164" s="313" t="s">
        <v>35</v>
      </c>
      <c r="E2164" s="313" t="s">
        <v>24</v>
      </c>
    </row>
    <row r="2165" spans="1:5" x14ac:dyDescent="0.25">
      <c r="A2165" s="313" t="s">
        <v>793</v>
      </c>
      <c r="B2165" s="313" t="s">
        <v>19</v>
      </c>
      <c r="C2165" s="313" t="s">
        <v>1471</v>
      </c>
      <c r="D2165" s="313" t="s">
        <v>35</v>
      </c>
      <c r="E2165" s="313" t="s">
        <v>24</v>
      </c>
    </row>
    <row r="2166" spans="1:5" x14ac:dyDescent="0.25">
      <c r="A2166" s="313" t="s">
        <v>793</v>
      </c>
      <c r="B2166" s="313" t="s">
        <v>19</v>
      </c>
      <c r="C2166" s="313" t="s">
        <v>1475</v>
      </c>
      <c r="D2166" s="313" t="s">
        <v>35</v>
      </c>
      <c r="E2166" s="313" t="s">
        <v>24</v>
      </c>
    </row>
    <row r="2167" spans="1:5" x14ac:dyDescent="0.25">
      <c r="A2167" s="313" t="s">
        <v>793</v>
      </c>
      <c r="B2167" s="313" t="s">
        <v>19</v>
      </c>
      <c r="C2167" s="313" t="s">
        <v>20</v>
      </c>
      <c r="D2167" s="313" t="s">
        <v>35</v>
      </c>
      <c r="E2167" s="313" t="s">
        <v>24</v>
      </c>
    </row>
    <row r="2168" spans="1:5" x14ac:dyDescent="0.25">
      <c r="A2168" s="313" t="s">
        <v>793</v>
      </c>
      <c r="B2168" s="313" t="s">
        <v>19</v>
      </c>
      <c r="C2168" s="313" t="s">
        <v>1487</v>
      </c>
      <c r="D2168" s="313" t="s">
        <v>35</v>
      </c>
      <c r="E2168" s="313" t="s">
        <v>24</v>
      </c>
    </row>
    <row r="2169" spans="1:5" x14ac:dyDescent="0.25">
      <c r="A2169" s="313" t="s">
        <v>793</v>
      </c>
      <c r="B2169" s="313" t="s">
        <v>19</v>
      </c>
      <c r="C2169" s="313" t="s">
        <v>1495</v>
      </c>
      <c r="D2169" s="313" t="s">
        <v>35</v>
      </c>
      <c r="E2169" s="313" t="s">
        <v>24</v>
      </c>
    </row>
    <row r="2170" spans="1:5" x14ac:dyDescent="0.25">
      <c r="A2170" s="313" t="s">
        <v>795</v>
      </c>
      <c r="B2170" s="313" t="s">
        <v>19</v>
      </c>
      <c r="C2170" s="313" t="s">
        <v>1466</v>
      </c>
      <c r="D2170" s="313" t="s">
        <v>19</v>
      </c>
      <c r="E2170" s="313" t="s">
        <v>1669</v>
      </c>
    </row>
    <row r="2171" spans="1:5" x14ac:dyDescent="0.25">
      <c r="A2171" s="313" t="s">
        <v>795</v>
      </c>
      <c r="B2171" s="313" t="s">
        <v>19</v>
      </c>
      <c r="C2171" s="313" t="s">
        <v>1471</v>
      </c>
      <c r="D2171" s="313" t="s">
        <v>26</v>
      </c>
      <c r="E2171" s="313" t="s">
        <v>24</v>
      </c>
    </row>
    <row r="2172" spans="1:5" x14ac:dyDescent="0.25">
      <c r="A2172" s="313" t="s">
        <v>795</v>
      </c>
      <c r="B2172" s="313" t="s">
        <v>19</v>
      </c>
      <c r="C2172" s="313" t="s">
        <v>1475</v>
      </c>
      <c r="D2172" s="313" t="s">
        <v>19</v>
      </c>
      <c r="E2172" s="313" t="s">
        <v>796</v>
      </c>
    </row>
    <row r="2173" spans="1:5" x14ac:dyDescent="0.25">
      <c r="A2173" s="313" t="s">
        <v>795</v>
      </c>
      <c r="B2173" s="313" t="s">
        <v>19</v>
      </c>
      <c r="C2173" s="313" t="s">
        <v>20</v>
      </c>
      <c r="D2173" s="313" t="s">
        <v>19</v>
      </c>
      <c r="E2173" s="313" t="s">
        <v>796</v>
      </c>
    </row>
    <row r="2174" spans="1:5" x14ac:dyDescent="0.25">
      <c r="A2174" s="313" t="s">
        <v>795</v>
      </c>
      <c r="B2174" s="313" t="s">
        <v>19</v>
      </c>
      <c r="C2174" s="313" t="s">
        <v>1487</v>
      </c>
      <c r="D2174" s="313" t="s">
        <v>19</v>
      </c>
      <c r="E2174" s="313" t="s">
        <v>1669</v>
      </c>
    </row>
    <row r="2175" spans="1:5" x14ac:dyDescent="0.25">
      <c r="A2175" s="313" t="s">
        <v>795</v>
      </c>
      <c r="B2175" s="313" t="s">
        <v>19</v>
      </c>
      <c r="C2175" s="313" t="s">
        <v>1495</v>
      </c>
      <c r="D2175" s="313" t="s">
        <v>35</v>
      </c>
      <c r="E2175" s="313" t="s">
        <v>24</v>
      </c>
    </row>
    <row r="2176" spans="1:5" x14ac:dyDescent="0.25">
      <c r="A2176" s="313" t="s">
        <v>795</v>
      </c>
      <c r="B2176" s="313" t="s">
        <v>26</v>
      </c>
      <c r="C2176" s="313" t="s">
        <v>2929</v>
      </c>
      <c r="D2176" s="313" t="s">
        <v>24</v>
      </c>
      <c r="E2176" s="313" t="s">
        <v>796</v>
      </c>
    </row>
    <row r="2177" spans="1:5" x14ac:dyDescent="0.25">
      <c r="A2177" s="313" t="s">
        <v>795</v>
      </c>
      <c r="B2177" s="313" t="s">
        <v>26</v>
      </c>
      <c r="C2177" s="313" t="s">
        <v>2930</v>
      </c>
      <c r="D2177" s="313" t="s">
        <v>24</v>
      </c>
      <c r="E2177" s="313" t="s">
        <v>35</v>
      </c>
    </row>
    <row r="2178" spans="1:5" x14ac:dyDescent="0.25">
      <c r="A2178" s="313" t="s">
        <v>799</v>
      </c>
      <c r="B2178" s="313" t="s">
        <v>19</v>
      </c>
      <c r="C2178" s="313" t="s">
        <v>1466</v>
      </c>
      <c r="D2178" s="313" t="s">
        <v>19</v>
      </c>
      <c r="E2178" s="313" t="s">
        <v>46</v>
      </c>
    </row>
    <row r="2179" spans="1:5" x14ac:dyDescent="0.25">
      <c r="A2179" s="313" t="s">
        <v>799</v>
      </c>
      <c r="B2179" s="313" t="s">
        <v>19</v>
      </c>
      <c r="C2179" s="313" t="s">
        <v>1471</v>
      </c>
      <c r="D2179" s="313" t="s">
        <v>26</v>
      </c>
      <c r="E2179" s="313" t="s">
        <v>24</v>
      </c>
    </row>
    <row r="2180" spans="1:5" x14ac:dyDescent="0.25">
      <c r="A2180" s="313" t="s">
        <v>799</v>
      </c>
      <c r="B2180" s="313" t="s">
        <v>19</v>
      </c>
      <c r="C2180" s="313" t="s">
        <v>1475</v>
      </c>
      <c r="D2180" s="313" t="s">
        <v>19</v>
      </c>
      <c r="E2180" s="313" t="s">
        <v>800</v>
      </c>
    </row>
    <row r="2181" spans="1:5" x14ac:dyDescent="0.25">
      <c r="A2181" s="313" t="s">
        <v>799</v>
      </c>
      <c r="B2181" s="313" t="s">
        <v>19</v>
      </c>
      <c r="C2181" s="313" t="s">
        <v>20</v>
      </c>
      <c r="D2181" s="313" t="s">
        <v>19</v>
      </c>
      <c r="E2181" s="313" t="s">
        <v>800</v>
      </c>
    </row>
    <row r="2182" spans="1:5" x14ac:dyDescent="0.25">
      <c r="A2182" s="313" t="s">
        <v>799</v>
      </c>
      <c r="B2182" s="313" t="s">
        <v>19</v>
      </c>
      <c r="C2182" s="313" t="s">
        <v>1487</v>
      </c>
      <c r="D2182" s="313" t="s">
        <v>26</v>
      </c>
      <c r="E2182" s="313" t="s">
        <v>24</v>
      </c>
    </row>
    <row r="2183" spans="1:5" x14ac:dyDescent="0.25">
      <c r="A2183" s="313" t="s">
        <v>799</v>
      </c>
      <c r="B2183" s="313" t="s">
        <v>19</v>
      </c>
      <c r="C2183" s="313" t="s">
        <v>1495</v>
      </c>
      <c r="D2183" s="313" t="s">
        <v>35</v>
      </c>
      <c r="E2183" s="313" t="s">
        <v>24</v>
      </c>
    </row>
    <row r="2184" spans="1:5" x14ac:dyDescent="0.25">
      <c r="A2184" s="313" t="s">
        <v>799</v>
      </c>
      <c r="B2184" s="313" t="s">
        <v>26</v>
      </c>
      <c r="C2184" s="313" t="s">
        <v>2929</v>
      </c>
      <c r="D2184" s="313" t="s">
        <v>24</v>
      </c>
      <c r="E2184" s="313" t="s">
        <v>800</v>
      </c>
    </row>
    <row r="2185" spans="1:5" x14ac:dyDescent="0.25">
      <c r="A2185" s="313" t="s">
        <v>799</v>
      </c>
      <c r="B2185" s="313" t="s">
        <v>26</v>
      </c>
      <c r="C2185" s="313" t="s">
        <v>2930</v>
      </c>
      <c r="D2185" s="313" t="s">
        <v>24</v>
      </c>
      <c r="E2185" s="313" t="s">
        <v>35</v>
      </c>
    </row>
    <row r="2186" spans="1:5" x14ac:dyDescent="0.25">
      <c r="A2186" s="313" t="s">
        <v>799</v>
      </c>
      <c r="B2186" s="313" t="s">
        <v>26</v>
      </c>
      <c r="C2186" s="313" t="s">
        <v>1514</v>
      </c>
      <c r="D2186" s="313" t="s">
        <v>24</v>
      </c>
      <c r="E2186" s="313" t="s">
        <v>46</v>
      </c>
    </row>
    <row r="2187" spans="1:5" x14ac:dyDescent="0.25">
      <c r="A2187" s="313" t="s">
        <v>799</v>
      </c>
      <c r="B2187" s="313" t="s">
        <v>26</v>
      </c>
      <c r="C2187" s="313" t="s">
        <v>1515</v>
      </c>
      <c r="D2187" s="313" t="s">
        <v>24</v>
      </c>
      <c r="E2187" s="313" t="s">
        <v>46</v>
      </c>
    </row>
    <row r="2188" spans="1:5" x14ac:dyDescent="0.25">
      <c r="A2188" s="313" t="s">
        <v>799</v>
      </c>
      <c r="B2188" s="313" t="s">
        <v>26</v>
      </c>
      <c r="C2188" s="313" t="s">
        <v>1516</v>
      </c>
      <c r="D2188" s="313" t="s">
        <v>24</v>
      </c>
      <c r="E2188" s="313" t="s">
        <v>46</v>
      </c>
    </row>
    <row r="2189" spans="1:5" x14ac:dyDescent="0.25">
      <c r="A2189" s="313" t="s">
        <v>799</v>
      </c>
      <c r="B2189" s="313" t="s">
        <v>26</v>
      </c>
      <c r="C2189" s="313" t="s">
        <v>1517</v>
      </c>
      <c r="D2189" s="313" t="s">
        <v>24</v>
      </c>
      <c r="E2189" s="313" t="s">
        <v>46</v>
      </c>
    </row>
    <row r="2190" spans="1:5" x14ac:dyDescent="0.25">
      <c r="A2190" s="313" t="s">
        <v>799</v>
      </c>
      <c r="B2190" s="313" t="s">
        <v>26</v>
      </c>
      <c r="C2190" s="313" t="s">
        <v>1518</v>
      </c>
      <c r="D2190" s="313" t="s">
        <v>24</v>
      </c>
      <c r="E2190" s="313" t="s">
        <v>46</v>
      </c>
    </row>
    <row r="2191" spans="1:5" x14ac:dyDescent="0.25">
      <c r="A2191" s="313" t="s">
        <v>799</v>
      </c>
      <c r="B2191" s="313" t="s">
        <v>26</v>
      </c>
      <c r="C2191" s="313" t="s">
        <v>1519</v>
      </c>
      <c r="D2191" s="313" t="s">
        <v>24</v>
      </c>
      <c r="E2191" s="313" t="s">
        <v>46</v>
      </c>
    </row>
    <row r="2192" spans="1:5" x14ac:dyDescent="0.25">
      <c r="A2192" s="313" t="s">
        <v>803</v>
      </c>
      <c r="B2192" s="313" t="s">
        <v>19</v>
      </c>
      <c r="C2192" s="313" t="s">
        <v>1466</v>
      </c>
      <c r="D2192" s="313" t="s">
        <v>19</v>
      </c>
      <c r="E2192" s="313" t="s">
        <v>46</v>
      </c>
    </row>
    <row r="2193" spans="1:5" x14ac:dyDescent="0.25">
      <c r="A2193" s="313" t="s">
        <v>803</v>
      </c>
      <c r="B2193" s="313" t="s">
        <v>19</v>
      </c>
      <c r="C2193" s="313" t="s">
        <v>1471</v>
      </c>
      <c r="D2193" s="313" t="s">
        <v>26</v>
      </c>
      <c r="E2193" s="313" t="s">
        <v>24</v>
      </c>
    </row>
    <row r="2194" spans="1:5" x14ac:dyDescent="0.25">
      <c r="A2194" s="313" t="s">
        <v>803</v>
      </c>
      <c r="B2194" s="313" t="s">
        <v>19</v>
      </c>
      <c r="C2194" s="313" t="s">
        <v>1475</v>
      </c>
      <c r="D2194" s="313" t="s">
        <v>35</v>
      </c>
      <c r="E2194" s="313" t="s">
        <v>24</v>
      </c>
    </row>
    <row r="2195" spans="1:5" x14ac:dyDescent="0.25">
      <c r="A2195" s="313" t="s">
        <v>803</v>
      </c>
      <c r="B2195" s="313" t="s">
        <v>19</v>
      </c>
      <c r="C2195" s="313" t="s">
        <v>20</v>
      </c>
      <c r="D2195" s="313" t="s">
        <v>35</v>
      </c>
      <c r="E2195" s="313" t="s">
        <v>24</v>
      </c>
    </row>
    <row r="2196" spans="1:5" x14ac:dyDescent="0.25">
      <c r="A2196" s="313" t="s">
        <v>803</v>
      </c>
      <c r="B2196" s="313" t="s">
        <v>19</v>
      </c>
      <c r="C2196" s="313" t="s">
        <v>1487</v>
      </c>
      <c r="D2196" s="313" t="s">
        <v>35</v>
      </c>
      <c r="E2196" s="313" t="s">
        <v>24</v>
      </c>
    </row>
    <row r="2197" spans="1:5" x14ac:dyDescent="0.25">
      <c r="A2197" s="313" t="s">
        <v>803</v>
      </c>
      <c r="B2197" s="313" t="s">
        <v>19</v>
      </c>
      <c r="C2197" s="313" t="s">
        <v>1495</v>
      </c>
      <c r="D2197" s="313" t="s">
        <v>35</v>
      </c>
      <c r="E2197" s="313" t="s">
        <v>24</v>
      </c>
    </row>
    <row r="2198" spans="1:5" x14ac:dyDescent="0.25">
      <c r="A2198" s="313" t="s">
        <v>803</v>
      </c>
      <c r="B2198" s="313" t="s">
        <v>26</v>
      </c>
      <c r="C2198" s="313" t="s">
        <v>2929</v>
      </c>
      <c r="D2198" s="313" t="s">
        <v>24</v>
      </c>
      <c r="E2198" s="313" t="s">
        <v>46</v>
      </c>
    </row>
    <row r="2199" spans="1:5" x14ac:dyDescent="0.25">
      <c r="A2199" s="313" t="s">
        <v>803</v>
      </c>
      <c r="B2199" s="313" t="s">
        <v>26</v>
      </c>
      <c r="C2199" s="313" t="s">
        <v>2930</v>
      </c>
      <c r="D2199" s="313" t="s">
        <v>24</v>
      </c>
      <c r="E2199" s="313" t="s">
        <v>35</v>
      </c>
    </row>
    <row r="2200" spans="1:5" x14ac:dyDescent="0.25">
      <c r="A2200" s="313" t="s">
        <v>805</v>
      </c>
      <c r="B2200" s="313" t="s">
        <v>19</v>
      </c>
      <c r="C2200" s="313" t="s">
        <v>1466</v>
      </c>
      <c r="D2200" s="313" t="s">
        <v>35</v>
      </c>
      <c r="E2200" s="313" t="s">
        <v>24</v>
      </c>
    </row>
    <row r="2201" spans="1:5" x14ac:dyDescent="0.25">
      <c r="A2201" s="313" t="s">
        <v>805</v>
      </c>
      <c r="B2201" s="313" t="s">
        <v>19</v>
      </c>
      <c r="C2201" s="313" t="s">
        <v>1471</v>
      </c>
      <c r="D2201" s="313" t="s">
        <v>26</v>
      </c>
      <c r="E2201" s="313" t="s">
        <v>24</v>
      </c>
    </row>
    <row r="2202" spans="1:5" x14ac:dyDescent="0.25">
      <c r="A2202" s="313" t="s">
        <v>805</v>
      </c>
      <c r="B2202" s="313" t="s">
        <v>19</v>
      </c>
      <c r="C2202" s="313" t="s">
        <v>1475</v>
      </c>
      <c r="D2202" s="313" t="s">
        <v>26</v>
      </c>
      <c r="E2202" s="313" t="s">
        <v>24</v>
      </c>
    </row>
    <row r="2203" spans="1:5" x14ac:dyDescent="0.25">
      <c r="A2203" s="313" t="s">
        <v>805</v>
      </c>
      <c r="B2203" s="313" t="s">
        <v>19</v>
      </c>
      <c r="C2203" s="313" t="s">
        <v>20</v>
      </c>
      <c r="D2203" s="313" t="s">
        <v>19</v>
      </c>
      <c r="E2203" s="313" t="s">
        <v>806</v>
      </c>
    </row>
    <row r="2204" spans="1:5" x14ac:dyDescent="0.25">
      <c r="A2204" s="313" t="s">
        <v>805</v>
      </c>
      <c r="B2204" s="313" t="s">
        <v>19</v>
      </c>
      <c r="C2204" s="313" t="s">
        <v>1487</v>
      </c>
      <c r="D2204" s="313" t="s">
        <v>26</v>
      </c>
      <c r="E2204" s="313" t="s">
        <v>24</v>
      </c>
    </row>
    <row r="2205" spans="1:5" x14ac:dyDescent="0.25">
      <c r="A2205" s="313" t="s">
        <v>805</v>
      </c>
      <c r="B2205" s="313" t="s">
        <v>19</v>
      </c>
      <c r="C2205" s="313" t="s">
        <v>1495</v>
      </c>
      <c r="D2205" s="313" t="s">
        <v>35</v>
      </c>
      <c r="E2205" s="313" t="s">
        <v>24</v>
      </c>
    </row>
    <row r="2206" spans="1:5" x14ac:dyDescent="0.25">
      <c r="A2206" s="313" t="s">
        <v>805</v>
      </c>
      <c r="B2206" s="313" t="s">
        <v>26</v>
      </c>
      <c r="C2206" s="313" t="s">
        <v>2929</v>
      </c>
      <c r="D2206" s="313" t="s">
        <v>24</v>
      </c>
      <c r="E2206" s="313" t="s">
        <v>1670</v>
      </c>
    </row>
    <row r="2207" spans="1:5" x14ac:dyDescent="0.25">
      <c r="A2207" s="313" t="s">
        <v>805</v>
      </c>
      <c r="B2207" s="313" t="s">
        <v>26</v>
      </c>
      <c r="C2207" s="313" t="s">
        <v>2930</v>
      </c>
      <c r="D2207" s="313" t="s">
        <v>24</v>
      </c>
      <c r="E2207" s="313" t="s">
        <v>35</v>
      </c>
    </row>
    <row r="2208" spans="1:5" x14ac:dyDescent="0.25">
      <c r="A2208" s="313" t="s">
        <v>805</v>
      </c>
      <c r="B2208" s="313" t="s">
        <v>26</v>
      </c>
      <c r="C2208" s="313" t="s">
        <v>1506</v>
      </c>
      <c r="D2208" s="313" t="s">
        <v>24</v>
      </c>
      <c r="E2208" s="313" t="s">
        <v>1670</v>
      </c>
    </row>
    <row r="2209" spans="1:5" x14ac:dyDescent="0.25">
      <c r="A2209" s="313" t="s">
        <v>805</v>
      </c>
      <c r="B2209" s="313" t="s">
        <v>26</v>
      </c>
      <c r="C2209" s="313" t="s">
        <v>1507</v>
      </c>
      <c r="D2209" s="313" t="s">
        <v>24</v>
      </c>
      <c r="E2209" s="313" t="s">
        <v>46</v>
      </c>
    </row>
    <row r="2210" spans="1:5" x14ac:dyDescent="0.25">
      <c r="A2210" s="313" t="s">
        <v>805</v>
      </c>
      <c r="B2210" s="313" t="s">
        <v>26</v>
      </c>
      <c r="C2210" s="313" t="s">
        <v>1508</v>
      </c>
      <c r="D2210" s="313" t="s">
        <v>24</v>
      </c>
      <c r="E2210" s="313" t="s">
        <v>46</v>
      </c>
    </row>
    <row r="2211" spans="1:5" x14ac:dyDescent="0.25">
      <c r="A2211" s="313" t="s">
        <v>805</v>
      </c>
      <c r="B2211" s="313" t="s">
        <v>26</v>
      </c>
      <c r="C2211" s="313" t="s">
        <v>1514</v>
      </c>
      <c r="D2211" s="313" t="s">
        <v>24</v>
      </c>
      <c r="E2211" s="313" t="s">
        <v>1670</v>
      </c>
    </row>
    <row r="2212" spans="1:5" x14ac:dyDescent="0.25">
      <c r="A2212" s="313" t="s">
        <v>805</v>
      </c>
      <c r="B2212" s="313" t="s">
        <v>26</v>
      </c>
      <c r="C2212" s="313" t="s">
        <v>1515</v>
      </c>
      <c r="D2212" s="313" t="s">
        <v>24</v>
      </c>
      <c r="E2212" s="313" t="s">
        <v>1670</v>
      </c>
    </row>
    <row r="2213" spans="1:5" x14ac:dyDescent="0.25">
      <c r="A2213" s="313" t="s">
        <v>805</v>
      </c>
      <c r="B2213" s="313" t="s">
        <v>26</v>
      </c>
      <c r="C2213" s="313" t="s">
        <v>1516</v>
      </c>
      <c r="D2213" s="313" t="s">
        <v>24</v>
      </c>
      <c r="E2213" s="313" t="s">
        <v>1670</v>
      </c>
    </row>
    <row r="2214" spans="1:5" x14ac:dyDescent="0.25">
      <c r="A2214" s="313" t="s">
        <v>805</v>
      </c>
      <c r="B2214" s="313" t="s">
        <v>26</v>
      </c>
      <c r="C2214" s="313" t="s">
        <v>1517</v>
      </c>
      <c r="D2214" s="313" t="s">
        <v>24</v>
      </c>
      <c r="E2214" s="313" t="s">
        <v>806</v>
      </c>
    </row>
    <row r="2215" spans="1:5" x14ac:dyDescent="0.25">
      <c r="A2215" s="313" t="s">
        <v>805</v>
      </c>
      <c r="B2215" s="313" t="s">
        <v>26</v>
      </c>
      <c r="C2215" s="313" t="s">
        <v>1518</v>
      </c>
      <c r="D2215" s="313" t="s">
        <v>24</v>
      </c>
      <c r="E2215" s="313" t="s">
        <v>1670</v>
      </c>
    </row>
    <row r="2216" spans="1:5" x14ac:dyDescent="0.25">
      <c r="A2216" s="313" t="s">
        <v>805</v>
      </c>
      <c r="B2216" s="313" t="s">
        <v>26</v>
      </c>
      <c r="C2216" s="313" t="s">
        <v>1519</v>
      </c>
      <c r="D2216" s="313" t="s">
        <v>24</v>
      </c>
      <c r="E2216" s="313" t="s">
        <v>806</v>
      </c>
    </row>
    <row r="2217" spans="1:5" x14ac:dyDescent="0.25">
      <c r="A2217" s="313" t="s">
        <v>809</v>
      </c>
      <c r="B2217" s="313" t="s">
        <v>19</v>
      </c>
      <c r="C2217" s="313" t="s">
        <v>1466</v>
      </c>
      <c r="D2217" s="313" t="s">
        <v>35</v>
      </c>
      <c r="E2217" s="313" t="s">
        <v>24</v>
      </c>
    </row>
    <row r="2218" spans="1:5" x14ac:dyDescent="0.25">
      <c r="A2218" s="313" t="s">
        <v>809</v>
      </c>
      <c r="B2218" s="313" t="s">
        <v>19</v>
      </c>
      <c r="C2218" s="313" t="s">
        <v>1471</v>
      </c>
      <c r="D2218" s="313" t="s">
        <v>35</v>
      </c>
      <c r="E2218" s="313" t="s">
        <v>24</v>
      </c>
    </row>
    <row r="2219" spans="1:5" x14ac:dyDescent="0.25">
      <c r="A2219" s="313" t="s">
        <v>809</v>
      </c>
      <c r="B2219" s="313" t="s">
        <v>19</v>
      </c>
      <c r="C2219" s="313" t="s">
        <v>1475</v>
      </c>
      <c r="D2219" s="313" t="s">
        <v>26</v>
      </c>
      <c r="E2219" s="313" t="s">
        <v>24</v>
      </c>
    </row>
    <row r="2220" spans="1:5" x14ac:dyDescent="0.25">
      <c r="A2220" s="313" t="s">
        <v>809</v>
      </c>
      <c r="B2220" s="313" t="s">
        <v>19</v>
      </c>
      <c r="C2220" s="313" t="s">
        <v>20</v>
      </c>
      <c r="D2220" s="313" t="s">
        <v>35</v>
      </c>
      <c r="E2220" s="313" t="s">
        <v>24</v>
      </c>
    </row>
    <row r="2221" spans="1:5" x14ac:dyDescent="0.25">
      <c r="A2221" s="313" t="s">
        <v>809</v>
      </c>
      <c r="B2221" s="313" t="s">
        <v>19</v>
      </c>
      <c r="C2221" s="313" t="s">
        <v>1487</v>
      </c>
      <c r="D2221" s="313" t="s">
        <v>35</v>
      </c>
      <c r="E2221" s="313" t="s">
        <v>24</v>
      </c>
    </row>
    <row r="2222" spans="1:5" x14ac:dyDescent="0.25">
      <c r="A2222" s="313" t="s">
        <v>809</v>
      </c>
      <c r="B2222" s="313" t="s">
        <v>19</v>
      </c>
      <c r="C2222" s="313" t="s">
        <v>1495</v>
      </c>
      <c r="D2222" s="313" t="s">
        <v>35</v>
      </c>
      <c r="E2222" s="313" t="s">
        <v>24</v>
      </c>
    </row>
    <row r="2223" spans="1:5" x14ac:dyDescent="0.25">
      <c r="A2223" s="313" t="s">
        <v>809</v>
      </c>
      <c r="B2223" s="313" t="s">
        <v>26</v>
      </c>
      <c r="C2223" s="313" t="s">
        <v>1506</v>
      </c>
      <c r="D2223" s="313" t="s">
        <v>24</v>
      </c>
      <c r="E2223" s="313" t="s">
        <v>1670</v>
      </c>
    </row>
    <row r="2224" spans="1:5" x14ac:dyDescent="0.25">
      <c r="A2224" s="313" t="s">
        <v>809</v>
      </c>
      <c r="B2224" s="313" t="s">
        <v>26</v>
      </c>
      <c r="C2224" s="313" t="s">
        <v>1507</v>
      </c>
      <c r="D2224" s="313" t="s">
        <v>24</v>
      </c>
      <c r="E2224" s="313" t="s">
        <v>46</v>
      </c>
    </row>
    <row r="2225" spans="1:5" x14ac:dyDescent="0.25">
      <c r="A2225" s="313" t="s">
        <v>809</v>
      </c>
      <c r="B2225" s="313" t="s">
        <v>26</v>
      </c>
      <c r="C2225" s="313" t="s">
        <v>1508</v>
      </c>
      <c r="D2225" s="313" t="s">
        <v>24</v>
      </c>
      <c r="E2225" s="313" t="s">
        <v>46</v>
      </c>
    </row>
    <row r="2226" spans="1:5" x14ac:dyDescent="0.25">
      <c r="A2226" s="313" t="s">
        <v>812</v>
      </c>
      <c r="B2226" s="313" t="s">
        <v>19</v>
      </c>
      <c r="C2226" s="313" t="s">
        <v>1466</v>
      </c>
      <c r="D2226" s="313" t="s">
        <v>35</v>
      </c>
      <c r="E2226" s="313" t="s">
        <v>24</v>
      </c>
    </row>
    <row r="2227" spans="1:5" x14ac:dyDescent="0.25">
      <c r="A2227" s="313" t="s">
        <v>812</v>
      </c>
      <c r="B2227" s="313" t="s">
        <v>19</v>
      </c>
      <c r="C2227" s="313" t="s">
        <v>1471</v>
      </c>
      <c r="D2227" s="313" t="s">
        <v>35</v>
      </c>
      <c r="E2227" s="313" t="s">
        <v>24</v>
      </c>
    </row>
    <row r="2228" spans="1:5" x14ac:dyDescent="0.25">
      <c r="A2228" s="313" t="s">
        <v>812</v>
      </c>
      <c r="B2228" s="313" t="s">
        <v>19</v>
      </c>
      <c r="C2228" s="313" t="s">
        <v>1475</v>
      </c>
      <c r="D2228" s="313" t="s">
        <v>35</v>
      </c>
      <c r="E2228" s="313" t="s">
        <v>24</v>
      </c>
    </row>
    <row r="2229" spans="1:5" x14ac:dyDescent="0.25">
      <c r="A2229" s="313" t="s">
        <v>812</v>
      </c>
      <c r="B2229" s="313" t="s">
        <v>19</v>
      </c>
      <c r="C2229" s="313" t="s">
        <v>20</v>
      </c>
      <c r="D2229" s="313" t="s">
        <v>35</v>
      </c>
      <c r="E2229" s="313" t="s">
        <v>24</v>
      </c>
    </row>
    <row r="2230" spans="1:5" x14ac:dyDescent="0.25">
      <c r="A2230" s="313" t="s">
        <v>812</v>
      </c>
      <c r="B2230" s="313" t="s">
        <v>19</v>
      </c>
      <c r="C2230" s="313" t="s">
        <v>1487</v>
      </c>
      <c r="D2230" s="313" t="s">
        <v>35</v>
      </c>
      <c r="E2230" s="313" t="s">
        <v>24</v>
      </c>
    </row>
    <row r="2231" spans="1:5" x14ac:dyDescent="0.25">
      <c r="A2231" s="313" t="s">
        <v>812</v>
      </c>
      <c r="B2231" s="313" t="s">
        <v>19</v>
      </c>
      <c r="C2231" s="313" t="s">
        <v>1495</v>
      </c>
      <c r="D2231" s="313" t="s">
        <v>35</v>
      </c>
      <c r="E2231" s="313" t="s">
        <v>24</v>
      </c>
    </row>
    <row r="2232" spans="1:5" x14ac:dyDescent="0.25">
      <c r="A2232" s="313" t="s">
        <v>815</v>
      </c>
      <c r="B2232" s="313" t="s">
        <v>51</v>
      </c>
      <c r="C2232" s="313" t="s">
        <v>24</v>
      </c>
      <c r="D2232" s="313" t="s">
        <v>24</v>
      </c>
      <c r="E2232" s="313" t="s">
        <v>816</v>
      </c>
    </row>
    <row r="2233" spans="1:5" x14ac:dyDescent="0.25">
      <c r="A2233" s="313" t="s">
        <v>815</v>
      </c>
      <c r="B2233" s="313" t="s">
        <v>19</v>
      </c>
      <c r="C2233" s="313" t="s">
        <v>1466</v>
      </c>
      <c r="D2233" s="313" t="s">
        <v>51</v>
      </c>
      <c r="E2233" s="313" t="s">
        <v>24</v>
      </c>
    </row>
    <row r="2234" spans="1:5" x14ac:dyDescent="0.25">
      <c r="A2234" s="313" t="s">
        <v>815</v>
      </c>
      <c r="B2234" s="313" t="s">
        <v>19</v>
      </c>
      <c r="C2234" s="313" t="s">
        <v>1471</v>
      </c>
      <c r="D2234" s="313" t="s">
        <v>51</v>
      </c>
      <c r="E2234" s="313" t="s">
        <v>24</v>
      </c>
    </row>
    <row r="2235" spans="1:5" x14ac:dyDescent="0.25">
      <c r="A2235" s="313" t="s">
        <v>815</v>
      </c>
      <c r="B2235" s="313" t="s">
        <v>19</v>
      </c>
      <c r="C2235" s="313" t="s">
        <v>1475</v>
      </c>
      <c r="D2235" s="313" t="s">
        <v>51</v>
      </c>
      <c r="E2235" s="313" t="s">
        <v>24</v>
      </c>
    </row>
    <row r="2236" spans="1:5" x14ac:dyDescent="0.25">
      <c r="A2236" s="313" t="s">
        <v>815</v>
      </c>
      <c r="B2236" s="313" t="s">
        <v>19</v>
      </c>
      <c r="C2236" s="313" t="s">
        <v>20</v>
      </c>
      <c r="D2236" s="313" t="s">
        <v>51</v>
      </c>
      <c r="E2236" s="313" t="s">
        <v>24</v>
      </c>
    </row>
    <row r="2237" spans="1:5" x14ac:dyDescent="0.25">
      <c r="A2237" s="313" t="s">
        <v>815</v>
      </c>
      <c r="B2237" s="313" t="s">
        <v>19</v>
      </c>
      <c r="C2237" s="313" t="s">
        <v>1487</v>
      </c>
      <c r="D2237" s="313" t="s">
        <v>51</v>
      </c>
      <c r="E2237" s="313" t="s">
        <v>24</v>
      </c>
    </row>
    <row r="2238" spans="1:5" x14ac:dyDescent="0.25">
      <c r="A2238" s="313" t="s">
        <v>819</v>
      </c>
      <c r="B2238" s="313" t="s">
        <v>19</v>
      </c>
      <c r="C2238" s="313" t="s">
        <v>1466</v>
      </c>
      <c r="D2238" s="313" t="s">
        <v>35</v>
      </c>
      <c r="E2238" s="313" t="s">
        <v>24</v>
      </c>
    </row>
    <row r="2239" spans="1:5" x14ac:dyDescent="0.25">
      <c r="A2239" s="313" t="s">
        <v>819</v>
      </c>
      <c r="B2239" s="313" t="s">
        <v>19</v>
      </c>
      <c r="C2239" s="313" t="s">
        <v>1471</v>
      </c>
      <c r="D2239" s="313" t="s">
        <v>35</v>
      </c>
      <c r="E2239" s="313" t="s">
        <v>24</v>
      </c>
    </row>
    <row r="2240" spans="1:5" x14ac:dyDescent="0.25">
      <c r="A2240" s="313" t="s">
        <v>819</v>
      </c>
      <c r="B2240" s="313" t="s">
        <v>19</v>
      </c>
      <c r="C2240" s="313" t="s">
        <v>1475</v>
      </c>
      <c r="D2240" s="313" t="s">
        <v>35</v>
      </c>
      <c r="E2240" s="313" t="s">
        <v>24</v>
      </c>
    </row>
    <row r="2241" spans="1:5" x14ac:dyDescent="0.25">
      <c r="A2241" s="313" t="s">
        <v>819</v>
      </c>
      <c r="B2241" s="313" t="s">
        <v>19</v>
      </c>
      <c r="C2241" s="313" t="s">
        <v>20</v>
      </c>
      <c r="D2241" s="313" t="s">
        <v>35</v>
      </c>
      <c r="E2241" s="313" t="s">
        <v>24</v>
      </c>
    </row>
    <row r="2242" spans="1:5" x14ac:dyDescent="0.25">
      <c r="A2242" s="313" t="s">
        <v>819</v>
      </c>
      <c r="B2242" s="313" t="s">
        <v>19</v>
      </c>
      <c r="C2242" s="313" t="s">
        <v>1487</v>
      </c>
      <c r="D2242" s="313" t="s">
        <v>35</v>
      </c>
      <c r="E2242" s="313" t="s">
        <v>24</v>
      </c>
    </row>
    <row r="2243" spans="1:5" x14ac:dyDescent="0.25">
      <c r="A2243" s="313" t="s">
        <v>819</v>
      </c>
      <c r="B2243" s="313" t="s">
        <v>19</v>
      </c>
      <c r="C2243" s="313" t="s">
        <v>1495</v>
      </c>
      <c r="D2243" s="313" t="s">
        <v>35</v>
      </c>
      <c r="E2243" s="313" t="s">
        <v>24</v>
      </c>
    </row>
    <row r="2244" spans="1:5" x14ac:dyDescent="0.25">
      <c r="A2244" s="313" t="s">
        <v>823</v>
      </c>
      <c r="B2244" s="313" t="s">
        <v>51</v>
      </c>
      <c r="C2244" s="313" t="s">
        <v>24</v>
      </c>
      <c r="D2244" s="313" t="s">
        <v>24</v>
      </c>
      <c r="E2244" s="313" t="s">
        <v>824</v>
      </c>
    </row>
    <row r="2245" spans="1:5" x14ac:dyDescent="0.25">
      <c r="A2245" s="313" t="s">
        <v>823</v>
      </c>
      <c r="B2245" s="313" t="s">
        <v>19</v>
      </c>
      <c r="C2245" s="313" t="s">
        <v>1466</v>
      </c>
      <c r="D2245" s="313" t="s">
        <v>51</v>
      </c>
      <c r="E2245" s="313" t="s">
        <v>24</v>
      </c>
    </row>
    <row r="2246" spans="1:5" x14ac:dyDescent="0.25">
      <c r="A2246" s="313" t="s">
        <v>823</v>
      </c>
      <c r="B2246" s="313" t="s">
        <v>19</v>
      </c>
      <c r="C2246" s="313" t="s">
        <v>1471</v>
      </c>
      <c r="D2246" s="313" t="s">
        <v>51</v>
      </c>
      <c r="E2246" s="313" t="s">
        <v>24</v>
      </c>
    </row>
    <row r="2247" spans="1:5" x14ac:dyDescent="0.25">
      <c r="A2247" s="313" t="s">
        <v>823</v>
      </c>
      <c r="B2247" s="313" t="s">
        <v>19</v>
      </c>
      <c r="C2247" s="313" t="s">
        <v>1475</v>
      </c>
      <c r="D2247" s="313" t="s">
        <v>51</v>
      </c>
      <c r="E2247" s="313" t="s">
        <v>24</v>
      </c>
    </row>
    <row r="2248" spans="1:5" x14ac:dyDescent="0.25">
      <c r="A2248" s="313" t="s">
        <v>823</v>
      </c>
      <c r="B2248" s="313" t="s">
        <v>19</v>
      </c>
      <c r="C2248" s="313" t="s">
        <v>20</v>
      </c>
      <c r="D2248" s="313" t="s">
        <v>51</v>
      </c>
      <c r="E2248" s="313" t="s">
        <v>24</v>
      </c>
    </row>
    <row r="2249" spans="1:5" x14ac:dyDescent="0.25">
      <c r="A2249" s="313" t="s">
        <v>823</v>
      </c>
      <c r="B2249" s="313" t="s">
        <v>19</v>
      </c>
      <c r="C2249" s="313" t="s">
        <v>1487</v>
      </c>
      <c r="D2249" s="313" t="s">
        <v>51</v>
      </c>
      <c r="E2249" s="313" t="s">
        <v>24</v>
      </c>
    </row>
    <row r="2250" spans="1:5" x14ac:dyDescent="0.25">
      <c r="A2250" s="313" t="s">
        <v>823</v>
      </c>
      <c r="B2250" s="313" t="s">
        <v>19</v>
      </c>
      <c r="C2250" s="313" t="s">
        <v>1495</v>
      </c>
      <c r="D2250" s="313" t="s">
        <v>51</v>
      </c>
      <c r="E2250" s="313" t="s">
        <v>24</v>
      </c>
    </row>
    <row r="2251" spans="1:5" x14ac:dyDescent="0.25">
      <c r="A2251" s="313" t="s">
        <v>829</v>
      </c>
      <c r="B2251" s="313" t="s">
        <v>51</v>
      </c>
      <c r="C2251" s="313" t="s">
        <v>24</v>
      </c>
      <c r="D2251" s="313" t="s">
        <v>24</v>
      </c>
      <c r="E2251" s="313" t="s">
        <v>830</v>
      </c>
    </row>
    <row r="2252" spans="1:5" x14ac:dyDescent="0.25">
      <c r="A2252" s="313" t="s">
        <v>829</v>
      </c>
      <c r="B2252" s="313" t="s">
        <v>19</v>
      </c>
      <c r="C2252" s="313" t="s">
        <v>1466</v>
      </c>
      <c r="D2252" s="313" t="s">
        <v>51</v>
      </c>
      <c r="E2252" s="313" t="s">
        <v>24</v>
      </c>
    </row>
    <row r="2253" spans="1:5" x14ac:dyDescent="0.25">
      <c r="A2253" s="313" t="s">
        <v>829</v>
      </c>
      <c r="B2253" s="313" t="s">
        <v>19</v>
      </c>
      <c r="C2253" s="313" t="s">
        <v>1471</v>
      </c>
      <c r="D2253" s="313" t="s">
        <v>51</v>
      </c>
      <c r="E2253" s="313" t="s">
        <v>24</v>
      </c>
    </row>
    <row r="2254" spans="1:5" x14ac:dyDescent="0.25">
      <c r="A2254" s="313" t="s">
        <v>829</v>
      </c>
      <c r="B2254" s="313" t="s">
        <v>19</v>
      </c>
      <c r="C2254" s="313" t="s">
        <v>1475</v>
      </c>
      <c r="D2254" s="313" t="s">
        <v>51</v>
      </c>
      <c r="E2254" s="313" t="s">
        <v>24</v>
      </c>
    </row>
    <row r="2255" spans="1:5" x14ac:dyDescent="0.25">
      <c r="A2255" s="313" t="s">
        <v>829</v>
      </c>
      <c r="B2255" s="313" t="s">
        <v>19</v>
      </c>
      <c r="C2255" s="313" t="s">
        <v>20</v>
      </c>
      <c r="D2255" s="313" t="s">
        <v>51</v>
      </c>
      <c r="E2255" s="313" t="s">
        <v>24</v>
      </c>
    </row>
    <row r="2256" spans="1:5" x14ac:dyDescent="0.25">
      <c r="A2256" s="313" t="s">
        <v>829</v>
      </c>
      <c r="B2256" s="313" t="s">
        <v>19</v>
      </c>
      <c r="C2256" s="313" t="s">
        <v>1487</v>
      </c>
      <c r="D2256" s="313" t="s">
        <v>35</v>
      </c>
      <c r="E2256" s="313" t="s">
        <v>24</v>
      </c>
    </row>
    <row r="2257" spans="1:5" x14ac:dyDescent="0.25">
      <c r="A2257" s="313" t="s">
        <v>829</v>
      </c>
      <c r="B2257" s="313" t="s">
        <v>19</v>
      </c>
      <c r="C2257" s="313" t="s">
        <v>1495</v>
      </c>
      <c r="D2257" s="313" t="s">
        <v>35</v>
      </c>
      <c r="E2257" s="313" t="s">
        <v>24</v>
      </c>
    </row>
    <row r="2258" spans="1:5" x14ac:dyDescent="0.25">
      <c r="A2258" s="313" t="s">
        <v>833</v>
      </c>
      <c r="B2258" s="313" t="s">
        <v>19</v>
      </c>
      <c r="C2258" s="313" t="s">
        <v>1466</v>
      </c>
      <c r="D2258" s="313" t="s">
        <v>35</v>
      </c>
      <c r="E2258" s="313" t="s">
        <v>24</v>
      </c>
    </row>
    <row r="2259" spans="1:5" x14ac:dyDescent="0.25">
      <c r="A2259" s="313" t="s">
        <v>833</v>
      </c>
      <c r="B2259" s="313" t="s">
        <v>19</v>
      </c>
      <c r="C2259" s="313" t="s">
        <v>1471</v>
      </c>
      <c r="D2259" s="313" t="s">
        <v>35</v>
      </c>
      <c r="E2259" s="313" t="s">
        <v>24</v>
      </c>
    </row>
    <row r="2260" spans="1:5" x14ac:dyDescent="0.25">
      <c r="A2260" s="313" t="s">
        <v>833</v>
      </c>
      <c r="B2260" s="313" t="s">
        <v>19</v>
      </c>
      <c r="C2260" s="313" t="s">
        <v>1475</v>
      </c>
      <c r="D2260" s="313" t="s">
        <v>35</v>
      </c>
      <c r="E2260" s="313" t="s">
        <v>24</v>
      </c>
    </row>
    <row r="2261" spans="1:5" x14ac:dyDescent="0.25">
      <c r="A2261" s="313" t="s">
        <v>833</v>
      </c>
      <c r="B2261" s="313" t="s">
        <v>19</v>
      </c>
      <c r="C2261" s="313" t="s">
        <v>20</v>
      </c>
      <c r="D2261" s="313" t="s">
        <v>35</v>
      </c>
      <c r="E2261" s="313" t="s">
        <v>24</v>
      </c>
    </row>
    <row r="2262" spans="1:5" x14ac:dyDescent="0.25">
      <c r="A2262" s="313" t="s">
        <v>833</v>
      </c>
      <c r="B2262" s="313" t="s">
        <v>19</v>
      </c>
      <c r="C2262" s="313" t="s">
        <v>1487</v>
      </c>
      <c r="D2262" s="313" t="s">
        <v>35</v>
      </c>
      <c r="E2262" s="313" t="s">
        <v>24</v>
      </c>
    </row>
    <row r="2263" spans="1:5" x14ac:dyDescent="0.25">
      <c r="A2263" s="313" t="s">
        <v>833</v>
      </c>
      <c r="B2263" s="313" t="s">
        <v>19</v>
      </c>
      <c r="C2263" s="313" t="s">
        <v>1495</v>
      </c>
      <c r="D2263" s="313" t="s">
        <v>35</v>
      </c>
      <c r="E2263" s="313" t="s">
        <v>24</v>
      </c>
    </row>
    <row r="2264" spans="1:5" x14ac:dyDescent="0.25">
      <c r="A2264" s="313" t="s">
        <v>835</v>
      </c>
      <c r="B2264" s="313" t="s">
        <v>19</v>
      </c>
      <c r="C2264" s="313" t="s">
        <v>1466</v>
      </c>
      <c r="D2264" s="313" t="s">
        <v>35</v>
      </c>
      <c r="E2264" s="313" t="s">
        <v>24</v>
      </c>
    </row>
    <row r="2265" spans="1:5" x14ac:dyDescent="0.25">
      <c r="A2265" s="313" t="s">
        <v>835</v>
      </c>
      <c r="B2265" s="313" t="s">
        <v>19</v>
      </c>
      <c r="C2265" s="313" t="s">
        <v>1471</v>
      </c>
      <c r="D2265" s="313" t="s">
        <v>35</v>
      </c>
      <c r="E2265" s="313" t="s">
        <v>24</v>
      </c>
    </row>
    <row r="2266" spans="1:5" x14ac:dyDescent="0.25">
      <c r="A2266" s="313" t="s">
        <v>835</v>
      </c>
      <c r="B2266" s="313" t="s">
        <v>19</v>
      </c>
      <c r="C2266" s="313" t="s">
        <v>1475</v>
      </c>
      <c r="D2266" s="313" t="s">
        <v>26</v>
      </c>
      <c r="E2266" s="313" t="s">
        <v>24</v>
      </c>
    </row>
    <row r="2267" spans="1:5" x14ac:dyDescent="0.25">
      <c r="A2267" s="313" t="s">
        <v>835</v>
      </c>
      <c r="B2267" s="313" t="s">
        <v>19</v>
      </c>
      <c r="C2267" s="313" t="s">
        <v>20</v>
      </c>
      <c r="D2267" s="313" t="s">
        <v>35</v>
      </c>
      <c r="E2267" s="313" t="s">
        <v>24</v>
      </c>
    </row>
    <row r="2268" spans="1:5" x14ac:dyDescent="0.25">
      <c r="A2268" s="313" t="s">
        <v>835</v>
      </c>
      <c r="B2268" s="313" t="s">
        <v>19</v>
      </c>
      <c r="C2268" s="313" t="s">
        <v>1487</v>
      </c>
      <c r="D2268" s="313" t="s">
        <v>35</v>
      </c>
      <c r="E2268" s="313" t="s">
        <v>24</v>
      </c>
    </row>
    <row r="2269" spans="1:5" x14ac:dyDescent="0.25">
      <c r="A2269" s="313" t="s">
        <v>835</v>
      </c>
      <c r="B2269" s="313" t="s">
        <v>19</v>
      </c>
      <c r="C2269" s="313" t="s">
        <v>1495</v>
      </c>
      <c r="D2269" s="313" t="s">
        <v>35</v>
      </c>
      <c r="E2269" s="313" t="s">
        <v>24</v>
      </c>
    </row>
    <row r="2270" spans="1:5" x14ac:dyDescent="0.25">
      <c r="A2270" s="313" t="s">
        <v>835</v>
      </c>
      <c r="B2270" s="313" t="s">
        <v>26</v>
      </c>
      <c r="C2270" s="313" t="s">
        <v>1506</v>
      </c>
      <c r="D2270" s="313" t="s">
        <v>24</v>
      </c>
      <c r="E2270" s="313" t="s">
        <v>1671</v>
      </c>
    </row>
    <row r="2271" spans="1:5" x14ac:dyDescent="0.25">
      <c r="A2271" s="313" t="s">
        <v>835</v>
      </c>
      <c r="B2271" s="313" t="s">
        <v>26</v>
      </c>
      <c r="C2271" s="313" t="s">
        <v>1507</v>
      </c>
      <c r="D2271" s="313" t="s">
        <v>24</v>
      </c>
      <c r="E2271" s="313" t="s">
        <v>1671</v>
      </c>
    </row>
    <row r="2272" spans="1:5" x14ac:dyDescent="0.25">
      <c r="A2272" s="313" t="s">
        <v>835</v>
      </c>
      <c r="B2272" s="313" t="s">
        <v>26</v>
      </c>
      <c r="C2272" s="313" t="s">
        <v>1508</v>
      </c>
      <c r="D2272" s="313" t="s">
        <v>24</v>
      </c>
      <c r="E2272" s="313" t="s">
        <v>1672</v>
      </c>
    </row>
    <row r="2273" spans="1:5" x14ac:dyDescent="0.25">
      <c r="A2273" s="313" t="s">
        <v>838</v>
      </c>
      <c r="B2273" s="313" t="s">
        <v>19</v>
      </c>
      <c r="C2273" s="313" t="s">
        <v>1466</v>
      </c>
      <c r="D2273" s="313" t="s">
        <v>35</v>
      </c>
      <c r="E2273" s="313" t="s">
        <v>24</v>
      </c>
    </row>
    <row r="2274" spans="1:5" x14ac:dyDescent="0.25">
      <c r="A2274" s="313" t="s">
        <v>838</v>
      </c>
      <c r="B2274" s="313" t="s">
        <v>19</v>
      </c>
      <c r="C2274" s="313" t="s">
        <v>1471</v>
      </c>
      <c r="D2274" s="313" t="s">
        <v>35</v>
      </c>
      <c r="E2274" s="313" t="s">
        <v>24</v>
      </c>
    </row>
    <row r="2275" spans="1:5" x14ac:dyDescent="0.25">
      <c r="A2275" s="313" t="s">
        <v>838</v>
      </c>
      <c r="B2275" s="313" t="s">
        <v>19</v>
      </c>
      <c r="C2275" s="313" t="s">
        <v>1475</v>
      </c>
      <c r="D2275" s="313" t="s">
        <v>19</v>
      </c>
      <c r="E2275" s="313" t="s">
        <v>839</v>
      </c>
    </row>
    <row r="2276" spans="1:5" x14ac:dyDescent="0.25">
      <c r="A2276" s="313" t="s">
        <v>838</v>
      </c>
      <c r="B2276" s="313" t="s">
        <v>19</v>
      </c>
      <c r="C2276" s="313" t="s">
        <v>20</v>
      </c>
      <c r="D2276" s="313" t="s">
        <v>19</v>
      </c>
      <c r="E2276" s="313" t="s">
        <v>839</v>
      </c>
    </row>
    <row r="2277" spans="1:5" x14ac:dyDescent="0.25">
      <c r="A2277" s="313" t="s">
        <v>838</v>
      </c>
      <c r="B2277" s="313" t="s">
        <v>19</v>
      </c>
      <c r="C2277" s="313" t="s">
        <v>1487</v>
      </c>
      <c r="D2277" s="313" t="s">
        <v>35</v>
      </c>
      <c r="E2277" s="313" t="s">
        <v>24</v>
      </c>
    </row>
    <row r="2278" spans="1:5" x14ac:dyDescent="0.25">
      <c r="A2278" s="313" t="s">
        <v>838</v>
      </c>
      <c r="B2278" s="313" t="s">
        <v>19</v>
      </c>
      <c r="C2278" s="313" t="s">
        <v>1495</v>
      </c>
      <c r="D2278" s="313" t="s">
        <v>35</v>
      </c>
      <c r="E2278" s="313" t="s">
        <v>24</v>
      </c>
    </row>
    <row r="2279" spans="1:5" x14ac:dyDescent="0.25">
      <c r="A2279" s="313" t="s">
        <v>844</v>
      </c>
      <c r="B2279" s="313" t="s">
        <v>19</v>
      </c>
      <c r="C2279" s="313" t="s">
        <v>1466</v>
      </c>
      <c r="D2279" s="313" t="s">
        <v>19</v>
      </c>
      <c r="E2279" s="313" t="s">
        <v>1673</v>
      </c>
    </row>
    <row r="2280" spans="1:5" x14ac:dyDescent="0.25">
      <c r="A2280" s="313" t="s">
        <v>844</v>
      </c>
      <c r="B2280" s="313" t="s">
        <v>19</v>
      </c>
      <c r="C2280" s="313" t="s">
        <v>1471</v>
      </c>
      <c r="D2280" s="313" t="s">
        <v>26</v>
      </c>
      <c r="E2280" s="313" t="s">
        <v>24</v>
      </c>
    </row>
    <row r="2281" spans="1:5" x14ac:dyDescent="0.25">
      <c r="A2281" s="313" t="s">
        <v>844</v>
      </c>
      <c r="B2281" s="313" t="s">
        <v>19</v>
      </c>
      <c r="C2281" s="313" t="s">
        <v>1475</v>
      </c>
      <c r="D2281" s="313" t="s">
        <v>26</v>
      </c>
      <c r="E2281" s="313" t="s">
        <v>24</v>
      </c>
    </row>
    <row r="2282" spans="1:5" x14ac:dyDescent="0.25">
      <c r="A2282" s="313" t="s">
        <v>844</v>
      </c>
      <c r="B2282" s="313" t="s">
        <v>19</v>
      </c>
      <c r="C2282" s="313" t="s">
        <v>20</v>
      </c>
      <c r="D2282" s="313" t="s">
        <v>26</v>
      </c>
      <c r="E2282" s="313" t="s">
        <v>24</v>
      </c>
    </row>
    <row r="2283" spans="1:5" x14ac:dyDescent="0.25">
      <c r="A2283" s="313" t="s">
        <v>844</v>
      </c>
      <c r="B2283" s="313" t="s">
        <v>19</v>
      </c>
      <c r="C2283" s="313" t="s">
        <v>1487</v>
      </c>
      <c r="D2283" s="313" t="s">
        <v>26</v>
      </c>
      <c r="E2283" s="313" t="s">
        <v>24</v>
      </c>
    </row>
    <row r="2284" spans="1:5" x14ac:dyDescent="0.25">
      <c r="A2284" s="313" t="s">
        <v>844</v>
      </c>
      <c r="B2284" s="313" t="s">
        <v>19</v>
      </c>
      <c r="C2284" s="313" t="s">
        <v>1495</v>
      </c>
      <c r="D2284" s="313" t="s">
        <v>35</v>
      </c>
      <c r="E2284" s="313" t="s">
        <v>24</v>
      </c>
    </row>
    <row r="2285" spans="1:5" x14ac:dyDescent="0.25">
      <c r="A2285" s="313" t="s">
        <v>844</v>
      </c>
      <c r="B2285" s="313" t="s">
        <v>26</v>
      </c>
      <c r="C2285" s="313" t="s">
        <v>2929</v>
      </c>
      <c r="D2285" s="313" t="s">
        <v>24</v>
      </c>
      <c r="E2285" s="313" t="s">
        <v>1673</v>
      </c>
    </row>
    <row r="2286" spans="1:5" x14ac:dyDescent="0.25">
      <c r="A2286" s="313" t="s">
        <v>844</v>
      </c>
      <c r="B2286" s="313" t="s">
        <v>26</v>
      </c>
      <c r="C2286" s="313" t="s">
        <v>2930</v>
      </c>
      <c r="D2286" s="313" t="s">
        <v>24</v>
      </c>
      <c r="E2286" s="313" t="s">
        <v>35</v>
      </c>
    </row>
    <row r="2287" spans="1:5" x14ac:dyDescent="0.25">
      <c r="A2287" s="313" t="s">
        <v>844</v>
      </c>
      <c r="B2287" s="313" t="s">
        <v>26</v>
      </c>
      <c r="C2287" s="313" t="s">
        <v>1506</v>
      </c>
      <c r="D2287" s="313" t="s">
        <v>24</v>
      </c>
      <c r="E2287" s="313" t="s">
        <v>1673</v>
      </c>
    </row>
    <row r="2288" spans="1:5" x14ac:dyDescent="0.25">
      <c r="A2288" s="313" t="s">
        <v>844</v>
      </c>
      <c r="B2288" s="313" t="s">
        <v>26</v>
      </c>
      <c r="C2288" s="313" t="s">
        <v>1507</v>
      </c>
      <c r="D2288" s="313" t="s">
        <v>24</v>
      </c>
      <c r="E2288" s="313" t="s">
        <v>845</v>
      </c>
    </row>
    <row r="2289" spans="1:5" x14ac:dyDescent="0.25">
      <c r="A2289" s="313" t="s">
        <v>844</v>
      </c>
      <c r="B2289" s="313" t="s">
        <v>26</v>
      </c>
      <c r="C2289" s="313" t="s">
        <v>1508</v>
      </c>
      <c r="D2289" s="313" t="s">
        <v>24</v>
      </c>
      <c r="E2289" s="313" t="s">
        <v>845</v>
      </c>
    </row>
    <row r="2290" spans="1:5" x14ac:dyDescent="0.25">
      <c r="A2290" s="313" t="s">
        <v>844</v>
      </c>
      <c r="B2290" s="313" t="s">
        <v>26</v>
      </c>
      <c r="C2290" s="313" t="s">
        <v>1509</v>
      </c>
      <c r="D2290" s="313" t="s">
        <v>24</v>
      </c>
      <c r="E2290" s="313" t="s">
        <v>46</v>
      </c>
    </row>
    <row r="2291" spans="1:5" x14ac:dyDescent="0.25">
      <c r="A2291" s="313" t="s">
        <v>844</v>
      </c>
      <c r="B2291" s="313" t="s">
        <v>26</v>
      </c>
      <c r="C2291" s="313" t="s">
        <v>1510</v>
      </c>
      <c r="D2291" s="313" t="s">
        <v>24</v>
      </c>
      <c r="E2291" s="313" t="s">
        <v>1674</v>
      </c>
    </row>
    <row r="2292" spans="1:5" x14ac:dyDescent="0.25">
      <c r="A2292" s="313" t="s">
        <v>844</v>
      </c>
      <c r="B2292" s="313" t="s">
        <v>26</v>
      </c>
      <c r="C2292" s="313" t="s">
        <v>1511</v>
      </c>
      <c r="D2292" s="313" t="s">
        <v>24</v>
      </c>
      <c r="E2292" s="313" t="s">
        <v>46</v>
      </c>
    </row>
    <row r="2293" spans="1:5" x14ac:dyDescent="0.25">
      <c r="A2293" s="313" t="s">
        <v>844</v>
      </c>
      <c r="B2293" s="313" t="s">
        <v>26</v>
      </c>
      <c r="C2293" s="313" t="s">
        <v>27</v>
      </c>
      <c r="D2293" s="313" t="s">
        <v>24</v>
      </c>
      <c r="E2293" s="313" t="s">
        <v>845</v>
      </c>
    </row>
    <row r="2294" spans="1:5" x14ac:dyDescent="0.25">
      <c r="A2294" s="313" t="s">
        <v>844</v>
      </c>
      <c r="B2294" s="313" t="s">
        <v>26</v>
      </c>
      <c r="C2294" s="313" t="s">
        <v>1512</v>
      </c>
      <c r="D2294" s="313" t="s">
        <v>24</v>
      </c>
      <c r="E2294" s="313" t="s">
        <v>46</v>
      </c>
    </row>
    <row r="2295" spans="1:5" x14ac:dyDescent="0.25">
      <c r="A2295" s="313" t="s">
        <v>844</v>
      </c>
      <c r="B2295" s="313" t="s">
        <v>26</v>
      </c>
      <c r="C2295" s="313" t="s">
        <v>1513</v>
      </c>
      <c r="D2295" s="313" t="s">
        <v>24</v>
      </c>
      <c r="E2295" s="313" t="s">
        <v>1674</v>
      </c>
    </row>
    <row r="2296" spans="1:5" x14ac:dyDescent="0.25">
      <c r="A2296" s="313" t="s">
        <v>844</v>
      </c>
      <c r="B2296" s="313" t="s">
        <v>26</v>
      </c>
      <c r="C2296" s="313" t="s">
        <v>1514</v>
      </c>
      <c r="D2296" s="313" t="s">
        <v>24</v>
      </c>
      <c r="E2296" s="313" t="s">
        <v>1675</v>
      </c>
    </row>
    <row r="2297" spans="1:5" x14ac:dyDescent="0.25">
      <c r="A2297" s="313" t="s">
        <v>844</v>
      </c>
      <c r="B2297" s="313" t="s">
        <v>26</v>
      </c>
      <c r="C2297" s="313" t="s">
        <v>1515</v>
      </c>
      <c r="D2297" s="313" t="s">
        <v>24</v>
      </c>
      <c r="E2297" s="313" t="s">
        <v>1675</v>
      </c>
    </row>
    <row r="2298" spans="1:5" x14ac:dyDescent="0.25">
      <c r="A2298" s="313" t="s">
        <v>844</v>
      </c>
      <c r="B2298" s="313" t="s">
        <v>26</v>
      </c>
      <c r="C2298" s="313" t="s">
        <v>1516</v>
      </c>
      <c r="D2298" s="313" t="s">
        <v>24</v>
      </c>
      <c r="E2298" s="313" t="s">
        <v>1675</v>
      </c>
    </row>
    <row r="2299" spans="1:5" x14ac:dyDescent="0.25">
      <c r="A2299" s="313" t="s">
        <v>844</v>
      </c>
      <c r="B2299" s="313" t="s">
        <v>26</v>
      </c>
      <c r="C2299" s="313" t="s">
        <v>1517</v>
      </c>
      <c r="D2299" s="313" t="s">
        <v>24</v>
      </c>
      <c r="E2299" s="313" t="s">
        <v>1675</v>
      </c>
    </row>
    <row r="2300" spans="1:5" x14ac:dyDescent="0.25">
      <c r="A2300" s="313" t="s">
        <v>844</v>
      </c>
      <c r="B2300" s="313" t="s">
        <v>26</v>
      </c>
      <c r="C2300" s="313" t="s">
        <v>1518</v>
      </c>
      <c r="D2300" s="313" t="s">
        <v>24</v>
      </c>
      <c r="E2300" s="313" t="s">
        <v>1673</v>
      </c>
    </row>
    <row r="2301" spans="1:5" x14ac:dyDescent="0.25">
      <c r="A2301" s="313" t="s">
        <v>844</v>
      </c>
      <c r="B2301" s="313" t="s">
        <v>26</v>
      </c>
      <c r="C2301" s="313" t="s">
        <v>1519</v>
      </c>
      <c r="D2301" s="313" t="s">
        <v>24</v>
      </c>
      <c r="E2301" s="313" t="s">
        <v>1673</v>
      </c>
    </row>
    <row r="2302" spans="1:5" x14ac:dyDescent="0.25">
      <c r="A2302" s="313" t="s">
        <v>848</v>
      </c>
      <c r="B2302" s="313" t="s">
        <v>19</v>
      </c>
      <c r="C2302" s="313" t="s">
        <v>1466</v>
      </c>
      <c r="D2302" s="313" t="s">
        <v>35</v>
      </c>
      <c r="E2302" s="313" t="s">
        <v>24</v>
      </c>
    </row>
    <row r="2303" spans="1:5" x14ac:dyDescent="0.25">
      <c r="A2303" s="313" t="s">
        <v>848</v>
      </c>
      <c r="B2303" s="313" t="s">
        <v>19</v>
      </c>
      <c r="C2303" s="313" t="s">
        <v>1471</v>
      </c>
      <c r="D2303" s="313" t="s">
        <v>35</v>
      </c>
      <c r="E2303" s="313" t="s">
        <v>24</v>
      </c>
    </row>
    <row r="2304" spans="1:5" x14ac:dyDescent="0.25">
      <c r="A2304" s="313" t="s">
        <v>848</v>
      </c>
      <c r="B2304" s="313" t="s">
        <v>19</v>
      </c>
      <c r="C2304" s="313" t="s">
        <v>1475</v>
      </c>
      <c r="D2304" s="313" t="s">
        <v>35</v>
      </c>
      <c r="E2304" s="313" t="s">
        <v>24</v>
      </c>
    </row>
    <row r="2305" spans="1:5" x14ac:dyDescent="0.25">
      <c r="A2305" s="313" t="s">
        <v>848</v>
      </c>
      <c r="B2305" s="313" t="s">
        <v>19</v>
      </c>
      <c r="C2305" s="313" t="s">
        <v>20</v>
      </c>
      <c r="D2305" s="313" t="s">
        <v>26</v>
      </c>
      <c r="E2305" s="313" t="s">
        <v>1676</v>
      </c>
    </row>
    <row r="2306" spans="1:5" x14ac:dyDescent="0.25">
      <c r="A2306" s="313" t="s">
        <v>848</v>
      </c>
      <c r="B2306" s="313" t="s">
        <v>19</v>
      </c>
      <c r="C2306" s="313" t="s">
        <v>1487</v>
      </c>
      <c r="D2306" s="313" t="s">
        <v>35</v>
      </c>
      <c r="E2306" s="313" t="s">
        <v>24</v>
      </c>
    </row>
    <row r="2307" spans="1:5" x14ac:dyDescent="0.25">
      <c r="A2307" s="313" t="s">
        <v>848</v>
      </c>
      <c r="B2307" s="313" t="s">
        <v>19</v>
      </c>
      <c r="C2307" s="313" t="s">
        <v>1495</v>
      </c>
      <c r="D2307" s="313" t="s">
        <v>35</v>
      </c>
      <c r="E2307" s="313" t="s">
        <v>24</v>
      </c>
    </row>
    <row r="2308" spans="1:5" x14ac:dyDescent="0.25">
      <c r="A2308" s="313" t="s">
        <v>848</v>
      </c>
      <c r="B2308" s="313" t="s">
        <v>26</v>
      </c>
      <c r="C2308" s="313" t="s">
        <v>1509</v>
      </c>
      <c r="D2308" s="313" t="s">
        <v>24</v>
      </c>
      <c r="E2308" s="313" t="s">
        <v>1676</v>
      </c>
    </row>
    <row r="2309" spans="1:5" x14ac:dyDescent="0.25">
      <c r="A2309" s="313" t="s">
        <v>848</v>
      </c>
      <c r="B2309" s="313" t="s">
        <v>26</v>
      </c>
      <c r="C2309" s="313" t="s">
        <v>1510</v>
      </c>
      <c r="D2309" s="313" t="s">
        <v>24</v>
      </c>
      <c r="E2309" s="313" t="s">
        <v>1676</v>
      </c>
    </row>
    <row r="2310" spans="1:5" x14ac:dyDescent="0.25">
      <c r="A2310" s="313" t="s">
        <v>848</v>
      </c>
      <c r="B2310" s="313" t="s">
        <v>26</v>
      </c>
      <c r="C2310" s="313" t="s">
        <v>1511</v>
      </c>
      <c r="D2310" s="313" t="s">
        <v>24</v>
      </c>
      <c r="E2310" s="313" t="s">
        <v>1676</v>
      </c>
    </row>
    <row r="2311" spans="1:5" x14ac:dyDescent="0.25">
      <c r="A2311" s="313" t="s">
        <v>848</v>
      </c>
      <c r="B2311" s="313" t="s">
        <v>26</v>
      </c>
      <c r="C2311" s="313" t="s">
        <v>27</v>
      </c>
      <c r="D2311" s="313" t="s">
        <v>24</v>
      </c>
      <c r="E2311" s="313" t="s">
        <v>849</v>
      </c>
    </row>
    <row r="2312" spans="1:5" x14ac:dyDescent="0.25">
      <c r="A2312" s="313" t="s">
        <v>848</v>
      </c>
      <c r="B2312" s="313" t="s">
        <v>26</v>
      </c>
      <c r="C2312" s="313" t="s">
        <v>1512</v>
      </c>
      <c r="D2312" s="313" t="s">
        <v>24</v>
      </c>
      <c r="E2312" s="313" t="s">
        <v>1676</v>
      </c>
    </row>
    <row r="2313" spans="1:5" x14ac:dyDescent="0.25">
      <c r="A2313" s="313" t="s">
        <v>848</v>
      </c>
      <c r="B2313" s="313" t="s">
        <v>26</v>
      </c>
      <c r="C2313" s="313" t="s">
        <v>1513</v>
      </c>
      <c r="D2313" s="313" t="s">
        <v>24</v>
      </c>
      <c r="E2313" s="313" t="s">
        <v>1676</v>
      </c>
    </row>
    <row r="2314" spans="1:5" x14ac:dyDescent="0.25">
      <c r="A2314" s="313" t="s">
        <v>855</v>
      </c>
      <c r="B2314" s="313" t="s">
        <v>19</v>
      </c>
      <c r="C2314" s="313" t="s">
        <v>1466</v>
      </c>
      <c r="D2314" s="313" t="s">
        <v>19</v>
      </c>
      <c r="E2314" s="313" t="s">
        <v>856</v>
      </c>
    </row>
    <row r="2315" spans="1:5" x14ac:dyDescent="0.25">
      <c r="A2315" s="313" t="s">
        <v>855</v>
      </c>
      <c r="B2315" s="313" t="s">
        <v>19</v>
      </c>
      <c r="C2315" s="313" t="s">
        <v>1471</v>
      </c>
      <c r="D2315" s="313" t="s">
        <v>26</v>
      </c>
      <c r="E2315" s="313" t="s">
        <v>24</v>
      </c>
    </row>
    <row r="2316" spans="1:5" x14ac:dyDescent="0.25">
      <c r="A2316" s="313" t="s">
        <v>855</v>
      </c>
      <c r="B2316" s="313" t="s">
        <v>19</v>
      </c>
      <c r="C2316" s="313" t="s">
        <v>1475</v>
      </c>
      <c r="D2316" s="313" t="s">
        <v>26</v>
      </c>
      <c r="E2316" s="313" t="s">
        <v>24</v>
      </c>
    </row>
    <row r="2317" spans="1:5" x14ac:dyDescent="0.25">
      <c r="A2317" s="313" t="s">
        <v>855</v>
      </c>
      <c r="B2317" s="313" t="s">
        <v>19</v>
      </c>
      <c r="C2317" s="313" t="s">
        <v>20</v>
      </c>
      <c r="D2317" s="313" t="s">
        <v>19</v>
      </c>
      <c r="E2317" s="313" t="s">
        <v>856</v>
      </c>
    </row>
    <row r="2318" spans="1:5" x14ac:dyDescent="0.25">
      <c r="A2318" s="313" t="s">
        <v>855</v>
      </c>
      <c r="B2318" s="313" t="s">
        <v>19</v>
      </c>
      <c r="C2318" s="313" t="s">
        <v>1487</v>
      </c>
      <c r="D2318" s="313" t="s">
        <v>26</v>
      </c>
      <c r="E2318" s="313" t="s">
        <v>24</v>
      </c>
    </row>
    <row r="2319" spans="1:5" x14ac:dyDescent="0.25">
      <c r="A2319" s="313" t="s">
        <v>855</v>
      </c>
      <c r="B2319" s="313" t="s">
        <v>19</v>
      </c>
      <c r="C2319" s="313" t="s">
        <v>1495</v>
      </c>
      <c r="D2319" s="313" t="s">
        <v>35</v>
      </c>
      <c r="E2319" s="313" t="s">
        <v>24</v>
      </c>
    </row>
    <row r="2320" spans="1:5" x14ac:dyDescent="0.25">
      <c r="A2320" s="313" t="s">
        <v>855</v>
      </c>
      <c r="B2320" s="313" t="s">
        <v>26</v>
      </c>
      <c r="C2320" s="313" t="s">
        <v>2929</v>
      </c>
      <c r="D2320" s="313" t="s">
        <v>24</v>
      </c>
      <c r="E2320" s="313" t="s">
        <v>1581</v>
      </c>
    </row>
    <row r="2321" spans="1:5" x14ac:dyDescent="0.25">
      <c r="A2321" s="313" t="s">
        <v>855</v>
      </c>
      <c r="B2321" s="313" t="s">
        <v>26</v>
      </c>
      <c r="C2321" s="313" t="s">
        <v>2930</v>
      </c>
      <c r="D2321" s="313" t="s">
        <v>24</v>
      </c>
      <c r="E2321" s="313" t="s">
        <v>35</v>
      </c>
    </row>
    <row r="2322" spans="1:5" x14ac:dyDescent="0.25">
      <c r="A2322" s="313" t="s">
        <v>855</v>
      </c>
      <c r="B2322" s="313" t="s">
        <v>26</v>
      </c>
      <c r="C2322" s="313" t="s">
        <v>1506</v>
      </c>
      <c r="D2322" s="313" t="s">
        <v>24</v>
      </c>
      <c r="E2322" s="313" t="s">
        <v>1581</v>
      </c>
    </row>
    <row r="2323" spans="1:5" x14ac:dyDescent="0.25">
      <c r="A2323" s="313" t="s">
        <v>855</v>
      </c>
      <c r="B2323" s="313" t="s">
        <v>26</v>
      </c>
      <c r="C2323" s="313" t="s">
        <v>1507</v>
      </c>
      <c r="D2323" s="313" t="s">
        <v>24</v>
      </c>
      <c r="E2323" s="313" t="s">
        <v>1581</v>
      </c>
    </row>
    <row r="2324" spans="1:5" x14ac:dyDescent="0.25">
      <c r="A2324" s="313" t="s">
        <v>855</v>
      </c>
      <c r="B2324" s="313" t="s">
        <v>26</v>
      </c>
      <c r="C2324" s="313" t="s">
        <v>1508</v>
      </c>
      <c r="D2324" s="313" t="s">
        <v>24</v>
      </c>
      <c r="E2324" s="313" t="s">
        <v>856</v>
      </c>
    </row>
    <row r="2325" spans="1:5" x14ac:dyDescent="0.25">
      <c r="A2325" s="313" t="s">
        <v>855</v>
      </c>
      <c r="B2325" s="313" t="s">
        <v>26</v>
      </c>
      <c r="C2325" s="313" t="s">
        <v>1514</v>
      </c>
      <c r="D2325" s="313" t="s">
        <v>24</v>
      </c>
      <c r="E2325" s="313" t="s">
        <v>856</v>
      </c>
    </row>
    <row r="2326" spans="1:5" x14ac:dyDescent="0.25">
      <c r="A2326" s="313" t="s">
        <v>855</v>
      </c>
      <c r="B2326" s="313" t="s">
        <v>26</v>
      </c>
      <c r="C2326" s="313" t="s">
        <v>1515</v>
      </c>
      <c r="D2326" s="313" t="s">
        <v>24</v>
      </c>
      <c r="E2326" s="313" t="s">
        <v>856</v>
      </c>
    </row>
    <row r="2327" spans="1:5" x14ac:dyDescent="0.25">
      <c r="A2327" s="313" t="s">
        <v>855</v>
      </c>
      <c r="B2327" s="313" t="s">
        <v>26</v>
      </c>
      <c r="C2327" s="313" t="s">
        <v>1516</v>
      </c>
      <c r="D2327" s="313" t="s">
        <v>24</v>
      </c>
      <c r="E2327" s="313" t="s">
        <v>856</v>
      </c>
    </row>
    <row r="2328" spans="1:5" x14ac:dyDescent="0.25">
      <c r="A2328" s="313" t="s">
        <v>855</v>
      </c>
      <c r="B2328" s="313" t="s">
        <v>26</v>
      </c>
      <c r="C2328" s="313" t="s">
        <v>1517</v>
      </c>
      <c r="D2328" s="313" t="s">
        <v>24</v>
      </c>
      <c r="E2328" s="313" t="s">
        <v>856</v>
      </c>
    </row>
    <row r="2329" spans="1:5" x14ac:dyDescent="0.25">
      <c r="A2329" s="313" t="s">
        <v>855</v>
      </c>
      <c r="B2329" s="313" t="s">
        <v>26</v>
      </c>
      <c r="C2329" s="313" t="s">
        <v>1518</v>
      </c>
      <c r="D2329" s="313" t="s">
        <v>24</v>
      </c>
      <c r="E2329" s="313" t="s">
        <v>856</v>
      </c>
    </row>
    <row r="2330" spans="1:5" x14ac:dyDescent="0.25">
      <c r="A2330" s="313" t="s">
        <v>855</v>
      </c>
      <c r="B2330" s="313" t="s">
        <v>26</v>
      </c>
      <c r="C2330" s="313" t="s">
        <v>1519</v>
      </c>
      <c r="D2330" s="313" t="s">
        <v>24</v>
      </c>
      <c r="E2330" s="313" t="s">
        <v>856</v>
      </c>
    </row>
    <row r="2331" spans="1:5" x14ac:dyDescent="0.25">
      <c r="A2331" s="313" t="s">
        <v>859</v>
      </c>
      <c r="B2331" s="313" t="s">
        <v>19</v>
      </c>
      <c r="C2331" s="313" t="s">
        <v>1466</v>
      </c>
      <c r="D2331" s="313" t="s">
        <v>26</v>
      </c>
      <c r="E2331" s="313" t="s">
        <v>24</v>
      </c>
    </row>
    <row r="2332" spans="1:5" x14ac:dyDescent="0.25">
      <c r="A2332" s="313" t="s">
        <v>859</v>
      </c>
      <c r="B2332" s="313" t="s">
        <v>19</v>
      </c>
      <c r="C2332" s="313" t="s">
        <v>1471</v>
      </c>
      <c r="D2332" s="313" t="s">
        <v>35</v>
      </c>
      <c r="E2332" s="313" t="s">
        <v>24</v>
      </c>
    </row>
    <row r="2333" spans="1:5" x14ac:dyDescent="0.25">
      <c r="A2333" s="313" t="s">
        <v>859</v>
      </c>
      <c r="B2333" s="313" t="s">
        <v>19</v>
      </c>
      <c r="C2333" s="313" t="s">
        <v>1475</v>
      </c>
      <c r="D2333" s="313" t="s">
        <v>35</v>
      </c>
      <c r="E2333" s="313" t="s">
        <v>24</v>
      </c>
    </row>
    <row r="2334" spans="1:5" x14ac:dyDescent="0.25">
      <c r="A2334" s="313" t="s">
        <v>859</v>
      </c>
      <c r="B2334" s="313" t="s">
        <v>19</v>
      </c>
      <c r="C2334" s="313" t="s">
        <v>20</v>
      </c>
      <c r="D2334" s="313" t="s">
        <v>35</v>
      </c>
      <c r="E2334" s="313" t="s">
        <v>24</v>
      </c>
    </row>
    <row r="2335" spans="1:5" x14ac:dyDescent="0.25">
      <c r="A2335" s="313" t="s">
        <v>859</v>
      </c>
      <c r="B2335" s="313" t="s">
        <v>19</v>
      </c>
      <c r="C2335" s="313" t="s">
        <v>1487</v>
      </c>
      <c r="D2335" s="313" t="s">
        <v>26</v>
      </c>
      <c r="E2335" s="313" t="s">
        <v>24</v>
      </c>
    </row>
    <row r="2336" spans="1:5" x14ac:dyDescent="0.25">
      <c r="A2336" s="313" t="s">
        <v>859</v>
      </c>
      <c r="B2336" s="313" t="s">
        <v>19</v>
      </c>
      <c r="C2336" s="313" t="s">
        <v>1495</v>
      </c>
      <c r="D2336" s="313" t="s">
        <v>35</v>
      </c>
      <c r="E2336" s="313" t="s">
        <v>24</v>
      </c>
    </row>
    <row r="2337" spans="1:5" x14ac:dyDescent="0.25">
      <c r="A2337" s="313" t="s">
        <v>859</v>
      </c>
      <c r="B2337" s="313" t="s">
        <v>26</v>
      </c>
      <c r="C2337" s="313" t="s">
        <v>1501</v>
      </c>
      <c r="D2337" s="313" t="s">
        <v>24</v>
      </c>
      <c r="E2337" s="313" t="s">
        <v>1677</v>
      </c>
    </row>
    <row r="2338" spans="1:5" x14ac:dyDescent="0.25">
      <c r="A2338" s="313" t="s">
        <v>859</v>
      </c>
      <c r="B2338" s="313" t="s">
        <v>26</v>
      </c>
      <c r="C2338" s="313" t="s">
        <v>1502</v>
      </c>
      <c r="D2338" s="313" t="s">
        <v>24</v>
      </c>
      <c r="E2338" s="313" t="s">
        <v>1677</v>
      </c>
    </row>
    <row r="2339" spans="1:5" x14ac:dyDescent="0.25">
      <c r="A2339" s="313" t="s">
        <v>859</v>
      </c>
      <c r="B2339" s="313" t="s">
        <v>26</v>
      </c>
      <c r="C2339" s="313" t="s">
        <v>1503</v>
      </c>
      <c r="D2339" s="313" t="s">
        <v>24</v>
      </c>
      <c r="E2339" s="313" t="s">
        <v>1678</v>
      </c>
    </row>
    <row r="2340" spans="1:5" x14ac:dyDescent="0.25">
      <c r="A2340" s="313" t="s">
        <v>859</v>
      </c>
      <c r="B2340" s="313" t="s">
        <v>26</v>
      </c>
      <c r="C2340" s="313" t="s">
        <v>1506</v>
      </c>
      <c r="D2340" s="313" t="s">
        <v>24</v>
      </c>
      <c r="E2340" s="313" t="s">
        <v>1679</v>
      </c>
    </row>
    <row r="2341" spans="1:5" x14ac:dyDescent="0.25">
      <c r="A2341" s="313" t="s">
        <v>859</v>
      </c>
      <c r="B2341" s="313" t="s">
        <v>26</v>
      </c>
      <c r="C2341" s="313" t="s">
        <v>1514</v>
      </c>
      <c r="D2341" s="313" t="s">
        <v>24</v>
      </c>
      <c r="E2341" s="313" t="s">
        <v>1677</v>
      </c>
    </row>
    <row r="2342" spans="1:5" x14ac:dyDescent="0.25">
      <c r="A2342" s="313" t="s">
        <v>859</v>
      </c>
      <c r="B2342" s="313" t="s">
        <v>26</v>
      </c>
      <c r="C2342" s="313" t="s">
        <v>1515</v>
      </c>
      <c r="D2342" s="313" t="s">
        <v>24</v>
      </c>
      <c r="E2342" s="313" t="s">
        <v>1677</v>
      </c>
    </row>
    <row r="2343" spans="1:5" x14ac:dyDescent="0.25">
      <c r="A2343" s="313" t="s">
        <v>859</v>
      </c>
      <c r="B2343" s="313" t="s">
        <v>26</v>
      </c>
      <c r="C2343" s="313" t="s">
        <v>1516</v>
      </c>
      <c r="D2343" s="313" t="s">
        <v>24</v>
      </c>
      <c r="E2343" s="313" t="s">
        <v>1677</v>
      </c>
    </row>
    <row r="2344" spans="1:5" x14ac:dyDescent="0.25">
      <c r="A2344" s="313" t="s">
        <v>859</v>
      </c>
      <c r="B2344" s="313" t="s">
        <v>26</v>
      </c>
      <c r="C2344" s="313" t="s">
        <v>1517</v>
      </c>
      <c r="D2344" s="313" t="s">
        <v>24</v>
      </c>
      <c r="E2344" s="313" t="s">
        <v>1677</v>
      </c>
    </row>
    <row r="2345" spans="1:5" x14ac:dyDescent="0.25">
      <c r="A2345" s="313" t="s">
        <v>859</v>
      </c>
      <c r="B2345" s="313" t="s">
        <v>26</v>
      </c>
      <c r="C2345" s="313" t="s">
        <v>1518</v>
      </c>
      <c r="D2345" s="313" t="s">
        <v>24</v>
      </c>
      <c r="E2345" s="313" t="s">
        <v>1677</v>
      </c>
    </row>
    <row r="2346" spans="1:5" x14ac:dyDescent="0.25">
      <c r="A2346" s="313" t="s">
        <v>859</v>
      </c>
      <c r="B2346" s="313" t="s">
        <v>26</v>
      </c>
      <c r="C2346" s="313" t="s">
        <v>1519</v>
      </c>
      <c r="D2346" s="313" t="s">
        <v>24</v>
      </c>
      <c r="E2346" s="313" t="s">
        <v>1680</v>
      </c>
    </row>
    <row r="2347" spans="1:5" x14ac:dyDescent="0.25">
      <c r="A2347" s="313" t="s">
        <v>862</v>
      </c>
      <c r="B2347" s="313" t="s">
        <v>19</v>
      </c>
      <c r="C2347" s="313" t="s">
        <v>1466</v>
      </c>
      <c r="D2347" s="313" t="s">
        <v>35</v>
      </c>
      <c r="E2347" s="313" t="s">
        <v>24</v>
      </c>
    </row>
    <row r="2348" spans="1:5" x14ac:dyDescent="0.25">
      <c r="A2348" s="313" t="s">
        <v>862</v>
      </c>
      <c r="B2348" s="313" t="s">
        <v>19</v>
      </c>
      <c r="C2348" s="313" t="s">
        <v>1471</v>
      </c>
      <c r="D2348" s="313" t="s">
        <v>35</v>
      </c>
      <c r="E2348" s="313" t="s">
        <v>24</v>
      </c>
    </row>
    <row r="2349" spans="1:5" x14ac:dyDescent="0.25">
      <c r="A2349" s="313" t="s">
        <v>862</v>
      </c>
      <c r="B2349" s="313" t="s">
        <v>19</v>
      </c>
      <c r="C2349" s="313" t="s">
        <v>1475</v>
      </c>
      <c r="D2349" s="313" t="s">
        <v>35</v>
      </c>
      <c r="E2349" s="313" t="s">
        <v>24</v>
      </c>
    </row>
    <row r="2350" spans="1:5" x14ac:dyDescent="0.25">
      <c r="A2350" s="313" t="s">
        <v>862</v>
      </c>
      <c r="B2350" s="313" t="s">
        <v>19</v>
      </c>
      <c r="C2350" s="313" t="s">
        <v>20</v>
      </c>
      <c r="D2350" s="313" t="s">
        <v>35</v>
      </c>
      <c r="E2350" s="313" t="s">
        <v>24</v>
      </c>
    </row>
    <row r="2351" spans="1:5" x14ac:dyDescent="0.25">
      <c r="A2351" s="313" t="s">
        <v>862</v>
      </c>
      <c r="B2351" s="313" t="s">
        <v>19</v>
      </c>
      <c r="C2351" s="313" t="s">
        <v>1487</v>
      </c>
      <c r="D2351" s="313" t="s">
        <v>26</v>
      </c>
      <c r="E2351" s="313" t="s">
        <v>24</v>
      </c>
    </row>
    <row r="2352" spans="1:5" x14ac:dyDescent="0.25">
      <c r="A2352" s="313" t="s">
        <v>862</v>
      </c>
      <c r="B2352" s="313" t="s">
        <v>19</v>
      </c>
      <c r="C2352" s="313" t="s">
        <v>1495</v>
      </c>
      <c r="D2352" s="313" t="s">
        <v>35</v>
      </c>
      <c r="E2352" s="313" t="s">
        <v>24</v>
      </c>
    </row>
    <row r="2353" spans="1:5" x14ac:dyDescent="0.25">
      <c r="A2353" s="313" t="s">
        <v>862</v>
      </c>
      <c r="B2353" s="313" t="s">
        <v>26</v>
      </c>
      <c r="C2353" s="313" t="s">
        <v>1506</v>
      </c>
      <c r="D2353" s="313" t="s">
        <v>24</v>
      </c>
      <c r="E2353" s="313" t="s">
        <v>1681</v>
      </c>
    </row>
    <row r="2354" spans="1:5" x14ac:dyDescent="0.25">
      <c r="A2354" s="313" t="s">
        <v>862</v>
      </c>
      <c r="B2354" s="313" t="s">
        <v>26</v>
      </c>
      <c r="C2354" s="313" t="s">
        <v>1514</v>
      </c>
      <c r="D2354" s="313" t="s">
        <v>24</v>
      </c>
      <c r="E2354" s="313" t="s">
        <v>1682</v>
      </c>
    </row>
    <row r="2355" spans="1:5" x14ac:dyDescent="0.25">
      <c r="A2355" s="313" t="s">
        <v>862</v>
      </c>
      <c r="B2355" s="313" t="s">
        <v>26</v>
      </c>
      <c r="C2355" s="313" t="s">
        <v>1515</v>
      </c>
      <c r="D2355" s="313" t="s">
        <v>24</v>
      </c>
      <c r="E2355" s="313" t="s">
        <v>1682</v>
      </c>
    </row>
    <row r="2356" spans="1:5" x14ac:dyDescent="0.25">
      <c r="A2356" s="313" t="s">
        <v>862</v>
      </c>
      <c r="B2356" s="313" t="s">
        <v>26</v>
      </c>
      <c r="C2356" s="313" t="s">
        <v>1516</v>
      </c>
      <c r="D2356" s="313" t="s">
        <v>24</v>
      </c>
      <c r="E2356" s="313" t="s">
        <v>1682</v>
      </c>
    </row>
    <row r="2357" spans="1:5" x14ac:dyDescent="0.25">
      <c r="A2357" s="313" t="s">
        <v>862</v>
      </c>
      <c r="B2357" s="313" t="s">
        <v>26</v>
      </c>
      <c r="C2357" s="313" t="s">
        <v>1517</v>
      </c>
      <c r="D2357" s="313" t="s">
        <v>24</v>
      </c>
      <c r="E2357" s="313" t="s">
        <v>1682</v>
      </c>
    </row>
    <row r="2358" spans="1:5" x14ac:dyDescent="0.25">
      <c r="A2358" s="313" t="s">
        <v>862</v>
      </c>
      <c r="B2358" s="313" t="s">
        <v>26</v>
      </c>
      <c r="C2358" s="313" t="s">
        <v>1518</v>
      </c>
      <c r="D2358" s="313" t="s">
        <v>24</v>
      </c>
      <c r="E2358" s="313" t="s">
        <v>1682</v>
      </c>
    </row>
    <row r="2359" spans="1:5" x14ac:dyDescent="0.25">
      <c r="A2359" s="313" t="s">
        <v>862</v>
      </c>
      <c r="B2359" s="313" t="s">
        <v>26</v>
      </c>
      <c r="C2359" s="313" t="s">
        <v>1519</v>
      </c>
      <c r="D2359" s="313" t="s">
        <v>24</v>
      </c>
      <c r="E2359" s="313" t="s">
        <v>1683</v>
      </c>
    </row>
    <row r="2360" spans="1:5" x14ac:dyDescent="0.25">
      <c r="A2360" s="313" t="s">
        <v>863</v>
      </c>
      <c r="B2360" s="313" t="s">
        <v>19</v>
      </c>
      <c r="C2360" s="313" t="s">
        <v>1466</v>
      </c>
      <c r="D2360" s="313" t="s">
        <v>35</v>
      </c>
      <c r="E2360" s="313" t="s">
        <v>24</v>
      </c>
    </row>
    <row r="2361" spans="1:5" x14ac:dyDescent="0.25">
      <c r="A2361" s="313" t="s">
        <v>863</v>
      </c>
      <c r="B2361" s="313" t="s">
        <v>19</v>
      </c>
      <c r="C2361" s="313" t="s">
        <v>1471</v>
      </c>
      <c r="D2361" s="313" t="s">
        <v>35</v>
      </c>
      <c r="E2361" s="313" t="s">
        <v>24</v>
      </c>
    </row>
    <row r="2362" spans="1:5" x14ac:dyDescent="0.25">
      <c r="A2362" s="313" t="s">
        <v>863</v>
      </c>
      <c r="B2362" s="313" t="s">
        <v>19</v>
      </c>
      <c r="C2362" s="313" t="s">
        <v>1475</v>
      </c>
      <c r="D2362" s="313" t="s">
        <v>35</v>
      </c>
      <c r="E2362" s="313" t="s">
        <v>24</v>
      </c>
    </row>
    <row r="2363" spans="1:5" x14ac:dyDescent="0.25">
      <c r="A2363" s="313" t="s">
        <v>863</v>
      </c>
      <c r="B2363" s="313" t="s">
        <v>19</v>
      </c>
      <c r="C2363" s="313" t="s">
        <v>20</v>
      </c>
      <c r="D2363" s="313" t="s">
        <v>35</v>
      </c>
      <c r="E2363" s="313" t="s">
        <v>24</v>
      </c>
    </row>
    <row r="2364" spans="1:5" x14ac:dyDescent="0.25">
      <c r="A2364" s="313" t="s">
        <v>863</v>
      </c>
      <c r="B2364" s="313" t="s">
        <v>19</v>
      </c>
      <c r="C2364" s="313" t="s">
        <v>1487</v>
      </c>
      <c r="D2364" s="313" t="s">
        <v>35</v>
      </c>
      <c r="E2364" s="313" t="s">
        <v>24</v>
      </c>
    </row>
    <row r="2365" spans="1:5" x14ac:dyDescent="0.25">
      <c r="A2365" s="313" t="s">
        <v>863</v>
      </c>
      <c r="B2365" s="313" t="s">
        <v>19</v>
      </c>
      <c r="C2365" s="313" t="s">
        <v>1495</v>
      </c>
      <c r="D2365" s="313" t="s">
        <v>35</v>
      </c>
      <c r="E2365" s="313" t="s">
        <v>24</v>
      </c>
    </row>
    <row r="2366" spans="1:5" x14ac:dyDescent="0.25">
      <c r="A2366" s="313" t="s">
        <v>863</v>
      </c>
      <c r="B2366" s="313" t="s">
        <v>26</v>
      </c>
      <c r="C2366" s="313" t="s">
        <v>1506</v>
      </c>
      <c r="D2366" s="313" t="s">
        <v>24</v>
      </c>
      <c r="E2366" s="313" t="s">
        <v>1682</v>
      </c>
    </row>
    <row r="2367" spans="1:5" x14ac:dyDescent="0.25">
      <c r="A2367" s="313" t="s">
        <v>864</v>
      </c>
      <c r="B2367" s="313" t="s">
        <v>19</v>
      </c>
      <c r="C2367" s="313" t="s">
        <v>1466</v>
      </c>
      <c r="D2367" s="313" t="s">
        <v>26</v>
      </c>
      <c r="E2367" s="313" t="s">
        <v>24</v>
      </c>
    </row>
    <row r="2368" spans="1:5" x14ac:dyDescent="0.25">
      <c r="A2368" s="313" t="s">
        <v>864</v>
      </c>
      <c r="B2368" s="313" t="s">
        <v>19</v>
      </c>
      <c r="C2368" s="313" t="s">
        <v>1471</v>
      </c>
      <c r="D2368" s="313" t="s">
        <v>26</v>
      </c>
      <c r="E2368" s="313" t="s">
        <v>24</v>
      </c>
    </row>
    <row r="2369" spans="1:5" x14ac:dyDescent="0.25">
      <c r="A2369" s="313" t="s">
        <v>864</v>
      </c>
      <c r="B2369" s="313" t="s">
        <v>19</v>
      </c>
      <c r="C2369" s="313" t="s">
        <v>1475</v>
      </c>
      <c r="D2369" s="313" t="s">
        <v>26</v>
      </c>
      <c r="E2369" s="313" t="s">
        <v>24</v>
      </c>
    </row>
    <row r="2370" spans="1:5" x14ac:dyDescent="0.25">
      <c r="A2370" s="313" t="s">
        <v>864</v>
      </c>
      <c r="B2370" s="313" t="s">
        <v>19</v>
      </c>
      <c r="C2370" s="313" t="s">
        <v>20</v>
      </c>
      <c r="D2370" s="313" t="s">
        <v>19</v>
      </c>
      <c r="E2370" s="313" t="s">
        <v>865</v>
      </c>
    </row>
    <row r="2371" spans="1:5" x14ac:dyDescent="0.25">
      <c r="A2371" s="313" t="s">
        <v>864</v>
      </c>
      <c r="B2371" s="313" t="s">
        <v>19</v>
      </c>
      <c r="C2371" s="313" t="s">
        <v>1487</v>
      </c>
      <c r="D2371" s="313" t="s">
        <v>19</v>
      </c>
      <c r="E2371" s="313" t="s">
        <v>865</v>
      </c>
    </row>
    <row r="2372" spans="1:5" x14ac:dyDescent="0.25">
      <c r="A2372" s="313" t="s">
        <v>864</v>
      </c>
      <c r="B2372" s="313" t="s">
        <v>19</v>
      </c>
      <c r="C2372" s="313" t="s">
        <v>1495</v>
      </c>
      <c r="D2372" s="313" t="s">
        <v>35</v>
      </c>
      <c r="E2372" s="313" t="s">
        <v>24</v>
      </c>
    </row>
    <row r="2373" spans="1:5" x14ac:dyDescent="0.25">
      <c r="A2373" s="313" t="s">
        <v>864</v>
      </c>
      <c r="B2373" s="313" t="s">
        <v>26</v>
      </c>
      <c r="C2373" s="313" t="s">
        <v>1501</v>
      </c>
      <c r="D2373" s="313" t="s">
        <v>24</v>
      </c>
      <c r="E2373" s="313" t="s">
        <v>1684</v>
      </c>
    </row>
    <row r="2374" spans="1:5" x14ac:dyDescent="0.25">
      <c r="A2374" s="313" t="s">
        <v>864</v>
      </c>
      <c r="B2374" s="313" t="s">
        <v>26</v>
      </c>
      <c r="C2374" s="313" t="s">
        <v>1502</v>
      </c>
      <c r="D2374" s="313" t="s">
        <v>24</v>
      </c>
      <c r="E2374" s="313" t="s">
        <v>865</v>
      </c>
    </row>
    <row r="2375" spans="1:5" x14ac:dyDescent="0.25">
      <c r="A2375" s="313" t="s">
        <v>864</v>
      </c>
      <c r="B2375" s="313" t="s">
        <v>26</v>
      </c>
      <c r="C2375" s="313" t="s">
        <v>1503</v>
      </c>
      <c r="D2375" s="313" t="s">
        <v>24</v>
      </c>
      <c r="E2375" s="313" t="s">
        <v>1684</v>
      </c>
    </row>
    <row r="2376" spans="1:5" x14ac:dyDescent="0.25">
      <c r="A2376" s="313" t="s">
        <v>864</v>
      </c>
      <c r="B2376" s="313" t="s">
        <v>26</v>
      </c>
      <c r="C2376" s="313" t="s">
        <v>2929</v>
      </c>
      <c r="D2376" s="313" t="s">
        <v>24</v>
      </c>
      <c r="E2376" s="313" t="s">
        <v>1092</v>
      </c>
    </row>
    <row r="2377" spans="1:5" x14ac:dyDescent="0.25">
      <c r="A2377" s="313" t="s">
        <v>864</v>
      </c>
      <c r="B2377" s="313" t="s">
        <v>26</v>
      </c>
      <c r="C2377" s="313" t="s">
        <v>2930</v>
      </c>
      <c r="D2377" s="313" t="s">
        <v>24</v>
      </c>
      <c r="E2377" s="313" t="s">
        <v>35</v>
      </c>
    </row>
    <row r="2378" spans="1:5" x14ac:dyDescent="0.25">
      <c r="A2378" s="313" t="s">
        <v>864</v>
      </c>
      <c r="B2378" s="313" t="s">
        <v>26</v>
      </c>
      <c r="C2378" s="313" t="s">
        <v>1506</v>
      </c>
      <c r="D2378" s="313" t="s">
        <v>24</v>
      </c>
      <c r="E2378" s="313" t="s">
        <v>1684</v>
      </c>
    </row>
    <row r="2379" spans="1:5" x14ac:dyDescent="0.25">
      <c r="A2379" s="313" t="s">
        <v>864</v>
      </c>
      <c r="B2379" s="313" t="s">
        <v>26</v>
      </c>
      <c r="C2379" s="313" t="s">
        <v>1507</v>
      </c>
      <c r="D2379" s="313" t="s">
        <v>24</v>
      </c>
      <c r="E2379" s="313" t="s">
        <v>1684</v>
      </c>
    </row>
    <row r="2380" spans="1:5" x14ac:dyDescent="0.25">
      <c r="A2380" s="313" t="s">
        <v>864</v>
      </c>
      <c r="B2380" s="313" t="s">
        <v>26</v>
      </c>
      <c r="C2380" s="313" t="s">
        <v>1508</v>
      </c>
      <c r="D2380" s="313" t="s">
        <v>24</v>
      </c>
      <c r="E2380" s="313" t="s">
        <v>865</v>
      </c>
    </row>
    <row r="2381" spans="1:5" x14ac:dyDescent="0.25">
      <c r="A2381" s="313" t="s">
        <v>868</v>
      </c>
      <c r="B2381" s="313" t="s">
        <v>19</v>
      </c>
      <c r="C2381" s="313" t="s">
        <v>1466</v>
      </c>
      <c r="D2381" s="313" t="s">
        <v>35</v>
      </c>
      <c r="E2381" s="313" t="s">
        <v>24</v>
      </c>
    </row>
    <row r="2382" spans="1:5" x14ac:dyDescent="0.25">
      <c r="A2382" s="313" t="s">
        <v>868</v>
      </c>
      <c r="B2382" s="313" t="s">
        <v>19</v>
      </c>
      <c r="C2382" s="313" t="s">
        <v>1471</v>
      </c>
      <c r="D2382" s="313" t="s">
        <v>35</v>
      </c>
      <c r="E2382" s="313" t="s">
        <v>24</v>
      </c>
    </row>
    <row r="2383" spans="1:5" x14ac:dyDescent="0.25">
      <c r="A2383" s="313" t="s">
        <v>868</v>
      </c>
      <c r="B2383" s="313" t="s">
        <v>19</v>
      </c>
      <c r="C2383" s="313" t="s">
        <v>1475</v>
      </c>
      <c r="D2383" s="313" t="s">
        <v>19</v>
      </c>
      <c r="E2383" s="313" t="s">
        <v>46</v>
      </c>
    </row>
    <row r="2384" spans="1:5" x14ac:dyDescent="0.25">
      <c r="A2384" s="313" t="s">
        <v>868</v>
      </c>
      <c r="B2384" s="313" t="s">
        <v>19</v>
      </c>
      <c r="C2384" s="313" t="s">
        <v>20</v>
      </c>
      <c r="D2384" s="313" t="s">
        <v>35</v>
      </c>
      <c r="E2384" s="313" t="s">
        <v>24</v>
      </c>
    </row>
    <row r="2385" spans="1:5" x14ac:dyDescent="0.25">
      <c r="A2385" s="313" t="s">
        <v>868</v>
      </c>
      <c r="B2385" s="313" t="s">
        <v>19</v>
      </c>
      <c r="C2385" s="313" t="s">
        <v>1487</v>
      </c>
      <c r="D2385" s="313" t="s">
        <v>35</v>
      </c>
      <c r="E2385" s="313" t="s">
        <v>24</v>
      </c>
    </row>
    <row r="2386" spans="1:5" x14ac:dyDescent="0.25">
      <c r="A2386" s="313" t="s">
        <v>868</v>
      </c>
      <c r="B2386" s="313" t="s">
        <v>19</v>
      </c>
      <c r="C2386" s="313" t="s">
        <v>1495</v>
      </c>
      <c r="D2386" s="313" t="s">
        <v>35</v>
      </c>
      <c r="E2386" s="313" t="s">
        <v>24</v>
      </c>
    </row>
    <row r="2387" spans="1:5" x14ac:dyDescent="0.25">
      <c r="A2387" s="313" t="s">
        <v>870</v>
      </c>
      <c r="B2387" s="313" t="s">
        <v>19</v>
      </c>
      <c r="C2387" s="313" t="s">
        <v>1466</v>
      </c>
      <c r="D2387" s="313" t="s">
        <v>35</v>
      </c>
      <c r="E2387" s="313" t="s">
        <v>24</v>
      </c>
    </row>
    <row r="2388" spans="1:5" x14ac:dyDescent="0.25">
      <c r="A2388" s="313" t="s">
        <v>870</v>
      </c>
      <c r="B2388" s="313" t="s">
        <v>19</v>
      </c>
      <c r="C2388" s="313" t="s">
        <v>1471</v>
      </c>
      <c r="D2388" s="313" t="s">
        <v>35</v>
      </c>
      <c r="E2388" s="313" t="s">
        <v>24</v>
      </c>
    </row>
    <row r="2389" spans="1:5" x14ac:dyDescent="0.25">
      <c r="A2389" s="313" t="s">
        <v>870</v>
      </c>
      <c r="B2389" s="313" t="s">
        <v>19</v>
      </c>
      <c r="C2389" s="313" t="s">
        <v>1475</v>
      </c>
      <c r="D2389" s="313" t="s">
        <v>19</v>
      </c>
      <c r="E2389" s="313" t="s">
        <v>46</v>
      </c>
    </row>
    <row r="2390" spans="1:5" x14ac:dyDescent="0.25">
      <c r="A2390" s="313" t="s">
        <v>870</v>
      </c>
      <c r="B2390" s="313" t="s">
        <v>19</v>
      </c>
      <c r="C2390" s="313" t="s">
        <v>20</v>
      </c>
      <c r="D2390" s="313" t="s">
        <v>19</v>
      </c>
      <c r="E2390" s="313" t="s">
        <v>46</v>
      </c>
    </row>
    <row r="2391" spans="1:5" x14ac:dyDescent="0.25">
      <c r="A2391" s="313" t="s">
        <v>870</v>
      </c>
      <c r="B2391" s="313" t="s">
        <v>19</v>
      </c>
      <c r="C2391" s="313" t="s">
        <v>1487</v>
      </c>
      <c r="D2391" s="313" t="s">
        <v>35</v>
      </c>
      <c r="E2391" s="313" t="s">
        <v>24</v>
      </c>
    </row>
    <row r="2392" spans="1:5" x14ac:dyDescent="0.25">
      <c r="A2392" s="313" t="s">
        <v>870</v>
      </c>
      <c r="B2392" s="313" t="s">
        <v>19</v>
      </c>
      <c r="C2392" s="313" t="s">
        <v>1495</v>
      </c>
      <c r="D2392" s="313" t="s">
        <v>35</v>
      </c>
      <c r="E2392" s="313" t="s">
        <v>24</v>
      </c>
    </row>
    <row r="2393" spans="1:5" x14ac:dyDescent="0.25">
      <c r="A2393" s="313" t="s">
        <v>872</v>
      </c>
      <c r="B2393" s="313" t="s">
        <v>19</v>
      </c>
      <c r="C2393" s="313" t="s">
        <v>1466</v>
      </c>
      <c r="D2393" s="313" t="s">
        <v>35</v>
      </c>
      <c r="E2393" s="313" t="s">
        <v>24</v>
      </c>
    </row>
    <row r="2394" spans="1:5" x14ac:dyDescent="0.25">
      <c r="A2394" s="313" t="s">
        <v>872</v>
      </c>
      <c r="B2394" s="313" t="s">
        <v>19</v>
      </c>
      <c r="C2394" s="313" t="s">
        <v>1471</v>
      </c>
      <c r="D2394" s="313" t="s">
        <v>35</v>
      </c>
      <c r="E2394" s="313" t="s">
        <v>24</v>
      </c>
    </row>
    <row r="2395" spans="1:5" x14ac:dyDescent="0.25">
      <c r="A2395" s="313" t="s">
        <v>872</v>
      </c>
      <c r="B2395" s="313" t="s">
        <v>19</v>
      </c>
      <c r="C2395" s="313" t="s">
        <v>1475</v>
      </c>
      <c r="D2395" s="313" t="s">
        <v>19</v>
      </c>
      <c r="E2395" s="313" t="s">
        <v>46</v>
      </c>
    </row>
    <row r="2396" spans="1:5" x14ac:dyDescent="0.25">
      <c r="A2396" s="313" t="s">
        <v>872</v>
      </c>
      <c r="B2396" s="313" t="s">
        <v>19</v>
      </c>
      <c r="C2396" s="313" t="s">
        <v>20</v>
      </c>
      <c r="D2396" s="313" t="s">
        <v>19</v>
      </c>
      <c r="E2396" s="313" t="s">
        <v>46</v>
      </c>
    </row>
    <row r="2397" spans="1:5" x14ac:dyDescent="0.25">
      <c r="A2397" s="313" t="s">
        <v>872</v>
      </c>
      <c r="B2397" s="313" t="s">
        <v>19</v>
      </c>
      <c r="C2397" s="313" t="s">
        <v>1487</v>
      </c>
      <c r="D2397" s="313" t="s">
        <v>35</v>
      </c>
      <c r="E2397" s="313" t="s">
        <v>24</v>
      </c>
    </row>
    <row r="2398" spans="1:5" x14ac:dyDescent="0.25">
      <c r="A2398" s="313" t="s">
        <v>872</v>
      </c>
      <c r="B2398" s="313" t="s">
        <v>19</v>
      </c>
      <c r="C2398" s="313" t="s">
        <v>1495</v>
      </c>
      <c r="D2398" s="313" t="s">
        <v>35</v>
      </c>
      <c r="E2398" s="313" t="s">
        <v>24</v>
      </c>
    </row>
    <row r="2399" spans="1:5" x14ac:dyDescent="0.25">
      <c r="A2399" s="313" t="s">
        <v>874</v>
      </c>
      <c r="B2399" s="313" t="s">
        <v>19</v>
      </c>
      <c r="C2399" s="313" t="s">
        <v>1466</v>
      </c>
      <c r="D2399" s="313" t="s">
        <v>35</v>
      </c>
      <c r="E2399" s="313" t="s">
        <v>24</v>
      </c>
    </row>
    <row r="2400" spans="1:5" x14ac:dyDescent="0.25">
      <c r="A2400" s="313" t="s">
        <v>874</v>
      </c>
      <c r="B2400" s="313" t="s">
        <v>19</v>
      </c>
      <c r="C2400" s="313" t="s">
        <v>1471</v>
      </c>
      <c r="D2400" s="313" t="s">
        <v>35</v>
      </c>
      <c r="E2400" s="313" t="s">
        <v>24</v>
      </c>
    </row>
    <row r="2401" spans="1:5" x14ac:dyDescent="0.25">
      <c r="A2401" s="313" t="s">
        <v>874</v>
      </c>
      <c r="B2401" s="313" t="s">
        <v>19</v>
      </c>
      <c r="C2401" s="313" t="s">
        <v>1475</v>
      </c>
      <c r="D2401" s="313" t="s">
        <v>19</v>
      </c>
      <c r="E2401" s="313" t="s">
        <v>46</v>
      </c>
    </row>
    <row r="2402" spans="1:5" x14ac:dyDescent="0.25">
      <c r="A2402" s="313" t="s">
        <v>874</v>
      </c>
      <c r="B2402" s="313" t="s">
        <v>19</v>
      </c>
      <c r="C2402" s="313" t="s">
        <v>20</v>
      </c>
      <c r="D2402" s="313" t="s">
        <v>19</v>
      </c>
      <c r="E2402" s="313" t="s">
        <v>46</v>
      </c>
    </row>
    <row r="2403" spans="1:5" x14ac:dyDescent="0.25">
      <c r="A2403" s="313" t="s">
        <v>874</v>
      </c>
      <c r="B2403" s="313" t="s">
        <v>19</v>
      </c>
      <c r="C2403" s="313" t="s">
        <v>1487</v>
      </c>
      <c r="D2403" s="313" t="s">
        <v>35</v>
      </c>
      <c r="E2403" s="313" t="s">
        <v>24</v>
      </c>
    </row>
    <row r="2404" spans="1:5" x14ac:dyDescent="0.25">
      <c r="A2404" s="313" t="s">
        <v>874</v>
      </c>
      <c r="B2404" s="313" t="s">
        <v>19</v>
      </c>
      <c r="C2404" s="313" t="s">
        <v>1495</v>
      </c>
      <c r="D2404" s="313" t="s">
        <v>35</v>
      </c>
      <c r="E2404" s="313" t="s">
        <v>24</v>
      </c>
    </row>
    <row r="2405" spans="1:5" x14ac:dyDescent="0.25">
      <c r="A2405" s="313" t="s">
        <v>876</v>
      </c>
      <c r="B2405" s="313" t="s">
        <v>19</v>
      </c>
      <c r="C2405" s="313" t="s">
        <v>1466</v>
      </c>
      <c r="D2405" s="313" t="s">
        <v>35</v>
      </c>
      <c r="E2405" s="313" t="s">
        <v>24</v>
      </c>
    </row>
    <row r="2406" spans="1:5" x14ac:dyDescent="0.25">
      <c r="A2406" s="313" t="s">
        <v>876</v>
      </c>
      <c r="B2406" s="313" t="s">
        <v>19</v>
      </c>
      <c r="C2406" s="313" t="s">
        <v>1471</v>
      </c>
      <c r="D2406" s="313" t="s">
        <v>35</v>
      </c>
      <c r="E2406" s="313" t="s">
        <v>24</v>
      </c>
    </row>
    <row r="2407" spans="1:5" x14ac:dyDescent="0.25">
      <c r="A2407" s="313" t="s">
        <v>876</v>
      </c>
      <c r="B2407" s="313" t="s">
        <v>19</v>
      </c>
      <c r="C2407" s="313" t="s">
        <v>1475</v>
      </c>
      <c r="D2407" s="313" t="s">
        <v>19</v>
      </c>
      <c r="E2407" s="313" t="s">
        <v>46</v>
      </c>
    </row>
    <row r="2408" spans="1:5" x14ac:dyDescent="0.25">
      <c r="A2408" s="313" t="s">
        <v>876</v>
      </c>
      <c r="B2408" s="313" t="s">
        <v>19</v>
      </c>
      <c r="C2408" s="313" t="s">
        <v>20</v>
      </c>
      <c r="D2408" s="313" t="s">
        <v>19</v>
      </c>
      <c r="E2408" s="313" t="s">
        <v>46</v>
      </c>
    </row>
    <row r="2409" spans="1:5" x14ac:dyDescent="0.25">
      <c r="A2409" s="313" t="s">
        <v>876</v>
      </c>
      <c r="B2409" s="313" t="s">
        <v>19</v>
      </c>
      <c r="C2409" s="313" t="s">
        <v>1487</v>
      </c>
      <c r="D2409" s="313" t="s">
        <v>19</v>
      </c>
      <c r="E2409" s="313" t="s">
        <v>46</v>
      </c>
    </row>
    <row r="2410" spans="1:5" x14ac:dyDescent="0.25">
      <c r="A2410" s="313" t="s">
        <v>876</v>
      </c>
      <c r="B2410" s="313" t="s">
        <v>19</v>
      </c>
      <c r="C2410" s="313" t="s">
        <v>1495</v>
      </c>
      <c r="D2410" s="313" t="s">
        <v>35</v>
      </c>
      <c r="E2410" s="313" t="s">
        <v>24</v>
      </c>
    </row>
    <row r="2411" spans="1:5" x14ac:dyDescent="0.25">
      <c r="A2411" s="313" t="s">
        <v>879</v>
      </c>
      <c r="B2411" s="313" t="s">
        <v>19</v>
      </c>
      <c r="C2411" s="313" t="s">
        <v>1466</v>
      </c>
      <c r="D2411" s="313" t="s">
        <v>35</v>
      </c>
      <c r="E2411" s="313" t="s">
        <v>24</v>
      </c>
    </row>
    <row r="2412" spans="1:5" x14ac:dyDescent="0.25">
      <c r="A2412" s="313" t="s">
        <v>879</v>
      </c>
      <c r="B2412" s="313" t="s">
        <v>19</v>
      </c>
      <c r="C2412" s="313" t="s">
        <v>1471</v>
      </c>
      <c r="D2412" s="313" t="s">
        <v>35</v>
      </c>
      <c r="E2412" s="313" t="s">
        <v>24</v>
      </c>
    </row>
    <row r="2413" spans="1:5" x14ac:dyDescent="0.25">
      <c r="A2413" s="313" t="s">
        <v>879</v>
      </c>
      <c r="B2413" s="313" t="s">
        <v>19</v>
      </c>
      <c r="C2413" s="313" t="s">
        <v>1475</v>
      </c>
      <c r="D2413" s="313" t="s">
        <v>19</v>
      </c>
      <c r="E2413" s="313" t="s">
        <v>46</v>
      </c>
    </row>
    <row r="2414" spans="1:5" x14ac:dyDescent="0.25">
      <c r="A2414" s="313" t="s">
        <v>879</v>
      </c>
      <c r="B2414" s="313" t="s">
        <v>19</v>
      </c>
      <c r="C2414" s="313" t="s">
        <v>20</v>
      </c>
      <c r="D2414" s="313" t="s">
        <v>19</v>
      </c>
      <c r="E2414" s="313" t="s">
        <v>46</v>
      </c>
    </row>
    <row r="2415" spans="1:5" x14ac:dyDescent="0.25">
      <c r="A2415" s="313" t="s">
        <v>879</v>
      </c>
      <c r="B2415" s="313" t="s">
        <v>19</v>
      </c>
      <c r="C2415" s="313" t="s">
        <v>1487</v>
      </c>
      <c r="D2415" s="313" t="s">
        <v>19</v>
      </c>
      <c r="E2415" s="313" t="s">
        <v>46</v>
      </c>
    </row>
    <row r="2416" spans="1:5" x14ac:dyDescent="0.25">
      <c r="A2416" s="313" t="s">
        <v>879</v>
      </c>
      <c r="B2416" s="313" t="s">
        <v>19</v>
      </c>
      <c r="C2416" s="313" t="s">
        <v>1495</v>
      </c>
      <c r="D2416" s="313" t="s">
        <v>35</v>
      </c>
      <c r="E2416" s="313" t="s">
        <v>24</v>
      </c>
    </row>
    <row r="2417" spans="1:5" x14ac:dyDescent="0.25">
      <c r="A2417" s="313" t="s">
        <v>881</v>
      </c>
      <c r="B2417" s="313" t="s">
        <v>19</v>
      </c>
      <c r="C2417" s="313" t="s">
        <v>1466</v>
      </c>
      <c r="D2417" s="313" t="s">
        <v>26</v>
      </c>
      <c r="E2417" s="313" t="s">
        <v>24</v>
      </c>
    </row>
    <row r="2418" spans="1:5" x14ac:dyDescent="0.25">
      <c r="A2418" s="313" t="s">
        <v>881</v>
      </c>
      <c r="B2418" s="313" t="s">
        <v>19</v>
      </c>
      <c r="C2418" s="313" t="s">
        <v>1471</v>
      </c>
      <c r="D2418" s="313" t="s">
        <v>26</v>
      </c>
      <c r="E2418" s="313" t="s">
        <v>24</v>
      </c>
    </row>
    <row r="2419" spans="1:5" x14ac:dyDescent="0.25">
      <c r="A2419" s="313" t="s">
        <v>881</v>
      </c>
      <c r="B2419" s="313" t="s">
        <v>19</v>
      </c>
      <c r="C2419" s="313" t="s">
        <v>1475</v>
      </c>
      <c r="D2419" s="313" t="s">
        <v>19</v>
      </c>
      <c r="E2419" s="313" t="s">
        <v>46</v>
      </c>
    </row>
    <row r="2420" spans="1:5" x14ac:dyDescent="0.25">
      <c r="A2420" s="313" t="s">
        <v>881</v>
      </c>
      <c r="B2420" s="313" t="s">
        <v>19</v>
      </c>
      <c r="C2420" s="313" t="s">
        <v>20</v>
      </c>
      <c r="D2420" s="313" t="s">
        <v>19</v>
      </c>
      <c r="E2420" s="313" t="s">
        <v>882</v>
      </c>
    </row>
    <row r="2421" spans="1:5" x14ac:dyDescent="0.25">
      <c r="A2421" s="313" t="s">
        <v>881</v>
      </c>
      <c r="B2421" s="313" t="s">
        <v>19</v>
      </c>
      <c r="C2421" s="313" t="s">
        <v>1487</v>
      </c>
      <c r="D2421" s="313" t="s">
        <v>26</v>
      </c>
      <c r="E2421" s="313" t="s">
        <v>24</v>
      </c>
    </row>
    <row r="2422" spans="1:5" x14ac:dyDescent="0.25">
      <c r="A2422" s="313" t="s">
        <v>881</v>
      </c>
      <c r="B2422" s="313" t="s">
        <v>19</v>
      </c>
      <c r="C2422" s="313" t="s">
        <v>1495</v>
      </c>
      <c r="D2422" s="313" t="s">
        <v>35</v>
      </c>
      <c r="E2422" s="313" t="s">
        <v>24</v>
      </c>
    </row>
    <row r="2423" spans="1:5" x14ac:dyDescent="0.25">
      <c r="A2423" s="313" t="s">
        <v>881</v>
      </c>
      <c r="B2423" s="313" t="s">
        <v>26</v>
      </c>
      <c r="C2423" s="313" t="s">
        <v>1501</v>
      </c>
      <c r="D2423" s="313" t="s">
        <v>24</v>
      </c>
      <c r="E2423" s="313" t="s">
        <v>882</v>
      </c>
    </row>
    <row r="2424" spans="1:5" x14ac:dyDescent="0.25">
      <c r="A2424" s="313" t="s">
        <v>881</v>
      </c>
      <c r="B2424" s="313" t="s">
        <v>26</v>
      </c>
      <c r="C2424" s="313" t="s">
        <v>1502</v>
      </c>
      <c r="D2424" s="313" t="s">
        <v>24</v>
      </c>
      <c r="E2424" s="313" t="s">
        <v>882</v>
      </c>
    </row>
    <row r="2425" spans="1:5" x14ac:dyDescent="0.25">
      <c r="A2425" s="313" t="s">
        <v>881</v>
      </c>
      <c r="B2425" s="313" t="s">
        <v>26</v>
      </c>
      <c r="C2425" s="313" t="s">
        <v>1503</v>
      </c>
      <c r="D2425" s="313" t="s">
        <v>24</v>
      </c>
      <c r="E2425" s="313" t="s">
        <v>1685</v>
      </c>
    </row>
    <row r="2426" spans="1:5" x14ac:dyDescent="0.25">
      <c r="A2426" s="313" t="s">
        <v>881</v>
      </c>
      <c r="B2426" s="313" t="s">
        <v>26</v>
      </c>
      <c r="C2426" s="313" t="s">
        <v>2929</v>
      </c>
      <c r="D2426" s="313" t="s">
        <v>24</v>
      </c>
      <c r="E2426" s="313" t="s">
        <v>1685</v>
      </c>
    </row>
    <row r="2427" spans="1:5" x14ac:dyDescent="0.25">
      <c r="A2427" s="313" t="s">
        <v>881</v>
      </c>
      <c r="B2427" s="313" t="s">
        <v>26</v>
      </c>
      <c r="C2427" s="313" t="s">
        <v>2930</v>
      </c>
      <c r="D2427" s="313" t="s">
        <v>24</v>
      </c>
      <c r="E2427" s="313" t="s">
        <v>35</v>
      </c>
    </row>
    <row r="2428" spans="1:5" x14ac:dyDescent="0.25">
      <c r="A2428" s="313" t="s">
        <v>881</v>
      </c>
      <c r="B2428" s="313" t="s">
        <v>26</v>
      </c>
      <c r="C2428" s="313" t="s">
        <v>1514</v>
      </c>
      <c r="D2428" s="313" t="s">
        <v>24</v>
      </c>
      <c r="E2428" s="313" t="s">
        <v>1685</v>
      </c>
    </row>
    <row r="2429" spans="1:5" x14ac:dyDescent="0.25">
      <c r="A2429" s="313" t="s">
        <v>881</v>
      </c>
      <c r="B2429" s="313" t="s">
        <v>26</v>
      </c>
      <c r="C2429" s="313" t="s">
        <v>1515</v>
      </c>
      <c r="D2429" s="313" t="s">
        <v>24</v>
      </c>
      <c r="E2429" s="313" t="s">
        <v>1685</v>
      </c>
    </row>
    <row r="2430" spans="1:5" x14ac:dyDescent="0.25">
      <c r="A2430" s="313" t="s">
        <v>881</v>
      </c>
      <c r="B2430" s="313" t="s">
        <v>26</v>
      </c>
      <c r="C2430" s="313" t="s">
        <v>1516</v>
      </c>
      <c r="D2430" s="313" t="s">
        <v>24</v>
      </c>
      <c r="E2430" s="313" t="s">
        <v>1685</v>
      </c>
    </row>
    <row r="2431" spans="1:5" x14ac:dyDescent="0.25">
      <c r="A2431" s="313" t="s">
        <v>881</v>
      </c>
      <c r="B2431" s="313" t="s">
        <v>26</v>
      </c>
      <c r="C2431" s="313" t="s">
        <v>1517</v>
      </c>
      <c r="D2431" s="313" t="s">
        <v>24</v>
      </c>
      <c r="E2431" s="313" t="s">
        <v>1685</v>
      </c>
    </row>
    <row r="2432" spans="1:5" x14ac:dyDescent="0.25">
      <c r="A2432" s="313" t="s">
        <v>881</v>
      </c>
      <c r="B2432" s="313" t="s">
        <v>26</v>
      </c>
      <c r="C2432" s="313" t="s">
        <v>1518</v>
      </c>
      <c r="D2432" s="313" t="s">
        <v>24</v>
      </c>
      <c r="E2432" s="313" t="s">
        <v>1685</v>
      </c>
    </row>
    <row r="2433" spans="1:5" x14ac:dyDescent="0.25">
      <c r="A2433" s="313" t="s">
        <v>881</v>
      </c>
      <c r="B2433" s="313" t="s">
        <v>26</v>
      </c>
      <c r="C2433" s="313" t="s">
        <v>1519</v>
      </c>
      <c r="D2433" s="313" t="s">
        <v>24</v>
      </c>
      <c r="E2433" s="313" t="s">
        <v>882</v>
      </c>
    </row>
    <row r="2434" spans="1:5" x14ac:dyDescent="0.25">
      <c r="A2434" s="313" t="s">
        <v>885</v>
      </c>
      <c r="B2434" s="313" t="s">
        <v>19</v>
      </c>
      <c r="C2434" s="313" t="s">
        <v>1466</v>
      </c>
      <c r="D2434" s="313" t="s">
        <v>35</v>
      </c>
      <c r="E2434" s="313" t="s">
        <v>24</v>
      </c>
    </row>
    <row r="2435" spans="1:5" x14ac:dyDescent="0.25">
      <c r="A2435" s="313" t="s">
        <v>885</v>
      </c>
      <c r="B2435" s="313" t="s">
        <v>19</v>
      </c>
      <c r="C2435" s="313" t="s">
        <v>1471</v>
      </c>
      <c r="D2435" s="313" t="s">
        <v>35</v>
      </c>
      <c r="E2435" s="313" t="s">
        <v>24</v>
      </c>
    </row>
    <row r="2436" spans="1:5" x14ac:dyDescent="0.25">
      <c r="A2436" s="313" t="s">
        <v>885</v>
      </c>
      <c r="B2436" s="313" t="s">
        <v>19</v>
      </c>
      <c r="C2436" s="313" t="s">
        <v>1475</v>
      </c>
      <c r="D2436" s="313" t="s">
        <v>19</v>
      </c>
      <c r="E2436" s="313" t="s">
        <v>46</v>
      </c>
    </row>
    <row r="2437" spans="1:5" x14ac:dyDescent="0.25">
      <c r="A2437" s="313" t="s">
        <v>885</v>
      </c>
      <c r="B2437" s="313" t="s">
        <v>19</v>
      </c>
      <c r="C2437" s="313" t="s">
        <v>20</v>
      </c>
      <c r="D2437" s="313" t="s">
        <v>35</v>
      </c>
      <c r="E2437" s="313" t="s">
        <v>24</v>
      </c>
    </row>
    <row r="2438" spans="1:5" x14ac:dyDescent="0.25">
      <c r="A2438" s="313" t="s">
        <v>885</v>
      </c>
      <c r="B2438" s="313" t="s">
        <v>19</v>
      </c>
      <c r="C2438" s="313" t="s">
        <v>1487</v>
      </c>
      <c r="D2438" s="313" t="s">
        <v>35</v>
      </c>
      <c r="E2438" s="313" t="s">
        <v>24</v>
      </c>
    </row>
    <row r="2439" spans="1:5" x14ac:dyDescent="0.25">
      <c r="A2439" s="313" t="s">
        <v>885</v>
      </c>
      <c r="B2439" s="313" t="s">
        <v>19</v>
      </c>
      <c r="C2439" s="313" t="s">
        <v>1495</v>
      </c>
      <c r="D2439" s="313" t="s">
        <v>35</v>
      </c>
      <c r="E2439" s="313" t="s">
        <v>24</v>
      </c>
    </row>
    <row r="2440" spans="1:5" x14ac:dyDescent="0.25">
      <c r="A2440" s="313" t="s">
        <v>887</v>
      </c>
      <c r="B2440" s="313" t="s">
        <v>19</v>
      </c>
      <c r="C2440" s="313" t="s">
        <v>1466</v>
      </c>
      <c r="D2440" s="313" t="s">
        <v>35</v>
      </c>
      <c r="E2440" s="313" t="s">
        <v>24</v>
      </c>
    </row>
    <row r="2441" spans="1:5" x14ac:dyDescent="0.25">
      <c r="A2441" s="313" t="s">
        <v>887</v>
      </c>
      <c r="B2441" s="313" t="s">
        <v>19</v>
      </c>
      <c r="C2441" s="313" t="s">
        <v>1471</v>
      </c>
      <c r="D2441" s="313" t="s">
        <v>35</v>
      </c>
      <c r="E2441" s="313" t="s">
        <v>24</v>
      </c>
    </row>
    <row r="2442" spans="1:5" x14ac:dyDescent="0.25">
      <c r="A2442" s="313" t="s">
        <v>887</v>
      </c>
      <c r="B2442" s="313" t="s">
        <v>19</v>
      </c>
      <c r="C2442" s="313" t="s">
        <v>1475</v>
      </c>
      <c r="D2442" s="313" t="s">
        <v>19</v>
      </c>
      <c r="E2442" s="313" t="s">
        <v>46</v>
      </c>
    </row>
    <row r="2443" spans="1:5" x14ac:dyDescent="0.25">
      <c r="A2443" s="313" t="s">
        <v>887</v>
      </c>
      <c r="B2443" s="313" t="s">
        <v>19</v>
      </c>
      <c r="C2443" s="313" t="s">
        <v>20</v>
      </c>
      <c r="D2443" s="313" t="s">
        <v>35</v>
      </c>
      <c r="E2443" s="313" t="s">
        <v>24</v>
      </c>
    </row>
    <row r="2444" spans="1:5" x14ac:dyDescent="0.25">
      <c r="A2444" s="313" t="s">
        <v>887</v>
      </c>
      <c r="B2444" s="313" t="s">
        <v>19</v>
      </c>
      <c r="C2444" s="313" t="s">
        <v>1487</v>
      </c>
      <c r="D2444" s="313" t="s">
        <v>26</v>
      </c>
      <c r="E2444" s="313" t="s">
        <v>24</v>
      </c>
    </row>
    <row r="2445" spans="1:5" x14ac:dyDescent="0.25">
      <c r="A2445" s="313" t="s">
        <v>887</v>
      </c>
      <c r="B2445" s="313" t="s">
        <v>19</v>
      </c>
      <c r="C2445" s="313" t="s">
        <v>1495</v>
      </c>
      <c r="D2445" s="313" t="s">
        <v>35</v>
      </c>
      <c r="E2445" s="313" t="s">
        <v>24</v>
      </c>
    </row>
    <row r="2446" spans="1:5" x14ac:dyDescent="0.25">
      <c r="A2446" s="313" t="s">
        <v>887</v>
      </c>
      <c r="B2446" s="313" t="s">
        <v>26</v>
      </c>
      <c r="C2446" s="313" t="s">
        <v>1514</v>
      </c>
      <c r="D2446" s="313" t="s">
        <v>24</v>
      </c>
      <c r="E2446" s="313" t="s">
        <v>1686</v>
      </c>
    </row>
    <row r="2447" spans="1:5" x14ac:dyDescent="0.25">
      <c r="A2447" s="313" t="s">
        <v>887</v>
      </c>
      <c r="B2447" s="313" t="s">
        <v>26</v>
      </c>
      <c r="C2447" s="313" t="s">
        <v>1515</v>
      </c>
      <c r="D2447" s="313" t="s">
        <v>24</v>
      </c>
      <c r="E2447" s="313" t="s">
        <v>1686</v>
      </c>
    </row>
    <row r="2448" spans="1:5" x14ac:dyDescent="0.25">
      <c r="A2448" s="313" t="s">
        <v>887</v>
      </c>
      <c r="B2448" s="313" t="s">
        <v>26</v>
      </c>
      <c r="C2448" s="313" t="s">
        <v>1516</v>
      </c>
      <c r="D2448" s="313" t="s">
        <v>24</v>
      </c>
      <c r="E2448" s="313" t="s">
        <v>1687</v>
      </c>
    </row>
    <row r="2449" spans="1:5" x14ac:dyDescent="0.25">
      <c r="A2449" s="313" t="s">
        <v>887</v>
      </c>
      <c r="B2449" s="313" t="s">
        <v>26</v>
      </c>
      <c r="C2449" s="313" t="s">
        <v>1517</v>
      </c>
      <c r="D2449" s="313" t="s">
        <v>24</v>
      </c>
      <c r="E2449" s="313" t="s">
        <v>1687</v>
      </c>
    </row>
    <row r="2450" spans="1:5" x14ac:dyDescent="0.25">
      <c r="A2450" s="313" t="s">
        <v>887</v>
      </c>
      <c r="B2450" s="313" t="s">
        <v>26</v>
      </c>
      <c r="C2450" s="313" t="s">
        <v>1518</v>
      </c>
      <c r="D2450" s="313" t="s">
        <v>24</v>
      </c>
      <c r="E2450" s="313" t="s">
        <v>1687</v>
      </c>
    </row>
    <row r="2451" spans="1:5" x14ac:dyDescent="0.25">
      <c r="A2451" s="313" t="s">
        <v>887</v>
      </c>
      <c r="B2451" s="313" t="s">
        <v>26</v>
      </c>
      <c r="C2451" s="313" t="s">
        <v>1519</v>
      </c>
      <c r="D2451" s="313" t="s">
        <v>24</v>
      </c>
      <c r="E2451" s="313" t="s">
        <v>1687</v>
      </c>
    </row>
    <row r="2452" spans="1:5" x14ac:dyDescent="0.25">
      <c r="A2452" s="313" t="s">
        <v>890</v>
      </c>
      <c r="B2452" s="313" t="s">
        <v>19</v>
      </c>
      <c r="C2452" s="313" t="s">
        <v>1466</v>
      </c>
      <c r="D2452" s="313" t="s">
        <v>19</v>
      </c>
      <c r="E2452" s="313" t="s">
        <v>891</v>
      </c>
    </row>
    <row r="2453" spans="1:5" x14ac:dyDescent="0.25">
      <c r="A2453" s="313" t="s">
        <v>890</v>
      </c>
      <c r="B2453" s="313" t="s">
        <v>19</v>
      </c>
      <c r="C2453" s="313" t="s">
        <v>1471</v>
      </c>
      <c r="D2453" s="313" t="s">
        <v>26</v>
      </c>
      <c r="E2453" s="313" t="s">
        <v>24</v>
      </c>
    </row>
    <row r="2454" spans="1:5" x14ac:dyDescent="0.25">
      <c r="A2454" s="313" t="s">
        <v>890</v>
      </c>
      <c r="B2454" s="313" t="s">
        <v>19</v>
      </c>
      <c r="C2454" s="313" t="s">
        <v>1475</v>
      </c>
      <c r="D2454" s="313" t="s">
        <v>19</v>
      </c>
      <c r="E2454" s="313" t="s">
        <v>1688</v>
      </c>
    </row>
    <row r="2455" spans="1:5" x14ac:dyDescent="0.25">
      <c r="A2455" s="313" t="s">
        <v>890</v>
      </c>
      <c r="B2455" s="313" t="s">
        <v>19</v>
      </c>
      <c r="C2455" s="313" t="s">
        <v>20</v>
      </c>
      <c r="D2455" s="313" t="s">
        <v>19</v>
      </c>
      <c r="E2455" s="313" t="s">
        <v>891</v>
      </c>
    </row>
    <row r="2456" spans="1:5" x14ac:dyDescent="0.25">
      <c r="A2456" s="313" t="s">
        <v>890</v>
      </c>
      <c r="B2456" s="313" t="s">
        <v>19</v>
      </c>
      <c r="C2456" s="313" t="s">
        <v>1487</v>
      </c>
      <c r="D2456" s="313" t="s">
        <v>26</v>
      </c>
      <c r="E2456" s="313" t="s">
        <v>24</v>
      </c>
    </row>
    <row r="2457" spans="1:5" x14ac:dyDescent="0.25">
      <c r="A2457" s="313" t="s">
        <v>890</v>
      </c>
      <c r="B2457" s="313" t="s">
        <v>19</v>
      </c>
      <c r="C2457" s="313" t="s">
        <v>1495</v>
      </c>
      <c r="D2457" s="313" t="s">
        <v>35</v>
      </c>
      <c r="E2457" s="313" t="s">
        <v>24</v>
      </c>
    </row>
    <row r="2458" spans="1:5" x14ac:dyDescent="0.25">
      <c r="A2458" s="313" t="s">
        <v>890</v>
      </c>
      <c r="B2458" s="313" t="s">
        <v>26</v>
      </c>
      <c r="C2458" s="313" t="s">
        <v>2929</v>
      </c>
      <c r="D2458" s="313" t="s">
        <v>24</v>
      </c>
      <c r="E2458" s="313" t="s">
        <v>891</v>
      </c>
    </row>
    <row r="2459" spans="1:5" x14ac:dyDescent="0.25">
      <c r="A2459" s="313" t="s">
        <v>890</v>
      </c>
      <c r="B2459" s="313" t="s">
        <v>26</v>
      </c>
      <c r="C2459" s="313" t="s">
        <v>2930</v>
      </c>
      <c r="D2459" s="313" t="s">
        <v>24</v>
      </c>
      <c r="E2459" s="313" t="s">
        <v>35</v>
      </c>
    </row>
    <row r="2460" spans="1:5" x14ac:dyDescent="0.25">
      <c r="A2460" s="313" t="s">
        <v>890</v>
      </c>
      <c r="B2460" s="313" t="s">
        <v>26</v>
      </c>
      <c r="C2460" s="313" t="s">
        <v>1514</v>
      </c>
      <c r="D2460" s="313" t="s">
        <v>24</v>
      </c>
      <c r="E2460" s="313" t="s">
        <v>1688</v>
      </c>
    </row>
    <row r="2461" spans="1:5" x14ac:dyDescent="0.25">
      <c r="A2461" s="313" t="s">
        <v>890</v>
      </c>
      <c r="B2461" s="313" t="s">
        <v>26</v>
      </c>
      <c r="C2461" s="313" t="s">
        <v>1515</v>
      </c>
      <c r="D2461" s="313" t="s">
        <v>24</v>
      </c>
      <c r="E2461" s="313" t="s">
        <v>891</v>
      </c>
    </row>
    <row r="2462" spans="1:5" x14ac:dyDescent="0.25">
      <c r="A2462" s="313" t="s">
        <v>890</v>
      </c>
      <c r="B2462" s="313" t="s">
        <v>26</v>
      </c>
      <c r="C2462" s="313" t="s">
        <v>1516</v>
      </c>
      <c r="D2462" s="313" t="s">
        <v>24</v>
      </c>
      <c r="E2462" s="313" t="s">
        <v>891</v>
      </c>
    </row>
    <row r="2463" spans="1:5" x14ac:dyDescent="0.25">
      <c r="A2463" s="313" t="s">
        <v>890</v>
      </c>
      <c r="B2463" s="313" t="s">
        <v>26</v>
      </c>
      <c r="C2463" s="313" t="s">
        <v>1517</v>
      </c>
      <c r="D2463" s="313" t="s">
        <v>24</v>
      </c>
      <c r="E2463" s="313" t="s">
        <v>1688</v>
      </c>
    </row>
    <row r="2464" spans="1:5" x14ac:dyDescent="0.25">
      <c r="A2464" s="313" t="s">
        <v>890</v>
      </c>
      <c r="B2464" s="313" t="s">
        <v>26</v>
      </c>
      <c r="C2464" s="313" t="s">
        <v>1518</v>
      </c>
      <c r="D2464" s="313" t="s">
        <v>24</v>
      </c>
      <c r="E2464" s="313" t="s">
        <v>891</v>
      </c>
    </row>
    <row r="2465" spans="1:5" x14ac:dyDescent="0.25">
      <c r="A2465" s="313" t="s">
        <v>890</v>
      </c>
      <c r="B2465" s="313" t="s">
        <v>26</v>
      </c>
      <c r="C2465" s="313" t="s">
        <v>1519</v>
      </c>
      <c r="D2465" s="313" t="s">
        <v>24</v>
      </c>
      <c r="E2465" s="313" t="s">
        <v>891</v>
      </c>
    </row>
    <row r="2466" spans="1:5" x14ac:dyDescent="0.25">
      <c r="A2466" s="313" t="s">
        <v>894</v>
      </c>
      <c r="B2466" s="313" t="s">
        <v>19</v>
      </c>
      <c r="C2466" s="313" t="s">
        <v>1466</v>
      </c>
      <c r="D2466" s="313" t="s">
        <v>19</v>
      </c>
      <c r="E2466" s="313" t="s">
        <v>895</v>
      </c>
    </row>
    <row r="2467" spans="1:5" x14ac:dyDescent="0.25">
      <c r="A2467" s="313" t="s">
        <v>894</v>
      </c>
      <c r="B2467" s="313" t="s">
        <v>19</v>
      </c>
      <c r="C2467" s="313" t="s">
        <v>1471</v>
      </c>
      <c r="D2467" s="313" t="s">
        <v>26</v>
      </c>
      <c r="E2467" s="313" t="s">
        <v>24</v>
      </c>
    </row>
    <row r="2468" spans="1:5" x14ac:dyDescent="0.25">
      <c r="A2468" s="313" t="s">
        <v>894</v>
      </c>
      <c r="B2468" s="313" t="s">
        <v>19</v>
      </c>
      <c r="C2468" s="313" t="s">
        <v>1475</v>
      </c>
      <c r="D2468" s="313" t="s">
        <v>35</v>
      </c>
      <c r="E2468" s="313" t="s">
        <v>24</v>
      </c>
    </row>
    <row r="2469" spans="1:5" x14ac:dyDescent="0.25">
      <c r="A2469" s="313" t="s">
        <v>894</v>
      </c>
      <c r="B2469" s="313" t="s">
        <v>19</v>
      </c>
      <c r="C2469" s="313" t="s">
        <v>20</v>
      </c>
      <c r="D2469" s="313" t="s">
        <v>19</v>
      </c>
      <c r="E2469" s="313" t="s">
        <v>895</v>
      </c>
    </row>
    <row r="2470" spans="1:5" x14ac:dyDescent="0.25">
      <c r="A2470" s="313" t="s">
        <v>894</v>
      </c>
      <c r="B2470" s="313" t="s">
        <v>19</v>
      </c>
      <c r="C2470" s="313" t="s">
        <v>1487</v>
      </c>
      <c r="D2470" s="313" t="s">
        <v>35</v>
      </c>
      <c r="E2470" s="313" t="s">
        <v>24</v>
      </c>
    </row>
    <row r="2471" spans="1:5" x14ac:dyDescent="0.25">
      <c r="A2471" s="313" t="s">
        <v>894</v>
      </c>
      <c r="B2471" s="313" t="s">
        <v>19</v>
      </c>
      <c r="C2471" s="313" t="s">
        <v>1495</v>
      </c>
      <c r="D2471" s="313" t="s">
        <v>35</v>
      </c>
      <c r="E2471" s="313" t="s">
        <v>24</v>
      </c>
    </row>
    <row r="2472" spans="1:5" x14ac:dyDescent="0.25">
      <c r="A2472" s="313" t="s">
        <v>894</v>
      </c>
      <c r="B2472" s="313" t="s">
        <v>26</v>
      </c>
      <c r="C2472" s="313" t="s">
        <v>2929</v>
      </c>
      <c r="D2472" s="313" t="s">
        <v>24</v>
      </c>
      <c r="E2472" s="313" t="s">
        <v>46</v>
      </c>
    </row>
    <row r="2473" spans="1:5" x14ac:dyDescent="0.25">
      <c r="A2473" s="313" t="s">
        <v>894</v>
      </c>
      <c r="B2473" s="313" t="s">
        <v>26</v>
      </c>
      <c r="C2473" s="313" t="s">
        <v>2930</v>
      </c>
      <c r="D2473" s="313" t="s">
        <v>24</v>
      </c>
      <c r="E2473" s="313" t="s">
        <v>35</v>
      </c>
    </row>
    <row r="2474" spans="1:5" x14ac:dyDescent="0.25">
      <c r="A2474" s="313" t="s">
        <v>894</v>
      </c>
      <c r="B2474" s="313" t="s">
        <v>26</v>
      </c>
      <c r="C2474" s="313" t="s">
        <v>1517</v>
      </c>
      <c r="D2474" s="313" t="s">
        <v>24</v>
      </c>
      <c r="E2474" s="313" t="s">
        <v>46</v>
      </c>
    </row>
    <row r="2475" spans="1:5" x14ac:dyDescent="0.25">
      <c r="A2475" s="313" t="s">
        <v>898</v>
      </c>
      <c r="B2475" s="313" t="s">
        <v>19</v>
      </c>
      <c r="C2475" s="313" t="s">
        <v>1466</v>
      </c>
      <c r="D2475" s="313" t="s">
        <v>19</v>
      </c>
      <c r="E2475" s="313" t="s">
        <v>1689</v>
      </c>
    </row>
    <row r="2476" spans="1:5" x14ac:dyDescent="0.25">
      <c r="A2476" s="313" t="s">
        <v>898</v>
      </c>
      <c r="B2476" s="313" t="s">
        <v>19</v>
      </c>
      <c r="C2476" s="313" t="s">
        <v>1471</v>
      </c>
      <c r="D2476" s="313" t="s">
        <v>26</v>
      </c>
      <c r="E2476" s="313" t="s">
        <v>24</v>
      </c>
    </row>
    <row r="2477" spans="1:5" x14ac:dyDescent="0.25">
      <c r="A2477" s="313" t="s">
        <v>898</v>
      </c>
      <c r="B2477" s="313" t="s">
        <v>19</v>
      </c>
      <c r="C2477" s="313" t="s">
        <v>1475</v>
      </c>
      <c r="D2477" s="313" t="s">
        <v>35</v>
      </c>
      <c r="E2477" s="313" t="s">
        <v>24</v>
      </c>
    </row>
    <row r="2478" spans="1:5" x14ac:dyDescent="0.25">
      <c r="A2478" s="313" t="s">
        <v>898</v>
      </c>
      <c r="B2478" s="313" t="s">
        <v>19</v>
      </c>
      <c r="C2478" s="313" t="s">
        <v>20</v>
      </c>
      <c r="D2478" s="313" t="s">
        <v>19</v>
      </c>
      <c r="E2478" s="313" t="s">
        <v>46</v>
      </c>
    </row>
    <row r="2479" spans="1:5" x14ac:dyDescent="0.25">
      <c r="A2479" s="313" t="s">
        <v>898</v>
      </c>
      <c r="B2479" s="313" t="s">
        <v>19</v>
      </c>
      <c r="C2479" s="313" t="s">
        <v>1487</v>
      </c>
      <c r="D2479" s="313" t="s">
        <v>35</v>
      </c>
      <c r="E2479" s="313" t="s">
        <v>24</v>
      </c>
    </row>
    <row r="2480" spans="1:5" x14ac:dyDescent="0.25">
      <c r="A2480" s="313" t="s">
        <v>898</v>
      </c>
      <c r="B2480" s="313" t="s">
        <v>19</v>
      </c>
      <c r="C2480" s="313" t="s">
        <v>1495</v>
      </c>
      <c r="D2480" s="313" t="s">
        <v>35</v>
      </c>
      <c r="E2480" s="313" t="s">
        <v>24</v>
      </c>
    </row>
    <row r="2481" spans="1:5" x14ac:dyDescent="0.25">
      <c r="A2481" s="313" t="s">
        <v>898</v>
      </c>
      <c r="B2481" s="313" t="s">
        <v>26</v>
      </c>
      <c r="C2481" s="313" t="s">
        <v>2929</v>
      </c>
      <c r="D2481" s="313" t="s">
        <v>24</v>
      </c>
      <c r="E2481" s="313" t="s">
        <v>46</v>
      </c>
    </row>
    <row r="2482" spans="1:5" x14ac:dyDescent="0.25">
      <c r="A2482" s="313" t="s">
        <v>898</v>
      </c>
      <c r="B2482" s="313" t="s">
        <v>26</v>
      </c>
      <c r="C2482" s="313" t="s">
        <v>2930</v>
      </c>
      <c r="D2482" s="313" t="s">
        <v>24</v>
      </c>
      <c r="E2482" s="313" t="s">
        <v>46</v>
      </c>
    </row>
    <row r="2483" spans="1:5" x14ac:dyDescent="0.25">
      <c r="A2483" s="313" t="s">
        <v>901</v>
      </c>
      <c r="B2483" s="313" t="s">
        <v>19</v>
      </c>
      <c r="C2483" s="313" t="s">
        <v>1466</v>
      </c>
      <c r="D2483" s="313" t="s">
        <v>19</v>
      </c>
      <c r="E2483" s="313" t="s">
        <v>903</v>
      </c>
    </row>
    <row r="2484" spans="1:5" x14ac:dyDescent="0.25">
      <c r="A2484" s="313" t="s">
        <v>901</v>
      </c>
      <c r="B2484" s="313" t="s">
        <v>19</v>
      </c>
      <c r="C2484" s="313" t="s">
        <v>1471</v>
      </c>
      <c r="D2484" s="313" t="s">
        <v>26</v>
      </c>
      <c r="E2484" s="313" t="s">
        <v>24</v>
      </c>
    </row>
    <row r="2485" spans="1:5" x14ac:dyDescent="0.25">
      <c r="A2485" s="313" t="s">
        <v>901</v>
      </c>
      <c r="B2485" s="313" t="s">
        <v>19</v>
      </c>
      <c r="C2485" s="313" t="s">
        <v>1475</v>
      </c>
      <c r="D2485" s="313" t="s">
        <v>35</v>
      </c>
      <c r="E2485" s="313" t="s">
        <v>24</v>
      </c>
    </row>
    <row r="2486" spans="1:5" x14ac:dyDescent="0.25">
      <c r="A2486" s="313" t="s">
        <v>901</v>
      </c>
      <c r="B2486" s="313" t="s">
        <v>19</v>
      </c>
      <c r="C2486" s="313" t="s">
        <v>20</v>
      </c>
      <c r="D2486" s="313" t="s">
        <v>35</v>
      </c>
      <c r="E2486" s="313" t="s">
        <v>24</v>
      </c>
    </row>
    <row r="2487" spans="1:5" x14ac:dyDescent="0.25">
      <c r="A2487" s="313" t="s">
        <v>901</v>
      </c>
      <c r="B2487" s="313" t="s">
        <v>19</v>
      </c>
      <c r="C2487" s="313" t="s">
        <v>1487</v>
      </c>
      <c r="D2487" s="313" t="s">
        <v>35</v>
      </c>
      <c r="E2487" s="313" t="s">
        <v>24</v>
      </c>
    </row>
    <row r="2488" spans="1:5" x14ac:dyDescent="0.25">
      <c r="A2488" s="313" t="s">
        <v>901</v>
      </c>
      <c r="B2488" s="313" t="s">
        <v>19</v>
      </c>
      <c r="C2488" s="313" t="s">
        <v>1495</v>
      </c>
      <c r="D2488" s="313" t="s">
        <v>35</v>
      </c>
      <c r="E2488" s="313" t="s">
        <v>24</v>
      </c>
    </row>
    <row r="2489" spans="1:5" x14ac:dyDescent="0.25">
      <c r="A2489" s="313" t="s">
        <v>901</v>
      </c>
      <c r="B2489" s="313" t="s">
        <v>26</v>
      </c>
      <c r="C2489" s="313" t="s">
        <v>2929</v>
      </c>
      <c r="D2489" s="313" t="s">
        <v>24</v>
      </c>
      <c r="E2489" s="313" t="s">
        <v>46</v>
      </c>
    </row>
    <row r="2490" spans="1:5" x14ac:dyDescent="0.25">
      <c r="A2490" s="313" t="s">
        <v>901</v>
      </c>
      <c r="B2490" s="313" t="s">
        <v>26</v>
      </c>
      <c r="C2490" s="313" t="s">
        <v>2930</v>
      </c>
      <c r="D2490" s="313" t="s">
        <v>24</v>
      </c>
      <c r="E2490" s="313" t="s">
        <v>35</v>
      </c>
    </row>
    <row r="2491" spans="1:5" x14ac:dyDescent="0.25">
      <c r="A2491" s="313" t="s">
        <v>904</v>
      </c>
      <c r="B2491" s="313" t="s">
        <v>19</v>
      </c>
      <c r="C2491" s="313" t="s">
        <v>1466</v>
      </c>
      <c r="D2491" s="313" t="s">
        <v>19</v>
      </c>
      <c r="E2491" s="313" t="s">
        <v>1690</v>
      </c>
    </row>
    <row r="2492" spans="1:5" x14ac:dyDescent="0.25">
      <c r="A2492" s="313" t="s">
        <v>904</v>
      </c>
      <c r="B2492" s="313" t="s">
        <v>19</v>
      </c>
      <c r="C2492" s="313" t="s">
        <v>1471</v>
      </c>
      <c r="D2492" s="313" t="s">
        <v>26</v>
      </c>
      <c r="E2492" s="313" t="s">
        <v>24</v>
      </c>
    </row>
    <row r="2493" spans="1:5" x14ac:dyDescent="0.25">
      <c r="A2493" s="313" t="s">
        <v>904</v>
      </c>
      <c r="B2493" s="313" t="s">
        <v>19</v>
      </c>
      <c r="C2493" s="313" t="s">
        <v>1475</v>
      </c>
      <c r="D2493" s="313" t="s">
        <v>35</v>
      </c>
      <c r="E2493" s="313" t="s">
        <v>24</v>
      </c>
    </row>
    <row r="2494" spans="1:5" x14ac:dyDescent="0.25">
      <c r="A2494" s="313" t="s">
        <v>904</v>
      </c>
      <c r="B2494" s="313" t="s">
        <v>19</v>
      </c>
      <c r="C2494" s="313" t="s">
        <v>20</v>
      </c>
      <c r="D2494" s="313" t="s">
        <v>19</v>
      </c>
      <c r="E2494" s="313" t="s">
        <v>46</v>
      </c>
    </row>
    <row r="2495" spans="1:5" x14ac:dyDescent="0.25">
      <c r="A2495" s="313" t="s">
        <v>904</v>
      </c>
      <c r="B2495" s="313" t="s">
        <v>19</v>
      </c>
      <c r="C2495" s="313" t="s">
        <v>1487</v>
      </c>
      <c r="D2495" s="313" t="s">
        <v>35</v>
      </c>
      <c r="E2495" s="313" t="s">
        <v>24</v>
      </c>
    </row>
    <row r="2496" spans="1:5" x14ac:dyDescent="0.25">
      <c r="A2496" s="313" t="s">
        <v>904</v>
      </c>
      <c r="B2496" s="313" t="s">
        <v>19</v>
      </c>
      <c r="C2496" s="313" t="s">
        <v>1495</v>
      </c>
      <c r="D2496" s="313" t="s">
        <v>35</v>
      </c>
      <c r="E2496" s="313" t="s">
        <v>24</v>
      </c>
    </row>
    <row r="2497" spans="1:5" x14ac:dyDescent="0.25">
      <c r="A2497" s="313" t="s">
        <v>904</v>
      </c>
      <c r="B2497" s="313" t="s">
        <v>26</v>
      </c>
      <c r="C2497" s="313" t="s">
        <v>2929</v>
      </c>
      <c r="D2497" s="313" t="s">
        <v>24</v>
      </c>
      <c r="E2497" s="313" t="s">
        <v>46</v>
      </c>
    </row>
    <row r="2498" spans="1:5" x14ac:dyDescent="0.25">
      <c r="A2498" s="313" t="s">
        <v>904</v>
      </c>
      <c r="B2498" s="313" t="s">
        <v>26</v>
      </c>
      <c r="C2498" s="313" t="s">
        <v>2930</v>
      </c>
      <c r="D2498" s="313" t="s">
        <v>24</v>
      </c>
      <c r="E2498" s="313" t="s">
        <v>35</v>
      </c>
    </row>
    <row r="2499" spans="1:5" x14ac:dyDescent="0.25">
      <c r="A2499" s="313" t="s">
        <v>909</v>
      </c>
      <c r="B2499" s="313" t="s">
        <v>19</v>
      </c>
      <c r="C2499" s="313" t="s">
        <v>1466</v>
      </c>
      <c r="D2499" s="313" t="s">
        <v>19</v>
      </c>
      <c r="E2499" s="313" t="s">
        <v>1691</v>
      </c>
    </row>
    <row r="2500" spans="1:5" x14ac:dyDescent="0.25">
      <c r="A2500" s="313" t="s">
        <v>909</v>
      </c>
      <c r="B2500" s="313" t="s">
        <v>19</v>
      </c>
      <c r="C2500" s="313" t="s">
        <v>1471</v>
      </c>
      <c r="D2500" s="313" t="s">
        <v>35</v>
      </c>
      <c r="E2500" s="313" t="s">
        <v>24</v>
      </c>
    </row>
    <row r="2501" spans="1:5" x14ac:dyDescent="0.25">
      <c r="A2501" s="313" t="s">
        <v>909</v>
      </c>
      <c r="B2501" s="313" t="s">
        <v>19</v>
      </c>
      <c r="C2501" s="313" t="s">
        <v>1475</v>
      </c>
      <c r="D2501" s="313" t="s">
        <v>26</v>
      </c>
      <c r="E2501" s="313" t="s">
        <v>24</v>
      </c>
    </row>
    <row r="2502" spans="1:5" x14ac:dyDescent="0.25">
      <c r="A2502" s="313" t="s">
        <v>909</v>
      </c>
      <c r="B2502" s="313" t="s">
        <v>19</v>
      </c>
      <c r="C2502" s="313" t="s">
        <v>20</v>
      </c>
      <c r="D2502" s="313" t="s">
        <v>26</v>
      </c>
      <c r="E2502" s="313" t="s">
        <v>24</v>
      </c>
    </row>
    <row r="2503" spans="1:5" x14ac:dyDescent="0.25">
      <c r="A2503" s="313" t="s">
        <v>909</v>
      </c>
      <c r="B2503" s="313" t="s">
        <v>19</v>
      </c>
      <c r="C2503" s="313" t="s">
        <v>1487</v>
      </c>
      <c r="D2503" s="313" t="s">
        <v>19</v>
      </c>
      <c r="E2503" s="313" t="s">
        <v>910</v>
      </c>
    </row>
    <row r="2504" spans="1:5" x14ac:dyDescent="0.25">
      <c r="A2504" s="313" t="s">
        <v>909</v>
      </c>
      <c r="B2504" s="313" t="s">
        <v>19</v>
      </c>
      <c r="C2504" s="313" t="s">
        <v>1495</v>
      </c>
      <c r="D2504" s="313" t="s">
        <v>35</v>
      </c>
      <c r="E2504" s="313" t="s">
        <v>24</v>
      </c>
    </row>
    <row r="2505" spans="1:5" x14ac:dyDescent="0.25">
      <c r="A2505" s="313" t="s">
        <v>909</v>
      </c>
      <c r="B2505" s="313" t="s">
        <v>26</v>
      </c>
      <c r="C2505" s="313" t="s">
        <v>1506</v>
      </c>
      <c r="D2505" s="313" t="s">
        <v>24</v>
      </c>
      <c r="E2505" s="313" t="s">
        <v>1692</v>
      </c>
    </row>
    <row r="2506" spans="1:5" x14ac:dyDescent="0.25">
      <c r="A2506" s="313" t="s">
        <v>909</v>
      </c>
      <c r="B2506" s="313" t="s">
        <v>26</v>
      </c>
      <c r="C2506" s="313" t="s">
        <v>1507</v>
      </c>
      <c r="D2506" s="313" t="s">
        <v>24</v>
      </c>
      <c r="E2506" s="313" t="s">
        <v>1692</v>
      </c>
    </row>
    <row r="2507" spans="1:5" x14ac:dyDescent="0.25">
      <c r="A2507" s="313" t="s">
        <v>909</v>
      </c>
      <c r="B2507" s="313" t="s">
        <v>26</v>
      </c>
      <c r="C2507" s="313" t="s">
        <v>1508</v>
      </c>
      <c r="D2507" s="313" t="s">
        <v>24</v>
      </c>
      <c r="E2507" s="313" t="s">
        <v>46</v>
      </c>
    </row>
    <row r="2508" spans="1:5" x14ac:dyDescent="0.25">
      <c r="A2508" s="313" t="s">
        <v>909</v>
      </c>
      <c r="B2508" s="313" t="s">
        <v>26</v>
      </c>
      <c r="C2508" s="313" t="s">
        <v>1509</v>
      </c>
      <c r="D2508" s="313" t="s">
        <v>24</v>
      </c>
      <c r="E2508" s="313" t="s">
        <v>1691</v>
      </c>
    </row>
    <row r="2509" spans="1:5" x14ac:dyDescent="0.25">
      <c r="A2509" s="313" t="s">
        <v>909</v>
      </c>
      <c r="B2509" s="313" t="s">
        <v>26</v>
      </c>
      <c r="C2509" s="313" t="s">
        <v>1510</v>
      </c>
      <c r="D2509" s="313" t="s">
        <v>24</v>
      </c>
      <c r="E2509" s="313" t="s">
        <v>1691</v>
      </c>
    </row>
    <row r="2510" spans="1:5" x14ac:dyDescent="0.25">
      <c r="A2510" s="313" t="s">
        <v>909</v>
      </c>
      <c r="B2510" s="313" t="s">
        <v>26</v>
      </c>
      <c r="C2510" s="313" t="s">
        <v>1511</v>
      </c>
      <c r="D2510" s="313" t="s">
        <v>24</v>
      </c>
      <c r="E2510" s="313" t="s">
        <v>1693</v>
      </c>
    </row>
    <row r="2511" spans="1:5" x14ac:dyDescent="0.25">
      <c r="A2511" s="313" t="s">
        <v>909</v>
      </c>
      <c r="B2511" s="313" t="s">
        <v>26</v>
      </c>
      <c r="C2511" s="313" t="s">
        <v>27</v>
      </c>
      <c r="D2511" s="313" t="s">
        <v>24</v>
      </c>
      <c r="E2511" s="313" t="s">
        <v>910</v>
      </c>
    </row>
    <row r="2512" spans="1:5" x14ac:dyDescent="0.25">
      <c r="A2512" s="313" t="s">
        <v>909</v>
      </c>
      <c r="B2512" s="313" t="s">
        <v>26</v>
      </c>
      <c r="C2512" s="313" t="s">
        <v>1512</v>
      </c>
      <c r="D2512" s="313" t="s">
        <v>24</v>
      </c>
      <c r="E2512" s="313" t="s">
        <v>1691</v>
      </c>
    </row>
    <row r="2513" spans="1:5" x14ac:dyDescent="0.25">
      <c r="A2513" s="313" t="s">
        <v>909</v>
      </c>
      <c r="B2513" s="313" t="s">
        <v>26</v>
      </c>
      <c r="C2513" s="313" t="s">
        <v>1513</v>
      </c>
      <c r="D2513" s="313" t="s">
        <v>24</v>
      </c>
      <c r="E2513" s="313" t="s">
        <v>1691</v>
      </c>
    </row>
    <row r="2514" spans="1:5" x14ac:dyDescent="0.25">
      <c r="A2514" s="313" t="s">
        <v>913</v>
      </c>
      <c r="B2514" s="313" t="s">
        <v>19</v>
      </c>
      <c r="C2514" s="313" t="s">
        <v>1466</v>
      </c>
      <c r="D2514" s="313" t="s">
        <v>35</v>
      </c>
      <c r="E2514" s="313" t="s">
        <v>24</v>
      </c>
    </row>
    <row r="2515" spans="1:5" x14ac:dyDescent="0.25">
      <c r="A2515" s="313" t="s">
        <v>913</v>
      </c>
      <c r="B2515" s="313" t="s">
        <v>19</v>
      </c>
      <c r="C2515" s="313" t="s">
        <v>1471</v>
      </c>
      <c r="D2515" s="313" t="s">
        <v>35</v>
      </c>
      <c r="E2515" s="313" t="s">
        <v>24</v>
      </c>
    </row>
    <row r="2516" spans="1:5" x14ac:dyDescent="0.25">
      <c r="A2516" s="313" t="s">
        <v>913</v>
      </c>
      <c r="B2516" s="313" t="s">
        <v>19</v>
      </c>
      <c r="C2516" s="313" t="s">
        <v>1475</v>
      </c>
      <c r="D2516" s="313" t="s">
        <v>35</v>
      </c>
      <c r="E2516" s="313" t="s">
        <v>24</v>
      </c>
    </row>
    <row r="2517" spans="1:5" x14ac:dyDescent="0.25">
      <c r="A2517" s="313" t="s">
        <v>913</v>
      </c>
      <c r="B2517" s="313" t="s">
        <v>19</v>
      </c>
      <c r="C2517" s="313" t="s">
        <v>20</v>
      </c>
      <c r="D2517" s="313" t="s">
        <v>19</v>
      </c>
      <c r="E2517" s="313" t="s">
        <v>46</v>
      </c>
    </row>
    <row r="2518" spans="1:5" x14ac:dyDescent="0.25">
      <c r="A2518" s="313" t="s">
        <v>913</v>
      </c>
      <c r="B2518" s="313" t="s">
        <v>19</v>
      </c>
      <c r="C2518" s="313" t="s">
        <v>1487</v>
      </c>
      <c r="D2518" s="313" t="s">
        <v>35</v>
      </c>
      <c r="E2518" s="313" t="s">
        <v>24</v>
      </c>
    </row>
    <row r="2519" spans="1:5" x14ac:dyDescent="0.25">
      <c r="A2519" s="313" t="s">
        <v>913</v>
      </c>
      <c r="B2519" s="313" t="s">
        <v>19</v>
      </c>
      <c r="C2519" s="313" t="s">
        <v>1495</v>
      </c>
      <c r="D2519" s="313" t="s">
        <v>35</v>
      </c>
      <c r="E2519" s="313" t="s">
        <v>24</v>
      </c>
    </row>
    <row r="2520" spans="1:5" x14ac:dyDescent="0.25">
      <c r="A2520" s="313" t="s">
        <v>918</v>
      </c>
      <c r="B2520" s="313" t="s">
        <v>19</v>
      </c>
      <c r="C2520" s="313" t="s">
        <v>1466</v>
      </c>
      <c r="D2520" s="313" t="s">
        <v>35</v>
      </c>
      <c r="E2520" s="313" t="s">
        <v>24</v>
      </c>
    </row>
    <row r="2521" spans="1:5" x14ac:dyDescent="0.25">
      <c r="A2521" s="313" t="s">
        <v>918</v>
      </c>
      <c r="B2521" s="313" t="s">
        <v>19</v>
      </c>
      <c r="C2521" s="313" t="s">
        <v>1471</v>
      </c>
      <c r="D2521" s="313" t="s">
        <v>35</v>
      </c>
      <c r="E2521" s="313" t="s">
        <v>24</v>
      </c>
    </row>
    <row r="2522" spans="1:5" x14ac:dyDescent="0.25">
      <c r="A2522" s="313" t="s">
        <v>918</v>
      </c>
      <c r="B2522" s="313" t="s">
        <v>19</v>
      </c>
      <c r="C2522" s="313" t="s">
        <v>1475</v>
      </c>
      <c r="D2522" s="313" t="s">
        <v>19</v>
      </c>
      <c r="E2522" s="313" t="s">
        <v>919</v>
      </c>
    </row>
    <row r="2523" spans="1:5" x14ac:dyDescent="0.25">
      <c r="A2523" s="313" t="s">
        <v>918</v>
      </c>
      <c r="B2523" s="313" t="s">
        <v>19</v>
      </c>
      <c r="C2523" s="313" t="s">
        <v>20</v>
      </c>
      <c r="D2523" s="313" t="s">
        <v>19</v>
      </c>
      <c r="E2523" s="313" t="s">
        <v>919</v>
      </c>
    </row>
    <row r="2524" spans="1:5" x14ac:dyDescent="0.25">
      <c r="A2524" s="313" t="s">
        <v>918</v>
      </c>
      <c r="B2524" s="313" t="s">
        <v>19</v>
      </c>
      <c r="C2524" s="313" t="s">
        <v>1487</v>
      </c>
      <c r="D2524" s="313" t="s">
        <v>26</v>
      </c>
      <c r="E2524" s="313" t="s">
        <v>24</v>
      </c>
    </row>
    <row r="2525" spans="1:5" x14ac:dyDescent="0.25">
      <c r="A2525" s="313" t="s">
        <v>918</v>
      </c>
      <c r="B2525" s="313" t="s">
        <v>19</v>
      </c>
      <c r="C2525" s="313" t="s">
        <v>1495</v>
      </c>
      <c r="D2525" s="313" t="s">
        <v>35</v>
      </c>
      <c r="E2525" s="313" t="s">
        <v>24</v>
      </c>
    </row>
    <row r="2526" spans="1:5" x14ac:dyDescent="0.25">
      <c r="A2526" s="313" t="s">
        <v>918</v>
      </c>
      <c r="B2526" s="313" t="s">
        <v>26</v>
      </c>
      <c r="C2526" s="313" t="s">
        <v>1514</v>
      </c>
      <c r="D2526" s="313" t="s">
        <v>24</v>
      </c>
      <c r="E2526" s="313" t="s">
        <v>919</v>
      </c>
    </row>
    <row r="2527" spans="1:5" x14ac:dyDescent="0.25">
      <c r="A2527" s="313" t="s">
        <v>918</v>
      </c>
      <c r="B2527" s="313" t="s">
        <v>26</v>
      </c>
      <c r="C2527" s="313" t="s">
        <v>1515</v>
      </c>
      <c r="D2527" s="313" t="s">
        <v>24</v>
      </c>
      <c r="E2527" s="313" t="s">
        <v>919</v>
      </c>
    </row>
    <row r="2528" spans="1:5" x14ac:dyDescent="0.25">
      <c r="A2528" s="313" t="s">
        <v>918</v>
      </c>
      <c r="B2528" s="313" t="s">
        <v>26</v>
      </c>
      <c r="C2528" s="313" t="s">
        <v>1516</v>
      </c>
      <c r="D2528" s="313" t="s">
        <v>24</v>
      </c>
      <c r="E2528" s="313" t="s">
        <v>919</v>
      </c>
    </row>
    <row r="2529" spans="1:5" x14ac:dyDescent="0.25">
      <c r="A2529" s="313" t="s">
        <v>918</v>
      </c>
      <c r="B2529" s="313" t="s">
        <v>26</v>
      </c>
      <c r="C2529" s="313" t="s">
        <v>1517</v>
      </c>
      <c r="D2529" s="313" t="s">
        <v>24</v>
      </c>
      <c r="E2529" s="313" t="s">
        <v>919</v>
      </c>
    </row>
    <row r="2530" spans="1:5" x14ac:dyDescent="0.25">
      <c r="A2530" s="313" t="s">
        <v>918</v>
      </c>
      <c r="B2530" s="313" t="s">
        <v>26</v>
      </c>
      <c r="C2530" s="313" t="s">
        <v>1518</v>
      </c>
      <c r="D2530" s="313" t="s">
        <v>24</v>
      </c>
      <c r="E2530" s="313" t="s">
        <v>46</v>
      </c>
    </row>
    <row r="2531" spans="1:5" x14ac:dyDescent="0.25">
      <c r="A2531" s="313" t="s">
        <v>918</v>
      </c>
      <c r="B2531" s="313" t="s">
        <v>26</v>
      </c>
      <c r="C2531" s="313" t="s">
        <v>1519</v>
      </c>
      <c r="D2531" s="313" t="s">
        <v>24</v>
      </c>
      <c r="E2531" s="313" t="s">
        <v>919</v>
      </c>
    </row>
    <row r="2532" spans="1:5" x14ac:dyDescent="0.25">
      <c r="A2532" s="313" t="s">
        <v>922</v>
      </c>
      <c r="B2532" s="313" t="s">
        <v>19</v>
      </c>
      <c r="C2532" s="313" t="s">
        <v>1466</v>
      </c>
      <c r="D2532" s="313" t="s">
        <v>35</v>
      </c>
      <c r="E2532" s="313" t="s">
        <v>24</v>
      </c>
    </row>
    <row r="2533" spans="1:5" x14ac:dyDescent="0.25">
      <c r="A2533" s="313" t="s">
        <v>922</v>
      </c>
      <c r="B2533" s="313" t="s">
        <v>19</v>
      </c>
      <c r="C2533" s="313" t="s">
        <v>1471</v>
      </c>
      <c r="D2533" s="313" t="s">
        <v>35</v>
      </c>
      <c r="E2533" s="313" t="s">
        <v>24</v>
      </c>
    </row>
    <row r="2534" spans="1:5" x14ac:dyDescent="0.25">
      <c r="A2534" s="313" t="s">
        <v>922</v>
      </c>
      <c r="B2534" s="313" t="s">
        <v>19</v>
      </c>
      <c r="C2534" s="313" t="s">
        <v>1475</v>
      </c>
      <c r="D2534" s="313" t="s">
        <v>19</v>
      </c>
      <c r="E2534" s="313" t="s">
        <v>923</v>
      </c>
    </row>
    <row r="2535" spans="1:5" x14ac:dyDescent="0.25">
      <c r="A2535" s="313" t="s">
        <v>922</v>
      </c>
      <c r="B2535" s="313" t="s">
        <v>19</v>
      </c>
      <c r="C2535" s="313" t="s">
        <v>20</v>
      </c>
      <c r="D2535" s="313" t="s">
        <v>19</v>
      </c>
      <c r="E2535" s="313" t="s">
        <v>923</v>
      </c>
    </row>
    <row r="2536" spans="1:5" x14ac:dyDescent="0.25">
      <c r="A2536" s="313" t="s">
        <v>922</v>
      </c>
      <c r="B2536" s="313" t="s">
        <v>19</v>
      </c>
      <c r="C2536" s="313" t="s">
        <v>1487</v>
      </c>
      <c r="D2536" s="313" t="s">
        <v>26</v>
      </c>
      <c r="E2536" s="313" t="s">
        <v>24</v>
      </c>
    </row>
    <row r="2537" spans="1:5" x14ac:dyDescent="0.25">
      <c r="A2537" s="313" t="s">
        <v>922</v>
      </c>
      <c r="B2537" s="313" t="s">
        <v>19</v>
      </c>
      <c r="C2537" s="313" t="s">
        <v>1495</v>
      </c>
      <c r="D2537" s="313" t="s">
        <v>35</v>
      </c>
      <c r="E2537" s="313" t="s">
        <v>24</v>
      </c>
    </row>
    <row r="2538" spans="1:5" x14ac:dyDescent="0.25">
      <c r="A2538" s="313" t="s">
        <v>922</v>
      </c>
      <c r="B2538" s="313" t="s">
        <v>26</v>
      </c>
      <c r="C2538" s="313" t="s">
        <v>1514</v>
      </c>
      <c r="D2538" s="313" t="s">
        <v>24</v>
      </c>
      <c r="E2538" s="313" t="s">
        <v>923</v>
      </c>
    </row>
    <row r="2539" spans="1:5" x14ac:dyDescent="0.25">
      <c r="A2539" s="313" t="s">
        <v>922</v>
      </c>
      <c r="B2539" s="313" t="s">
        <v>26</v>
      </c>
      <c r="C2539" s="313" t="s">
        <v>1515</v>
      </c>
      <c r="D2539" s="313" t="s">
        <v>24</v>
      </c>
      <c r="E2539" s="313" t="s">
        <v>923</v>
      </c>
    </row>
    <row r="2540" spans="1:5" x14ac:dyDescent="0.25">
      <c r="A2540" s="313" t="s">
        <v>922</v>
      </c>
      <c r="B2540" s="313" t="s">
        <v>26</v>
      </c>
      <c r="C2540" s="313" t="s">
        <v>1516</v>
      </c>
      <c r="D2540" s="313" t="s">
        <v>24</v>
      </c>
      <c r="E2540" s="313" t="s">
        <v>923</v>
      </c>
    </row>
    <row r="2541" spans="1:5" x14ac:dyDescent="0.25">
      <c r="A2541" s="313" t="s">
        <v>922</v>
      </c>
      <c r="B2541" s="313" t="s">
        <v>26</v>
      </c>
      <c r="C2541" s="313" t="s">
        <v>1517</v>
      </c>
      <c r="D2541" s="313" t="s">
        <v>24</v>
      </c>
      <c r="E2541" s="313" t="s">
        <v>923</v>
      </c>
    </row>
    <row r="2542" spans="1:5" x14ac:dyDescent="0.25">
      <c r="A2542" s="313" t="s">
        <v>922</v>
      </c>
      <c r="B2542" s="313" t="s">
        <v>26</v>
      </c>
      <c r="C2542" s="313" t="s">
        <v>1518</v>
      </c>
      <c r="D2542" s="313" t="s">
        <v>24</v>
      </c>
      <c r="E2542" s="313" t="s">
        <v>46</v>
      </c>
    </row>
    <row r="2543" spans="1:5" x14ac:dyDescent="0.25">
      <c r="A2543" s="313" t="s">
        <v>922</v>
      </c>
      <c r="B2543" s="313" t="s">
        <v>26</v>
      </c>
      <c r="C2543" s="313" t="s">
        <v>1519</v>
      </c>
      <c r="D2543" s="313" t="s">
        <v>24</v>
      </c>
      <c r="E2543" s="313" t="s">
        <v>923</v>
      </c>
    </row>
    <row r="2544" spans="1:5" x14ac:dyDescent="0.25">
      <c r="A2544" s="313" t="s">
        <v>926</v>
      </c>
      <c r="B2544" s="313" t="s">
        <v>19</v>
      </c>
      <c r="C2544" s="313" t="s">
        <v>1466</v>
      </c>
      <c r="D2544" s="313" t="s">
        <v>35</v>
      </c>
      <c r="E2544" s="313" t="s">
        <v>24</v>
      </c>
    </row>
    <row r="2545" spans="1:5" x14ac:dyDescent="0.25">
      <c r="A2545" s="313" t="s">
        <v>926</v>
      </c>
      <c r="B2545" s="313" t="s">
        <v>19</v>
      </c>
      <c r="C2545" s="313" t="s">
        <v>1471</v>
      </c>
      <c r="D2545" s="313" t="s">
        <v>26</v>
      </c>
      <c r="E2545" s="313" t="s">
        <v>24</v>
      </c>
    </row>
    <row r="2546" spans="1:5" x14ac:dyDescent="0.25">
      <c r="A2546" s="313" t="s">
        <v>926</v>
      </c>
      <c r="B2546" s="313" t="s">
        <v>19</v>
      </c>
      <c r="C2546" s="313" t="s">
        <v>1475</v>
      </c>
      <c r="D2546" s="313" t="s">
        <v>26</v>
      </c>
      <c r="E2546" s="313" t="s">
        <v>24</v>
      </c>
    </row>
    <row r="2547" spans="1:5" x14ac:dyDescent="0.25">
      <c r="A2547" s="313" t="s">
        <v>926</v>
      </c>
      <c r="B2547" s="313" t="s">
        <v>19</v>
      </c>
      <c r="C2547" s="313" t="s">
        <v>20</v>
      </c>
      <c r="D2547" s="313" t="s">
        <v>19</v>
      </c>
      <c r="E2547" s="313" t="s">
        <v>927</v>
      </c>
    </row>
    <row r="2548" spans="1:5" x14ac:dyDescent="0.25">
      <c r="A2548" s="313" t="s">
        <v>926</v>
      </c>
      <c r="B2548" s="313" t="s">
        <v>19</v>
      </c>
      <c r="C2548" s="313" t="s">
        <v>1487</v>
      </c>
      <c r="D2548" s="313" t="s">
        <v>26</v>
      </c>
      <c r="E2548" s="313" t="s">
        <v>24</v>
      </c>
    </row>
    <row r="2549" spans="1:5" x14ac:dyDescent="0.25">
      <c r="A2549" s="313" t="s">
        <v>926</v>
      </c>
      <c r="B2549" s="313" t="s">
        <v>19</v>
      </c>
      <c r="C2549" s="313" t="s">
        <v>1495</v>
      </c>
      <c r="D2549" s="313" t="s">
        <v>35</v>
      </c>
      <c r="E2549" s="313" t="s">
        <v>24</v>
      </c>
    </row>
    <row r="2550" spans="1:5" x14ac:dyDescent="0.25">
      <c r="A2550" s="313" t="s">
        <v>926</v>
      </c>
      <c r="B2550" s="313" t="s">
        <v>26</v>
      </c>
      <c r="C2550" s="313" t="s">
        <v>2929</v>
      </c>
      <c r="D2550" s="313" t="s">
        <v>24</v>
      </c>
      <c r="E2550" s="313" t="s">
        <v>1694</v>
      </c>
    </row>
    <row r="2551" spans="1:5" x14ac:dyDescent="0.25">
      <c r="A2551" s="313" t="s">
        <v>926</v>
      </c>
      <c r="B2551" s="313" t="s">
        <v>26</v>
      </c>
      <c r="C2551" s="313" t="s">
        <v>2930</v>
      </c>
      <c r="D2551" s="313" t="s">
        <v>24</v>
      </c>
      <c r="E2551" s="313" t="s">
        <v>35</v>
      </c>
    </row>
    <row r="2552" spans="1:5" x14ac:dyDescent="0.25">
      <c r="A2552" s="313" t="s">
        <v>926</v>
      </c>
      <c r="B2552" s="313" t="s">
        <v>26</v>
      </c>
      <c r="C2552" s="313" t="s">
        <v>1506</v>
      </c>
      <c r="D2552" s="313" t="s">
        <v>24</v>
      </c>
      <c r="E2552" s="313" t="s">
        <v>927</v>
      </c>
    </row>
    <row r="2553" spans="1:5" x14ac:dyDescent="0.25">
      <c r="A2553" s="313" t="s">
        <v>926</v>
      </c>
      <c r="B2553" s="313" t="s">
        <v>26</v>
      </c>
      <c r="C2553" s="313" t="s">
        <v>1507</v>
      </c>
      <c r="D2553" s="313" t="s">
        <v>24</v>
      </c>
      <c r="E2553" s="313" t="s">
        <v>929</v>
      </c>
    </row>
    <row r="2554" spans="1:5" x14ac:dyDescent="0.25">
      <c r="A2554" s="313" t="s">
        <v>926</v>
      </c>
      <c r="B2554" s="313" t="s">
        <v>26</v>
      </c>
      <c r="C2554" s="313" t="s">
        <v>1508</v>
      </c>
      <c r="D2554" s="313" t="s">
        <v>24</v>
      </c>
      <c r="E2554" s="313" t="s">
        <v>46</v>
      </c>
    </row>
    <row r="2555" spans="1:5" x14ac:dyDescent="0.25">
      <c r="A2555" s="313" t="s">
        <v>926</v>
      </c>
      <c r="B2555" s="313" t="s">
        <v>26</v>
      </c>
      <c r="C2555" s="313" t="s">
        <v>1514</v>
      </c>
      <c r="D2555" s="313" t="s">
        <v>24</v>
      </c>
      <c r="E2555" s="313" t="s">
        <v>927</v>
      </c>
    </row>
    <row r="2556" spans="1:5" x14ac:dyDescent="0.25">
      <c r="A2556" s="313" t="s">
        <v>926</v>
      </c>
      <c r="B2556" s="313" t="s">
        <v>26</v>
      </c>
      <c r="C2556" s="313" t="s">
        <v>1515</v>
      </c>
      <c r="D2556" s="313" t="s">
        <v>24</v>
      </c>
      <c r="E2556" s="313" t="s">
        <v>927</v>
      </c>
    </row>
    <row r="2557" spans="1:5" x14ac:dyDescent="0.25">
      <c r="A2557" s="313" t="s">
        <v>926</v>
      </c>
      <c r="B2557" s="313" t="s">
        <v>26</v>
      </c>
      <c r="C2557" s="313" t="s">
        <v>1516</v>
      </c>
      <c r="D2557" s="313" t="s">
        <v>24</v>
      </c>
      <c r="E2557" s="313" t="s">
        <v>927</v>
      </c>
    </row>
    <row r="2558" spans="1:5" x14ac:dyDescent="0.25">
      <c r="A2558" s="313" t="s">
        <v>926</v>
      </c>
      <c r="B2558" s="313" t="s">
        <v>26</v>
      </c>
      <c r="C2558" s="313" t="s">
        <v>1517</v>
      </c>
      <c r="D2558" s="313" t="s">
        <v>24</v>
      </c>
      <c r="E2558" s="313" t="s">
        <v>927</v>
      </c>
    </row>
    <row r="2559" spans="1:5" x14ac:dyDescent="0.25">
      <c r="A2559" s="313" t="s">
        <v>926</v>
      </c>
      <c r="B2559" s="313" t="s">
        <v>26</v>
      </c>
      <c r="C2559" s="313" t="s">
        <v>1518</v>
      </c>
      <c r="D2559" s="313" t="s">
        <v>24</v>
      </c>
      <c r="E2559" s="313" t="s">
        <v>927</v>
      </c>
    </row>
    <row r="2560" spans="1:5" x14ac:dyDescent="0.25">
      <c r="A2560" s="313" t="s">
        <v>926</v>
      </c>
      <c r="B2560" s="313" t="s">
        <v>26</v>
      </c>
      <c r="C2560" s="313" t="s">
        <v>1519</v>
      </c>
      <c r="D2560" s="313" t="s">
        <v>24</v>
      </c>
      <c r="E2560" s="313" t="s">
        <v>927</v>
      </c>
    </row>
    <row r="2561" spans="1:5" x14ac:dyDescent="0.25">
      <c r="A2561" s="313" t="s">
        <v>932</v>
      </c>
      <c r="B2561" s="313" t="s">
        <v>19</v>
      </c>
      <c r="C2561" s="313" t="s">
        <v>1466</v>
      </c>
      <c r="D2561" s="313" t="s">
        <v>35</v>
      </c>
      <c r="E2561" s="313" t="s">
        <v>24</v>
      </c>
    </row>
    <row r="2562" spans="1:5" x14ac:dyDescent="0.25">
      <c r="A2562" s="313" t="s">
        <v>932</v>
      </c>
      <c r="B2562" s="313" t="s">
        <v>19</v>
      </c>
      <c r="C2562" s="313" t="s">
        <v>1471</v>
      </c>
      <c r="D2562" s="313" t="s">
        <v>35</v>
      </c>
      <c r="E2562" s="313" t="s">
        <v>24</v>
      </c>
    </row>
    <row r="2563" spans="1:5" x14ac:dyDescent="0.25">
      <c r="A2563" s="313" t="s">
        <v>932</v>
      </c>
      <c r="B2563" s="313" t="s">
        <v>19</v>
      </c>
      <c r="C2563" s="313" t="s">
        <v>1475</v>
      </c>
      <c r="D2563" s="313" t="s">
        <v>19</v>
      </c>
      <c r="E2563" s="313" t="s">
        <v>46</v>
      </c>
    </row>
    <row r="2564" spans="1:5" x14ac:dyDescent="0.25">
      <c r="A2564" s="313" t="s">
        <v>932</v>
      </c>
      <c r="B2564" s="313" t="s">
        <v>19</v>
      </c>
      <c r="C2564" s="313" t="s">
        <v>20</v>
      </c>
      <c r="D2564" s="313" t="s">
        <v>26</v>
      </c>
      <c r="E2564" s="313" t="s">
        <v>24</v>
      </c>
    </row>
    <row r="2565" spans="1:5" x14ac:dyDescent="0.25">
      <c r="A2565" s="313" t="s">
        <v>932</v>
      </c>
      <c r="B2565" s="313" t="s">
        <v>19</v>
      </c>
      <c r="C2565" s="313" t="s">
        <v>1487</v>
      </c>
      <c r="D2565" s="313" t="s">
        <v>19</v>
      </c>
      <c r="E2565" s="313" t="s">
        <v>1695</v>
      </c>
    </row>
    <row r="2566" spans="1:5" x14ac:dyDescent="0.25">
      <c r="A2566" s="313" t="s">
        <v>932</v>
      </c>
      <c r="B2566" s="313" t="s">
        <v>19</v>
      </c>
      <c r="C2566" s="313" t="s">
        <v>1495</v>
      </c>
      <c r="D2566" s="313" t="s">
        <v>35</v>
      </c>
      <c r="E2566" s="313" t="s">
        <v>24</v>
      </c>
    </row>
    <row r="2567" spans="1:5" x14ac:dyDescent="0.25">
      <c r="A2567" s="313" t="s">
        <v>932</v>
      </c>
      <c r="B2567" s="313" t="s">
        <v>26</v>
      </c>
      <c r="C2567" s="313" t="s">
        <v>1509</v>
      </c>
      <c r="D2567" s="313" t="s">
        <v>24</v>
      </c>
      <c r="E2567" s="313" t="s">
        <v>1695</v>
      </c>
    </row>
    <row r="2568" spans="1:5" x14ac:dyDescent="0.25">
      <c r="A2568" s="313" t="s">
        <v>932</v>
      </c>
      <c r="B2568" s="313" t="s">
        <v>26</v>
      </c>
      <c r="C2568" s="313" t="s">
        <v>1510</v>
      </c>
      <c r="D2568" s="313" t="s">
        <v>24</v>
      </c>
      <c r="E2568" s="313" t="s">
        <v>1695</v>
      </c>
    </row>
    <row r="2569" spans="1:5" x14ac:dyDescent="0.25">
      <c r="A2569" s="313" t="s">
        <v>932</v>
      </c>
      <c r="B2569" s="313" t="s">
        <v>26</v>
      </c>
      <c r="C2569" s="313" t="s">
        <v>1511</v>
      </c>
      <c r="D2569" s="313" t="s">
        <v>24</v>
      </c>
      <c r="E2569" s="313" t="s">
        <v>933</v>
      </c>
    </row>
    <row r="2570" spans="1:5" x14ac:dyDescent="0.25">
      <c r="A2570" s="313" t="s">
        <v>932</v>
      </c>
      <c r="B2570" s="313" t="s">
        <v>26</v>
      </c>
      <c r="C2570" s="313" t="s">
        <v>27</v>
      </c>
      <c r="D2570" s="313" t="s">
        <v>24</v>
      </c>
      <c r="E2570" s="313" t="s">
        <v>933</v>
      </c>
    </row>
    <row r="2571" spans="1:5" x14ac:dyDescent="0.25">
      <c r="A2571" s="313" t="s">
        <v>932</v>
      </c>
      <c r="B2571" s="313" t="s">
        <v>26</v>
      </c>
      <c r="C2571" s="313" t="s">
        <v>1512</v>
      </c>
      <c r="D2571" s="313" t="s">
        <v>24</v>
      </c>
      <c r="E2571" s="313" t="s">
        <v>1695</v>
      </c>
    </row>
    <row r="2572" spans="1:5" x14ac:dyDescent="0.25">
      <c r="A2572" s="313" t="s">
        <v>932</v>
      </c>
      <c r="B2572" s="313" t="s">
        <v>26</v>
      </c>
      <c r="C2572" s="313" t="s">
        <v>1513</v>
      </c>
      <c r="D2572" s="313" t="s">
        <v>24</v>
      </c>
      <c r="E2572" s="313" t="s">
        <v>1695</v>
      </c>
    </row>
    <row r="2573" spans="1:5" x14ac:dyDescent="0.25">
      <c r="A2573" s="313" t="s">
        <v>936</v>
      </c>
      <c r="B2573" s="313" t="s">
        <v>19</v>
      </c>
      <c r="C2573" s="313" t="s">
        <v>1466</v>
      </c>
      <c r="D2573" s="313" t="s">
        <v>35</v>
      </c>
      <c r="E2573" s="313" t="s">
        <v>24</v>
      </c>
    </row>
    <row r="2574" spans="1:5" x14ac:dyDescent="0.25">
      <c r="A2574" s="313" t="s">
        <v>936</v>
      </c>
      <c r="B2574" s="313" t="s">
        <v>19</v>
      </c>
      <c r="C2574" s="313" t="s">
        <v>1471</v>
      </c>
      <c r="D2574" s="313" t="s">
        <v>35</v>
      </c>
      <c r="E2574" s="313" t="s">
        <v>24</v>
      </c>
    </row>
    <row r="2575" spans="1:5" x14ac:dyDescent="0.25">
      <c r="A2575" s="313" t="s">
        <v>936</v>
      </c>
      <c r="B2575" s="313" t="s">
        <v>19</v>
      </c>
      <c r="C2575" s="313" t="s">
        <v>1475</v>
      </c>
      <c r="D2575" s="313" t="s">
        <v>19</v>
      </c>
      <c r="E2575" s="313" t="s">
        <v>46</v>
      </c>
    </row>
    <row r="2576" spans="1:5" x14ac:dyDescent="0.25">
      <c r="A2576" s="313" t="s">
        <v>936</v>
      </c>
      <c r="B2576" s="313" t="s">
        <v>19</v>
      </c>
      <c r="C2576" s="313" t="s">
        <v>20</v>
      </c>
      <c r="D2576" s="313" t="s">
        <v>26</v>
      </c>
      <c r="E2576" s="313" t="s">
        <v>24</v>
      </c>
    </row>
    <row r="2577" spans="1:5" x14ac:dyDescent="0.25">
      <c r="A2577" s="313" t="s">
        <v>936</v>
      </c>
      <c r="B2577" s="313" t="s">
        <v>19</v>
      </c>
      <c r="C2577" s="313" t="s">
        <v>1487</v>
      </c>
      <c r="D2577" s="313" t="s">
        <v>19</v>
      </c>
      <c r="E2577" s="313" t="s">
        <v>46</v>
      </c>
    </row>
    <row r="2578" spans="1:5" x14ac:dyDescent="0.25">
      <c r="A2578" s="313" t="s">
        <v>936</v>
      </c>
      <c r="B2578" s="313" t="s">
        <v>19</v>
      </c>
      <c r="C2578" s="313" t="s">
        <v>1495</v>
      </c>
      <c r="D2578" s="313" t="s">
        <v>35</v>
      </c>
      <c r="E2578" s="313" t="s">
        <v>24</v>
      </c>
    </row>
    <row r="2579" spans="1:5" x14ac:dyDescent="0.25">
      <c r="A2579" s="313" t="s">
        <v>936</v>
      </c>
      <c r="B2579" s="313" t="s">
        <v>26</v>
      </c>
      <c r="C2579" s="313" t="s">
        <v>1509</v>
      </c>
      <c r="D2579" s="313" t="s">
        <v>24</v>
      </c>
      <c r="E2579" s="313" t="s">
        <v>46</v>
      </c>
    </row>
    <row r="2580" spans="1:5" x14ac:dyDescent="0.25">
      <c r="A2580" s="313" t="s">
        <v>936</v>
      </c>
      <c r="B2580" s="313" t="s">
        <v>26</v>
      </c>
      <c r="C2580" s="313" t="s">
        <v>1510</v>
      </c>
      <c r="D2580" s="313" t="s">
        <v>24</v>
      </c>
      <c r="E2580" s="313" t="s">
        <v>46</v>
      </c>
    </row>
    <row r="2581" spans="1:5" x14ac:dyDescent="0.25">
      <c r="A2581" s="313" t="s">
        <v>936</v>
      </c>
      <c r="B2581" s="313" t="s">
        <v>26</v>
      </c>
      <c r="C2581" s="313" t="s">
        <v>1511</v>
      </c>
      <c r="D2581" s="313" t="s">
        <v>24</v>
      </c>
      <c r="E2581" s="313" t="s">
        <v>1696</v>
      </c>
    </row>
    <row r="2582" spans="1:5" x14ac:dyDescent="0.25">
      <c r="A2582" s="313" t="s">
        <v>936</v>
      </c>
      <c r="B2582" s="313" t="s">
        <v>26</v>
      </c>
      <c r="C2582" s="313" t="s">
        <v>27</v>
      </c>
      <c r="D2582" s="313" t="s">
        <v>24</v>
      </c>
      <c r="E2582" s="313" t="s">
        <v>937</v>
      </c>
    </row>
    <row r="2583" spans="1:5" x14ac:dyDescent="0.25">
      <c r="A2583" s="313" t="s">
        <v>936</v>
      </c>
      <c r="B2583" s="313" t="s">
        <v>26</v>
      </c>
      <c r="C2583" s="313" t="s">
        <v>1512</v>
      </c>
      <c r="D2583" s="313" t="s">
        <v>24</v>
      </c>
      <c r="E2583" s="313" t="s">
        <v>46</v>
      </c>
    </row>
    <row r="2584" spans="1:5" x14ac:dyDescent="0.25">
      <c r="A2584" s="313" t="s">
        <v>936</v>
      </c>
      <c r="B2584" s="313" t="s">
        <v>26</v>
      </c>
      <c r="C2584" s="313" t="s">
        <v>1513</v>
      </c>
      <c r="D2584" s="313" t="s">
        <v>24</v>
      </c>
      <c r="E2584" s="313" t="s">
        <v>46</v>
      </c>
    </row>
    <row r="2585" spans="1:5" x14ac:dyDescent="0.25">
      <c r="A2585" s="313" t="s">
        <v>942</v>
      </c>
      <c r="B2585" s="313" t="s">
        <v>51</v>
      </c>
      <c r="C2585" s="313" t="s">
        <v>24</v>
      </c>
      <c r="D2585" s="313" t="s">
        <v>24</v>
      </c>
      <c r="E2585" s="313" t="s">
        <v>943</v>
      </c>
    </row>
    <row r="2586" spans="1:5" x14ac:dyDescent="0.25">
      <c r="A2586" s="313" t="s">
        <v>942</v>
      </c>
      <c r="B2586" s="313" t="s">
        <v>19</v>
      </c>
      <c r="C2586" s="313" t="s">
        <v>1466</v>
      </c>
      <c r="D2586" s="313" t="s">
        <v>51</v>
      </c>
      <c r="E2586" s="313" t="s">
        <v>24</v>
      </c>
    </row>
    <row r="2587" spans="1:5" x14ac:dyDescent="0.25">
      <c r="A2587" s="313" t="s">
        <v>942</v>
      </c>
      <c r="B2587" s="313" t="s">
        <v>19</v>
      </c>
      <c r="C2587" s="313" t="s">
        <v>1471</v>
      </c>
      <c r="D2587" s="313" t="s">
        <v>51</v>
      </c>
      <c r="E2587" s="313" t="s">
        <v>24</v>
      </c>
    </row>
    <row r="2588" spans="1:5" x14ac:dyDescent="0.25">
      <c r="A2588" s="313" t="s">
        <v>942</v>
      </c>
      <c r="B2588" s="313" t="s">
        <v>19</v>
      </c>
      <c r="C2588" s="313" t="s">
        <v>1475</v>
      </c>
      <c r="D2588" s="313" t="s">
        <v>51</v>
      </c>
      <c r="E2588" s="313" t="s">
        <v>24</v>
      </c>
    </row>
    <row r="2589" spans="1:5" x14ac:dyDescent="0.25">
      <c r="A2589" s="313" t="s">
        <v>942</v>
      </c>
      <c r="B2589" s="313" t="s">
        <v>19</v>
      </c>
      <c r="C2589" s="313" t="s">
        <v>20</v>
      </c>
      <c r="D2589" s="313" t="s">
        <v>51</v>
      </c>
      <c r="E2589" s="313" t="s">
        <v>24</v>
      </c>
    </row>
    <row r="2590" spans="1:5" x14ac:dyDescent="0.25">
      <c r="A2590" s="313" t="s">
        <v>942</v>
      </c>
      <c r="B2590" s="313" t="s">
        <v>19</v>
      </c>
      <c r="C2590" s="313" t="s">
        <v>1487</v>
      </c>
      <c r="D2590" s="313" t="s">
        <v>51</v>
      </c>
      <c r="E2590" s="313" t="s">
        <v>24</v>
      </c>
    </row>
    <row r="2591" spans="1:5" x14ac:dyDescent="0.25">
      <c r="A2591" s="313" t="s">
        <v>942</v>
      </c>
      <c r="B2591" s="313" t="s">
        <v>19</v>
      </c>
      <c r="C2591" s="313" t="s">
        <v>1495</v>
      </c>
      <c r="D2591" s="313" t="s">
        <v>51</v>
      </c>
      <c r="E2591" s="313" t="s">
        <v>24</v>
      </c>
    </row>
    <row r="2592" spans="1:5" x14ac:dyDescent="0.25">
      <c r="A2592" s="313" t="s">
        <v>946</v>
      </c>
      <c r="B2592" s="313" t="s">
        <v>19</v>
      </c>
      <c r="C2592" s="313" t="s">
        <v>1466</v>
      </c>
      <c r="D2592" s="313" t="s">
        <v>35</v>
      </c>
      <c r="E2592" s="313" t="s">
        <v>24</v>
      </c>
    </row>
    <row r="2593" spans="1:5" x14ac:dyDescent="0.25">
      <c r="A2593" s="313" t="s">
        <v>946</v>
      </c>
      <c r="B2593" s="313" t="s">
        <v>19</v>
      </c>
      <c r="C2593" s="313" t="s">
        <v>1471</v>
      </c>
      <c r="D2593" s="313" t="s">
        <v>35</v>
      </c>
      <c r="E2593" s="313" t="s">
        <v>24</v>
      </c>
    </row>
    <row r="2594" spans="1:5" x14ac:dyDescent="0.25">
      <c r="A2594" s="313" t="s">
        <v>946</v>
      </c>
      <c r="B2594" s="313" t="s">
        <v>19</v>
      </c>
      <c r="C2594" s="313" t="s">
        <v>1475</v>
      </c>
      <c r="D2594" s="313" t="s">
        <v>35</v>
      </c>
      <c r="E2594" s="313" t="s">
        <v>24</v>
      </c>
    </row>
    <row r="2595" spans="1:5" x14ac:dyDescent="0.25">
      <c r="A2595" s="313" t="s">
        <v>946</v>
      </c>
      <c r="B2595" s="313" t="s">
        <v>19</v>
      </c>
      <c r="C2595" s="313" t="s">
        <v>20</v>
      </c>
      <c r="D2595" s="313" t="s">
        <v>35</v>
      </c>
      <c r="E2595" s="313" t="s">
        <v>24</v>
      </c>
    </row>
    <row r="2596" spans="1:5" x14ac:dyDescent="0.25">
      <c r="A2596" s="313" t="s">
        <v>946</v>
      </c>
      <c r="B2596" s="313" t="s">
        <v>19</v>
      </c>
      <c r="C2596" s="313" t="s">
        <v>1487</v>
      </c>
      <c r="D2596" s="313" t="s">
        <v>35</v>
      </c>
      <c r="E2596" s="313" t="s">
        <v>24</v>
      </c>
    </row>
    <row r="2597" spans="1:5" x14ac:dyDescent="0.25">
      <c r="A2597" s="313" t="s">
        <v>946</v>
      </c>
      <c r="B2597" s="313" t="s">
        <v>19</v>
      </c>
      <c r="C2597" s="313" t="s">
        <v>1495</v>
      </c>
      <c r="D2597" s="313" t="s">
        <v>35</v>
      </c>
      <c r="E2597" s="313" t="s">
        <v>24</v>
      </c>
    </row>
    <row r="2598" spans="1:5" x14ac:dyDescent="0.25">
      <c r="A2598" s="313" t="s">
        <v>949</v>
      </c>
      <c r="B2598" s="313" t="s">
        <v>19</v>
      </c>
      <c r="C2598" s="313" t="s">
        <v>1466</v>
      </c>
      <c r="D2598" s="313" t="s">
        <v>35</v>
      </c>
      <c r="E2598" s="313" t="s">
        <v>24</v>
      </c>
    </row>
    <row r="2599" spans="1:5" x14ac:dyDescent="0.25">
      <c r="A2599" s="313" t="s">
        <v>949</v>
      </c>
      <c r="B2599" s="313" t="s">
        <v>19</v>
      </c>
      <c r="C2599" s="313" t="s">
        <v>1471</v>
      </c>
      <c r="D2599" s="313" t="s">
        <v>35</v>
      </c>
      <c r="E2599" s="313" t="s">
        <v>24</v>
      </c>
    </row>
    <row r="2600" spans="1:5" x14ac:dyDescent="0.25">
      <c r="A2600" s="313" t="s">
        <v>949</v>
      </c>
      <c r="B2600" s="313" t="s">
        <v>19</v>
      </c>
      <c r="C2600" s="313" t="s">
        <v>1475</v>
      </c>
      <c r="D2600" s="313" t="s">
        <v>35</v>
      </c>
      <c r="E2600" s="313" t="s">
        <v>24</v>
      </c>
    </row>
    <row r="2601" spans="1:5" x14ac:dyDescent="0.25">
      <c r="A2601" s="313" t="s">
        <v>949</v>
      </c>
      <c r="B2601" s="313" t="s">
        <v>19</v>
      </c>
      <c r="C2601" s="313" t="s">
        <v>20</v>
      </c>
      <c r="D2601" s="313" t="s">
        <v>35</v>
      </c>
      <c r="E2601" s="313" t="s">
        <v>24</v>
      </c>
    </row>
    <row r="2602" spans="1:5" x14ac:dyDescent="0.25">
      <c r="A2602" s="313" t="s">
        <v>949</v>
      </c>
      <c r="B2602" s="313" t="s">
        <v>19</v>
      </c>
      <c r="C2602" s="313" t="s">
        <v>1487</v>
      </c>
      <c r="D2602" s="313" t="s">
        <v>35</v>
      </c>
      <c r="E2602" s="313" t="s">
        <v>24</v>
      </c>
    </row>
    <row r="2603" spans="1:5" x14ac:dyDescent="0.25">
      <c r="A2603" s="313" t="s">
        <v>949</v>
      </c>
      <c r="B2603" s="313" t="s">
        <v>19</v>
      </c>
      <c r="C2603" s="313" t="s">
        <v>1495</v>
      </c>
      <c r="D2603" s="313" t="s">
        <v>35</v>
      </c>
      <c r="E2603" s="313" t="s">
        <v>24</v>
      </c>
    </row>
    <row r="2604" spans="1:5" x14ac:dyDescent="0.25">
      <c r="A2604" s="313" t="s">
        <v>952</v>
      </c>
      <c r="B2604" s="313" t="s">
        <v>19</v>
      </c>
      <c r="C2604" s="313" t="s">
        <v>1466</v>
      </c>
      <c r="D2604" s="313" t="s">
        <v>35</v>
      </c>
      <c r="E2604" s="313" t="s">
        <v>24</v>
      </c>
    </row>
    <row r="2605" spans="1:5" x14ac:dyDescent="0.25">
      <c r="A2605" s="313" t="s">
        <v>952</v>
      </c>
      <c r="B2605" s="313" t="s">
        <v>19</v>
      </c>
      <c r="C2605" s="313" t="s">
        <v>1471</v>
      </c>
      <c r="D2605" s="313" t="s">
        <v>35</v>
      </c>
      <c r="E2605" s="313" t="s">
        <v>24</v>
      </c>
    </row>
    <row r="2606" spans="1:5" x14ac:dyDescent="0.25">
      <c r="A2606" s="313" t="s">
        <v>952</v>
      </c>
      <c r="B2606" s="313" t="s">
        <v>19</v>
      </c>
      <c r="C2606" s="313" t="s">
        <v>1475</v>
      </c>
      <c r="D2606" s="313" t="s">
        <v>35</v>
      </c>
      <c r="E2606" s="313" t="s">
        <v>24</v>
      </c>
    </row>
    <row r="2607" spans="1:5" x14ac:dyDescent="0.25">
      <c r="A2607" s="313" t="s">
        <v>952</v>
      </c>
      <c r="B2607" s="313" t="s">
        <v>19</v>
      </c>
      <c r="C2607" s="313" t="s">
        <v>20</v>
      </c>
      <c r="D2607" s="313" t="s">
        <v>35</v>
      </c>
      <c r="E2607" s="313" t="s">
        <v>24</v>
      </c>
    </row>
    <row r="2608" spans="1:5" x14ac:dyDescent="0.25">
      <c r="A2608" s="313" t="s">
        <v>952</v>
      </c>
      <c r="B2608" s="313" t="s">
        <v>19</v>
      </c>
      <c r="C2608" s="313" t="s">
        <v>1487</v>
      </c>
      <c r="D2608" s="313" t="s">
        <v>35</v>
      </c>
      <c r="E2608" s="313" t="s">
        <v>24</v>
      </c>
    </row>
    <row r="2609" spans="1:5" x14ac:dyDescent="0.25">
      <c r="A2609" s="313" t="s">
        <v>952</v>
      </c>
      <c r="B2609" s="313" t="s">
        <v>19</v>
      </c>
      <c r="C2609" s="313" t="s">
        <v>1495</v>
      </c>
      <c r="D2609" s="313" t="s">
        <v>35</v>
      </c>
      <c r="E2609" s="313" t="s">
        <v>24</v>
      </c>
    </row>
    <row r="2610" spans="1:5" x14ac:dyDescent="0.25">
      <c r="A2610" s="313" t="s">
        <v>954</v>
      </c>
      <c r="B2610" s="313" t="s">
        <v>19</v>
      </c>
      <c r="C2610" s="313" t="s">
        <v>1466</v>
      </c>
      <c r="D2610" s="313" t="s">
        <v>35</v>
      </c>
      <c r="E2610" s="313" t="s">
        <v>24</v>
      </c>
    </row>
    <row r="2611" spans="1:5" x14ac:dyDescent="0.25">
      <c r="A2611" s="313" t="s">
        <v>954</v>
      </c>
      <c r="B2611" s="313" t="s">
        <v>19</v>
      </c>
      <c r="C2611" s="313" t="s">
        <v>1471</v>
      </c>
      <c r="D2611" s="313" t="s">
        <v>35</v>
      </c>
      <c r="E2611" s="313" t="s">
        <v>24</v>
      </c>
    </row>
    <row r="2612" spans="1:5" x14ac:dyDescent="0.25">
      <c r="A2612" s="313" t="s">
        <v>954</v>
      </c>
      <c r="B2612" s="313" t="s">
        <v>19</v>
      </c>
      <c r="C2612" s="313" t="s">
        <v>1475</v>
      </c>
      <c r="D2612" s="313" t="s">
        <v>35</v>
      </c>
      <c r="E2612" s="313" t="s">
        <v>24</v>
      </c>
    </row>
    <row r="2613" spans="1:5" x14ac:dyDescent="0.25">
      <c r="A2613" s="313" t="s">
        <v>954</v>
      </c>
      <c r="B2613" s="313" t="s">
        <v>19</v>
      </c>
      <c r="C2613" s="313" t="s">
        <v>20</v>
      </c>
      <c r="D2613" s="313" t="s">
        <v>35</v>
      </c>
      <c r="E2613" s="313" t="s">
        <v>24</v>
      </c>
    </row>
    <row r="2614" spans="1:5" x14ac:dyDescent="0.25">
      <c r="A2614" s="313" t="s">
        <v>954</v>
      </c>
      <c r="B2614" s="313" t="s">
        <v>19</v>
      </c>
      <c r="C2614" s="313" t="s">
        <v>1487</v>
      </c>
      <c r="D2614" s="313" t="s">
        <v>35</v>
      </c>
      <c r="E2614" s="313" t="s">
        <v>24</v>
      </c>
    </row>
    <row r="2615" spans="1:5" x14ac:dyDescent="0.25">
      <c r="A2615" s="313" t="s">
        <v>954</v>
      </c>
      <c r="B2615" s="313" t="s">
        <v>19</v>
      </c>
      <c r="C2615" s="313" t="s">
        <v>1495</v>
      </c>
      <c r="D2615" s="313" t="s">
        <v>35</v>
      </c>
      <c r="E2615" s="313" t="s">
        <v>24</v>
      </c>
    </row>
    <row r="2616" spans="1:5" x14ac:dyDescent="0.25">
      <c r="A2616" s="313" t="s">
        <v>956</v>
      </c>
      <c r="B2616" s="313" t="s">
        <v>19</v>
      </c>
      <c r="C2616" s="313" t="s">
        <v>1466</v>
      </c>
      <c r="D2616" s="313" t="s">
        <v>35</v>
      </c>
      <c r="E2616" s="313" t="s">
        <v>24</v>
      </c>
    </row>
    <row r="2617" spans="1:5" x14ac:dyDescent="0.25">
      <c r="A2617" s="313" t="s">
        <v>956</v>
      </c>
      <c r="B2617" s="313" t="s">
        <v>19</v>
      </c>
      <c r="C2617" s="313" t="s">
        <v>1471</v>
      </c>
      <c r="D2617" s="313" t="s">
        <v>35</v>
      </c>
      <c r="E2617" s="313" t="s">
        <v>24</v>
      </c>
    </row>
    <row r="2618" spans="1:5" x14ac:dyDescent="0.25">
      <c r="A2618" s="313" t="s">
        <v>956</v>
      </c>
      <c r="B2618" s="313" t="s">
        <v>19</v>
      </c>
      <c r="C2618" s="313" t="s">
        <v>1475</v>
      </c>
      <c r="D2618" s="313" t="s">
        <v>35</v>
      </c>
      <c r="E2618" s="313" t="s">
        <v>24</v>
      </c>
    </row>
    <row r="2619" spans="1:5" x14ac:dyDescent="0.25">
      <c r="A2619" s="313" t="s">
        <v>956</v>
      </c>
      <c r="B2619" s="313" t="s">
        <v>19</v>
      </c>
      <c r="C2619" s="313" t="s">
        <v>20</v>
      </c>
      <c r="D2619" s="313" t="s">
        <v>35</v>
      </c>
      <c r="E2619" s="313" t="s">
        <v>24</v>
      </c>
    </row>
    <row r="2620" spans="1:5" x14ac:dyDescent="0.25">
      <c r="A2620" s="313" t="s">
        <v>956</v>
      </c>
      <c r="B2620" s="313" t="s">
        <v>19</v>
      </c>
      <c r="C2620" s="313" t="s">
        <v>1487</v>
      </c>
      <c r="D2620" s="313" t="s">
        <v>35</v>
      </c>
      <c r="E2620" s="313" t="s">
        <v>24</v>
      </c>
    </row>
    <row r="2621" spans="1:5" x14ac:dyDescent="0.25">
      <c r="A2621" s="313" t="s">
        <v>956</v>
      </c>
      <c r="B2621" s="313" t="s">
        <v>19</v>
      </c>
      <c r="C2621" s="313" t="s">
        <v>1495</v>
      </c>
      <c r="D2621" s="313" t="s">
        <v>35</v>
      </c>
      <c r="E2621" s="313" t="s">
        <v>24</v>
      </c>
    </row>
    <row r="2622" spans="1:5" x14ac:dyDescent="0.25">
      <c r="A2622" s="313" t="s">
        <v>959</v>
      </c>
      <c r="B2622" s="313" t="s">
        <v>19</v>
      </c>
      <c r="C2622" s="313" t="s">
        <v>1466</v>
      </c>
      <c r="D2622" s="313" t="s">
        <v>35</v>
      </c>
      <c r="E2622" s="313" t="s">
        <v>24</v>
      </c>
    </row>
    <row r="2623" spans="1:5" x14ac:dyDescent="0.25">
      <c r="A2623" s="313" t="s">
        <v>959</v>
      </c>
      <c r="B2623" s="313" t="s">
        <v>19</v>
      </c>
      <c r="C2623" s="313" t="s">
        <v>1471</v>
      </c>
      <c r="D2623" s="313" t="s">
        <v>35</v>
      </c>
      <c r="E2623" s="313" t="s">
        <v>24</v>
      </c>
    </row>
    <row r="2624" spans="1:5" x14ac:dyDescent="0.25">
      <c r="A2624" s="313" t="s">
        <v>959</v>
      </c>
      <c r="B2624" s="313" t="s">
        <v>19</v>
      </c>
      <c r="C2624" s="313" t="s">
        <v>1475</v>
      </c>
      <c r="D2624" s="313" t="s">
        <v>35</v>
      </c>
      <c r="E2624" s="313" t="s">
        <v>24</v>
      </c>
    </row>
    <row r="2625" spans="1:5" x14ac:dyDescent="0.25">
      <c r="A2625" s="313" t="s">
        <v>959</v>
      </c>
      <c r="B2625" s="313" t="s">
        <v>19</v>
      </c>
      <c r="C2625" s="313" t="s">
        <v>20</v>
      </c>
      <c r="D2625" s="313" t="s">
        <v>35</v>
      </c>
      <c r="E2625" s="313" t="s">
        <v>24</v>
      </c>
    </row>
    <row r="2626" spans="1:5" x14ac:dyDescent="0.25">
      <c r="A2626" s="313" t="s">
        <v>959</v>
      </c>
      <c r="B2626" s="313" t="s">
        <v>19</v>
      </c>
      <c r="C2626" s="313" t="s">
        <v>1487</v>
      </c>
      <c r="D2626" s="313" t="s">
        <v>35</v>
      </c>
      <c r="E2626" s="313" t="s">
        <v>24</v>
      </c>
    </row>
    <row r="2627" spans="1:5" x14ac:dyDescent="0.25">
      <c r="A2627" s="313" t="s">
        <v>959</v>
      </c>
      <c r="B2627" s="313" t="s">
        <v>19</v>
      </c>
      <c r="C2627" s="313" t="s">
        <v>1495</v>
      </c>
      <c r="D2627" s="313" t="s">
        <v>35</v>
      </c>
      <c r="E2627" s="313" t="s">
        <v>24</v>
      </c>
    </row>
    <row r="2628" spans="1:5" x14ac:dyDescent="0.25">
      <c r="A2628" s="313" t="s">
        <v>962</v>
      </c>
      <c r="B2628" s="313" t="s">
        <v>19</v>
      </c>
      <c r="C2628" s="313" t="s">
        <v>1466</v>
      </c>
      <c r="D2628" s="313" t="s">
        <v>35</v>
      </c>
      <c r="E2628" s="313" t="s">
        <v>24</v>
      </c>
    </row>
    <row r="2629" spans="1:5" x14ac:dyDescent="0.25">
      <c r="A2629" s="313" t="s">
        <v>962</v>
      </c>
      <c r="B2629" s="313" t="s">
        <v>19</v>
      </c>
      <c r="C2629" s="313" t="s">
        <v>1471</v>
      </c>
      <c r="D2629" s="313" t="s">
        <v>35</v>
      </c>
      <c r="E2629" s="313" t="s">
        <v>24</v>
      </c>
    </row>
    <row r="2630" spans="1:5" x14ac:dyDescent="0.25">
      <c r="A2630" s="313" t="s">
        <v>962</v>
      </c>
      <c r="B2630" s="313" t="s">
        <v>19</v>
      </c>
      <c r="C2630" s="313" t="s">
        <v>1475</v>
      </c>
      <c r="D2630" s="313" t="s">
        <v>35</v>
      </c>
      <c r="E2630" s="313" t="s">
        <v>24</v>
      </c>
    </row>
    <row r="2631" spans="1:5" x14ac:dyDescent="0.25">
      <c r="A2631" s="313" t="s">
        <v>962</v>
      </c>
      <c r="B2631" s="313" t="s">
        <v>19</v>
      </c>
      <c r="C2631" s="313" t="s">
        <v>20</v>
      </c>
      <c r="D2631" s="313" t="s">
        <v>35</v>
      </c>
      <c r="E2631" s="313" t="s">
        <v>24</v>
      </c>
    </row>
    <row r="2632" spans="1:5" x14ac:dyDescent="0.25">
      <c r="A2632" s="313" t="s">
        <v>962</v>
      </c>
      <c r="B2632" s="313" t="s">
        <v>19</v>
      </c>
      <c r="C2632" s="313" t="s">
        <v>1487</v>
      </c>
      <c r="D2632" s="313" t="s">
        <v>35</v>
      </c>
      <c r="E2632" s="313" t="s">
        <v>24</v>
      </c>
    </row>
    <row r="2633" spans="1:5" x14ac:dyDescent="0.25">
      <c r="A2633" s="313" t="s">
        <v>962</v>
      </c>
      <c r="B2633" s="313" t="s">
        <v>19</v>
      </c>
      <c r="C2633" s="313" t="s">
        <v>1495</v>
      </c>
      <c r="D2633" s="313" t="s">
        <v>35</v>
      </c>
      <c r="E2633" s="313" t="s">
        <v>24</v>
      </c>
    </row>
    <row r="2634" spans="1:5" x14ac:dyDescent="0.25">
      <c r="A2634" s="313" t="s">
        <v>964</v>
      </c>
      <c r="B2634" s="313" t="s">
        <v>19</v>
      </c>
      <c r="C2634" s="313" t="s">
        <v>1466</v>
      </c>
      <c r="D2634" s="313" t="s">
        <v>35</v>
      </c>
      <c r="E2634" s="313" t="s">
        <v>24</v>
      </c>
    </row>
    <row r="2635" spans="1:5" x14ac:dyDescent="0.25">
      <c r="A2635" s="313" t="s">
        <v>964</v>
      </c>
      <c r="B2635" s="313" t="s">
        <v>19</v>
      </c>
      <c r="C2635" s="313" t="s">
        <v>1471</v>
      </c>
      <c r="D2635" s="313" t="s">
        <v>35</v>
      </c>
      <c r="E2635" s="313" t="s">
        <v>24</v>
      </c>
    </row>
    <row r="2636" spans="1:5" x14ac:dyDescent="0.25">
      <c r="A2636" s="313" t="s">
        <v>964</v>
      </c>
      <c r="B2636" s="313" t="s">
        <v>19</v>
      </c>
      <c r="C2636" s="313" t="s">
        <v>1475</v>
      </c>
      <c r="D2636" s="313" t="s">
        <v>35</v>
      </c>
      <c r="E2636" s="313" t="s">
        <v>24</v>
      </c>
    </row>
    <row r="2637" spans="1:5" x14ac:dyDescent="0.25">
      <c r="A2637" s="313" t="s">
        <v>964</v>
      </c>
      <c r="B2637" s="313" t="s">
        <v>19</v>
      </c>
      <c r="C2637" s="313" t="s">
        <v>20</v>
      </c>
      <c r="D2637" s="313" t="s">
        <v>35</v>
      </c>
      <c r="E2637" s="313" t="s">
        <v>24</v>
      </c>
    </row>
    <row r="2638" spans="1:5" x14ac:dyDescent="0.25">
      <c r="A2638" s="313" t="s">
        <v>964</v>
      </c>
      <c r="B2638" s="313" t="s">
        <v>19</v>
      </c>
      <c r="C2638" s="313" t="s">
        <v>1487</v>
      </c>
      <c r="D2638" s="313" t="s">
        <v>35</v>
      </c>
      <c r="E2638" s="313" t="s">
        <v>24</v>
      </c>
    </row>
    <row r="2639" spans="1:5" x14ac:dyDescent="0.25">
      <c r="A2639" s="313" t="s">
        <v>964</v>
      </c>
      <c r="B2639" s="313" t="s">
        <v>19</v>
      </c>
      <c r="C2639" s="313" t="s">
        <v>1495</v>
      </c>
      <c r="D2639" s="313" t="s">
        <v>35</v>
      </c>
      <c r="E2639" s="313" t="s">
        <v>24</v>
      </c>
    </row>
    <row r="2640" spans="1:5" x14ac:dyDescent="0.25">
      <c r="A2640" s="313" t="s">
        <v>967</v>
      </c>
      <c r="B2640" s="313" t="s">
        <v>19</v>
      </c>
      <c r="C2640" s="313" t="s">
        <v>1466</v>
      </c>
      <c r="D2640" s="313" t="s">
        <v>35</v>
      </c>
      <c r="E2640" s="313" t="s">
        <v>24</v>
      </c>
    </row>
    <row r="2641" spans="1:5" x14ac:dyDescent="0.25">
      <c r="A2641" s="313" t="s">
        <v>967</v>
      </c>
      <c r="B2641" s="313" t="s">
        <v>19</v>
      </c>
      <c r="C2641" s="313" t="s">
        <v>1471</v>
      </c>
      <c r="D2641" s="313" t="s">
        <v>35</v>
      </c>
      <c r="E2641" s="313" t="s">
        <v>24</v>
      </c>
    </row>
    <row r="2642" spans="1:5" x14ac:dyDescent="0.25">
      <c r="A2642" s="313" t="s">
        <v>967</v>
      </c>
      <c r="B2642" s="313" t="s">
        <v>19</v>
      </c>
      <c r="C2642" s="313" t="s">
        <v>1475</v>
      </c>
      <c r="D2642" s="313" t="s">
        <v>35</v>
      </c>
      <c r="E2642" s="313" t="s">
        <v>24</v>
      </c>
    </row>
    <row r="2643" spans="1:5" x14ac:dyDescent="0.25">
      <c r="A2643" s="313" t="s">
        <v>967</v>
      </c>
      <c r="B2643" s="313" t="s">
        <v>19</v>
      </c>
      <c r="C2643" s="313" t="s">
        <v>20</v>
      </c>
      <c r="D2643" s="313" t="s">
        <v>35</v>
      </c>
      <c r="E2643" s="313" t="s">
        <v>24</v>
      </c>
    </row>
    <row r="2644" spans="1:5" x14ac:dyDescent="0.25">
      <c r="A2644" s="313" t="s">
        <v>967</v>
      </c>
      <c r="B2644" s="313" t="s">
        <v>19</v>
      </c>
      <c r="C2644" s="313" t="s">
        <v>1487</v>
      </c>
      <c r="D2644" s="313" t="s">
        <v>35</v>
      </c>
      <c r="E2644" s="313" t="s">
        <v>24</v>
      </c>
    </row>
    <row r="2645" spans="1:5" x14ac:dyDescent="0.25">
      <c r="A2645" s="313" t="s">
        <v>967</v>
      </c>
      <c r="B2645" s="313" t="s">
        <v>19</v>
      </c>
      <c r="C2645" s="313" t="s">
        <v>1495</v>
      </c>
      <c r="D2645" s="313" t="s">
        <v>35</v>
      </c>
      <c r="E2645" s="313" t="s">
        <v>24</v>
      </c>
    </row>
    <row r="2646" spans="1:5" x14ac:dyDescent="0.25">
      <c r="A2646" s="313" t="s">
        <v>969</v>
      </c>
      <c r="B2646" s="313" t="s">
        <v>19</v>
      </c>
      <c r="C2646" s="313" t="s">
        <v>1466</v>
      </c>
      <c r="D2646" s="313" t="s">
        <v>35</v>
      </c>
      <c r="E2646" s="313" t="s">
        <v>24</v>
      </c>
    </row>
    <row r="2647" spans="1:5" x14ac:dyDescent="0.25">
      <c r="A2647" s="313" t="s">
        <v>969</v>
      </c>
      <c r="B2647" s="313" t="s">
        <v>19</v>
      </c>
      <c r="C2647" s="313" t="s">
        <v>1471</v>
      </c>
      <c r="D2647" s="313" t="s">
        <v>35</v>
      </c>
      <c r="E2647" s="313" t="s">
        <v>24</v>
      </c>
    </row>
    <row r="2648" spans="1:5" x14ac:dyDescent="0.25">
      <c r="A2648" s="313" t="s">
        <v>969</v>
      </c>
      <c r="B2648" s="313" t="s">
        <v>19</v>
      </c>
      <c r="C2648" s="313" t="s">
        <v>1475</v>
      </c>
      <c r="D2648" s="313" t="s">
        <v>35</v>
      </c>
      <c r="E2648" s="313" t="s">
        <v>24</v>
      </c>
    </row>
    <row r="2649" spans="1:5" x14ac:dyDescent="0.25">
      <c r="A2649" s="313" t="s">
        <v>969</v>
      </c>
      <c r="B2649" s="313" t="s">
        <v>19</v>
      </c>
      <c r="C2649" s="313" t="s">
        <v>20</v>
      </c>
      <c r="D2649" s="313" t="s">
        <v>35</v>
      </c>
      <c r="E2649" s="313" t="s">
        <v>24</v>
      </c>
    </row>
    <row r="2650" spans="1:5" x14ac:dyDescent="0.25">
      <c r="A2650" s="313" t="s">
        <v>969</v>
      </c>
      <c r="B2650" s="313" t="s">
        <v>19</v>
      </c>
      <c r="C2650" s="313" t="s">
        <v>1487</v>
      </c>
      <c r="D2650" s="313" t="s">
        <v>35</v>
      </c>
      <c r="E2650" s="313" t="s">
        <v>24</v>
      </c>
    </row>
    <row r="2651" spans="1:5" x14ac:dyDescent="0.25">
      <c r="A2651" s="313" t="s">
        <v>969</v>
      </c>
      <c r="B2651" s="313" t="s">
        <v>19</v>
      </c>
      <c r="C2651" s="313" t="s">
        <v>1495</v>
      </c>
      <c r="D2651" s="313" t="s">
        <v>35</v>
      </c>
      <c r="E2651" s="313" t="s">
        <v>24</v>
      </c>
    </row>
    <row r="2652" spans="1:5" x14ac:dyDescent="0.25">
      <c r="A2652" s="313" t="s">
        <v>971</v>
      </c>
      <c r="B2652" s="313" t="s">
        <v>19</v>
      </c>
      <c r="C2652" s="313" t="s">
        <v>1466</v>
      </c>
      <c r="D2652" s="313" t="s">
        <v>35</v>
      </c>
      <c r="E2652" s="313" t="s">
        <v>24</v>
      </c>
    </row>
    <row r="2653" spans="1:5" x14ac:dyDescent="0.25">
      <c r="A2653" s="313" t="s">
        <v>971</v>
      </c>
      <c r="B2653" s="313" t="s">
        <v>19</v>
      </c>
      <c r="C2653" s="313" t="s">
        <v>1471</v>
      </c>
      <c r="D2653" s="313" t="s">
        <v>35</v>
      </c>
      <c r="E2653" s="313" t="s">
        <v>24</v>
      </c>
    </row>
    <row r="2654" spans="1:5" x14ac:dyDescent="0.25">
      <c r="A2654" s="313" t="s">
        <v>971</v>
      </c>
      <c r="B2654" s="313" t="s">
        <v>19</v>
      </c>
      <c r="C2654" s="313" t="s">
        <v>1475</v>
      </c>
      <c r="D2654" s="313" t="s">
        <v>35</v>
      </c>
      <c r="E2654" s="313" t="s">
        <v>24</v>
      </c>
    </row>
    <row r="2655" spans="1:5" x14ac:dyDescent="0.25">
      <c r="A2655" s="313" t="s">
        <v>971</v>
      </c>
      <c r="B2655" s="313" t="s">
        <v>19</v>
      </c>
      <c r="C2655" s="313" t="s">
        <v>20</v>
      </c>
      <c r="D2655" s="313" t="s">
        <v>35</v>
      </c>
      <c r="E2655" s="313" t="s">
        <v>24</v>
      </c>
    </row>
    <row r="2656" spans="1:5" x14ac:dyDescent="0.25">
      <c r="A2656" s="313" t="s">
        <v>971</v>
      </c>
      <c r="B2656" s="313" t="s">
        <v>19</v>
      </c>
      <c r="C2656" s="313" t="s">
        <v>1487</v>
      </c>
      <c r="D2656" s="313" t="s">
        <v>35</v>
      </c>
      <c r="E2656" s="313" t="s">
        <v>24</v>
      </c>
    </row>
    <row r="2657" spans="1:5" x14ac:dyDescent="0.25">
      <c r="A2657" s="313" t="s">
        <v>971</v>
      </c>
      <c r="B2657" s="313" t="s">
        <v>19</v>
      </c>
      <c r="C2657" s="313" t="s">
        <v>1495</v>
      </c>
      <c r="D2657" s="313" t="s">
        <v>35</v>
      </c>
      <c r="E2657" s="313" t="s">
        <v>24</v>
      </c>
    </row>
    <row r="2658" spans="1:5" x14ac:dyDescent="0.25">
      <c r="A2658" s="313" t="s">
        <v>974</v>
      </c>
      <c r="B2658" s="313" t="s">
        <v>19</v>
      </c>
      <c r="C2658" s="313" t="s">
        <v>1466</v>
      </c>
      <c r="D2658" s="313" t="s">
        <v>35</v>
      </c>
      <c r="E2658" s="313" t="s">
        <v>24</v>
      </c>
    </row>
    <row r="2659" spans="1:5" x14ac:dyDescent="0.25">
      <c r="A2659" s="313" t="s">
        <v>974</v>
      </c>
      <c r="B2659" s="313" t="s">
        <v>19</v>
      </c>
      <c r="C2659" s="313" t="s">
        <v>1471</v>
      </c>
      <c r="D2659" s="313" t="s">
        <v>35</v>
      </c>
      <c r="E2659" s="313" t="s">
        <v>24</v>
      </c>
    </row>
    <row r="2660" spans="1:5" x14ac:dyDescent="0.25">
      <c r="A2660" s="313" t="s">
        <v>974</v>
      </c>
      <c r="B2660" s="313" t="s">
        <v>19</v>
      </c>
      <c r="C2660" s="313" t="s">
        <v>1475</v>
      </c>
      <c r="D2660" s="313" t="s">
        <v>35</v>
      </c>
      <c r="E2660" s="313" t="s">
        <v>24</v>
      </c>
    </row>
    <row r="2661" spans="1:5" x14ac:dyDescent="0.25">
      <c r="A2661" s="313" t="s">
        <v>974</v>
      </c>
      <c r="B2661" s="313" t="s">
        <v>19</v>
      </c>
      <c r="C2661" s="313" t="s">
        <v>20</v>
      </c>
      <c r="D2661" s="313" t="s">
        <v>35</v>
      </c>
      <c r="E2661" s="313" t="s">
        <v>24</v>
      </c>
    </row>
    <row r="2662" spans="1:5" x14ac:dyDescent="0.25">
      <c r="A2662" s="313" t="s">
        <v>974</v>
      </c>
      <c r="B2662" s="313" t="s">
        <v>19</v>
      </c>
      <c r="C2662" s="313" t="s">
        <v>1487</v>
      </c>
      <c r="D2662" s="313" t="s">
        <v>35</v>
      </c>
      <c r="E2662" s="313" t="s">
        <v>24</v>
      </c>
    </row>
    <row r="2663" spans="1:5" x14ac:dyDescent="0.25">
      <c r="A2663" s="313" t="s">
        <v>974</v>
      </c>
      <c r="B2663" s="313" t="s">
        <v>19</v>
      </c>
      <c r="C2663" s="313" t="s">
        <v>1495</v>
      </c>
      <c r="D2663" s="313" t="s">
        <v>35</v>
      </c>
      <c r="E2663" s="313" t="s">
        <v>24</v>
      </c>
    </row>
    <row r="2664" spans="1:5" x14ac:dyDescent="0.25">
      <c r="A2664" s="313" t="s">
        <v>977</v>
      </c>
      <c r="B2664" s="313" t="s">
        <v>19</v>
      </c>
      <c r="C2664" s="313" t="s">
        <v>1466</v>
      </c>
      <c r="D2664" s="313" t="s">
        <v>35</v>
      </c>
      <c r="E2664" s="313" t="s">
        <v>24</v>
      </c>
    </row>
    <row r="2665" spans="1:5" x14ac:dyDescent="0.25">
      <c r="A2665" s="313" t="s">
        <v>977</v>
      </c>
      <c r="B2665" s="313" t="s">
        <v>19</v>
      </c>
      <c r="C2665" s="313" t="s">
        <v>1471</v>
      </c>
      <c r="D2665" s="313" t="s">
        <v>35</v>
      </c>
      <c r="E2665" s="313" t="s">
        <v>24</v>
      </c>
    </row>
    <row r="2666" spans="1:5" x14ac:dyDescent="0.25">
      <c r="A2666" s="313" t="s">
        <v>977</v>
      </c>
      <c r="B2666" s="313" t="s">
        <v>19</v>
      </c>
      <c r="C2666" s="313" t="s">
        <v>1475</v>
      </c>
      <c r="D2666" s="313" t="s">
        <v>35</v>
      </c>
      <c r="E2666" s="313" t="s">
        <v>24</v>
      </c>
    </row>
    <row r="2667" spans="1:5" x14ac:dyDescent="0.25">
      <c r="A2667" s="313" t="s">
        <v>977</v>
      </c>
      <c r="B2667" s="313" t="s">
        <v>19</v>
      </c>
      <c r="C2667" s="313" t="s">
        <v>20</v>
      </c>
      <c r="D2667" s="313" t="s">
        <v>35</v>
      </c>
      <c r="E2667" s="313" t="s">
        <v>24</v>
      </c>
    </row>
    <row r="2668" spans="1:5" x14ac:dyDescent="0.25">
      <c r="A2668" s="313" t="s">
        <v>977</v>
      </c>
      <c r="B2668" s="313" t="s">
        <v>19</v>
      </c>
      <c r="C2668" s="313" t="s">
        <v>1487</v>
      </c>
      <c r="D2668" s="313" t="s">
        <v>35</v>
      </c>
      <c r="E2668" s="313" t="s">
        <v>24</v>
      </c>
    </row>
    <row r="2669" spans="1:5" x14ac:dyDescent="0.25">
      <c r="A2669" s="313" t="s">
        <v>977</v>
      </c>
      <c r="B2669" s="313" t="s">
        <v>19</v>
      </c>
      <c r="C2669" s="313" t="s">
        <v>1495</v>
      </c>
      <c r="D2669" s="313" t="s">
        <v>35</v>
      </c>
      <c r="E2669" s="313" t="s">
        <v>24</v>
      </c>
    </row>
    <row r="2670" spans="1:5" x14ac:dyDescent="0.25">
      <c r="A2670" s="313" t="s">
        <v>980</v>
      </c>
      <c r="B2670" s="313" t="s">
        <v>19</v>
      </c>
      <c r="C2670" s="313" t="s">
        <v>1466</v>
      </c>
      <c r="D2670" s="313" t="s">
        <v>35</v>
      </c>
      <c r="E2670" s="313" t="s">
        <v>24</v>
      </c>
    </row>
    <row r="2671" spans="1:5" x14ac:dyDescent="0.25">
      <c r="A2671" s="313" t="s">
        <v>980</v>
      </c>
      <c r="B2671" s="313" t="s">
        <v>19</v>
      </c>
      <c r="C2671" s="313" t="s">
        <v>1471</v>
      </c>
      <c r="D2671" s="313" t="s">
        <v>35</v>
      </c>
      <c r="E2671" s="313" t="s">
        <v>24</v>
      </c>
    </row>
    <row r="2672" spans="1:5" x14ac:dyDescent="0.25">
      <c r="A2672" s="313" t="s">
        <v>980</v>
      </c>
      <c r="B2672" s="313" t="s">
        <v>19</v>
      </c>
      <c r="C2672" s="313" t="s">
        <v>1475</v>
      </c>
      <c r="D2672" s="313" t="s">
        <v>35</v>
      </c>
      <c r="E2672" s="313" t="s">
        <v>24</v>
      </c>
    </row>
    <row r="2673" spans="1:5" x14ac:dyDescent="0.25">
      <c r="A2673" s="313" t="s">
        <v>980</v>
      </c>
      <c r="B2673" s="313" t="s">
        <v>19</v>
      </c>
      <c r="C2673" s="313" t="s">
        <v>20</v>
      </c>
      <c r="D2673" s="313" t="s">
        <v>35</v>
      </c>
      <c r="E2673" s="313" t="s">
        <v>24</v>
      </c>
    </row>
    <row r="2674" spans="1:5" x14ac:dyDescent="0.25">
      <c r="A2674" s="313" t="s">
        <v>980</v>
      </c>
      <c r="B2674" s="313" t="s">
        <v>19</v>
      </c>
      <c r="C2674" s="313" t="s">
        <v>1487</v>
      </c>
      <c r="D2674" s="313" t="s">
        <v>35</v>
      </c>
      <c r="E2674" s="313" t="s">
        <v>24</v>
      </c>
    </row>
    <row r="2675" spans="1:5" x14ac:dyDescent="0.25">
      <c r="A2675" s="313" t="s">
        <v>980</v>
      </c>
      <c r="B2675" s="313" t="s">
        <v>19</v>
      </c>
      <c r="C2675" s="313" t="s">
        <v>1495</v>
      </c>
      <c r="D2675" s="313" t="s">
        <v>35</v>
      </c>
      <c r="E2675" s="313" t="s">
        <v>24</v>
      </c>
    </row>
    <row r="2676" spans="1:5" x14ac:dyDescent="0.25">
      <c r="A2676" s="313" t="s">
        <v>983</v>
      </c>
      <c r="B2676" s="313" t="s">
        <v>19</v>
      </c>
      <c r="C2676" s="313" t="s">
        <v>1466</v>
      </c>
      <c r="D2676" s="313" t="s">
        <v>35</v>
      </c>
      <c r="E2676" s="313" t="s">
        <v>24</v>
      </c>
    </row>
    <row r="2677" spans="1:5" x14ac:dyDescent="0.25">
      <c r="A2677" s="313" t="s">
        <v>983</v>
      </c>
      <c r="B2677" s="313" t="s">
        <v>19</v>
      </c>
      <c r="C2677" s="313" t="s">
        <v>1471</v>
      </c>
      <c r="D2677" s="313" t="s">
        <v>35</v>
      </c>
      <c r="E2677" s="313" t="s">
        <v>24</v>
      </c>
    </row>
    <row r="2678" spans="1:5" x14ac:dyDescent="0.25">
      <c r="A2678" s="313" t="s">
        <v>983</v>
      </c>
      <c r="B2678" s="313" t="s">
        <v>19</v>
      </c>
      <c r="C2678" s="313" t="s">
        <v>1475</v>
      </c>
      <c r="D2678" s="313" t="s">
        <v>35</v>
      </c>
      <c r="E2678" s="313" t="s">
        <v>24</v>
      </c>
    </row>
    <row r="2679" spans="1:5" x14ac:dyDescent="0.25">
      <c r="A2679" s="313" t="s">
        <v>983</v>
      </c>
      <c r="B2679" s="313" t="s">
        <v>19</v>
      </c>
      <c r="C2679" s="313" t="s">
        <v>20</v>
      </c>
      <c r="D2679" s="313" t="s">
        <v>35</v>
      </c>
      <c r="E2679" s="313" t="s">
        <v>24</v>
      </c>
    </row>
    <row r="2680" spans="1:5" x14ac:dyDescent="0.25">
      <c r="A2680" s="313" t="s">
        <v>983</v>
      </c>
      <c r="B2680" s="313" t="s">
        <v>19</v>
      </c>
      <c r="C2680" s="313" t="s">
        <v>1487</v>
      </c>
      <c r="D2680" s="313" t="s">
        <v>35</v>
      </c>
      <c r="E2680" s="313" t="s">
        <v>24</v>
      </c>
    </row>
    <row r="2681" spans="1:5" x14ac:dyDescent="0.25">
      <c r="A2681" s="313" t="s">
        <v>983</v>
      </c>
      <c r="B2681" s="313" t="s">
        <v>19</v>
      </c>
      <c r="C2681" s="313" t="s">
        <v>1495</v>
      </c>
      <c r="D2681" s="313" t="s">
        <v>35</v>
      </c>
      <c r="E2681" s="313" t="s">
        <v>24</v>
      </c>
    </row>
    <row r="2682" spans="1:5" x14ac:dyDescent="0.25">
      <c r="A2682" s="313" t="s">
        <v>985</v>
      </c>
      <c r="B2682" s="313" t="s">
        <v>19</v>
      </c>
      <c r="C2682" s="313" t="s">
        <v>1466</v>
      </c>
      <c r="D2682" s="313" t="s">
        <v>26</v>
      </c>
      <c r="E2682" s="313" t="s">
        <v>24</v>
      </c>
    </row>
    <row r="2683" spans="1:5" x14ac:dyDescent="0.25">
      <c r="A2683" s="313" t="s">
        <v>985</v>
      </c>
      <c r="B2683" s="313" t="s">
        <v>19</v>
      </c>
      <c r="C2683" s="313" t="s">
        <v>1471</v>
      </c>
      <c r="D2683" s="313" t="s">
        <v>26</v>
      </c>
      <c r="E2683" s="313" t="s">
        <v>24</v>
      </c>
    </row>
    <row r="2684" spans="1:5" x14ac:dyDescent="0.25">
      <c r="A2684" s="313" t="s">
        <v>985</v>
      </c>
      <c r="B2684" s="313" t="s">
        <v>19</v>
      </c>
      <c r="C2684" s="313" t="s">
        <v>1475</v>
      </c>
      <c r="D2684" s="313" t="s">
        <v>26</v>
      </c>
      <c r="E2684" s="313" t="s">
        <v>24</v>
      </c>
    </row>
    <row r="2685" spans="1:5" x14ac:dyDescent="0.25">
      <c r="A2685" s="313" t="s">
        <v>985</v>
      </c>
      <c r="B2685" s="313" t="s">
        <v>19</v>
      </c>
      <c r="C2685" s="313" t="s">
        <v>20</v>
      </c>
      <c r="D2685" s="313" t="s">
        <v>19</v>
      </c>
      <c r="E2685" s="313" t="s">
        <v>46</v>
      </c>
    </row>
    <row r="2686" spans="1:5" x14ac:dyDescent="0.25">
      <c r="A2686" s="313" t="s">
        <v>985</v>
      </c>
      <c r="B2686" s="313" t="s">
        <v>19</v>
      </c>
      <c r="C2686" s="313" t="s">
        <v>1487</v>
      </c>
      <c r="D2686" s="313" t="s">
        <v>19</v>
      </c>
      <c r="E2686" s="313" t="s">
        <v>1697</v>
      </c>
    </row>
    <row r="2687" spans="1:5" x14ac:dyDescent="0.25">
      <c r="A2687" s="313" t="s">
        <v>985</v>
      </c>
      <c r="B2687" s="313" t="s">
        <v>19</v>
      </c>
      <c r="C2687" s="313" t="s">
        <v>1495</v>
      </c>
      <c r="D2687" s="313" t="s">
        <v>35</v>
      </c>
      <c r="E2687" s="313" t="s">
        <v>24</v>
      </c>
    </row>
    <row r="2688" spans="1:5" x14ac:dyDescent="0.25">
      <c r="A2688" s="313" t="s">
        <v>985</v>
      </c>
      <c r="B2688" s="313" t="s">
        <v>26</v>
      </c>
      <c r="C2688" s="313" t="s">
        <v>1501</v>
      </c>
      <c r="D2688" s="313" t="s">
        <v>24</v>
      </c>
      <c r="E2688" s="313" t="s">
        <v>1697</v>
      </c>
    </row>
    <row r="2689" spans="1:5" x14ac:dyDescent="0.25">
      <c r="A2689" s="313" t="s">
        <v>985</v>
      </c>
      <c r="B2689" s="313" t="s">
        <v>26</v>
      </c>
      <c r="C2689" s="313" t="s">
        <v>1502</v>
      </c>
      <c r="D2689" s="313" t="s">
        <v>24</v>
      </c>
      <c r="E2689" s="313" t="s">
        <v>1697</v>
      </c>
    </row>
    <row r="2690" spans="1:5" x14ac:dyDescent="0.25">
      <c r="A2690" s="313" t="s">
        <v>985</v>
      </c>
      <c r="B2690" s="313" t="s">
        <v>26</v>
      </c>
      <c r="C2690" s="313" t="s">
        <v>1503</v>
      </c>
      <c r="D2690" s="313" t="s">
        <v>24</v>
      </c>
      <c r="E2690" s="313" t="s">
        <v>1698</v>
      </c>
    </row>
    <row r="2691" spans="1:5" x14ac:dyDescent="0.25">
      <c r="A2691" s="313" t="s">
        <v>985</v>
      </c>
      <c r="B2691" s="313" t="s">
        <v>26</v>
      </c>
      <c r="C2691" s="313" t="s">
        <v>2929</v>
      </c>
      <c r="D2691" s="313" t="s">
        <v>24</v>
      </c>
      <c r="E2691" s="313" t="s">
        <v>1698</v>
      </c>
    </row>
    <row r="2692" spans="1:5" x14ac:dyDescent="0.25">
      <c r="A2692" s="313" t="s">
        <v>985</v>
      </c>
      <c r="B2692" s="313" t="s">
        <v>26</v>
      </c>
      <c r="C2692" s="313" t="s">
        <v>2930</v>
      </c>
      <c r="D2692" s="313" t="s">
        <v>24</v>
      </c>
      <c r="E2692" s="313" t="s">
        <v>35</v>
      </c>
    </row>
    <row r="2693" spans="1:5" x14ac:dyDescent="0.25">
      <c r="A2693" s="313" t="s">
        <v>985</v>
      </c>
      <c r="B2693" s="313" t="s">
        <v>26</v>
      </c>
      <c r="C2693" s="313" t="s">
        <v>1506</v>
      </c>
      <c r="D2693" s="313" t="s">
        <v>24</v>
      </c>
      <c r="E2693" s="313" t="s">
        <v>1697</v>
      </c>
    </row>
    <row r="2694" spans="1:5" x14ac:dyDescent="0.25">
      <c r="A2694" s="313" t="s">
        <v>985</v>
      </c>
      <c r="B2694" s="313" t="s">
        <v>26</v>
      </c>
      <c r="C2694" s="313" t="s">
        <v>1507</v>
      </c>
      <c r="D2694" s="313" t="s">
        <v>24</v>
      </c>
      <c r="E2694" s="313" t="s">
        <v>1697</v>
      </c>
    </row>
    <row r="2695" spans="1:5" x14ac:dyDescent="0.25">
      <c r="A2695" s="313" t="s">
        <v>985</v>
      </c>
      <c r="B2695" s="313" t="s">
        <v>26</v>
      </c>
      <c r="C2695" s="313" t="s">
        <v>1508</v>
      </c>
      <c r="D2695" s="313" t="s">
        <v>24</v>
      </c>
      <c r="E2695" s="313" t="s">
        <v>46</v>
      </c>
    </row>
    <row r="2696" spans="1:5" x14ac:dyDescent="0.25">
      <c r="A2696" s="313" t="s">
        <v>988</v>
      </c>
      <c r="B2696" s="313" t="s">
        <v>19</v>
      </c>
      <c r="C2696" s="313" t="s">
        <v>1466</v>
      </c>
      <c r="D2696" s="313" t="s">
        <v>35</v>
      </c>
      <c r="E2696" s="313" t="s">
        <v>24</v>
      </c>
    </row>
    <row r="2697" spans="1:5" x14ac:dyDescent="0.25">
      <c r="A2697" s="313" t="s">
        <v>988</v>
      </c>
      <c r="B2697" s="313" t="s">
        <v>19</v>
      </c>
      <c r="C2697" s="313" t="s">
        <v>1471</v>
      </c>
      <c r="D2697" s="313" t="s">
        <v>35</v>
      </c>
      <c r="E2697" s="313" t="s">
        <v>24</v>
      </c>
    </row>
    <row r="2698" spans="1:5" x14ac:dyDescent="0.25">
      <c r="A2698" s="313" t="s">
        <v>988</v>
      </c>
      <c r="B2698" s="313" t="s">
        <v>19</v>
      </c>
      <c r="C2698" s="313" t="s">
        <v>1475</v>
      </c>
      <c r="D2698" s="313" t="s">
        <v>35</v>
      </c>
      <c r="E2698" s="313" t="s">
        <v>24</v>
      </c>
    </row>
    <row r="2699" spans="1:5" x14ac:dyDescent="0.25">
      <c r="A2699" s="313" t="s">
        <v>988</v>
      </c>
      <c r="B2699" s="313" t="s">
        <v>19</v>
      </c>
      <c r="C2699" s="313" t="s">
        <v>20</v>
      </c>
      <c r="D2699" s="313" t="s">
        <v>35</v>
      </c>
      <c r="E2699" s="313" t="s">
        <v>24</v>
      </c>
    </row>
    <row r="2700" spans="1:5" x14ac:dyDescent="0.25">
      <c r="A2700" s="313" t="s">
        <v>988</v>
      </c>
      <c r="B2700" s="313" t="s">
        <v>19</v>
      </c>
      <c r="C2700" s="313" t="s">
        <v>1487</v>
      </c>
      <c r="D2700" s="313" t="s">
        <v>35</v>
      </c>
      <c r="E2700" s="313" t="s">
        <v>24</v>
      </c>
    </row>
    <row r="2701" spans="1:5" x14ac:dyDescent="0.25">
      <c r="A2701" s="313" t="s">
        <v>988</v>
      </c>
      <c r="B2701" s="313" t="s">
        <v>19</v>
      </c>
      <c r="C2701" s="313" t="s">
        <v>1495</v>
      </c>
      <c r="D2701" s="313" t="s">
        <v>35</v>
      </c>
      <c r="E2701" s="313" t="s">
        <v>24</v>
      </c>
    </row>
    <row r="2702" spans="1:5" x14ac:dyDescent="0.25">
      <c r="A2702" s="313" t="s">
        <v>991</v>
      </c>
      <c r="B2702" s="313" t="s">
        <v>19</v>
      </c>
      <c r="C2702" s="313" t="s">
        <v>1466</v>
      </c>
      <c r="D2702" s="313" t="s">
        <v>35</v>
      </c>
      <c r="E2702" s="313" t="s">
        <v>24</v>
      </c>
    </row>
    <row r="2703" spans="1:5" x14ac:dyDescent="0.25">
      <c r="A2703" s="313" t="s">
        <v>991</v>
      </c>
      <c r="B2703" s="313" t="s">
        <v>19</v>
      </c>
      <c r="C2703" s="313" t="s">
        <v>1471</v>
      </c>
      <c r="D2703" s="313" t="s">
        <v>35</v>
      </c>
      <c r="E2703" s="313" t="s">
        <v>24</v>
      </c>
    </row>
    <row r="2704" spans="1:5" x14ac:dyDescent="0.25">
      <c r="A2704" s="313" t="s">
        <v>991</v>
      </c>
      <c r="B2704" s="313" t="s">
        <v>19</v>
      </c>
      <c r="C2704" s="313" t="s">
        <v>1475</v>
      </c>
      <c r="D2704" s="313" t="s">
        <v>26</v>
      </c>
      <c r="E2704" s="313" t="s">
        <v>24</v>
      </c>
    </row>
    <row r="2705" spans="1:5" x14ac:dyDescent="0.25">
      <c r="A2705" s="313" t="s">
        <v>991</v>
      </c>
      <c r="B2705" s="313" t="s">
        <v>19</v>
      </c>
      <c r="C2705" s="313" t="s">
        <v>20</v>
      </c>
      <c r="D2705" s="313" t="s">
        <v>35</v>
      </c>
      <c r="E2705" s="313" t="s">
        <v>24</v>
      </c>
    </row>
    <row r="2706" spans="1:5" x14ac:dyDescent="0.25">
      <c r="A2706" s="313" t="s">
        <v>991</v>
      </c>
      <c r="B2706" s="313" t="s">
        <v>19</v>
      </c>
      <c r="C2706" s="313" t="s">
        <v>1487</v>
      </c>
      <c r="D2706" s="313" t="s">
        <v>26</v>
      </c>
      <c r="E2706" s="313" t="s">
        <v>24</v>
      </c>
    </row>
    <row r="2707" spans="1:5" x14ac:dyDescent="0.25">
      <c r="A2707" s="313" t="s">
        <v>991</v>
      </c>
      <c r="B2707" s="313" t="s">
        <v>19</v>
      </c>
      <c r="C2707" s="313" t="s">
        <v>1495</v>
      </c>
      <c r="D2707" s="313" t="s">
        <v>35</v>
      </c>
      <c r="E2707" s="313" t="s">
        <v>24</v>
      </c>
    </row>
    <row r="2708" spans="1:5" x14ac:dyDescent="0.25">
      <c r="A2708" s="313" t="s">
        <v>991</v>
      </c>
      <c r="B2708" s="313" t="s">
        <v>26</v>
      </c>
      <c r="C2708" s="313" t="s">
        <v>1506</v>
      </c>
      <c r="D2708" s="313" t="s">
        <v>24</v>
      </c>
      <c r="E2708" s="313" t="s">
        <v>993</v>
      </c>
    </row>
    <row r="2709" spans="1:5" x14ac:dyDescent="0.25">
      <c r="A2709" s="313" t="s">
        <v>991</v>
      </c>
      <c r="B2709" s="313" t="s">
        <v>26</v>
      </c>
      <c r="C2709" s="313" t="s">
        <v>1507</v>
      </c>
      <c r="D2709" s="313" t="s">
        <v>24</v>
      </c>
      <c r="E2709" s="313" t="s">
        <v>993</v>
      </c>
    </row>
    <row r="2710" spans="1:5" x14ac:dyDescent="0.25">
      <c r="A2710" s="313" t="s">
        <v>991</v>
      </c>
      <c r="B2710" s="313" t="s">
        <v>26</v>
      </c>
      <c r="C2710" s="313" t="s">
        <v>1508</v>
      </c>
      <c r="D2710" s="313" t="s">
        <v>24</v>
      </c>
      <c r="E2710" s="313" t="s">
        <v>46</v>
      </c>
    </row>
    <row r="2711" spans="1:5" x14ac:dyDescent="0.25">
      <c r="A2711" s="313" t="s">
        <v>991</v>
      </c>
      <c r="B2711" s="313" t="s">
        <v>26</v>
      </c>
      <c r="C2711" s="313" t="s">
        <v>1514</v>
      </c>
      <c r="D2711" s="313" t="s">
        <v>24</v>
      </c>
      <c r="E2711" s="313" t="s">
        <v>993</v>
      </c>
    </row>
    <row r="2712" spans="1:5" x14ac:dyDescent="0.25">
      <c r="A2712" s="313" t="s">
        <v>991</v>
      </c>
      <c r="B2712" s="313" t="s">
        <v>26</v>
      </c>
      <c r="C2712" s="313" t="s">
        <v>1515</v>
      </c>
      <c r="D2712" s="313" t="s">
        <v>24</v>
      </c>
      <c r="E2712" s="313" t="s">
        <v>993</v>
      </c>
    </row>
    <row r="2713" spans="1:5" x14ac:dyDescent="0.25">
      <c r="A2713" s="313" t="s">
        <v>991</v>
      </c>
      <c r="B2713" s="313" t="s">
        <v>26</v>
      </c>
      <c r="C2713" s="313" t="s">
        <v>1516</v>
      </c>
      <c r="D2713" s="313" t="s">
        <v>24</v>
      </c>
      <c r="E2713" s="313" t="s">
        <v>993</v>
      </c>
    </row>
    <row r="2714" spans="1:5" x14ac:dyDescent="0.25">
      <c r="A2714" s="313" t="s">
        <v>991</v>
      </c>
      <c r="B2714" s="313" t="s">
        <v>26</v>
      </c>
      <c r="C2714" s="313" t="s">
        <v>1517</v>
      </c>
      <c r="D2714" s="313" t="s">
        <v>24</v>
      </c>
      <c r="E2714" s="313" t="s">
        <v>993</v>
      </c>
    </row>
    <row r="2715" spans="1:5" x14ac:dyDescent="0.25">
      <c r="A2715" s="313" t="s">
        <v>991</v>
      </c>
      <c r="B2715" s="313" t="s">
        <v>26</v>
      </c>
      <c r="C2715" s="313" t="s">
        <v>1518</v>
      </c>
      <c r="D2715" s="313" t="s">
        <v>24</v>
      </c>
      <c r="E2715" s="313" t="s">
        <v>993</v>
      </c>
    </row>
    <row r="2716" spans="1:5" x14ac:dyDescent="0.25">
      <c r="A2716" s="313" t="s">
        <v>991</v>
      </c>
      <c r="B2716" s="313" t="s">
        <v>26</v>
      </c>
      <c r="C2716" s="313" t="s">
        <v>1519</v>
      </c>
      <c r="D2716" s="313" t="s">
        <v>24</v>
      </c>
      <c r="E2716" s="313" t="s">
        <v>993</v>
      </c>
    </row>
    <row r="2717" spans="1:5" x14ac:dyDescent="0.25">
      <c r="A2717" s="313" t="s">
        <v>994</v>
      </c>
      <c r="B2717" s="313" t="s">
        <v>19</v>
      </c>
      <c r="C2717" s="313" t="s">
        <v>1466</v>
      </c>
      <c r="D2717" s="313" t="s">
        <v>35</v>
      </c>
      <c r="E2717" s="313" t="s">
        <v>24</v>
      </c>
    </row>
    <row r="2718" spans="1:5" x14ac:dyDescent="0.25">
      <c r="A2718" s="313" t="s">
        <v>994</v>
      </c>
      <c r="B2718" s="313" t="s">
        <v>19</v>
      </c>
      <c r="C2718" s="313" t="s">
        <v>1471</v>
      </c>
      <c r="D2718" s="313" t="s">
        <v>35</v>
      </c>
      <c r="E2718" s="313" t="s">
        <v>24</v>
      </c>
    </row>
    <row r="2719" spans="1:5" x14ac:dyDescent="0.25">
      <c r="A2719" s="313" t="s">
        <v>994</v>
      </c>
      <c r="B2719" s="313" t="s">
        <v>19</v>
      </c>
      <c r="C2719" s="313" t="s">
        <v>1475</v>
      </c>
      <c r="D2719" s="313" t="s">
        <v>35</v>
      </c>
      <c r="E2719" s="313" t="s">
        <v>24</v>
      </c>
    </row>
    <row r="2720" spans="1:5" x14ac:dyDescent="0.25">
      <c r="A2720" s="313" t="s">
        <v>994</v>
      </c>
      <c r="B2720" s="313" t="s">
        <v>19</v>
      </c>
      <c r="C2720" s="313" t="s">
        <v>20</v>
      </c>
      <c r="D2720" s="313" t="s">
        <v>35</v>
      </c>
      <c r="E2720" s="313" t="s">
        <v>24</v>
      </c>
    </row>
    <row r="2721" spans="1:5" x14ac:dyDescent="0.25">
      <c r="A2721" s="313" t="s">
        <v>994</v>
      </c>
      <c r="B2721" s="313" t="s">
        <v>19</v>
      </c>
      <c r="C2721" s="313" t="s">
        <v>1487</v>
      </c>
      <c r="D2721" s="313" t="s">
        <v>26</v>
      </c>
      <c r="E2721" s="313" t="s">
        <v>24</v>
      </c>
    </row>
    <row r="2722" spans="1:5" x14ac:dyDescent="0.25">
      <c r="A2722" s="313" t="s">
        <v>994</v>
      </c>
      <c r="B2722" s="313" t="s">
        <v>19</v>
      </c>
      <c r="C2722" s="313" t="s">
        <v>1495</v>
      </c>
      <c r="D2722" s="313" t="s">
        <v>35</v>
      </c>
      <c r="E2722" s="313" t="s">
        <v>24</v>
      </c>
    </row>
    <row r="2723" spans="1:5" x14ac:dyDescent="0.25">
      <c r="A2723" s="313" t="s">
        <v>994</v>
      </c>
      <c r="B2723" s="313" t="s">
        <v>26</v>
      </c>
      <c r="C2723" s="313" t="s">
        <v>1514</v>
      </c>
      <c r="D2723" s="313" t="s">
        <v>24</v>
      </c>
      <c r="E2723" s="313" t="s">
        <v>1699</v>
      </c>
    </row>
    <row r="2724" spans="1:5" x14ac:dyDescent="0.25">
      <c r="A2724" s="313" t="s">
        <v>994</v>
      </c>
      <c r="B2724" s="313" t="s">
        <v>26</v>
      </c>
      <c r="C2724" s="313" t="s">
        <v>1515</v>
      </c>
      <c r="D2724" s="313" t="s">
        <v>24</v>
      </c>
      <c r="E2724" s="313" t="s">
        <v>1699</v>
      </c>
    </row>
    <row r="2725" spans="1:5" x14ac:dyDescent="0.25">
      <c r="A2725" s="313" t="s">
        <v>994</v>
      </c>
      <c r="B2725" s="313" t="s">
        <v>26</v>
      </c>
      <c r="C2725" s="313" t="s">
        <v>1516</v>
      </c>
      <c r="D2725" s="313" t="s">
        <v>24</v>
      </c>
      <c r="E2725" s="313" t="s">
        <v>1699</v>
      </c>
    </row>
    <row r="2726" spans="1:5" x14ac:dyDescent="0.25">
      <c r="A2726" s="313" t="s">
        <v>994</v>
      </c>
      <c r="B2726" s="313" t="s">
        <v>26</v>
      </c>
      <c r="C2726" s="313" t="s">
        <v>1517</v>
      </c>
      <c r="D2726" s="313" t="s">
        <v>24</v>
      </c>
      <c r="E2726" s="313" t="s">
        <v>1699</v>
      </c>
    </row>
    <row r="2727" spans="1:5" x14ac:dyDescent="0.25">
      <c r="A2727" s="313" t="s">
        <v>994</v>
      </c>
      <c r="B2727" s="313" t="s">
        <v>26</v>
      </c>
      <c r="C2727" s="313" t="s">
        <v>1518</v>
      </c>
      <c r="D2727" s="313" t="s">
        <v>24</v>
      </c>
      <c r="E2727" s="313" t="s">
        <v>1699</v>
      </c>
    </row>
    <row r="2728" spans="1:5" x14ac:dyDescent="0.25">
      <c r="A2728" s="313" t="s">
        <v>994</v>
      </c>
      <c r="B2728" s="313" t="s">
        <v>26</v>
      </c>
      <c r="C2728" s="313" t="s">
        <v>1519</v>
      </c>
      <c r="D2728" s="313" t="s">
        <v>24</v>
      </c>
      <c r="E2728" s="313" t="s">
        <v>1699</v>
      </c>
    </row>
    <row r="2729" spans="1:5" x14ac:dyDescent="0.25">
      <c r="A2729" s="313" t="s">
        <v>997</v>
      </c>
      <c r="B2729" s="313" t="s">
        <v>19</v>
      </c>
      <c r="C2729" s="313" t="s">
        <v>1466</v>
      </c>
      <c r="D2729" s="313" t="s">
        <v>35</v>
      </c>
      <c r="E2729" s="313" t="s">
        <v>24</v>
      </c>
    </row>
    <row r="2730" spans="1:5" x14ac:dyDescent="0.25">
      <c r="A2730" s="313" t="s">
        <v>997</v>
      </c>
      <c r="B2730" s="313" t="s">
        <v>19</v>
      </c>
      <c r="C2730" s="313" t="s">
        <v>1471</v>
      </c>
      <c r="D2730" s="313" t="s">
        <v>35</v>
      </c>
      <c r="E2730" s="313" t="s">
        <v>24</v>
      </c>
    </row>
    <row r="2731" spans="1:5" x14ac:dyDescent="0.25">
      <c r="A2731" s="313" t="s">
        <v>997</v>
      </c>
      <c r="B2731" s="313" t="s">
        <v>19</v>
      </c>
      <c r="C2731" s="313" t="s">
        <v>1475</v>
      </c>
      <c r="D2731" s="313" t="s">
        <v>35</v>
      </c>
      <c r="E2731" s="313" t="s">
        <v>24</v>
      </c>
    </row>
    <row r="2732" spans="1:5" x14ac:dyDescent="0.25">
      <c r="A2732" s="313" t="s">
        <v>997</v>
      </c>
      <c r="B2732" s="313" t="s">
        <v>19</v>
      </c>
      <c r="C2732" s="313" t="s">
        <v>20</v>
      </c>
      <c r="D2732" s="313" t="s">
        <v>35</v>
      </c>
      <c r="E2732" s="313" t="s">
        <v>24</v>
      </c>
    </row>
    <row r="2733" spans="1:5" x14ac:dyDescent="0.25">
      <c r="A2733" s="313" t="s">
        <v>997</v>
      </c>
      <c r="B2733" s="313" t="s">
        <v>19</v>
      </c>
      <c r="C2733" s="313" t="s">
        <v>1487</v>
      </c>
      <c r="D2733" s="313" t="s">
        <v>35</v>
      </c>
      <c r="E2733" s="313" t="s">
        <v>24</v>
      </c>
    </row>
    <row r="2734" spans="1:5" x14ac:dyDescent="0.25">
      <c r="A2734" s="313" t="s">
        <v>997</v>
      </c>
      <c r="B2734" s="313" t="s">
        <v>19</v>
      </c>
      <c r="C2734" s="313" t="s">
        <v>1495</v>
      </c>
      <c r="D2734" s="313" t="s">
        <v>35</v>
      </c>
      <c r="E2734" s="313" t="s">
        <v>24</v>
      </c>
    </row>
    <row r="2735" spans="1:5" x14ac:dyDescent="0.25">
      <c r="A2735" s="313" t="s">
        <v>1000</v>
      </c>
      <c r="B2735" s="313" t="s">
        <v>51</v>
      </c>
      <c r="C2735" s="313" t="s">
        <v>24</v>
      </c>
      <c r="D2735" s="313" t="s">
        <v>24</v>
      </c>
      <c r="E2735" s="313" t="s">
        <v>1001</v>
      </c>
    </row>
    <row r="2736" spans="1:5" x14ac:dyDescent="0.25">
      <c r="A2736" s="313" t="s">
        <v>1000</v>
      </c>
      <c r="B2736" s="313" t="s">
        <v>19</v>
      </c>
      <c r="C2736" s="313" t="s">
        <v>1466</v>
      </c>
      <c r="D2736" s="313" t="s">
        <v>51</v>
      </c>
      <c r="E2736" s="313" t="s">
        <v>24</v>
      </c>
    </row>
    <row r="2737" spans="1:5" x14ac:dyDescent="0.25">
      <c r="A2737" s="313" t="s">
        <v>1000</v>
      </c>
      <c r="B2737" s="313" t="s">
        <v>19</v>
      </c>
      <c r="C2737" s="313" t="s">
        <v>1471</v>
      </c>
      <c r="D2737" s="313" t="s">
        <v>51</v>
      </c>
      <c r="E2737" s="313" t="s">
        <v>24</v>
      </c>
    </row>
    <row r="2738" spans="1:5" x14ac:dyDescent="0.25">
      <c r="A2738" s="313" t="s">
        <v>1000</v>
      </c>
      <c r="B2738" s="313" t="s">
        <v>19</v>
      </c>
      <c r="C2738" s="313" t="s">
        <v>1475</v>
      </c>
      <c r="D2738" s="313" t="s">
        <v>51</v>
      </c>
      <c r="E2738" s="313" t="s">
        <v>24</v>
      </c>
    </row>
    <row r="2739" spans="1:5" x14ac:dyDescent="0.25">
      <c r="A2739" s="313" t="s">
        <v>1000</v>
      </c>
      <c r="B2739" s="313" t="s">
        <v>19</v>
      </c>
      <c r="C2739" s="313" t="s">
        <v>20</v>
      </c>
      <c r="D2739" s="313" t="s">
        <v>51</v>
      </c>
      <c r="E2739" s="313" t="s">
        <v>24</v>
      </c>
    </row>
    <row r="2740" spans="1:5" x14ac:dyDescent="0.25">
      <c r="A2740" s="313" t="s">
        <v>1000</v>
      </c>
      <c r="B2740" s="313" t="s">
        <v>19</v>
      </c>
      <c r="C2740" s="313" t="s">
        <v>1487</v>
      </c>
      <c r="D2740" s="313" t="s">
        <v>51</v>
      </c>
      <c r="E2740" s="313" t="s">
        <v>24</v>
      </c>
    </row>
    <row r="2741" spans="1:5" x14ac:dyDescent="0.25">
      <c r="A2741" s="313" t="s">
        <v>1000</v>
      </c>
      <c r="B2741" s="313" t="s">
        <v>19</v>
      </c>
      <c r="C2741" s="313" t="s">
        <v>1495</v>
      </c>
      <c r="D2741" s="313" t="s">
        <v>51</v>
      </c>
      <c r="E2741" s="313" t="s">
        <v>24</v>
      </c>
    </row>
    <row r="2742" spans="1:5" x14ac:dyDescent="0.25">
      <c r="A2742" s="313" t="s">
        <v>1004</v>
      </c>
      <c r="B2742" s="313" t="s">
        <v>19</v>
      </c>
      <c r="C2742" s="313" t="s">
        <v>1466</v>
      </c>
      <c r="D2742" s="313" t="s">
        <v>26</v>
      </c>
      <c r="E2742" s="313" t="s">
        <v>24</v>
      </c>
    </row>
    <row r="2743" spans="1:5" x14ac:dyDescent="0.25">
      <c r="A2743" s="313" t="s">
        <v>1004</v>
      </c>
      <c r="B2743" s="313" t="s">
        <v>19</v>
      </c>
      <c r="C2743" s="313" t="s">
        <v>1471</v>
      </c>
      <c r="D2743" s="313" t="s">
        <v>26</v>
      </c>
      <c r="E2743" s="313" t="s">
        <v>24</v>
      </c>
    </row>
    <row r="2744" spans="1:5" x14ac:dyDescent="0.25">
      <c r="A2744" s="313" t="s">
        <v>1004</v>
      </c>
      <c r="B2744" s="313" t="s">
        <v>19</v>
      </c>
      <c r="C2744" s="313" t="s">
        <v>1475</v>
      </c>
      <c r="D2744" s="313" t="s">
        <v>19</v>
      </c>
      <c r="E2744" s="313" t="s">
        <v>1701</v>
      </c>
    </row>
    <row r="2745" spans="1:5" x14ac:dyDescent="0.25">
      <c r="A2745" s="313" t="s">
        <v>1004</v>
      </c>
      <c r="B2745" s="313" t="s">
        <v>19</v>
      </c>
      <c r="C2745" s="313" t="s">
        <v>20</v>
      </c>
      <c r="D2745" s="313" t="s">
        <v>19</v>
      </c>
      <c r="E2745" s="313" t="s">
        <v>1005</v>
      </c>
    </row>
    <row r="2746" spans="1:5" x14ac:dyDescent="0.25">
      <c r="A2746" s="313" t="s">
        <v>1004</v>
      </c>
      <c r="B2746" s="313" t="s">
        <v>19</v>
      </c>
      <c r="C2746" s="313" t="s">
        <v>1487</v>
      </c>
      <c r="D2746" s="313" t="s">
        <v>26</v>
      </c>
      <c r="E2746" s="313" t="s">
        <v>24</v>
      </c>
    </row>
    <row r="2747" spans="1:5" x14ac:dyDescent="0.25">
      <c r="A2747" s="313" t="s">
        <v>1004</v>
      </c>
      <c r="B2747" s="313" t="s">
        <v>19</v>
      </c>
      <c r="C2747" s="313" t="s">
        <v>1495</v>
      </c>
      <c r="D2747" s="313" t="s">
        <v>35</v>
      </c>
      <c r="E2747" s="313" t="s">
        <v>24</v>
      </c>
    </row>
    <row r="2748" spans="1:5" x14ac:dyDescent="0.25">
      <c r="A2748" s="313" t="s">
        <v>1004</v>
      </c>
      <c r="B2748" s="313" t="s">
        <v>26</v>
      </c>
      <c r="C2748" s="313" t="s">
        <v>1501</v>
      </c>
      <c r="D2748" s="313" t="s">
        <v>24</v>
      </c>
      <c r="E2748" s="313" t="s">
        <v>1700</v>
      </c>
    </row>
    <row r="2749" spans="1:5" x14ac:dyDescent="0.25">
      <c r="A2749" s="313" t="s">
        <v>1004</v>
      </c>
      <c r="B2749" s="313" t="s">
        <v>26</v>
      </c>
      <c r="C2749" s="313" t="s">
        <v>1502</v>
      </c>
      <c r="D2749" s="313" t="s">
        <v>24</v>
      </c>
      <c r="E2749" s="313" t="s">
        <v>1005</v>
      </c>
    </row>
    <row r="2750" spans="1:5" x14ac:dyDescent="0.25">
      <c r="A2750" s="313" t="s">
        <v>1004</v>
      </c>
      <c r="B2750" s="313" t="s">
        <v>26</v>
      </c>
      <c r="C2750" s="313" t="s">
        <v>1503</v>
      </c>
      <c r="D2750" s="313" t="s">
        <v>24</v>
      </c>
      <c r="E2750" s="313" t="s">
        <v>1700</v>
      </c>
    </row>
    <row r="2751" spans="1:5" x14ac:dyDescent="0.25">
      <c r="A2751" s="313" t="s">
        <v>1004</v>
      </c>
      <c r="B2751" s="313" t="s">
        <v>26</v>
      </c>
      <c r="C2751" s="313" t="s">
        <v>2929</v>
      </c>
      <c r="D2751" s="313" t="s">
        <v>24</v>
      </c>
      <c r="E2751" s="313" t="s">
        <v>1005</v>
      </c>
    </row>
    <row r="2752" spans="1:5" x14ac:dyDescent="0.25">
      <c r="A2752" s="313" t="s">
        <v>1004</v>
      </c>
      <c r="B2752" s="313" t="s">
        <v>26</v>
      </c>
      <c r="C2752" s="313" t="s">
        <v>2930</v>
      </c>
      <c r="D2752" s="313" t="s">
        <v>24</v>
      </c>
      <c r="E2752" s="313" t="s">
        <v>35</v>
      </c>
    </row>
    <row r="2753" spans="1:5" x14ac:dyDescent="0.25">
      <c r="A2753" s="313" t="s">
        <v>1004</v>
      </c>
      <c r="B2753" s="313" t="s">
        <v>26</v>
      </c>
      <c r="C2753" s="313" t="s">
        <v>1514</v>
      </c>
      <c r="D2753" s="313" t="s">
        <v>24</v>
      </c>
      <c r="E2753" s="313" t="s">
        <v>1005</v>
      </c>
    </row>
    <row r="2754" spans="1:5" x14ac:dyDescent="0.25">
      <c r="A2754" s="313" t="s">
        <v>1004</v>
      </c>
      <c r="B2754" s="313" t="s">
        <v>26</v>
      </c>
      <c r="C2754" s="313" t="s">
        <v>1515</v>
      </c>
      <c r="D2754" s="313" t="s">
        <v>24</v>
      </c>
      <c r="E2754" s="313" t="s">
        <v>1005</v>
      </c>
    </row>
    <row r="2755" spans="1:5" x14ac:dyDescent="0.25">
      <c r="A2755" s="313" t="s">
        <v>1004</v>
      </c>
      <c r="B2755" s="313" t="s">
        <v>26</v>
      </c>
      <c r="C2755" s="313" t="s">
        <v>1516</v>
      </c>
      <c r="D2755" s="313" t="s">
        <v>24</v>
      </c>
      <c r="E2755" s="313" t="s">
        <v>1005</v>
      </c>
    </row>
    <row r="2756" spans="1:5" x14ac:dyDescent="0.25">
      <c r="A2756" s="313" t="s">
        <v>1004</v>
      </c>
      <c r="B2756" s="313" t="s">
        <v>26</v>
      </c>
      <c r="C2756" s="313" t="s">
        <v>1517</v>
      </c>
      <c r="D2756" s="313" t="s">
        <v>24</v>
      </c>
      <c r="E2756" s="313" t="s">
        <v>1005</v>
      </c>
    </row>
    <row r="2757" spans="1:5" x14ac:dyDescent="0.25">
      <c r="A2757" s="313" t="s">
        <v>1004</v>
      </c>
      <c r="B2757" s="313" t="s">
        <v>26</v>
      </c>
      <c r="C2757" s="313" t="s">
        <v>1518</v>
      </c>
      <c r="D2757" s="313" t="s">
        <v>24</v>
      </c>
      <c r="E2757" s="313" t="s">
        <v>1005</v>
      </c>
    </row>
    <row r="2758" spans="1:5" x14ac:dyDescent="0.25">
      <c r="A2758" s="313" t="s">
        <v>1004</v>
      </c>
      <c r="B2758" s="313" t="s">
        <v>26</v>
      </c>
      <c r="C2758" s="313" t="s">
        <v>1519</v>
      </c>
      <c r="D2758" s="313" t="s">
        <v>24</v>
      </c>
      <c r="E2758" s="313" t="s">
        <v>1005</v>
      </c>
    </row>
    <row r="2759" spans="1:5" x14ac:dyDescent="0.25">
      <c r="A2759" s="313" t="s">
        <v>1008</v>
      </c>
      <c r="B2759" s="313" t="s">
        <v>19</v>
      </c>
      <c r="C2759" s="313" t="s">
        <v>1466</v>
      </c>
      <c r="D2759" s="313" t="s">
        <v>35</v>
      </c>
      <c r="E2759" s="313" t="s">
        <v>24</v>
      </c>
    </row>
    <row r="2760" spans="1:5" x14ac:dyDescent="0.25">
      <c r="A2760" s="313" t="s">
        <v>1008</v>
      </c>
      <c r="B2760" s="313" t="s">
        <v>19</v>
      </c>
      <c r="C2760" s="313" t="s">
        <v>1471</v>
      </c>
      <c r="D2760" s="313" t="s">
        <v>35</v>
      </c>
      <c r="E2760" s="313" t="s">
        <v>24</v>
      </c>
    </row>
    <row r="2761" spans="1:5" x14ac:dyDescent="0.25">
      <c r="A2761" s="313" t="s">
        <v>1008</v>
      </c>
      <c r="B2761" s="313" t="s">
        <v>19</v>
      </c>
      <c r="C2761" s="313" t="s">
        <v>1475</v>
      </c>
      <c r="D2761" s="313" t="s">
        <v>35</v>
      </c>
      <c r="E2761" s="313" t="s">
        <v>24</v>
      </c>
    </row>
    <row r="2762" spans="1:5" x14ac:dyDescent="0.25">
      <c r="A2762" s="313" t="s">
        <v>1008</v>
      </c>
      <c r="B2762" s="313" t="s">
        <v>19</v>
      </c>
      <c r="C2762" s="313" t="s">
        <v>20</v>
      </c>
      <c r="D2762" s="313" t="s">
        <v>19</v>
      </c>
      <c r="E2762" s="313" t="s">
        <v>46</v>
      </c>
    </row>
    <row r="2763" spans="1:5" x14ac:dyDescent="0.25">
      <c r="A2763" s="313" t="s">
        <v>1008</v>
      </c>
      <c r="B2763" s="313" t="s">
        <v>19</v>
      </c>
      <c r="C2763" s="313" t="s">
        <v>1487</v>
      </c>
      <c r="D2763" s="313" t="s">
        <v>35</v>
      </c>
      <c r="E2763" s="313" t="s">
        <v>24</v>
      </c>
    </row>
    <row r="2764" spans="1:5" x14ac:dyDescent="0.25">
      <c r="A2764" s="313" t="s">
        <v>1008</v>
      </c>
      <c r="B2764" s="313" t="s">
        <v>19</v>
      </c>
      <c r="C2764" s="313" t="s">
        <v>1495</v>
      </c>
      <c r="D2764" s="313" t="s">
        <v>35</v>
      </c>
      <c r="E2764" s="313" t="s">
        <v>24</v>
      </c>
    </row>
    <row r="2765" spans="1:5" x14ac:dyDescent="0.25">
      <c r="A2765" s="313" t="s">
        <v>1012</v>
      </c>
      <c r="B2765" s="313" t="s">
        <v>19</v>
      </c>
      <c r="C2765" s="313" t="s">
        <v>1466</v>
      </c>
      <c r="D2765" s="313" t="s">
        <v>19</v>
      </c>
      <c r="E2765" s="313" t="s">
        <v>1702</v>
      </c>
    </row>
    <row r="2766" spans="1:5" x14ac:dyDescent="0.25">
      <c r="A2766" s="313" t="s">
        <v>1012</v>
      </c>
      <c r="B2766" s="313" t="s">
        <v>19</v>
      </c>
      <c r="C2766" s="313" t="s">
        <v>1471</v>
      </c>
      <c r="D2766" s="313" t="s">
        <v>26</v>
      </c>
      <c r="E2766" s="313" t="s">
        <v>24</v>
      </c>
    </row>
    <row r="2767" spans="1:5" x14ac:dyDescent="0.25">
      <c r="A2767" s="313" t="s">
        <v>1012</v>
      </c>
      <c r="B2767" s="313" t="s">
        <v>19</v>
      </c>
      <c r="C2767" s="313" t="s">
        <v>1475</v>
      </c>
      <c r="D2767" s="313" t="s">
        <v>19</v>
      </c>
      <c r="E2767" s="313" t="s">
        <v>46</v>
      </c>
    </row>
    <row r="2768" spans="1:5" x14ac:dyDescent="0.25">
      <c r="A2768" s="313" t="s">
        <v>1012</v>
      </c>
      <c r="B2768" s="313" t="s">
        <v>19</v>
      </c>
      <c r="C2768" s="313" t="s">
        <v>20</v>
      </c>
      <c r="D2768" s="313" t="s">
        <v>19</v>
      </c>
      <c r="E2768" s="313" t="s">
        <v>46</v>
      </c>
    </row>
    <row r="2769" spans="1:5" x14ac:dyDescent="0.25">
      <c r="A2769" s="313" t="s">
        <v>1012</v>
      </c>
      <c r="B2769" s="313" t="s">
        <v>19</v>
      </c>
      <c r="C2769" s="313" t="s">
        <v>1487</v>
      </c>
      <c r="D2769" s="313" t="s">
        <v>26</v>
      </c>
      <c r="E2769" s="313" t="s">
        <v>24</v>
      </c>
    </row>
    <row r="2770" spans="1:5" x14ac:dyDescent="0.25">
      <c r="A2770" s="313" t="s">
        <v>1012</v>
      </c>
      <c r="B2770" s="313" t="s">
        <v>19</v>
      </c>
      <c r="C2770" s="313" t="s">
        <v>1495</v>
      </c>
      <c r="D2770" s="313" t="s">
        <v>35</v>
      </c>
      <c r="E2770" s="313" t="s">
        <v>24</v>
      </c>
    </row>
    <row r="2771" spans="1:5" x14ac:dyDescent="0.25">
      <c r="A2771" s="313" t="s">
        <v>1012</v>
      </c>
      <c r="B2771" s="313" t="s">
        <v>26</v>
      </c>
      <c r="C2771" s="313" t="s">
        <v>2929</v>
      </c>
      <c r="D2771" s="313" t="s">
        <v>24</v>
      </c>
      <c r="E2771" s="313" t="s">
        <v>1703</v>
      </c>
    </row>
    <row r="2772" spans="1:5" x14ac:dyDescent="0.25">
      <c r="A2772" s="313" t="s">
        <v>1012</v>
      </c>
      <c r="B2772" s="313" t="s">
        <v>26</v>
      </c>
      <c r="C2772" s="313" t="s">
        <v>2930</v>
      </c>
      <c r="D2772" s="313" t="s">
        <v>24</v>
      </c>
      <c r="E2772" s="313" t="s">
        <v>35</v>
      </c>
    </row>
    <row r="2773" spans="1:5" x14ac:dyDescent="0.25">
      <c r="A2773" s="313" t="s">
        <v>1012</v>
      </c>
      <c r="B2773" s="313" t="s">
        <v>26</v>
      </c>
      <c r="C2773" s="313" t="s">
        <v>1514</v>
      </c>
      <c r="D2773" s="313" t="s">
        <v>24</v>
      </c>
      <c r="E2773" s="313" t="s">
        <v>1703</v>
      </c>
    </row>
    <row r="2774" spans="1:5" x14ac:dyDescent="0.25">
      <c r="A2774" s="313" t="s">
        <v>1012</v>
      </c>
      <c r="B2774" s="313" t="s">
        <v>26</v>
      </c>
      <c r="C2774" s="313" t="s">
        <v>1515</v>
      </c>
      <c r="D2774" s="313" t="s">
        <v>24</v>
      </c>
      <c r="E2774" s="313" t="s">
        <v>1703</v>
      </c>
    </row>
    <row r="2775" spans="1:5" x14ac:dyDescent="0.25">
      <c r="A2775" s="313" t="s">
        <v>1012</v>
      </c>
      <c r="B2775" s="313" t="s">
        <v>26</v>
      </c>
      <c r="C2775" s="313" t="s">
        <v>1516</v>
      </c>
      <c r="D2775" s="313" t="s">
        <v>24</v>
      </c>
      <c r="E2775" s="313" t="s">
        <v>1703</v>
      </c>
    </row>
    <row r="2776" spans="1:5" x14ac:dyDescent="0.25">
      <c r="A2776" s="313" t="s">
        <v>1012</v>
      </c>
      <c r="B2776" s="313" t="s">
        <v>26</v>
      </c>
      <c r="C2776" s="313" t="s">
        <v>1517</v>
      </c>
      <c r="D2776" s="313" t="s">
        <v>24</v>
      </c>
      <c r="E2776" s="313" t="s">
        <v>1703</v>
      </c>
    </row>
    <row r="2777" spans="1:5" x14ac:dyDescent="0.25">
      <c r="A2777" s="313" t="s">
        <v>1012</v>
      </c>
      <c r="B2777" s="313" t="s">
        <v>26</v>
      </c>
      <c r="C2777" s="313" t="s">
        <v>1518</v>
      </c>
      <c r="D2777" s="313" t="s">
        <v>24</v>
      </c>
      <c r="E2777" s="313" t="s">
        <v>1702</v>
      </c>
    </row>
    <row r="2778" spans="1:5" x14ac:dyDescent="0.25">
      <c r="A2778" s="313" t="s">
        <v>1012</v>
      </c>
      <c r="B2778" s="313" t="s">
        <v>26</v>
      </c>
      <c r="C2778" s="313" t="s">
        <v>1519</v>
      </c>
      <c r="D2778" s="313" t="s">
        <v>24</v>
      </c>
      <c r="E2778" s="313" t="s">
        <v>1702</v>
      </c>
    </row>
    <row r="2779" spans="1:5" x14ac:dyDescent="0.25">
      <c r="A2779" s="313" t="s">
        <v>1015</v>
      </c>
      <c r="B2779" s="313" t="s">
        <v>51</v>
      </c>
      <c r="C2779" s="313" t="s">
        <v>24</v>
      </c>
      <c r="D2779" s="313" t="s">
        <v>24</v>
      </c>
      <c r="E2779" s="313" t="s">
        <v>1016</v>
      </c>
    </row>
    <row r="2780" spans="1:5" x14ac:dyDescent="0.25">
      <c r="A2780" s="313" t="s">
        <v>1015</v>
      </c>
      <c r="B2780" s="313" t="s">
        <v>19</v>
      </c>
      <c r="C2780" s="313" t="s">
        <v>1466</v>
      </c>
      <c r="D2780" s="313" t="s">
        <v>51</v>
      </c>
      <c r="E2780" s="313" t="s">
        <v>24</v>
      </c>
    </row>
    <row r="2781" spans="1:5" x14ac:dyDescent="0.25">
      <c r="A2781" s="313" t="s">
        <v>1015</v>
      </c>
      <c r="B2781" s="313" t="s">
        <v>19</v>
      </c>
      <c r="C2781" s="313" t="s">
        <v>1471</v>
      </c>
      <c r="D2781" s="313" t="s">
        <v>51</v>
      </c>
      <c r="E2781" s="313" t="s">
        <v>24</v>
      </c>
    </row>
    <row r="2782" spans="1:5" x14ac:dyDescent="0.25">
      <c r="A2782" s="313" t="s">
        <v>1015</v>
      </c>
      <c r="B2782" s="313" t="s">
        <v>19</v>
      </c>
      <c r="C2782" s="313" t="s">
        <v>1475</v>
      </c>
      <c r="D2782" s="313" t="s">
        <v>51</v>
      </c>
      <c r="E2782" s="313" t="s">
        <v>24</v>
      </c>
    </row>
    <row r="2783" spans="1:5" x14ac:dyDescent="0.25">
      <c r="A2783" s="313" t="s">
        <v>1015</v>
      </c>
      <c r="B2783" s="313" t="s">
        <v>19</v>
      </c>
      <c r="C2783" s="313" t="s">
        <v>20</v>
      </c>
      <c r="D2783" s="313" t="s">
        <v>51</v>
      </c>
      <c r="E2783" s="313" t="s">
        <v>24</v>
      </c>
    </row>
    <row r="2784" spans="1:5" x14ac:dyDescent="0.25">
      <c r="A2784" s="313" t="s">
        <v>1015</v>
      </c>
      <c r="B2784" s="313" t="s">
        <v>19</v>
      </c>
      <c r="C2784" s="313" t="s">
        <v>1487</v>
      </c>
      <c r="D2784" s="313" t="s">
        <v>51</v>
      </c>
      <c r="E2784" s="313" t="s">
        <v>24</v>
      </c>
    </row>
    <row r="2785" spans="1:5" x14ac:dyDescent="0.25">
      <c r="A2785" s="313" t="s">
        <v>1015</v>
      </c>
      <c r="B2785" s="313" t="s">
        <v>19</v>
      </c>
      <c r="C2785" s="313" t="s">
        <v>1495</v>
      </c>
      <c r="D2785" s="313" t="s">
        <v>51</v>
      </c>
      <c r="E2785" s="313" t="s">
        <v>24</v>
      </c>
    </row>
    <row r="2786" spans="1:5" x14ac:dyDescent="0.25">
      <c r="A2786" s="313" t="s">
        <v>1019</v>
      </c>
      <c r="B2786" s="313" t="s">
        <v>19</v>
      </c>
      <c r="C2786" s="313" t="s">
        <v>1466</v>
      </c>
      <c r="D2786" s="313" t="s">
        <v>35</v>
      </c>
      <c r="E2786" s="313" t="s">
        <v>24</v>
      </c>
    </row>
    <row r="2787" spans="1:5" x14ac:dyDescent="0.25">
      <c r="A2787" s="313" t="s">
        <v>1019</v>
      </c>
      <c r="B2787" s="313" t="s">
        <v>19</v>
      </c>
      <c r="C2787" s="313" t="s">
        <v>1471</v>
      </c>
      <c r="D2787" s="313" t="s">
        <v>35</v>
      </c>
      <c r="E2787" s="313" t="s">
        <v>24</v>
      </c>
    </row>
    <row r="2788" spans="1:5" x14ac:dyDescent="0.25">
      <c r="A2788" s="313" t="s">
        <v>1019</v>
      </c>
      <c r="B2788" s="313" t="s">
        <v>19</v>
      </c>
      <c r="C2788" s="313" t="s">
        <v>1475</v>
      </c>
      <c r="D2788" s="313" t="s">
        <v>35</v>
      </c>
      <c r="E2788" s="313" t="s">
        <v>24</v>
      </c>
    </row>
    <row r="2789" spans="1:5" x14ac:dyDescent="0.25">
      <c r="A2789" s="313" t="s">
        <v>1019</v>
      </c>
      <c r="B2789" s="313" t="s">
        <v>19</v>
      </c>
      <c r="C2789" s="313" t="s">
        <v>20</v>
      </c>
      <c r="D2789" s="313" t="s">
        <v>35</v>
      </c>
      <c r="E2789" s="313" t="s">
        <v>24</v>
      </c>
    </row>
    <row r="2790" spans="1:5" x14ac:dyDescent="0.25">
      <c r="A2790" s="313" t="s">
        <v>1019</v>
      </c>
      <c r="B2790" s="313" t="s">
        <v>19</v>
      </c>
      <c r="C2790" s="313" t="s">
        <v>1487</v>
      </c>
      <c r="D2790" s="313" t="s">
        <v>35</v>
      </c>
      <c r="E2790" s="313" t="s">
        <v>24</v>
      </c>
    </row>
    <row r="2791" spans="1:5" x14ac:dyDescent="0.25">
      <c r="A2791" s="313" t="s">
        <v>1019</v>
      </c>
      <c r="B2791" s="313" t="s">
        <v>19</v>
      </c>
      <c r="C2791" s="313" t="s">
        <v>1495</v>
      </c>
      <c r="D2791" s="313" t="s">
        <v>35</v>
      </c>
      <c r="E2791" s="313" t="s">
        <v>24</v>
      </c>
    </row>
    <row r="2792" spans="1:5" x14ac:dyDescent="0.25">
      <c r="A2792" s="313" t="s">
        <v>1022</v>
      </c>
      <c r="B2792" s="313" t="s">
        <v>51</v>
      </c>
      <c r="C2792" s="313" t="s">
        <v>24</v>
      </c>
      <c r="D2792" s="313" t="s">
        <v>24</v>
      </c>
      <c r="E2792" s="313" t="s">
        <v>1023</v>
      </c>
    </row>
    <row r="2793" spans="1:5" x14ac:dyDescent="0.25">
      <c r="A2793" s="313" t="s">
        <v>1022</v>
      </c>
      <c r="B2793" s="313" t="s">
        <v>19</v>
      </c>
      <c r="C2793" s="313" t="s">
        <v>1466</v>
      </c>
      <c r="D2793" s="313" t="s">
        <v>51</v>
      </c>
      <c r="E2793" s="313" t="s">
        <v>24</v>
      </c>
    </row>
    <row r="2794" spans="1:5" x14ac:dyDescent="0.25">
      <c r="A2794" s="313" t="s">
        <v>1022</v>
      </c>
      <c r="B2794" s="313" t="s">
        <v>19</v>
      </c>
      <c r="C2794" s="313" t="s">
        <v>1471</v>
      </c>
      <c r="D2794" s="313" t="s">
        <v>51</v>
      </c>
      <c r="E2794" s="313" t="s">
        <v>24</v>
      </c>
    </row>
    <row r="2795" spans="1:5" x14ac:dyDescent="0.25">
      <c r="A2795" s="313" t="s">
        <v>1022</v>
      </c>
      <c r="B2795" s="313" t="s">
        <v>19</v>
      </c>
      <c r="C2795" s="313" t="s">
        <v>1475</v>
      </c>
      <c r="D2795" s="313" t="s">
        <v>51</v>
      </c>
      <c r="E2795" s="313" t="s">
        <v>24</v>
      </c>
    </row>
    <row r="2796" spans="1:5" x14ac:dyDescent="0.25">
      <c r="A2796" s="313" t="s">
        <v>1022</v>
      </c>
      <c r="B2796" s="313" t="s">
        <v>19</v>
      </c>
      <c r="C2796" s="313" t="s">
        <v>20</v>
      </c>
      <c r="D2796" s="313" t="s">
        <v>51</v>
      </c>
      <c r="E2796" s="313" t="s">
        <v>24</v>
      </c>
    </row>
    <row r="2797" spans="1:5" x14ac:dyDescent="0.25">
      <c r="A2797" s="313" t="s">
        <v>1022</v>
      </c>
      <c r="B2797" s="313" t="s">
        <v>19</v>
      </c>
      <c r="C2797" s="313" t="s">
        <v>1487</v>
      </c>
      <c r="D2797" s="313" t="s">
        <v>51</v>
      </c>
      <c r="E2797" s="313" t="s">
        <v>24</v>
      </c>
    </row>
    <row r="2798" spans="1:5" x14ac:dyDescent="0.25">
      <c r="A2798" s="313" t="s">
        <v>1022</v>
      </c>
      <c r="B2798" s="313" t="s">
        <v>19</v>
      </c>
      <c r="C2798" s="313" t="s">
        <v>1495</v>
      </c>
      <c r="D2798" s="313" t="s">
        <v>51</v>
      </c>
      <c r="E2798" s="313" t="s">
        <v>24</v>
      </c>
    </row>
    <row r="2799" spans="1:5" x14ac:dyDescent="0.25">
      <c r="A2799" s="313" t="s">
        <v>1028</v>
      </c>
      <c r="B2799" s="313" t="s">
        <v>51</v>
      </c>
      <c r="C2799" s="313" t="s">
        <v>24</v>
      </c>
      <c r="D2799" s="313" t="s">
        <v>24</v>
      </c>
      <c r="E2799" s="313" t="s">
        <v>1029</v>
      </c>
    </row>
    <row r="2800" spans="1:5" x14ac:dyDescent="0.25">
      <c r="A2800" s="313" t="s">
        <v>1028</v>
      </c>
      <c r="B2800" s="313" t="s">
        <v>19</v>
      </c>
      <c r="C2800" s="313" t="s">
        <v>1466</v>
      </c>
      <c r="D2800" s="313" t="s">
        <v>51</v>
      </c>
      <c r="E2800" s="313" t="s">
        <v>24</v>
      </c>
    </row>
    <row r="2801" spans="1:5" x14ac:dyDescent="0.25">
      <c r="A2801" s="313" t="s">
        <v>1028</v>
      </c>
      <c r="B2801" s="313" t="s">
        <v>19</v>
      </c>
      <c r="C2801" s="313" t="s">
        <v>1471</v>
      </c>
      <c r="D2801" s="313" t="s">
        <v>51</v>
      </c>
      <c r="E2801" s="313" t="s">
        <v>24</v>
      </c>
    </row>
    <row r="2802" spans="1:5" x14ac:dyDescent="0.25">
      <c r="A2802" s="313" t="s">
        <v>1028</v>
      </c>
      <c r="B2802" s="313" t="s">
        <v>19</v>
      </c>
      <c r="C2802" s="313" t="s">
        <v>1475</v>
      </c>
      <c r="D2802" s="313" t="s">
        <v>51</v>
      </c>
      <c r="E2802" s="313" t="s">
        <v>24</v>
      </c>
    </row>
    <row r="2803" spans="1:5" x14ac:dyDescent="0.25">
      <c r="A2803" s="313" t="s">
        <v>1028</v>
      </c>
      <c r="B2803" s="313" t="s">
        <v>19</v>
      </c>
      <c r="C2803" s="313" t="s">
        <v>20</v>
      </c>
      <c r="D2803" s="313" t="s">
        <v>51</v>
      </c>
      <c r="E2803" s="313" t="s">
        <v>24</v>
      </c>
    </row>
    <row r="2804" spans="1:5" x14ac:dyDescent="0.25">
      <c r="A2804" s="313" t="s">
        <v>1028</v>
      </c>
      <c r="B2804" s="313" t="s">
        <v>19</v>
      </c>
      <c r="C2804" s="313" t="s">
        <v>1487</v>
      </c>
      <c r="D2804" s="313" t="s">
        <v>51</v>
      </c>
      <c r="E2804" s="313" t="s">
        <v>24</v>
      </c>
    </row>
    <row r="2805" spans="1:5" x14ac:dyDescent="0.25">
      <c r="A2805" s="313" t="s">
        <v>1028</v>
      </c>
      <c r="B2805" s="313" t="s">
        <v>19</v>
      </c>
      <c r="C2805" s="313" t="s">
        <v>1495</v>
      </c>
      <c r="D2805" s="313" t="s">
        <v>51</v>
      </c>
      <c r="E2805" s="313" t="s">
        <v>24</v>
      </c>
    </row>
    <row r="2806" spans="1:5" x14ac:dyDescent="0.25">
      <c r="A2806" s="313" t="s">
        <v>1032</v>
      </c>
      <c r="B2806" s="313" t="s">
        <v>51</v>
      </c>
      <c r="C2806" s="313" t="s">
        <v>24</v>
      </c>
      <c r="D2806" s="313" t="s">
        <v>24</v>
      </c>
      <c r="E2806" s="313" t="s">
        <v>1033</v>
      </c>
    </row>
    <row r="2807" spans="1:5" x14ac:dyDescent="0.25">
      <c r="A2807" s="313" t="s">
        <v>1032</v>
      </c>
      <c r="B2807" s="313" t="s">
        <v>19</v>
      </c>
      <c r="C2807" s="313" t="s">
        <v>1466</v>
      </c>
      <c r="D2807" s="313" t="s">
        <v>51</v>
      </c>
      <c r="E2807" s="313" t="s">
        <v>24</v>
      </c>
    </row>
    <row r="2808" spans="1:5" x14ac:dyDescent="0.25">
      <c r="A2808" s="313" t="s">
        <v>1032</v>
      </c>
      <c r="B2808" s="313" t="s">
        <v>19</v>
      </c>
      <c r="C2808" s="313" t="s">
        <v>1471</v>
      </c>
      <c r="D2808" s="313" t="s">
        <v>51</v>
      </c>
      <c r="E2808" s="313" t="s">
        <v>24</v>
      </c>
    </row>
    <row r="2809" spans="1:5" x14ac:dyDescent="0.25">
      <c r="A2809" s="313" t="s">
        <v>1032</v>
      </c>
      <c r="B2809" s="313" t="s">
        <v>19</v>
      </c>
      <c r="C2809" s="313" t="s">
        <v>1475</v>
      </c>
      <c r="D2809" s="313" t="s">
        <v>51</v>
      </c>
      <c r="E2809" s="313" t="s">
        <v>24</v>
      </c>
    </row>
    <row r="2810" spans="1:5" x14ac:dyDescent="0.25">
      <c r="A2810" s="313" t="s">
        <v>1032</v>
      </c>
      <c r="B2810" s="313" t="s">
        <v>19</v>
      </c>
      <c r="C2810" s="313" t="s">
        <v>20</v>
      </c>
      <c r="D2810" s="313" t="s">
        <v>51</v>
      </c>
      <c r="E2810" s="313" t="s">
        <v>24</v>
      </c>
    </row>
    <row r="2811" spans="1:5" x14ac:dyDescent="0.25">
      <c r="A2811" s="313" t="s">
        <v>1032</v>
      </c>
      <c r="B2811" s="313" t="s">
        <v>19</v>
      </c>
      <c r="C2811" s="313" t="s">
        <v>1487</v>
      </c>
      <c r="D2811" s="313" t="s">
        <v>51</v>
      </c>
      <c r="E2811" s="313" t="s">
        <v>24</v>
      </c>
    </row>
    <row r="2812" spans="1:5" x14ac:dyDescent="0.25">
      <c r="A2812" s="313" t="s">
        <v>1032</v>
      </c>
      <c r="B2812" s="313" t="s">
        <v>19</v>
      </c>
      <c r="C2812" s="313" t="s">
        <v>1495</v>
      </c>
      <c r="D2812" s="313" t="s">
        <v>51</v>
      </c>
      <c r="E2812" s="313" t="s">
        <v>24</v>
      </c>
    </row>
    <row r="2813" spans="1:5" x14ac:dyDescent="0.25">
      <c r="A2813" s="313" t="s">
        <v>1036</v>
      </c>
      <c r="B2813" s="313" t="s">
        <v>19</v>
      </c>
      <c r="C2813" s="313" t="s">
        <v>1466</v>
      </c>
      <c r="D2813" s="313" t="s">
        <v>35</v>
      </c>
      <c r="E2813" s="313" t="s">
        <v>24</v>
      </c>
    </row>
    <row r="2814" spans="1:5" x14ac:dyDescent="0.25">
      <c r="A2814" s="313" t="s">
        <v>1036</v>
      </c>
      <c r="B2814" s="313" t="s">
        <v>19</v>
      </c>
      <c r="C2814" s="313" t="s">
        <v>1471</v>
      </c>
      <c r="D2814" s="313" t="s">
        <v>35</v>
      </c>
      <c r="E2814" s="313" t="s">
        <v>24</v>
      </c>
    </row>
    <row r="2815" spans="1:5" x14ac:dyDescent="0.25">
      <c r="A2815" s="313" t="s">
        <v>1036</v>
      </c>
      <c r="B2815" s="313" t="s">
        <v>19</v>
      </c>
      <c r="C2815" s="313" t="s">
        <v>1475</v>
      </c>
      <c r="D2815" s="313" t="s">
        <v>35</v>
      </c>
      <c r="E2815" s="313" t="s">
        <v>24</v>
      </c>
    </row>
    <row r="2816" spans="1:5" x14ac:dyDescent="0.25">
      <c r="A2816" s="313" t="s">
        <v>1036</v>
      </c>
      <c r="B2816" s="313" t="s">
        <v>19</v>
      </c>
      <c r="C2816" s="313" t="s">
        <v>20</v>
      </c>
      <c r="D2816" s="313" t="s">
        <v>35</v>
      </c>
      <c r="E2816" s="313" t="s">
        <v>24</v>
      </c>
    </row>
    <row r="2817" spans="1:5" x14ac:dyDescent="0.25">
      <c r="A2817" s="313" t="s">
        <v>1036</v>
      </c>
      <c r="B2817" s="313" t="s">
        <v>19</v>
      </c>
      <c r="C2817" s="313" t="s">
        <v>1487</v>
      </c>
      <c r="D2817" s="313" t="s">
        <v>35</v>
      </c>
      <c r="E2817" s="313" t="s">
        <v>24</v>
      </c>
    </row>
    <row r="2818" spans="1:5" x14ac:dyDescent="0.25">
      <c r="A2818" s="313" t="s">
        <v>1036</v>
      </c>
      <c r="B2818" s="313" t="s">
        <v>19</v>
      </c>
      <c r="C2818" s="313" t="s">
        <v>1495</v>
      </c>
      <c r="D2818" s="313" t="s">
        <v>35</v>
      </c>
      <c r="E2818" s="313" t="s">
        <v>24</v>
      </c>
    </row>
    <row r="2819" spans="1:5" x14ac:dyDescent="0.25">
      <c r="A2819" s="313" t="s">
        <v>1038</v>
      </c>
      <c r="B2819" s="313" t="s">
        <v>51</v>
      </c>
      <c r="C2819" s="313" t="s">
        <v>24</v>
      </c>
      <c r="D2819" s="313" t="s">
        <v>24</v>
      </c>
      <c r="E2819" s="313" t="s">
        <v>1039</v>
      </c>
    </row>
    <row r="2820" spans="1:5" x14ac:dyDescent="0.25">
      <c r="A2820" s="313" t="s">
        <v>1038</v>
      </c>
      <c r="B2820" s="313" t="s">
        <v>19</v>
      </c>
      <c r="C2820" s="313" t="s">
        <v>1466</v>
      </c>
      <c r="D2820" s="313" t="s">
        <v>51</v>
      </c>
      <c r="E2820" s="313" t="s">
        <v>24</v>
      </c>
    </row>
    <row r="2821" spans="1:5" x14ac:dyDescent="0.25">
      <c r="A2821" s="313" t="s">
        <v>1038</v>
      </c>
      <c r="B2821" s="313" t="s">
        <v>19</v>
      </c>
      <c r="C2821" s="313" t="s">
        <v>1471</v>
      </c>
      <c r="D2821" s="313" t="s">
        <v>51</v>
      </c>
      <c r="E2821" s="313" t="s">
        <v>24</v>
      </c>
    </row>
    <row r="2822" spans="1:5" x14ac:dyDescent="0.25">
      <c r="A2822" s="313" t="s">
        <v>1038</v>
      </c>
      <c r="B2822" s="313" t="s">
        <v>19</v>
      </c>
      <c r="C2822" s="313" t="s">
        <v>1475</v>
      </c>
      <c r="D2822" s="313" t="s">
        <v>51</v>
      </c>
      <c r="E2822" s="313" t="s">
        <v>24</v>
      </c>
    </row>
    <row r="2823" spans="1:5" x14ac:dyDescent="0.25">
      <c r="A2823" s="313" t="s">
        <v>1038</v>
      </c>
      <c r="B2823" s="313" t="s">
        <v>19</v>
      </c>
      <c r="C2823" s="313" t="s">
        <v>20</v>
      </c>
      <c r="D2823" s="313" t="s">
        <v>51</v>
      </c>
      <c r="E2823" s="313" t="s">
        <v>24</v>
      </c>
    </row>
    <row r="2824" spans="1:5" x14ac:dyDescent="0.25">
      <c r="A2824" s="313" t="s">
        <v>1038</v>
      </c>
      <c r="B2824" s="313" t="s">
        <v>19</v>
      </c>
      <c r="C2824" s="313" t="s">
        <v>1487</v>
      </c>
      <c r="D2824" s="313" t="s">
        <v>51</v>
      </c>
      <c r="E2824" s="313" t="s">
        <v>24</v>
      </c>
    </row>
    <row r="2825" spans="1:5" x14ac:dyDescent="0.25">
      <c r="A2825" s="313" t="s">
        <v>1038</v>
      </c>
      <c r="B2825" s="313" t="s">
        <v>19</v>
      </c>
      <c r="C2825" s="313" t="s">
        <v>1495</v>
      </c>
      <c r="D2825" s="313" t="s">
        <v>51</v>
      </c>
      <c r="E2825" s="313" t="s">
        <v>24</v>
      </c>
    </row>
    <row r="2826" spans="1:5" x14ac:dyDescent="0.25">
      <c r="A2826" s="313" t="s">
        <v>1042</v>
      </c>
      <c r="B2826" s="313" t="s">
        <v>51</v>
      </c>
      <c r="C2826" s="313" t="s">
        <v>24</v>
      </c>
      <c r="D2826" s="313" t="s">
        <v>24</v>
      </c>
      <c r="E2826" s="313" t="s">
        <v>1043</v>
      </c>
    </row>
    <row r="2827" spans="1:5" x14ac:dyDescent="0.25">
      <c r="A2827" s="313" t="s">
        <v>1042</v>
      </c>
      <c r="B2827" s="313" t="s">
        <v>19</v>
      </c>
      <c r="C2827" s="313" t="s">
        <v>1466</v>
      </c>
      <c r="D2827" s="313" t="s">
        <v>51</v>
      </c>
      <c r="E2827" s="313" t="s">
        <v>24</v>
      </c>
    </row>
    <row r="2828" spans="1:5" x14ac:dyDescent="0.25">
      <c r="A2828" s="313" t="s">
        <v>1042</v>
      </c>
      <c r="B2828" s="313" t="s">
        <v>19</v>
      </c>
      <c r="C2828" s="313" t="s">
        <v>1471</v>
      </c>
      <c r="D2828" s="313" t="s">
        <v>51</v>
      </c>
      <c r="E2828" s="313" t="s">
        <v>24</v>
      </c>
    </row>
    <row r="2829" spans="1:5" x14ac:dyDescent="0.25">
      <c r="A2829" s="313" t="s">
        <v>1042</v>
      </c>
      <c r="B2829" s="313" t="s">
        <v>19</v>
      </c>
      <c r="C2829" s="313" t="s">
        <v>1475</v>
      </c>
      <c r="D2829" s="313" t="s">
        <v>51</v>
      </c>
      <c r="E2829" s="313" t="s">
        <v>24</v>
      </c>
    </row>
    <row r="2830" spans="1:5" x14ac:dyDescent="0.25">
      <c r="A2830" s="313" t="s">
        <v>1042</v>
      </c>
      <c r="B2830" s="313" t="s">
        <v>19</v>
      </c>
      <c r="C2830" s="313" t="s">
        <v>20</v>
      </c>
      <c r="D2830" s="313" t="s">
        <v>51</v>
      </c>
      <c r="E2830" s="313" t="s">
        <v>24</v>
      </c>
    </row>
    <row r="2831" spans="1:5" x14ac:dyDescent="0.25">
      <c r="A2831" s="313" t="s">
        <v>1042</v>
      </c>
      <c r="B2831" s="313" t="s">
        <v>19</v>
      </c>
      <c r="C2831" s="313" t="s">
        <v>1487</v>
      </c>
      <c r="D2831" s="313" t="s">
        <v>51</v>
      </c>
      <c r="E2831" s="313" t="s">
        <v>24</v>
      </c>
    </row>
    <row r="2832" spans="1:5" x14ac:dyDescent="0.25">
      <c r="A2832" s="313" t="s">
        <v>1042</v>
      </c>
      <c r="B2832" s="313" t="s">
        <v>19</v>
      </c>
      <c r="C2832" s="313" t="s">
        <v>1495</v>
      </c>
      <c r="D2832" s="313" t="s">
        <v>51</v>
      </c>
      <c r="E2832" s="313" t="s">
        <v>24</v>
      </c>
    </row>
    <row r="2833" spans="1:5" x14ac:dyDescent="0.25">
      <c r="A2833" s="313" t="s">
        <v>1046</v>
      </c>
      <c r="B2833" s="313" t="s">
        <v>19</v>
      </c>
      <c r="C2833" s="313" t="s">
        <v>1466</v>
      </c>
      <c r="D2833" s="313" t="s">
        <v>35</v>
      </c>
      <c r="E2833" s="313" t="s">
        <v>24</v>
      </c>
    </row>
    <row r="2834" spans="1:5" x14ac:dyDescent="0.25">
      <c r="A2834" s="313" t="s">
        <v>1046</v>
      </c>
      <c r="B2834" s="313" t="s">
        <v>19</v>
      </c>
      <c r="C2834" s="313" t="s">
        <v>1471</v>
      </c>
      <c r="D2834" s="313" t="s">
        <v>35</v>
      </c>
      <c r="E2834" s="313" t="s">
        <v>24</v>
      </c>
    </row>
    <row r="2835" spans="1:5" x14ac:dyDescent="0.25">
      <c r="A2835" s="313" t="s">
        <v>1046</v>
      </c>
      <c r="B2835" s="313" t="s">
        <v>19</v>
      </c>
      <c r="C2835" s="313" t="s">
        <v>1475</v>
      </c>
      <c r="D2835" s="313" t="s">
        <v>35</v>
      </c>
      <c r="E2835" s="313" t="s">
        <v>24</v>
      </c>
    </row>
    <row r="2836" spans="1:5" x14ac:dyDescent="0.25">
      <c r="A2836" s="313" t="s">
        <v>1046</v>
      </c>
      <c r="B2836" s="313" t="s">
        <v>19</v>
      </c>
      <c r="C2836" s="313" t="s">
        <v>20</v>
      </c>
      <c r="D2836" s="313" t="s">
        <v>35</v>
      </c>
      <c r="E2836" s="313" t="s">
        <v>24</v>
      </c>
    </row>
    <row r="2837" spans="1:5" x14ac:dyDescent="0.25">
      <c r="A2837" s="313" t="s">
        <v>1046</v>
      </c>
      <c r="B2837" s="313" t="s">
        <v>19</v>
      </c>
      <c r="C2837" s="313" t="s">
        <v>1487</v>
      </c>
      <c r="D2837" s="313" t="s">
        <v>35</v>
      </c>
      <c r="E2837" s="313" t="s">
        <v>24</v>
      </c>
    </row>
    <row r="2838" spans="1:5" x14ac:dyDescent="0.25">
      <c r="A2838" s="313" t="s">
        <v>1046</v>
      </c>
      <c r="B2838" s="313" t="s">
        <v>19</v>
      </c>
      <c r="C2838" s="313" t="s">
        <v>1495</v>
      </c>
      <c r="D2838" s="313" t="s">
        <v>35</v>
      </c>
      <c r="E2838" s="313" t="s">
        <v>24</v>
      </c>
    </row>
    <row r="2839" spans="1:5" x14ac:dyDescent="0.25">
      <c r="A2839" s="313" t="s">
        <v>1051</v>
      </c>
      <c r="B2839" s="313" t="s">
        <v>19</v>
      </c>
      <c r="C2839" s="313" t="s">
        <v>1466</v>
      </c>
      <c r="D2839" s="313" t="s">
        <v>19</v>
      </c>
      <c r="E2839" s="313" t="s">
        <v>1052</v>
      </c>
    </row>
    <row r="2840" spans="1:5" x14ac:dyDescent="0.25">
      <c r="A2840" s="313" t="s">
        <v>1051</v>
      </c>
      <c r="B2840" s="313" t="s">
        <v>19</v>
      </c>
      <c r="C2840" s="313" t="s">
        <v>1471</v>
      </c>
      <c r="D2840" s="313" t="s">
        <v>26</v>
      </c>
      <c r="E2840" s="313" t="s">
        <v>24</v>
      </c>
    </row>
    <row r="2841" spans="1:5" x14ac:dyDescent="0.25">
      <c r="A2841" s="313" t="s">
        <v>1051</v>
      </c>
      <c r="B2841" s="313" t="s">
        <v>19</v>
      </c>
      <c r="C2841" s="313" t="s">
        <v>1475</v>
      </c>
      <c r="D2841" s="313" t="s">
        <v>19</v>
      </c>
      <c r="E2841" s="313" t="s">
        <v>1705</v>
      </c>
    </row>
    <row r="2842" spans="1:5" x14ac:dyDescent="0.25">
      <c r="A2842" s="313" t="s">
        <v>1051</v>
      </c>
      <c r="B2842" s="313" t="s">
        <v>19</v>
      </c>
      <c r="C2842" s="313" t="s">
        <v>20</v>
      </c>
      <c r="D2842" s="313" t="s">
        <v>19</v>
      </c>
      <c r="E2842" s="313" t="s">
        <v>1052</v>
      </c>
    </row>
    <row r="2843" spans="1:5" x14ac:dyDescent="0.25">
      <c r="A2843" s="313" t="s">
        <v>1051</v>
      </c>
      <c r="B2843" s="313" t="s">
        <v>19</v>
      </c>
      <c r="C2843" s="313" t="s">
        <v>1487</v>
      </c>
      <c r="D2843" s="313" t="s">
        <v>19</v>
      </c>
      <c r="E2843" s="313" t="s">
        <v>1052</v>
      </c>
    </row>
    <row r="2844" spans="1:5" x14ac:dyDescent="0.25">
      <c r="A2844" s="313" t="s">
        <v>1051</v>
      </c>
      <c r="B2844" s="313" t="s">
        <v>19</v>
      </c>
      <c r="C2844" s="313" t="s">
        <v>1495</v>
      </c>
      <c r="D2844" s="313" t="s">
        <v>35</v>
      </c>
      <c r="E2844" s="313" t="s">
        <v>24</v>
      </c>
    </row>
    <row r="2845" spans="1:5" x14ac:dyDescent="0.25">
      <c r="A2845" s="313" t="s">
        <v>1051</v>
      </c>
      <c r="B2845" s="313" t="s">
        <v>26</v>
      </c>
      <c r="C2845" s="313" t="s">
        <v>2929</v>
      </c>
      <c r="D2845" s="313" t="s">
        <v>24</v>
      </c>
      <c r="E2845" s="313" t="s">
        <v>1587</v>
      </c>
    </row>
    <row r="2846" spans="1:5" x14ac:dyDescent="0.25">
      <c r="A2846" s="313" t="s">
        <v>1051</v>
      </c>
      <c r="B2846" s="313" t="s">
        <v>26</v>
      </c>
      <c r="C2846" s="313" t="s">
        <v>2930</v>
      </c>
      <c r="D2846" s="313" t="s">
        <v>24</v>
      </c>
      <c r="E2846" s="313" t="s">
        <v>35</v>
      </c>
    </row>
    <row r="2847" spans="1:5" x14ac:dyDescent="0.25">
      <c r="A2847" s="313" t="s">
        <v>1053</v>
      </c>
      <c r="B2847" s="313" t="s">
        <v>19</v>
      </c>
      <c r="C2847" s="313" t="s">
        <v>1466</v>
      </c>
      <c r="D2847" s="313" t="s">
        <v>19</v>
      </c>
      <c r="E2847" s="313" t="s">
        <v>46</v>
      </c>
    </row>
    <row r="2848" spans="1:5" x14ac:dyDescent="0.25">
      <c r="A2848" s="313" t="s">
        <v>1053</v>
      </c>
      <c r="B2848" s="313" t="s">
        <v>19</v>
      </c>
      <c r="C2848" s="313" t="s">
        <v>1471</v>
      </c>
      <c r="D2848" s="313" t="s">
        <v>26</v>
      </c>
      <c r="E2848" s="313" t="s">
        <v>24</v>
      </c>
    </row>
    <row r="2849" spans="1:5" x14ac:dyDescent="0.25">
      <c r="A2849" s="313" t="s">
        <v>1053</v>
      </c>
      <c r="B2849" s="313" t="s">
        <v>19</v>
      </c>
      <c r="C2849" s="313" t="s">
        <v>1475</v>
      </c>
      <c r="D2849" s="313" t="s">
        <v>19</v>
      </c>
      <c r="E2849" s="313" t="s">
        <v>46</v>
      </c>
    </row>
    <row r="2850" spans="1:5" x14ac:dyDescent="0.25">
      <c r="A2850" s="313" t="s">
        <v>1053</v>
      </c>
      <c r="B2850" s="313" t="s">
        <v>19</v>
      </c>
      <c r="C2850" s="313" t="s">
        <v>20</v>
      </c>
      <c r="D2850" s="313" t="s">
        <v>19</v>
      </c>
      <c r="E2850" s="313" t="s">
        <v>46</v>
      </c>
    </row>
    <row r="2851" spans="1:5" x14ac:dyDescent="0.25">
      <c r="A2851" s="313" t="s">
        <v>1053</v>
      </c>
      <c r="B2851" s="313" t="s">
        <v>19</v>
      </c>
      <c r="C2851" s="313" t="s">
        <v>1487</v>
      </c>
      <c r="D2851" s="313" t="s">
        <v>19</v>
      </c>
      <c r="E2851" s="313" t="s">
        <v>46</v>
      </c>
    </row>
    <row r="2852" spans="1:5" x14ac:dyDescent="0.25">
      <c r="A2852" s="313" t="s">
        <v>1053</v>
      </c>
      <c r="B2852" s="313" t="s">
        <v>19</v>
      </c>
      <c r="C2852" s="313" t="s">
        <v>1495</v>
      </c>
      <c r="D2852" s="313" t="s">
        <v>35</v>
      </c>
      <c r="E2852" s="313" t="s">
        <v>24</v>
      </c>
    </row>
    <row r="2853" spans="1:5" x14ac:dyDescent="0.25">
      <c r="A2853" s="313" t="s">
        <v>1053</v>
      </c>
      <c r="B2853" s="313" t="s">
        <v>26</v>
      </c>
      <c r="C2853" s="313" t="s">
        <v>2929</v>
      </c>
      <c r="D2853" s="313" t="s">
        <v>24</v>
      </c>
      <c r="E2853" s="313" t="s">
        <v>1706</v>
      </c>
    </row>
    <row r="2854" spans="1:5" x14ac:dyDescent="0.25">
      <c r="A2854" s="313" t="s">
        <v>1053</v>
      </c>
      <c r="B2854" s="313" t="s">
        <v>26</v>
      </c>
      <c r="C2854" s="313" t="s">
        <v>2930</v>
      </c>
      <c r="D2854" s="313" t="s">
        <v>24</v>
      </c>
      <c r="E2854" s="313" t="s">
        <v>35</v>
      </c>
    </row>
    <row r="2855" spans="1:5" x14ac:dyDescent="0.25">
      <c r="A2855" s="313" t="s">
        <v>1056</v>
      </c>
      <c r="B2855" s="313" t="s">
        <v>19</v>
      </c>
      <c r="C2855" s="313" t="s">
        <v>1466</v>
      </c>
      <c r="D2855" s="313" t="s">
        <v>19</v>
      </c>
      <c r="E2855" s="313" t="s">
        <v>46</v>
      </c>
    </row>
    <row r="2856" spans="1:5" x14ac:dyDescent="0.25">
      <c r="A2856" s="313" t="s">
        <v>1056</v>
      </c>
      <c r="B2856" s="313" t="s">
        <v>19</v>
      </c>
      <c r="C2856" s="313" t="s">
        <v>1471</v>
      </c>
      <c r="D2856" s="313" t="s">
        <v>35</v>
      </c>
      <c r="E2856" s="313" t="s">
        <v>24</v>
      </c>
    </row>
    <row r="2857" spans="1:5" x14ac:dyDescent="0.25">
      <c r="A2857" s="313" t="s">
        <v>1056</v>
      </c>
      <c r="B2857" s="313" t="s">
        <v>19</v>
      </c>
      <c r="C2857" s="313" t="s">
        <v>1475</v>
      </c>
      <c r="D2857" s="313" t="s">
        <v>19</v>
      </c>
      <c r="E2857" s="313" t="s">
        <v>46</v>
      </c>
    </row>
    <row r="2858" spans="1:5" x14ac:dyDescent="0.25">
      <c r="A2858" s="313" t="s">
        <v>1056</v>
      </c>
      <c r="B2858" s="313" t="s">
        <v>19</v>
      </c>
      <c r="C2858" s="313" t="s">
        <v>20</v>
      </c>
      <c r="D2858" s="313" t="s">
        <v>19</v>
      </c>
      <c r="E2858" s="313" t="s">
        <v>46</v>
      </c>
    </row>
    <row r="2859" spans="1:5" x14ac:dyDescent="0.25">
      <c r="A2859" s="313" t="s">
        <v>1056</v>
      </c>
      <c r="B2859" s="313" t="s">
        <v>19</v>
      </c>
      <c r="C2859" s="313" t="s">
        <v>1487</v>
      </c>
      <c r="D2859" s="313" t="s">
        <v>35</v>
      </c>
      <c r="E2859" s="313" t="s">
        <v>24</v>
      </c>
    </row>
    <row r="2860" spans="1:5" x14ac:dyDescent="0.25">
      <c r="A2860" s="313" t="s">
        <v>1056</v>
      </c>
      <c r="B2860" s="313" t="s">
        <v>19</v>
      </c>
      <c r="C2860" s="313" t="s">
        <v>1495</v>
      </c>
      <c r="D2860" s="313" t="s">
        <v>35</v>
      </c>
      <c r="E2860" s="313" t="s">
        <v>24</v>
      </c>
    </row>
    <row r="2861" spans="1:5" x14ac:dyDescent="0.25">
      <c r="A2861" s="313" t="s">
        <v>1056</v>
      </c>
      <c r="B2861" s="313" t="s">
        <v>26</v>
      </c>
      <c r="C2861" s="313" t="s">
        <v>1514</v>
      </c>
      <c r="D2861" s="313" t="s">
        <v>24</v>
      </c>
      <c r="E2861" s="313" t="s">
        <v>46</v>
      </c>
    </row>
    <row r="2862" spans="1:5" x14ac:dyDescent="0.25">
      <c r="A2862" s="313" t="s">
        <v>1056</v>
      </c>
      <c r="B2862" s="313" t="s">
        <v>26</v>
      </c>
      <c r="C2862" s="313" t="s">
        <v>1515</v>
      </c>
      <c r="D2862" s="313" t="s">
        <v>24</v>
      </c>
      <c r="E2862" s="313" t="s">
        <v>46</v>
      </c>
    </row>
    <row r="2863" spans="1:5" x14ac:dyDescent="0.25">
      <c r="A2863" s="313" t="s">
        <v>1056</v>
      </c>
      <c r="B2863" s="313" t="s">
        <v>26</v>
      </c>
      <c r="C2863" s="313" t="s">
        <v>1516</v>
      </c>
      <c r="D2863" s="313" t="s">
        <v>24</v>
      </c>
      <c r="E2863" s="313" t="s">
        <v>46</v>
      </c>
    </row>
    <row r="2864" spans="1:5" x14ac:dyDescent="0.25">
      <c r="A2864" s="313" t="s">
        <v>1056</v>
      </c>
      <c r="B2864" s="313" t="s">
        <v>26</v>
      </c>
      <c r="C2864" s="313" t="s">
        <v>1517</v>
      </c>
      <c r="D2864" s="313" t="s">
        <v>24</v>
      </c>
      <c r="E2864" s="313" t="s">
        <v>46</v>
      </c>
    </row>
    <row r="2865" spans="1:5" x14ac:dyDescent="0.25">
      <c r="A2865" s="313" t="s">
        <v>1056</v>
      </c>
      <c r="B2865" s="313" t="s">
        <v>26</v>
      </c>
      <c r="C2865" s="313" t="s">
        <v>1518</v>
      </c>
      <c r="D2865" s="313" t="s">
        <v>24</v>
      </c>
      <c r="E2865" s="313" t="s">
        <v>46</v>
      </c>
    </row>
    <row r="2866" spans="1:5" x14ac:dyDescent="0.25">
      <c r="A2866" s="313" t="s">
        <v>1056</v>
      </c>
      <c r="B2866" s="313" t="s">
        <v>26</v>
      </c>
      <c r="C2866" s="313" t="s">
        <v>1519</v>
      </c>
      <c r="D2866" s="313" t="s">
        <v>24</v>
      </c>
      <c r="E2866" s="313" t="s">
        <v>46</v>
      </c>
    </row>
    <row r="2867" spans="1:5" x14ac:dyDescent="0.25">
      <c r="A2867" s="313" t="s">
        <v>1058</v>
      </c>
      <c r="B2867" s="313" t="s">
        <v>19</v>
      </c>
      <c r="C2867" s="313" t="s">
        <v>1466</v>
      </c>
      <c r="D2867" s="313" t="s">
        <v>19</v>
      </c>
      <c r="E2867" s="313" t="s">
        <v>46</v>
      </c>
    </row>
    <row r="2868" spans="1:5" x14ac:dyDescent="0.25">
      <c r="A2868" s="313" t="s">
        <v>1058</v>
      </c>
      <c r="B2868" s="313" t="s">
        <v>19</v>
      </c>
      <c r="C2868" s="313" t="s">
        <v>1471</v>
      </c>
      <c r="D2868" s="313" t="s">
        <v>35</v>
      </c>
      <c r="E2868" s="313" t="s">
        <v>24</v>
      </c>
    </row>
    <row r="2869" spans="1:5" x14ac:dyDescent="0.25">
      <c r="A2869" s="313" t="s">
        <v>1058</v>
      </c>
      <c r="B2869" s="313" t="s">
        <v>19</v>
      </c>
      <c r="C2869" s="313" t="s">
        <v>1475</v>
      </c>
      <c r="D2869" s="313" t="s">
        <v>19</v>
      </c>
      <c r="E2869" s="313" t="s">
        <v>46</v>
      </c>
    </row>
    <row r="2870" spans="1:5" x14ac:dyDescent="0.25">
      <c r="A2870" s="313" t="s">
        <v>1058</v>
      </c>
      <c r="B2870" s="313" t="s">
        <v>19</v>
      </c>
      <c r="C2870" s="313" t="s">
        <v>20</v>
      </c>
      <c r="D2870" s="313" t="s">
        <v>19</v>
      </c>
      <c r="E2870" s="313" t="s">
        <v>46</v>
      </c>
    </row>
    <row r="2871" spans="1:5" x14ac:dyDescent="0.25">
      <c r="A2871" s="313" t="s">
        <v>1058</v>
      </c>
      <c r="B2871" s="313" t="s">
        <v>19</v>
      </c>
      <c r="C2871" s="313" t="s">
        <v>1487</v>
      </c>
      <c r="D2871" s="313" t="s">
        <v>35</v>
      </c>
      <c r="E2871" s="313" t="s">
        <v>24</v>
      </c>
    </row>
    <row r="2872" spans="1:5" x14ac:dyDescent="0.25">
      <c r="A2872" s="313" t="s">
        <v>1058</v>
      </c>
      <c r="B2872" s="313" t="s">
        <v>19</v>
      </c>
      <c r="C2872" s="313" t="s">
        <v>1495</v>
      </c>
      <c r="D2872" s="313" t="s">
        <v>35</v>
      </c>
      <c r="E2872" s="313" t="s">
        <v>24</v>
      </c>
    </row>
    <row r="2873" spans="1:5" x14ac:dyDescent="0.25">
      <c r="A2873" s="313" t="s">
        <v>1058</v>
      </c>
      <c r="B2873" s="313" t="s">
        <v>26</v>
      </c>
      <c r="C2873" s="313" t="s">
        <v>1514</v>
      </c>
      <c r="D2873" s="313" t="s">
        <v>24</v>
      </c>
      <c r="E2873" s="313" t="s">
        <v>473</v>
      </c>
    </row>
    <row r="2874" spans="1:5" x14ac:dyDescent="0.25">
      <c r="A2874" s="313" t="s">
        <v>1058</v>
      </c>
      <c r="B2874" s="313" t="s">
        <v>26</v>
      </c>
      <c r="C2874" s="313" t="s">
        <v>1515</v>
      </c>
      <c r="D2874" s="313" t="s">
        <v>24</v>
      </c>
      <c r="E2874" s="313" t="s">
        <v>46</v>
      </c>
    </row>
    <row r="2875" spans="1:5" x14ac:dyDescent="0.25">
      <c r="A2875" s="313" t="s">
        <v>1058</v>
      </c>
      <c r="B2875" s="313" t="s">
        <v>26</v>
      </c>
      <c r="C2875" s="313" t="s">
        <v>1516</v>
      </c>
      <c r="D2875" s="313" t="s">
        <v>24</v>
      </c>
      <c r="E2875" s="313" t="s">
        <v>46</v>
      </c>
    </row>
    <row r="2876" spans="1:5" x14ac:dyDescent="0.25">
      <c r="A2876" s="313" t="s">
        <v>1058</v>
      </c>
      <c r="B2876" s="313" t="s">
        <v>26</v>
      </c>
      <c r="C2876" s="313" t="s">
        <v>1517</v>
      </c>
      <c r="D2876" s="313" t="s">
        <v>24</v>
      </c>
      <c r="E2876" s="313" t="s">
        <v>46</v>
      </c>
    </row>
    <row r="2877" spans="1:5" x14ac:dyDescent="0.25">
      <c r="A2877" s="313" t="s">
        <v>1058</v>
      </c>
      <c r="B2877" s="313" t="s">
        <v>26</v>
      </c>
      <c r="C2877" s="313" t="s">
        <v>1518</v>
      </c>
      <c r="D2877" s="313" t="s">
        <v>24</v>
      </c>
      <c r="E2877" s="313" t="s">
        <v>46</v>
      </c>
    </row>
    <row r="2878" spans="1:5" x14ac:dyDescent="0.25">
      <c r="A2878" s="313" t="s">
        <v>1058</v>
      </c>
      <c r="B2878" s="313" t="s">
        <v>26</v>
      </c>
      <c r="C2878" s="313" t="s">
        <v>1519</v>
      </c>
      <c r="D2878" s="313" t="s">
        <v>24</v>
      </c>
      <c r="E2878" s="313" t="s">
        <v>46</v>
      </c>
    </row>
    <row r="2879" spans="1:5" x14ac:dyDescent="0.25">
      <c r="A2879" s="313" t="s">
        <v>1060</v>
      </c>
      <c r="B2879" s="313" t="s">
        <v>19</v>
      </c>
      <c r="C2879" s="313" t="s">
        <v>1466</v>
      </c>
      <c r="D2879" s="313" t="s">
        <v>19</v>
      </c>
      <c r="E2879" s="313" t="s">
        <v>46</v>
      </c>
    </row>
    <row r="2880" spans="1:5" x14ac:dyDescent="0.25">
      <c r="A2880" s="313" t="s">
        <v>1060</v>
      </c>
      <c r="B2880" s="313" t="s">
        <v>19</v>
      </c>
      <c r="C2880" s="313" t="s">
        <v>1471</v>
      </c>
      <c r="D2880" s="313" t="s">
        <v>26</v>
      </c>
      <c r="E2880" s="313" t="s">
        <v>24</v>
      </c>
    </row>
    <row r="2881" spans="1:5" x14ac:dyDescent="0.25">
      <c r="A2881" s="313" t="s">
        <v>1060</v>
      </c>
      <c r="B2881" s="313" t="s">
        <v>19</v>
      </c>
      <c r="C2881" s="313" t="s">
        <v>1475</v>
      </c>
      <c r="D2881" s="313" t="s">
        <v>19</v>
      </c>
      <c r="E2881" s="313" t="s">
        <v>46</v>
      </c>
    </row>
    <row r="2882" spans="1:5" x14ac:dyDescent="0.25">
      <c r="A2882" s="313" t="s">
        <v>1060</v>
      </c>
      <c r="B2882" s="313" t="s">
        <v>19</v>
      </c>
      <c r="C2882" s="313" t="s">
        <v>20</v>
      </c>
      <c r="D2882" s="313" t="s">
        <v>19</v>
      </c>
      <c r="E2882" s="313" t="s">
        <v>46</v>
      </c>
    </row>
    <row r="2883" spans="1:5" x14ac:dyDescent="0.25">
      <c r="A2883" s="313" t="s">
        <v>1060</v>
      </c>
      <c r="B2883" s="313" t="s">
        <v>19</v>
      </c>
      <c r="C2883" s="313" t="s">
        <v>1487</v>
      </c>
      <c r="D2883" s="313" t="s">
        <v>19</v>
      </c>
      <c r="E2883" s="313" t="s">
        <v>46</v>
      </c>
    </row>
    <row r="2884" spans="1:5" x14ac:dyDescent="0.25">
      <c r="A2884" s="313" t="s">
        <v>1060</v>
      </c>
      <c r="B2884" s="313" t="s">
        <v>19</v>
      </c>
      <c r="C2884" s="313" t="s">
        <v>1495</v>
      </c>
      <c r="D2884" s="313" t="s">
        <v>35</v>
      </c>
      <c r="E2884" s="313" t="s">
        <v>24</v>
      </c>
    </row>
    <row r="2885" spans="1:5" x14ac:dyDescent="0.25">
      <c r="A2885" s="313" t="s">
        <v>1060</v>
      </c>
      <c r="B2885" s="313" t="s">
        <v>26</v>
      </c>
      <c r="C2885" s="313" t="s">
        <v>2929</v>
      </c>
      <c r="D2885" s="313" t="s">
        <v>24</v>
      </c>
      <c r="E2885" s="313" t="s">
        <v>1707</v>
      </c>
    </row>
    <row r="2886" spans="1:5" x14ac:dyDescent="0.25">
      <c r="A2886" s="313" t="s">
        <v>1060</v>
      </c>
      <c r="B2886" s="313" t="s">
        <v>26</v>
      </c>
      <c r="C2886" s="313" t="s">
        <v>2930</v>
      </c>
      <c r="D2886" s="313" t="s">
        <v>24</v>
      </c>
      <c r="E2886" s="313" t="s">
        <v>35</v>
      </c>
    </row>
    <row r="2887" spans="1:5" x14ac:dyDescent="0.25">
      <c r="A2887" s="313" t="s">
        <v>1063</v>
      </c>
      <c r="B2887" s="313" t="s">
        <v>19</v>
      </c>
      <c r="C2887" s="313" t="s">
        <v>1466</v>
      </c>
      <c r="D2887" s="313" t="s">
        <v>19</v>
      </c>
      <c r="E2887" s="313" t="s">
        <v>46</v>
      </c>
    </row>
    <row r="2888" spans="1:5" x14ac:dyDescent="0.25">
      <c r="A2888" s="313" t="s">
        <v>1063</v>
      </c>
      <c r="B2888" s="313" t="s">
        <v>19</v>
      </c>
      <c r="C2888" s="313" t="s">
        <v>1471</v>
      </c>
      <c r="D2888" s="313" t="s">
        <v>26</v>
      </c>
      <c r="E2888" s="313" t="s">
        <v>24</v>
      </c>
    </row>
    <row r="2889" spans="1:5" x14ac:dyDescent="0.25">
      <c r="A2889" s="313" t="s">
        <v>1063</v>
      </c>
      <c r="B2889" s="313" t="s">
        <v>19</v>
      </c>
      <c r="C2889" s="313" t="s">
        <v>1475</v>
      </c>
      <c r="D2889" s="313" t="s">
        <v>19</v>
      </c>
      <c r="E2889" s="313" t="s">
        <v>46</v>
      </c>
    </row>
    <row r="2890" spans="1:5" x14ac:dyDescent="0.25">
      <c r="A2890" s="313" t="s">
        <v>1063</v>
      </c>
      <c r="B2890" s="313" t="s">
        <v>19</v>
      </c>
      <c r="C2890" s="313" t="s">
        <v>20</v>
      </c>
      <c r="D2890" s="313" t="s">
        <v>19</v>
      </c>
      <c r="E2890" s="313" t="s">
        <v>46</v>
      </c>
    </row>
    <row r="2891" spans="1:5" x14ac:dyDescent="0.25">
      <c r="A2891" s="313" t="s">
        <v>1063</v>
      </c>
      <c r="B2891" s="313" t="s">
        <v>19</v>
      </c>
      <c r="C2891" s="313" t="s">
        <v>1487</v>
      </c>
      <c r="D2891" s="313" t="s">
        <v>19</v>
      </c>
      <c r="E2891" s="313" t="s">
        <v>46</v>
      </c>
    </row>
    <row r="2892" spans="1:5" x14ac:dyDescent="0.25">
      <c r="A2892" s="313" t="s">
        <v>1063</v>
      </c>
      <c r="B2892" s="313" t="s">
        <v>19</v>
      </c>
      <c r="C2892" s="313" t="s">
        <v>1495</v>
      </c>
      <c r="D2892" s="313" t="s">
        <v>35</v>
      </c>
      <c r="E2892" s="313" t="s">
        <v>24</v>
      </c>
    </row>
    <row r="2893" spans="1:5" x14ac:dyDescent="0.25">
      <c r="A2893" s="313" t="s">
        <v>1063</v>
      </c>
      <c r="B2893" s="313" t="s">
        <v>26</v>
      </c>
      <c r="C2893" s="313" t="s">
        <v>2929</v>
      </c>
      <c r="D2893" s="313" t="s">
        <v>24</v>
      </c>
      <c r="E2893" s="313" t="s">
        <v>1708</v>
      </c>
    </row>
    <row r="2894" spans="1:5" x14ac:dyDescent="0.25">
      <c r="A2894" s="313" t="s">
        <v>1063</v>
      </c>
      <c r="B2894" s="313" t="s">
        <v>26</v>
      </c>
      <c r="C2894" s="313" t="s">
        <v>2930</v>
      </c>
      <c r="D2894" s="313" t="s">
        <v>24</v>
      </c>
      <c r="E2894" s="313" t="s">
        <v>35</v>
      </c>
    </row>
    <row r="2895" spans="1:5" x14ac:dyDescent="0.25">
      <c r="A2895" s="313" t="s">
        <v>1066</v>
      </c>
      <c r="B2895" s="313" t="s">
        <v>19</v>
      </c>
      <c r="C2895" s="313" t="s">
        <v>1466</v>
      </c>
      <c r="D2895" s="313" t="s">
        <v>19</v>
      </c>
      <c r="E2895" s="313" t="s">
        <v>46</v>
      </c>
    </row>
    <row r="2896" spans="1:5" x14ac:dyDescent="0.25">
      <c r="A2896" s="313" t="s">
        <v>1066</v>
      </c>
      <c r="B2896" s="313" t="s">
        <v>19</v>
      </c>
      <c r="C2896" s="313" t="s">
        <v>1471</v>
      </c>
      <c r="D2896" s="313" t="s">
        <v>26</v>
      </c>
      <c r="E2896" s="313" t="s">
        <v>24</v>
      </c>
    </row>
    <row r="2897" spans="1:5" x14ac:dyDescent="0.25">
      <c r="A2897" s="313" t="s">
        <v>1066</v>
      </c>
      <c r="B2897" s="313" t="s">
        <v>19</v>
      </c>
      <c r="C2897" s="313" t="s">
        <v>1475</v>
      </c>
      <c r="D2897" s="313" t="s">
        <v>19</v>
      </c>
      <c r="E2897" s="313" t="s">
        <v>46</v>
      </c>
    </row>
    <row r="2898" spans="1:5" x14ac:dyDescent="0.25">
      <c r="A2898" s="313" t="s">
        <v>1066</v>
      </c>
      <c r="B2898" s="313" t="s">
        <v>19</v>
      </c>
      <c r="C2898" s="313" t="s">
        <v>20</v>
      </c>
      <c r="D2898" s="313" t="s">
        <v>19</v>
      </c>
      <c r="E2898" s="313" t="s">
        <v>46</v>
      </c>
    </row>
    <row r="2899" spans="1:5" x14ac:dyDescent="0.25">
      <c r="A2899" s="313" t="s">
        <v>1066</v>
      </c>
      <c r="B2899" s="313" t="s">
        <v>19</v>
      </c>
      <c r="C2899" s="313" t="s">
        <v>1487</v>
      </c>
      <c r="D2899" s="313" t="s">
        <v>19</v>
      </c>
      <c r="E2899" s="313" t="s">
        <v>46</v>
      </c>
    </row>
    <row r="2900" spans="1:5" x14ac:dyDescent="0.25">
      <c r="A2900" s="313" t="s">
        <v>1066</v>
      </c>
      <c r="B2900" s="313" t="s">
        <v>19</v>
      </c>
      <c r="C2900" s="313" t="s">
        <v>1495</v>
      </c>
      <c r="D2900" s="313" t="s">
        <v>35</v>
      </c>
      <c r="E2900" s="313" t="s">
        <v>24</v>
      </c>
    </row>
    <row r="2901" spans="1:5" x14ac:dyDescent="0.25">
      <c r="A2901" s="313" t="s">
        <v>1066</v>
      </c>
      <c r="B2901" s="313" t="s">
        <v>26</v>
      </c>
      <c r="C2901" s="313" t="s">
        <v>2929</v>
      </c>
      <c r="D2901" s="313" t="s">
        <v>24</v>
      </c>
      <c r="E2901" s="313" t="s">
        <v>1709</v>
      </c>
    </row>
    <row r="2902" spans="1:5" x14ac:dyDescent="0.25">
      <c r="A2902" s="313" t="s">
        <v>1066</v>
      </c>
      <c r="B2902" s="313" t="s">
        <v>26</v>
      </c>
      <c r="C2902" s="313" t="s">
        <v>2930</v>
      </c>
      <c r="D2902" s="313" t="s">
        <v>24</v>
      </c>
      <c r="E2902" s="313" t="s">
        <v>35</v>
      </c>
    </row>
    <row r="2903" spans="1:5" x14ac:dyDescent="0.25">
      <c r="A2903" s="313" t="s">
        <v>1069</v>
      </c>
      <c r="B2903" s="313" t="s">
        <v>19</v>
      </c>
      <c r="C2903" s="313" t="s">
        <v>1466</v>
      </c>
      <c r="D2903" s="313" t="s">
        <v>19</v>
      </c>
      <c r="E2903" s="313" t="s">
        <v>46</v>
      </c>
    </row>
    <row r="2904" spans="1:5" x14ac:dyDescent="0.25">
      <c r="A2904" s="313" t="s">
        <v>1069</v>
      </c>
      <c r="B2904" s="313" t="s">
        <v>19</v>
      </c>
      <c r="C2904" s="313" t="s">
        <v>1471</v>
      </c>
      <c r="D2904" s="313" t="s">
        <v>35</v>
      </c>
      <c r="E2904" s="313" t="s">
        <v>24</v>
      </c>
    </row>
    <row r="2905" spans="1:5" x14ac:dyDescent="0.25">
      <c r="A2905" s="313" t="s">
        <v>1069</v>
      </c>
      <c r="B2905" s="313" t="s">
        <v>19</v>
      </c>
      <c r="C2905" s="313" t="s">
        <v>1475</v>
      </c>
      <c r="D2905" s="313" t="s">
        <v>19</v>
      </c>
      <c r="E2905" s="313" t="s">
        <v>46</v>
      </c>
    </row>
    <row r="2906" spans="1:5" x14ac:dyDescent="0.25">
      <c r="A2906" s="313" t="s">
        <v>1069</v>
      </c>
      <c r="B2906" s="313" t="s">
        <v>19</v>
      </c>
      <c r="C2906" s="313" t="s">
        <v>20</v>
      </c>
      <c r="D2906" s="313" t="s">
        <v>19</v>
      </c>
      <c r="E2906" s="313" t="s">
        <v>46</v>
      </c>
    </row>
    <row r="2907" spans="1:5" x14ac:dyDescent="0.25">
      <c r="A2907" s="313" t="s">
        <v>1069</v>
      </c>
      <c r="B2907" s="313" t="s">
        <v>19</v>
      </c>
      <c r="C2907" s="313" t="s">
        <v>1487</v>
      </c>
      <c r="D2907" s="313" t="s">
        <v>35</v>
      </c>
      <c r="E2907" s="313" t="s">
        <v>24</v>
      </c>
    </row>
    <row r="2908" spans="1:5" x14ac:dyDescent="0.25">
      <c r="A2908" s="313" t="s">
        <v>1069</v>
      </c>
      <c r="B2908" s="313" t="s">
        <v>19</v>
      </c>
      <c r="C2908" s="313" t="s">
        <v>1495</v>
      </c>
      <c r="D2908" s="313" t="s">
        <v>35</v>
      </c>
      <c r="E2908" s="313" t="s">
        <v>24</v>
      </c>
    </row>
    <row r="2909" spans="1:5" x14ac:dyDescent="0.25">
      <c r="A2909" s="313" t="s">
        <v>1069</v>
      </c>
      <c r="B2909" s="313" t="s">
        <v>26</v>
      </c>
      <c r="C2909" s="313" t="s">
        <v>1514</v>
      </c>
      <c r="D2909" s="313" t="s">
        <v>24</v>
      </c>
      <c r="E2909" s="313" t="s">
        <v>46</v>
      </c>
    </row>
    <row r="2910" spans="1:5" x14ac:dyDescent="0.25">
      <c r="A2910" s="313" t="s">
        <v>1069</v>
      </c>
      <c r="B2910" s="313" t="s">
        <v>26</v>
      </c>
      <c r="C2910" s="313" t="s">
        <v>1515</v>
      </c>
      <c r="D2910" s="313" t="s">
        <v>24</v>
      </c>
      <c r="E2910" s="313" t="s">
        <v>46</v>
      </c>
    </row>
    <row r="2911" spans="1:5" x14ac:dyDescent="0.25">
      <c r="A2911" s="313" t="s">
        <v>1069</v>
      </c>
      <c r="B2911" s="313" t="s">
        <v>26</v>
      </c>
      <c r="C2911" s="313" t="s">
        <v>1516</v>
      </c>
      <c r="D2911" s="313" t="s">
        <v>24</v>
      </c>
      <c r="E2911" s="313" t="s">
        <v>46</v>
      </c>
    </row>
    <row r="2912" spans="1:5" x14ac:dyDescent="0.25">
      <c r="A2912" s="313" t="s">
        <v>1069</v>
      </c>
      <c r="B2912" s="313" t="s">
        <v>26</v>
      </c>
      <c r="C2912" s="313" t="s">
        <v>1517</v>
      </c>
      <c r="D2912" s="313" t="s">
        <v>24</v>
      </c>
      <c r="E2912" s="313" t="s">
        <v>46</v>
      </c>
    </row>
    <row r="2913" spans="1:5" x14ac:dyDescent="0.25">
      <c r="A2913" s="313" t="s">
        <v>1069</v>
      </c>
      <c r="B2913" s="313" t="s">
        <v>26</v>
      </c>
      <c r="C2913" s="313" t="s">
        <v>1518</v>
      </c>
      <c r="D2913" s="313" t="s">
        <v>24</v>
      </c>
      <c r="E2913" s="313" t="s">
        <v>46</v>
      </c>
    </row>
    <row r="2914" spans="1:5" x14ac:dyDescent="0.25">
      <c r="A2914" s="313" t="s">
        <v>1069</v>
      </c>
      <c r="B2914" s="313" t="s">
        <v>26</v>
      </c>
      <c r="C2914" s="313" t="s">
        <v>1519</v>
      </c>
      <c r="D2914" s="313" t="s">
        <v>24</v>
      </c>
      <c r="E2914" s="313" t="s">
        <v>46</v>
      </c>
    </row>
    <row r="2915" spans="1:5" x14ac:dyDescent="0.25">
      <c r="A2915" s="313" t="s">
        <v>1071</v>
      </c>
      <c r="B2915" s="313" t="s">
        <v>19</v>
      </c>
      <c r="C2915" s="313" t="s">
        <v>1466</v>
      </c>
      <c r="D2915" s="313" t="s">
        <v>19</v>
      </c>
      <c r="E2915" s="313" t="s">
        <v>46</v>
      </c>
    </row>
    <row r="2916" spans="1:5" x14ac:dyDescent="0.25">
      <c r="A2916" s="313" t="s">
        <v>1071</v>
      </c>
      <c r="B2916" s="313" t="s">
        <v>19</v>
      </c>
      <c r="C2916" s="313" t="s">
        <v>1471</v>
      </c>
      <c r="D2916" s="313" t="s">
        <v>35</v>
      </c>
      <c r="E2916" s="313" t="s">
        <v>24</v>
      </c>
    </row>
    <row r="2917" spans="1:5" x14ac:dyDescent="0.25">
      <c r="A2917" s="313" t="s">
        <v>1071</v>
      </c>
      <c r="B2917" s="313" t="s">
        <v>19</v>
      </c>
      <c r="C2917" s="313" t="s">
        <v>1475</v>
      </c>
      <c r="D2917" s="313" t="s">
        <v>19</v>
      </c>
      <c r="E2917" s="313" t="s">
        <v>46</v>
      </c>
    </row>
    <row r="2918" spans="1:5" x14ac:dyDescent="0.25">
      <c r="A2918" s="313" t="s">
        <v>1071</v>
      </c>
      <c r="B2918" s="313" t="s">
        <v>19</v>
      </c>
      <c r="C2918" s="313" t="s">
        <v>20</v>
      </c>
      <c r="D2918" s="313" t="s">
        <v>19</v>
      </c>
      <c r="E2918" s="313" t="s">
        <v>46</v>
      </c>
    </row>
    <row r="2919" spans="1:5" x14ac:dyDescent="0.25">
      <c r="A2919" s="313" t="s">
        <v>1071</v>
      </c>
      <c r="B2919" s="313" t="s">
        <v>19</v>
      </c>
      <c r="C2919" s="313" t="s">
        <v>1487</v>
      </c>
      <c r="D2919" s="313" t="s">
        <v>35</v>
      </c>
      <c r="E2919" s="313" t="s">
        <v>24</v>
      </c>
    </row>
    <row r="2920" spans="1:5" x14ac:dyDescent="0.25">
      <c r="A2920" s="313" t="s">
        <v>1071</v>
      </c>
      <c r="B2920" s="313" t="s">
        <v>19</v>
      </c>
      <c r="C2920" s="313" t="s">
        <v>1495</v>
      </c>
      <c r="D2920" s="313" t="s">
        <v>35</v>
      </c>
      <c r="E2920" s="313" t="s">
        <v>24</v>
      </c>
    </row>
    <row r="2921" spans="1:5" x14ac:dyDescent="0.25">
      <c r="A2921" s="313" t="s">
        <v>1071</v>
      </c>
      <c r="B2921" s="313" t="s">
        <v>26</v>
      </c>
      <c r="C2921" s="313" t="s">
        <v>1514</v>
      </c>
      <c r="D2921" s="313" t="s">
        <v>24</v>
      </c>
      <c r="E2921" s="313" t="s">
        <v>46</v>
      </c>
    </row>
    <row r="2922" spans="1:5" x14ac:dyDescent="0.25">
      <c r="A2922" s="313" t="s">
        <v>1071</v>
      </c>
      <c r="B2922" s="313" t="s">
        <v>26</v>
      </c>
      <c r="C2922" s="313" t="s">
        <v>1515</v>
      </c>
      <c r="D2922" s="313" t="s">
        <v>24</v>
      </c>
      <c r="E2922" s="313" t="s">
        <v>46</v>
      </c>
    </row>
    <row r="2923" spans="1:5" x14ac:dyDescent="0.25">
      <c r="A2923" s="313" t="s">
        <v>1071</v>
      </c>
      <c r="B2923" s="313" t="s">
        <v>26</v>
      </c>
      <c r="C2923" s="313" t="s">
        <v>1516</v>
      </c>
      <c r="D2923" s="313" t="s">
        <v>24</v>
      </c>
      <c r="E2923" s="313" t="s">
        <v>46</v>
      </c>
    </row>
    <row r="2924" spans="1:5" x14ac:dyDescent="0.25">
      <c r="A2924" s="313" t="s">
        <v>1071</v>
      </c>
      <c r="B2924" s="313" t="s">
        <v>26</v>
      </c>
      <c r="C2924" s="313" t="s">
        <v>1517</v>
      </c>
      <c r="D2924" s="313" t="s">
        <v>24</v>
      </c>
      <c r="E2924" s="313" t="s">
        <v>46</v>
      </c>
    </row>
    <row r="2925" spans="1:5" x14ac:dyDescent="0.25">
      <c r="A2925" s="313" t="s">
        <v>1071</v>
      </c>
      <c r="B2925" s="313" t="s">
        <v>26</v>
      </c>
      <c r="C2925" s="313" t="s">
        <v>1518</v>
      </c>
      <c r="D2925" s="313" t="s">
        <v>24</v>
      </c>
      <c r="E2925" s="313" t="s">
        <v>46</v>
      </c>
    </row>
    <row r="2926" spans="1:5" x14ac:dyDescent="0.25">
      <c r="A2926" s="313" t="s">
        <v>1071</v>
      </c>
      <c r="B2926" s="313" t="s">
        <v>26</v>
      </c>
      <c r="C2926" s="313" t="s">
        <v>1519</v>
      </c>
      <c r="D2926" s="313" t="s">
        <v>24</v>
      </c>
      <c r="E2926" s="313" t="s">
        <v>46</v>
      </c>
    </row>
    <row r="2927" spans="1:5" x14ac:dyDescent="0.25">
      <c r="A2927" s="313" t="s">
        <v>1073</v>
      </c>
      <c r="B2927" s="313" t="s">
        <v>19</v>
      </c>
      <c r="C2927" s="313" t="s">
        <v>1466</v>
      </c>
      <c r="D2927" s="313" t="s">
        <v>19</v>
      </c>
      <c r="E2927" s="313" t="s">
        <v>46</v>
      </c>
    </row>
    <row r="2928" spans="1:5" x14ac:dyDescent="0.25">
      <c r="A2928" s="313" t="s">
        <v>1073</v>
      </c>
      <c r="B2928" s="313" t="s">
        <v>19</v>
      </c>
      <c r="C2928" s="313" t="s">
        <v>1471</v>
      </c>
      <c r="D2928" s="313" t="s">
        <v>26</v>
      </c>
      <c r="E2928" s="313" t="s">
        <v>24</v>
      </c>
    </row>
    <row r="2929" spans="1:5" x14ac:dyDescent="0.25">
      <c r="A2929" s="313" t="s">
        <v>1073</v>
      </c>
      <c r="B2929" s="313" t="s">
        <v>19</v>
      </c>
      <c r="C2929" s="313" t="s">
        <v>1475</v>
      </c>
      <c r="D2929" s="313" t="s">
        <v>19</v>
      </c>
      <c r="E2929" s="313" t="s">
        <v>46</v>
      </c>
    </row>
    <row r="2930" spans="1:5" x14ac:dyDescent="0.25">
      <c r="A2930" s="313" t="s">
        <v>1073</v>
      </c>
      <c r="B2930" s="313" t="s">
        <v>19</v>
      </c>
      <c r="C2930" s="313" t="s">
        <v>20</v>
      </c>
      <c r="D2930" s="313" t="s">
        <v>19</v>
      </c>
      <c r="E2930" s="313" t="s">
        <v>46</v>
      </c>
    </row>
    <row r="2931" spans="1:5" x14ac:dyDescent="0.25">
      <c r="A2931" s="313" t="s">
        <v>1073</v>
      </c>
      <c r="B2931" s="313" t="s">
        <v>19</v>
      </c>
      <c r="C2931" s="313" t="s">
        <v>1487</v>
      </c>
      <c r="D2931" s="313" t="s">
        <v>19</v>
      </c>
      <c r="E2931" s="313" t="s">
        <v>46</v>
      </c>
    </row>
    <row r="2932" spans="1:5" x14ac:dyDescent="0.25">
      <c r="A2932" s="313" t="s">
        <v>1073</v>
      </c>
      <c r="B2932" s="313" t="s">
        <v>19</v>
      </c>
      <c r="C2932" s="313" t="s">
        <v>1495</v>
      </c>
      <c r="D2932" s="313" t="s">
        <v>35</v>
      </c>
      <c r="E2932" s="313" t="s">
        <v>24</v>
      </c>
    </row>
    <row r="2933" spans="1:5" x14ac:dyDescent="0.25">
      <c r="A2933" s="313" t="s">
        <v>1073</v>
      </c>
      <c r="B2933" s="313" t="s">
        <v>26</v>
      </c>
      <c r="C2933" s="313" t="s">
        <v>2929</v>
      </c>
      <c r="D2933" s="313" t="s">
        <v>24</v>
      </c>
      <c r="E2933" s="313" t="s">
        <v>1710</v>
      </c>
    </row>
    <row r="2934" spans="1:5" x14ac:dyDescent="0.25">
      <c r="A2934" s="313" t="s">
        <v>1073</v>
      </c>
      <c r="B2934" s="313" t="s">
        <v>26</v>
      </c>
      <c r="C2934" s="313" t="s">
        <v>2930</v>
      </c>
      <c r="D2934" s="313" t="s">
        <v>24</v>
      </c>
      <c r="E2934" s="313" t="s">
        <v>35</v>
      </c>
    </row>
    <row r="2935" spans="1:5" x14ac:dyDescent="0.25">
      <c r="A2935" s="313" t="s">
        <v>1076</v>
      </c>
      <c r="B2935" s="313" t="s">
        <v>19</v>
      </c>
      <c r="C2935" s="313" t="s">
        <v>1466</v>
      </c>
      <c r="D2935" s="313" t="s">
        <v>19</v>
      </c>
      <c r="E2935" s="313" t="s">
        <v>46</v>
      </c>
    </row>
    <row r="2936" spans="1:5" x14ac:dyDescent="0.25">
      <c r="A2936" s="313" t="s">
        <v>1076</v>
      </c>
      <c r="B2936" s="313" t="s">
        <v>19</v>
      </c>
      <c r="C2936" s="313" t="s">
        <v>1471</v>
      </c>
      <c r="D2936" s="313" t="s">
        <v>26</v>
      </c>
      <c r="E2936" s="313" t="s">
        <v>24</v>
      </c>
    </row>
    <row r="2937" spans="1:5" x14ac:dyDescent="0.25">
      <c r="A2937" s="313" t="s">
        <v>1076</v>
      </c>
      <c r="B2937" s="313" t="s">
        <v>19</v>
      </c>
      <c r="C2937" s="313" t="s">
        <v>1475</v>
      </c>
      <c r="D2937" s="313" t="s">
        <v>19</v>
      </c>
      <c r="E2937" s="313" t="s">
        <v>46</v>
      </c>
    </row>
    <row r="2938" spans="1:5" x14ac:dyDescent="0.25">
      <c r="A2938" s="313" t="s">
        <v>1076</v>
      </c>
      <c r="B2938" s="313" t="s">
        <v>19</v>
      </c>
      <c r="C2938" s="313" t="s">
        <v>20</v>
      </c>
      <c r="D2938" s="313" t="s">
        <v>19</v>
      </c>
      <c r="E2938" s="313" t="s">
        <v>46</v>
      </c>
    </row>
    <row r="2939" spans="1:5" x14ac:dyDescent="0.25">
      <c r="A2939" s="313" t="s">
        <v>1076</v>
      </c>
      <c r="B2939" s="313" t="s">
        <v>19</v>
      </c>
      <c r="C2939" s="313" t="s">
        <v>1487</v>
      </c>
      <c r="D2939" s="313" t="s">
        <v>19</v>
      </c>
      <c r="E2939" s="313" t="s">
        <v>46</v>
      </c>
    </row>
    <row r="2940" spans="1:5" x14ac:dyDescent="0.25">
      <c r="A2940" s="313" t="s">
        <v>1076</v>
      </c>
      <c r="B2940" s="313" t="s">
        <v>19</v>
      </c>
      <c r="C2940" s="313" t="s">
        <v>1495</v>
      </c>
      <c r="D2940" s="313" t="s">
        <v>35</v>
      </c>
      <c r="E2940" s="313" t="s">
        <v>24</v>
      </c>
    </row>
    <row r="2941" spans="1:5" x14ac:dyDescent="0.25">
      <c r="A2941" s="313" t="s">
        <v>1076</v>
      </c>
      <c r="B2941" s="313" t="s">
        <v>26</v>
      </c>
      <c r="C2941" s="313" t="s">
        <v>2929</v>
      </c>
      <c r="D2941" s="313" t="s">
        <v>24</v>
      </c>
      <c r="E2941" s="313" t="s">
        <v>1711</v>
      </c>
    </row>
    <row r="2942" spans="1:5" x14ac:dyDescent="0.25">
      <c r="A2942" s="313" t="s">
        <v>1076</v>
      </c>
      <c r="B2942" s="313" t="s">
        <v>26</v>
      </c>
      <c r="C2942" s="313" t="s">
        <v>2930</v>
      </c>
      <c r="D2942" s="313" t="s">
        <v>24</v>
      </c>
      <c r="E2942" s="313" t="s">
        <v>35</v>
      </c>
    </row>
    <row r="2943" spans="1:5" x14ac:dyDescent="0.25">
      <c r="A2943" s="313" t="s">
        <v>1079</v>
      </c>
      <c r="B2943" s="313" t="s">
        <v>19</v>
      </c>
      <c r="C2943" s="313" t="s">
        <v>1466</v>
      </c>
      <c r="D2943" s="313" t="s">
        <v>19</v>
      </c>
      <c r="E2943" s="313" t="s">
        <v>46</v>
      </c>
    </row>
    <row r="2944" spans="1:5" x14ac:dyDescent="0.25">
      <c r="A2944" s="313" t="s">
        <v>1079</v>
      </c>
      <c r="B2944" s="313" t="s">
        <v>19</v>
      </c>
      <c r="C2944" s="313" t="s">
        <v>1471</v>
      </c>
      <c r="D2944" s="313" t="s">
        <v>35</v>
      </c>
      <c r="E2944" s="313" t="s">
        <v>24</v>
      </c>
    </row>
    <row r="2945" spans="1:5" x14ac:dyDescent="0.25">
      <c r="A2945" s="313" t="s">
        <v>1079</v>
      </c>
      <c r="B2945" s="313" t="s">
        <v>19</v>
      </c>
      <c r="C2945" s="313" t="s">
        <v>1475</v>
      </c>
      <c r="D2945" s="313" t="s">
        <v>19</v>
      </c>
      <c r="E2945" s="313" t="s">
        <v>46</v>
      </c>
    </row>
    <row r="2946" spans="1:5" x14ac:dyDescent="0.25">
      <c r="A2946" s="313" t="s">
        <v>1079</v>
      </c>
      <c r="B2946" s="313" t="s">
        <v>19</v>
      </c>
      <c r="C2946" s="313" t="s">
        <v>20</v>
      </c>
      <c r="D2946" s="313" t="s">
        <v>19</v>
      </c>
      <c r="E2946" s="313" t="s">
        <v>46</v>
      </c>
    </row>
    <row r="2947" spans="1:5" x14ac:dyDescent="0.25">
      <c r="A2947" s="313" t="s">
        <v>1079</v>
      </c>
      <c r="B2947" s="313" t="s">
        <v>19</v>
      </c>
      <c r="C2947" s="313" t="s">
        <v>1487</v>
      </c>
      <c r="D2947" s="313" t="s">
        <v>19</v>
      </c>
      <c r="E2947" s="313" t="s">
        <v>46</v>
      </c>
    </row>
    <row r="2948" spans="1:5" x14ac:dyDescent="0.25">
      <c r="A2948" s="313" t="s">
        <v>1079</v>
      </c>
      <c r="B2948" s="313" t="s">
        <v>19</v>
      </c>
      <c r="C2948" s="313" t="s">
        <v>1495</v>
      </c>
      <c r="D2948" s="313" t="s">
        <v>35</v>
      </c>
      <c r="E2948" s="313" t="s">
        <v>24</v>
      </c>
    </row>
    <row r="2949" spans="1:5" x14ac:dyDescent="0.25">
      <c r="A2949" s="313" t="s">
        <v>1082</v>
      </c>
      <c r="B2949" s="313" t="s">
        <v>19</v>
      </c>
      <c r="C2949" s="313" t="s">
        <v>1466</v>
      </c>
      <c r="D2949" s="313" t="s">
        <v>19</v>
      </c>
      <c r="E2949" s="313" t="s">
        <v>46</v>
      </c>
    </row>
    <row r="2950" spans="1:5" x14ac:dyDescent="0.25">
      <c r="A2950" s="313" t="s">
        <v>1082</v>
      </c>
      <c r="B2950" s="313" t="s">
        <v>19</v>
      </c>
      <c r="C2950" s="313" t="s">
        <v>1471</v>
      </c>
      <c r="D2950" s="313" t="s">
        <v>26</v>
      </c>
      <c r="E2950" s="313" t="s">
        <v>24</v>
      </c>
    </row>
    <row r="2951" spans="1:5" x14ac:dyDescent="0.25">
      <c r="A2951" s="313" t="s">
        <v>1082</v>
      </c>
      <c r="B2951" s="313" t="s">
        <v>19</v>
      </c>
      <c r="C2951" s="313" t="s">
        <v>1475</v>
      </c>
      <c r="D2951" s="313" t="s">
        <v>19</v>
      </c>
      <c r="E2951" s="313" t="s">
        <v>46</v>
      </c>
    </row>
    <row r="2952" spans="1:5" x14ac:dyDescent="0.25">
      <c r="A2952" s="313" t="s">
        <v>1082</v>
      </c>
      <c r="B2952" s="313" t="s">
        <v>19</v>
      </c>
      <c r="C2952" s="313" t="s">
        <v>20</v>
      </c>
      <c r="D2952" s="313" t="s">
        <v>19</v>
      </c>
      <c r="E2952" s="313" t="s">
        <v>46</v>
      </c>
    </row>
    <row r="2953" spans="1:5" x14ac:dyDescent="0.25">
      <c r="A2953" s="313" t="s">
        <v>1082</v>
      </c>
      <c r="B2953" s="313" t="s">
        <v>19</v>
      </c>
      <c r="C2953" s="313" t="s">
        <v>1487</v>
      </c>
      <c r="D2953" s="313" t="s">
        <v>19</v>
      </c>
      <c r="E2953" s="313" t="s">
        <v>46</v>
      </c>
    </row>
    <row r="2954" spans="1:5" x14ac:dyDescent="0.25">
      <c r="A2954" s="313" t="s">
        <v>1082</v>
      </c>
      <c r="B2954" s="313" t="s">
        <v>19</v>
      </c>
      <c r="C2954" s="313" t="s">
        <v>1495</v>
      </c>
      <c r="D2954" s="313" t="s">
        <v>35</v>
      </c>
      <c r="E2954" s="313" t="s">
        <v>24</v>
      </c>
    </row>
    <row r="2955" spans="1:5" x14ac:dyDescent="0.25">
      <c r="A2955" s="313" t="s">
        <v>1082</v>
      </c>
      <c r="B2955" s="313" t="s">
        <v>26</v>
      </c>
      <c r="C2955" s="313" t="s">
        <v>2929</v>
      </c>
      <c r="D2955" s="313" t="s">
        <v>24</v>
      </c>
      <c r="E2955" s="313" t="s">
        <v>1712</v>
      </c>
    </row>
    <row r="2956" spans="1:5" x14ac:dyDescent="0.25">
      <c r="A2956" s="313" t="s">
        <v>1082</v>
      </c>
      <c r="B2956" s="313" t="s">
        <v>26</v>
      </c>
      <c r="C2956" s="313" t="s">
        <v>2930</v>
      </c>
      <c r="D2956" s="313" t="s">
        <v>24</v>
      </c>
      <c r="E2956" s="313" t="s">
        <v>35</v>
      </c>
    </row>
    <row r="2957" spans="1:5" x14ac:dyDescent="0.25">
      <c r="A2957" s="313" t="s">
        <v>1085</v>
      </c>
      <c r="B2957" s="313" t="s">
        <v>19</v>
      </c>
      <c r="C2957" s="313" t="s">
        <v>1466</v>
      </c>
      <c r="D2957" s="313" t="s">
        <v>19</v>
      </c>
      <c r="E2957" s="313" t="s">
        <v>46</v>
      </c>
    </row>
    <row r="2958" spans="1:5" x14ac:dyDescent="0.25">
      <c r="A2958" s="313" t="s">
        <v>1085</v>
      </c>
      <c r="B2958" s="313" t="s">
        <v>19</v>
      </c>
      <c r="C2958" s="313" t="s">
        <v>1471</v>
      </c>
      <c r="D2958" s="313" t="s">
        <v>26</v>
      </c>
      <c r="E2958" s="313" t="s">
        <v>24</v>
      </c>
    </row>
    <row r="2959" spans="1:5" x14ac:dyDescent="0.25">
      <c r="A2959" s="313" t="s">
        <v>1085</v>
      </c>
      <c r="B2959" s="313" t="s">
        <v>19</v>
      </c>
      <c r="C2959" s="313" t="s">
        <v>1475</v>
      </c>
      <c r="D2959" s="313" t="s">
        <v>19</v>
      </c>
      <c r="E2959" s="313" t="s">
        <v>473</v>
      </c>
    </row>
    <row r="2960" spans="1:5" x14ac:dyDescent="0.25">
      <c r="A2960" s="313" t="s">
        <v>1085</v>
      </c>
      <c r="B2960" s="313" t="s">
        <v>19</v>
      </c>
      <c r="C2960" s="313" t="s">
        <v>20</v>
      </c>
      <c r="D2960" s="313" t="s">
        <v>19</v>
      </c>
      <c r="E2960" s="313" t="s">
        <v>46</v>
      </c>
    </row>
    <row r="2961" spans="1:5" x14ac:dyDescent="0.25">
      <c r="A2961" s="313" t="s">
        <v>1085</v>
      </c>
      <c r="B2961" s="313" t="s">
        <v>19</v>
      </c>
      <c r="C2961" s="313" t="s">
        <v>1487</v>
      </c>
      <c r="D2961" s="313" t="s">
        <v>19</v>
      </c>
      <c r="E2961" s="313" t="s">
        <v>46</v>
      </c>
    </row>
    <row r="2962" spans="1:5" x14ac:dyDescent="0.25">
      <c r="A2962" s="313" t="s">
        <v>1085</v>
      </c>
      <c r="B2962" s="313" t="s">
        <v>19</v>
      </c>
      <c r="C2962" s="313" t="s">
        <v>1495</v>
      </c>
      <c r="D2962" s="313" t="s">
        <v>35</v>
      </c>
      <c r="E2962" s="313" t="s">
        <v>24</v>
      </c>
    </row>
    <row r="2963" spans="1:5" x14ac:dyDescent="0.25">
      <c r="A2963" s="313" t="s">
        <v>1085</v>
      </c>
      <c r="B2963" s="313" t="s">
        <v>26</v>
      </c>
      <c r="C2963" s="313" t="s">
        <v>2929</v>
      </c>
      <c r="D2963" s="313" t="s">
        <v>24</v>
      </c>
      <c r="E2963" s="313" t="s">
        <v>1713</v>
      </c>
    </row>
    <row r="2964" spans="1:5" x14ac:dyDescent="0.25">
      <c r="A2964" s="313" t="s">
        <v>1085</v>
      </c>
      <c r="B2964" s="313" t="s">
        <v>26</v>
      </c>
      <c r="C2964" s="313" t="s">
        <v>2930</v>
      </c>
      <c r="D2964" s="313" t="s">
        <v>24</v>
      </c>
      <c r="E2964" s="313" t="s">
        <v>35</v>
      </c>
    </row>
    <row r="2965" spans="1:5" x14ac:dyDescent="0.25">
      <c r="A2965" s="313" t="s">
        <v>1090</v>
      </c>
      <c r="B2965" s="313" t="s">
        <v>19</v>
      </c>
      <c r="C2965" s="313" t="s">
        <v>1466</v>
      </c>
      <c r="D2965" s="313" t="s">
        <v>19</v>
      </c>
      <c r="E2965" s="313" t="s">
        <v>1714</v>
      </c>
    </row>
    <row r="2966" spans="1:5" x14ac:dyDescent="0.25">
      <c r="A2966" s="313" t="s">
        <v>1090</v>
      </c>
      <c r="B2966" s="313" t="s">
        <v>19</v>
      </c>
      <c r="C2966" s="313" t="s">
        <v>1471</v>
      </c>
      <c r="D2966" s="313" t="s">
        <v>26</v>
      </c>
      <c r="E2966" s="313" t="s">
        <v>24</v>
      </c>
    </row>
    <row r="2967" spans="1:5" x14ac:dyDescent="0.25">
      <c r="A2967" s="313" t="s">
        <v>1090</v>
      </c>
      <c r="B2967" s="313" t="s">
        <v>19</v>
      </c>
      <c r="C2967" s="313" t="s">
        <v>1475</v>
      </c>
      <c r="D2967" s="313" t="s">
        <v>19</v>
      </c>
      <c r="E2967" s="313" t="s">
        <v>46</v>
      </c>
    </row>
    <row r="2968" spans="1:5" x14ac:dyDescent="0.25">
      <c r="A2968" s="313" t="s">
        <v>1090</v>
      </c>
      <c r="B2968" s="313" t="s">
        <v>19</v>
      </c>
      <c r="C2968" s="313" t="s">
        <v>20</v>
      </c>
      <c r="D2968" s="313" t="s">
        <v>26</v>
      </c>
      <c r="E2968" s="313" t="s">
        <v>24</v>
      </c>
    </row>
    <row r="2969" spans="1:5" x14ac:dyDescent="0.25">
      <c r="A2969" s="313" t="s">
        <v>1090</v>
      </c>
      <c r="B2969" s="313" t="s">
        <v>19</v>
      </c>
      <c r="C2969" s="313" t="s">
        <v>1487</v>
      </c>
      <c r="D2969" s="313" t="s">
        <v>19</v>
      </c>
      <c r="E2969" s="313" t="s">
        <v>865</v>
      </c>
    </row>
    <row r="2970" spans="1:5" x14ac:dyDescent="0.25">
      <c r="A2970" s="313" t="s">
        <v>1090</v>
      </c>
      <c r="B2970" s="313" t="s">
        <v>19</v>
      </c>
      <c r="C2970" s="313" t="s">
        <v>1495</v>
      </c>
      <c r="D2970" s="313" t="s">
        <v>35</v>
      </c>
      <c r="E2970" s="313" t="s">
        <v>24</v>
      </c>
    </row>
    <row r="2971" spans="1:5" x14ac:dyDescent="0.25">
      <c r="A2971" s="313" t="s">
        <v>1090</v>
      </c>
      <c r="B2971" s="313" t="s">
        <v>26</v>
      </c>
      <c r="C2971" s="313" t="s">
        <v>2929</v>
      </c>
      <c r="D2971" s="313" t="s">
        <v>24</v>
      </c>
      <c r="E2971" s="313" t="s">
        <v>1092</v>
      </c>
    </row>
    <row r="2972" spans="1:5" x14ac:dyDescent="0.25">
      <c r="A2972" s="313" t="s">
        <v>1090</v>
      </c>
      <c r="B2972" s="313" t="s">
        <v>26</v>
      </c>
      <c r="C2972" s="313" t="s">
        <v>2930</v>
      </c>
      <c r="D2972" s="313" t="s">
        <v>24</v>
      </c>
      <c r="E2972" s="313" t="s">
        <v>35</v>
      </c>
    </row>
    <row r="2973" spans="1:5" x14ac:dyDescent="0.25">
      <c r="A2973" s="313" t="s">
        <v>1090</v>
      </c>
      <c r="B2973" s="313" t="s">
        <v>26</v>
      </c>
      <c r="C2973" s="313" t="s">
        <v>1509</v>
      </c>
      <c r="D2973" s="313" t="s">
        <v>24</v>
      </c>
      <c r="E2973" s="313" t="s">
        <v>865</v>
      </c>
    </row>
    <row r="2974" spans="1:5" x14ac:dyDescent="0.25">
      <c r="A2974" s="313" t="s">
        <v>1090</v>
      </c>
      <c r="B2974" s="313" t="s">
        <v>26</v>
      </c>
      <c r="C2974" s="313" t="s">
        <v>1510</v>
      </c>
      <c r="D2974" s="313" t="s">
        <v>24</v>
      </c>
      <c r="E2974" s="313" t="s">
        <v>46</v>
      </c>
    </row>
    <row r="2975" spans="1:5" x14ac:dyDescent="0.25">
      <c r="A2975" s="313" t="s">
        <v>1090</v>
      </c>
      <c r="B2975" s="313" t="s">
        <v>26</v>
      </c>
      <c r="C2975" s="313" t="s">
        <v>1511</v>
      </c>
      <c r="D2975" s="313" t="s">
        <v>24</v>
      </c>
      <c r="E2975" s="313" t="s">
        <v>1715</v>
      </c>
    </row>
    <row r="2976" spans="1:5" x14ac:dyDescent="0.25">
      <c r="A2976" s="313" t="s">
        <v>1090</v>
      </c>
      <c r="B2976" s="313" t="s">
        <v>26</v>
      </c>
      <c r="C2976" s="313" t="s">
        <v>27</v>
      </c>
      <c r="D2976" s="313" t="s">
        <v>24</v>
      </c>
      <c r="E2976" s="313" t="s">
        <v>865</v>
      </c>
    </row>
    <row r="2977" spans="1:5" x14ac:dyDescent="0.25">
      <c r="A2977" s="313" t="s">
        <v>1090</v>
      </c>
      <c r="B2977" s="313" t="s">
        <v>26</v>
      </c>
      <c r="C2977" s="313" t="s">
        <v>1512</v>
      </c>
      <c r="D2977" s="313" t="s">
        <v>24</v>
      </c>
      <c r="E2977" s="313" t="s">
        <v>865</v>
      </c>
    </row>
    <row r="2978" spans="1:5" x14ac:dyDescent="0.25">
      <c r="A2978" s="313" t="s">
        <v>1090</v>
      </c>
      <c r="B2978" s="313" t="s">
        <v>26</v>
      </c>
      <c r="C2978" s="313" t="s">
        <v>1513</v>
      </c>
      <c r="D2978" s="313" t="s">
        <v>24</v>
      </c>
      <c r="E2978" s="313" t="s">
        <v>865</v>
      </c>
    </row>
    <row r="2979" spans="1:5" x14ac:dyDescent="0.25">
      <c r="A2979" s="313" t="s">
        <v>1093</v>
      </c>
      <c r="B2979" s="313" t="s">
        <v>19</v>
      </c>
      <c r="C2979" s="313" t="s">
        <v>1466</v>
      </c>
      <c r="D2979" s="313" t="s">
        <v>35</v>
      </c>
      <c r="E2979" s="313" t="s">
        <v>24</v>
      </c>
    </row>
    <row r="2980" spans="1:5" x14ac:dyDescent="0.25">
      <c r="A2980" s="313" t="s">
        <v>1093</v>
      </c>
      <c r="B2980" s="313" t="s">
        <v>19</v>
      </c>
      <c r="C2980" s="313" t="s">
        <v>1471</v>
      </c>
      <c r="D2980" s="313" t="s">
        <v>35</v>
      </c>
      <c r="E2980" s="313" t="s">
        <v>24</v>
      </c>
    </row>
    <row r="2981" spans="1:5" x14ac:dyDescent="0.25">
      <c r="A2981" s="313" t="s">
        <v>1093</v>
      </c>
      <c r="B2981" s="313" t="s">
        <v>19</v>
      </c>
      <c r="C2981" s="313" t="s">
        <v>1475</v>
      </c>
      <c r="D2981" s="313" t="s">
        <v>19</v>
      </c>
      <c r="E2981" s="313" t="s">
        <v>46</v>
      </c>
    </row>
    <row r="2982" spans="1:5" x14ac:dyDescent="0.25">
      <c r="A2982" s="313" t="s">
        <v>1093</v>
      </c>
      <c r="B2982" s="313" t="s">
        <v>19</v>
      </c>
      <c r="C2982" s="313" t="s">
        <v>20</v>
      </c>
      <c r="D2982" s="313" t="s">
        <v>35</v>
      </c>
      <c r="E2982" s="313" t="s">
        <v>24</v>
      </c>
    </row>
    <row r="2983" spans="1:5" x14ac:dyDescent="0.25">
      <c r="A2983" s="313" t="s">
        <v>1093</v>
      </c>
      <c r="B2983" s="313" t="s">
        <v>19</v>
      </c>
      <c r="C2983" s="313" t="s">
        <v>1487</v>
      </c>
      <c r="D2983" s="313" t="s">
        <v>35</v>
      </c>
      <c r="E2983" s="313" t="s">
        <v>24</v>
      </c>
    </row>
    <row r="2984" spans="1:5" x14ac:dyDescent="0.25">
      <c r="A2984" s="313" t="s">
        <v>1093</v>
      </c>
      <c r="B2984" s="313" t="s">
        <v>19</v>
      </c>
      <c r="C2984" s="313" t="s">
        <v>1495</v>
      </c>
      <c r="D2984" s="313" t="s">
        <v>35</v>
      </c>
      <c r="E2984" s="313" t="s">
        <v>24</v>
      </c>
    </row>
    <row r="2985" spans="1:5" x14ac:dyDescent="0.25">
      <c r="A2985" s="313" t="s">
        <v>1095</v>
      </c>
      <c r="B2985" s="313" t="s">
        <v>19</v>
      </c>
      <c r="C2985" s="313" t="s">
        <v>1466</v>
      </c>
      <c r="D2985" s="313" t="s">
        <v>35</v>
      </c>
      <c r="E2985" s="313" t="s">
        <v>24</v>
      </c>
    </row>
    <row r="2986" spans="1:5" x14ac:dyDescent="0.25">
      <c r="A2986" s="313" t="s">
        <v>1095</v>
      </c>
      <c r="B2986" s="313" t="s">
        <v>19</v>
      </c>
      <c r="C2986" s="313" t="s">
        <v>1471</v>
      </c>
      <c r="D2986" s="313" t="s">
        <v>35</v>
      </c>
      <c r="E2986" s="313" t="s">
        <v>24</v>
      </c>
    </row>
    <row r="2987" spans="1:5" x14ac:dyDescent="0.25">
      <c r="A2987" s="313" t="s">
        <v>1095</v>
      </c>
      <c r="B2987" s="313" t="s">
        <v>19</v>
      </c>
      <c r="C2987" s="313" t="s">
        <v>1475</v>
      </c>
      <c r="D2987" s="313" t="s">
        <v>19</v>
      </c>
      <c r="E2987" s="313" t="s">
        <v>46</v>
      </c>
    </row>
    <row r="2988" spans="1:5" x14ac:dyDescent="0.25">
      <c r="A2988" s="313" t="s">
        <v>1095</v>
      </c>
      <c r="B2988" s="313" t="s">
        <v>19</v>
      </c>
      <c r="C2988" s="313" t="s">
        <v>20</v>
      </c>
      <c r="D2988" s="313" t="s">
        <v>35</v>
      </c>
      <c r="E2988" s="313" t="s">
        <v>24</v>
      </c>
    </row>
    <row r="2989" spans="1:5" x14ac:dyDescent="0.25">
      <c r="A2989" s="313" t="s">
        <v>1095</v>
      </c>
      <c r="B2989" s="313" t="s">
        <v>19</v>
      </c>
      <c r="C2989" s="313" t="s">
        <v>1487</v>
      </c>
      <c r="D2989" s="313" t="s">
        <v>35</v>
      </c>
      <c r="E2989" s="313" t="s">
        <v>24</v>
      </c>
    </row>
    <row r="2990" spans="1:5" x14ac:dyDescent="0.25">
      <c r="A2990" s="313" t="s">
        <v>1095</v>
      </c>
      <c r="B2990" s="313" t="s">
        <v>19</v>
      </c>
      <c r="C2990" s="313" t="s">
        <v>1495</v>
      </c>
      <c r="D2990" s="313" t="s">
        <v>35</v>
      </c>
      <c r="E2990" s="313" t="s">
        <v>24</v>
      </c>
    </row>
    <row r="2991" spans="1:5" x14ac:dyDescent="0.25">
      <c r="A2991" s="313" t="s">
        <v>1096</v>
      </c>
      <c r="B2991" s="313" t="s">
        <v>19</v>
      </c>
      <c r="C2991" s="313" t="s">
        <v>1466</v>
      </c>
      <c r="D2991" s="313" t="s">
        <v>35</v>
      </c>
      <c r="E2991" s="313" t="s">
        <v>24</v>
      </c>
    </row>
    <row r="2992" spans="1:5" x14ac:dyDescent="0.25">
      <c r="A2992" s="313" t="s">
        <v>1096</v>
      </c>
      <c r="B2992" s="313" t="s">
        <v>19</v>
      </c>
      <c r="C2992" s="313" t="s">
        <v>1471</v>
      </c>
      <c r="D2992" s="313" t="s">
        <v>35</v>
      </c>
      <c r="E2992" s="313" t="s">
        <v>24</v>
      </c>
    </row>
    <row r="2993" spans="1:5" x14ac:dyDescent="0.25">
      <c r="A2993" s="313" t="s">
        <v>1096</v>
      </c>
      <c r="B2993" s="313" t="s">
        <v>19</v>
      </c>
      <c r="C2993" s="313" t="s">
        <v>1475</v>
      </c>
      <c r="D2993" s="313" t="s">
        <v>19</v>
      </c>
      <c r="E2993" s="313" t="s">
        <v>46</v>
      </c>
    </row>
    <row r="2994" spans="1:5" x14ac:dyDescent="0.25">
      <c r="A2994" s="313" t="s">
        <v>1096</v>
      </c>
      <c r="B2994" s="313" t="s">
        <v>19</v>
      </c>
      <c r="C2994" s="313" t="s">
        <v>20</v>
      </c>
      <c r="D2994" s="313" t="s">
        <v>35</v>
      </c>
      <c r="E2994" s="313" t="s">
        <v>24</v>
      </c>
    </row>
    <row r="2995" spans="1:5" x14ac:dyDescent="0.25">
      <c r="A2995" s="313" t="s">
        <v>1096</v>
      </c>
      <c r="B2995" s="313" t="s">
        <v>19</v>
      </c>
      <c r="C2995" s="313" t="s">
        <v>1487</v>
      </c>
      <c r="D2995" s="313" t="s">
        <v>35</v>
      </c>
      <c r="E2995" s="313" t="s">
        <v>24</v>
      </c>
    </row>
    <row r="2996" spans="1:5" x14ac:dyDescent="0.25">
      <c r="A2996" s="313" t="s">
        <v>1096</v>
      </c>
      <c r="B2996" s="313" t="s">
        <v>19</v>
      </c>
      <c r="C2996" s="313" t="s">
        <v>1495</v>
      </c>
      <c r="D2996" s="313" t="s">
        <v>35</v>
      </c>
      <c r="E2996" s="313" t="s">
        <v>24</v>
      </c>
    </row>
    <row r="2997" spans="1:5" x14ac:dyDescent="0.25">
      <c r="A2997" s="313" t="s">
        <v>1097</v>
      </c>
      <c r="B2997" s="313" t="s">
        <v>19</v>
      </c>
      <c r="C2997" s="313" t="s">
        <v>1466</v>
      </c>
      <c r="D2997" s="313" t="s">
        <v>35</v>
      </c>
      <c r="E2997" s="313" t="s">
        <v>24</v>
      </c>
    </row>
    <row r="2998" spans="1:5" x14ac:dyDescent="0.25">
      <c r="A2998" s="313" t="s">
        <v>1097</v>
      </c>
      <c r="B2998" s="313" t="s">
        <v>19</v>
      </c>
      <c r="C2998" s="313" t="s">
        <v>1471</v>
      </c>
      <c r="D2998" s="313" t="s">
        <v>35</v>
      </c>
      <c r="E2998" s="313" t="s">
        <v>24</v>
      </c>
    </row>
    <row r="2999" spans="1:5" x14ac:dyDescent="0.25">
      <c r="A2999" s="313" t="s">
        <v>1097</v>
      </c>
      <c r="B2999" s="313" t="s">
        <v>19</v>
      </c>
      <c r="C2999" s="313" t="s">
        <v>1475</v>
      </c>
      <c r="D2999" s="313" t="s">
        <v>19</v>
      </c>
      <c r="E2999" s="313" t="s">
        <v>46</v>
      </c>
    </row>
    <row r="3000" spans="1:5" x14ac:dyDescent="0.25">
      <c r="A3000" s="313" t="s">
        <v>1097</v>
      </c>
      <c r="B3000" s="313" t="s">
        <v>19</v>
      </c>
      <c r="C3000" s="313" t="s">
        <v>20</v>
      </c>
      <c r="D3000" s="313" t="s">
        <v>35</v>
      </c>
      <c r="E3000" s="313" t="s">
        <v>24</v>
      </c>
    </row>
    <row r="3001" spans="1:5" x14ac:dyDescent="0.25">
      <c r="A3001" s="313" t="s">
        <v>1097</v>
      </c>
      <c r="B3001" s="313" t="s">
        <v>19</v>
      </c>
      <c r="C3001" s="313" t="s">
        <v>1487</v>
      </c>
      <c r="D3001" s="313" t="s">
        <v>35</v>
      </c>
      <c r="E3001" s="313" t="s">
        <v>24</v>
      </c>
    </row>
    <row r="3002" spans="1:5" x14ac:dyDescent="0.25">
      <c r="A3002" s="313" t="s">
        <v>1097</v>
      </c>
      <c r="B3002" s="313" t="s">
        <v>19</v>
      </c>
      <c r="C3002" s="313" t="s">
        <v>1495</v>
      </c>
      <c r="D3002" s="313" t="s">
        <v>35</v>
      </c>
      <c r="E3002" s="313" t="s">
        <v>24</v>
      </c>
    </row>
    <row r="3003" spans="1:5" x14ac:dyDescent="0.25">
      <c r="A3003" s="313" t="s">
        <v>1100</v>
      </c>
      <c r="B3003" s="313" t="s">
        <v>19</v>
      </c>
      <c r="C3003" s="313" t="s">
        <v>1466</v>
      </c>
      <c r="D3003" s="313" t="s">
        <v>19</v>
      </c>
      <c r="E3003" s="313" t="s">
        <v>1102</v>
      </c>
    </row>
    <row r="3004" spans="1:5" x14ac:dyDescent="0.25">
      <c r="A3004" s="313" t="s">
        <v>1100</v>
      </c>
      <c r="B3004" s="313" t="s">
        <v>19</v>
      </c>
      <c r="C3004" s="313" t="s">
        <v>1471</v>
      </c>
      <c r="D3004" s="313" t="s">
        <v>26</v>
      </c>
      <c r="E3004" s="313" t="s">
        <v>24</v>
      </c>
    </row>
    <row r="3005" spans="1:5" x14ac:dyDescent="0.25">
      <c r="A3005" s="313" t="s">
        <v>1100</v>
      </c>
      <c r="B3005" s="313" t="s">
        <v>19</v>
      </c>
      <c r="C3005" s="313" t="s">
        <v>1475</v>
      </c>
      <c r="D3005" s="313" t="s">
        <v>19</v>
      </c>
      <c r="E3005" s="313" t="s">
        <v>46</v>
      </c>
    </row>
    <row r="3006" spans="1:5" x14ac:dyDescent="0.25">
      <c r="A3006" s="313" t="s">
        <v>1100</v>
      </c>
      <c r="B3006" s="313" t="s">
        <v>19</v>
      </c>
      <c r="C3006" s="313" t="s">
        <v>20</v>
      </c>
      <c r="D3006" s="313" t="s">
        <v>26</v>
      </c>
      <c r="E3006" s="313" t="s">
        <v>24</v>
      </c>
    </row>
    <row r="3007" spans="1:5" x14ac:dyDescent="0.25">
      <c r="A3007" s="313" t="s">
        <v>1100</v>
      </c>
      <c r="B3007" s="313" t="s">
        <v>19</v>
      </c>
      <c r="C3007" s="313" t="s">
        <v>1487</v>
      </c>
      <c r="D3007" s="313" t="s">
        <v>26</v>
      </c>
      <c r="E3007" s="313" t="s">
        <v>24</v>
      </c>
    </row>
    <row r="3008" spans="1:5" x14ac:dyDescent="0.25">
      <c r="A3008" s="313" t="s">
        <v>1100</v>
      </c>
      <c r="B3008" s="313" t="s">
        <v>19</v>
      </c>
      <c r="C3008" s="313" t="s">
        <v>1495</v>
      </c>
      <c r="D3008" s="313" t="s">
        <v>35</v>
      </c>
      <c r="E3008" s="313" t="s">
        <v>24</v>
      </c>
    </row>
    <row r="3009" spans="1:5" x14ac:dyDescent="0.25">
      <c r="A3009" s="313" t="s">
        <v>1100</v>
      </c>
      <c r="B3009" s="313" t="s">
        <v>26</v>
      </c>
      <c r="C3009" s="313" t="s">
        <v>2929</v>
      </c>
      <c r="D3009" s="313" t="s">
        <v>24</v>
      </c>
      <c r="E3009" s="313" t="s">
        <v>1102</v>
      </c>
    </row>
    <row r="3010" spans="1:5" x14ac:dyDescent="0.25">
      <c r="A3010" s="313" t="s">
        <v>1100</v>
      </c>
      <c r="B3010" s="313" t="s">
        <v>26</v>
      </c>
      <c r="C3010" s="313" t="s">
        <v>2930</v>
      </c>
      <c r="D3010" s="313" t="s">
        <v>24</v>
      </c>
      <c r="E3010" s="313" t="s">
        <v>35</v>
      </c>
    </row>
    <row r="3011" spans="1:5" x14ac:dyDescent="0.25">
      <c r="A3011" s="313" t="s">
        <v>1100</v>
      </c>
      <c r="B3011" s="313" t="s">
        <v>26</v>
      </c>
      <c r="C3011" s="313" t="s">
        <v>1509</v>
      </c>
      <c r="D3011" s="313" t="s">
        <v>24</v>
      </c>
      <c r="E3011" s="313" t="s">
        <v>46</v>
      </c>
    </row>
    <row r="3012" spans="1:5" x14ac:dyDescent="0.25">
      <c r="A3012" s="313" t="s">
        <v>1100</v>
      </c>
      <c r="B3012" s="313" t="s">
        <v>26</v>
      </c>
      <c r="C3012" s="313" t="s">
        <v>1510</v>
      </c>
      <c r="D3012" s="313" t="s">
        <v>24</v>
      </c>
      <c r="E3012" s="313" t="s">
        <v>46</v>
      </c>
    </row>
    <row r="3013" spans="1:5" x14ac:dyDescent="0.25">
      <c r="A3013" s="313" t="s">
        <v>1100</v>
      </c>
      <c r="B3013" s="313" t="s">
        <v>26</v>
      </c>
      <c r="C3013" s="313" t="s">
        <v>1511</v>
      </c>
      <c r="D3013" s="313" t="s">
        <v>24</v>
      </c>
      <c r="E3013" s="313" t="s">
        <v>1102</v>
      </c>
    </row>
    <row r="3014" spans="1:5" x14ac:dyDescent="0.25">
      <c r="A3014" s="313" t="s">
        <v>1100</v>
      </c>
      <c r="B3014" s="313" t="s">
        <v>26</v>
      </c>
      <c r="C3014" s="313" t="s">
        <v>27</v>
      </c>
      <c r="D3014" s="313" t="s">
        <v>24</v>
      </c>
      <c r="E3014" s="313" t="s">
        <v>46</v>
      </c>
    </row>
    <row r="3015" spans="1:5" x14ac:dyDescent="0.25">
      <c r="A3015" s="313" t="s">
        <v>1100</v>
      </c>
      <c r="B3015" s="313" t="s">
        <v>26</v>
      </c>
      <c r="C3015" s="313" t="s">
        <v>1512</v>
      </c>
      <c r="D3015" s="313" t="s">
        <v>24</v>
      </c>
      <c r="E3015" s="313" t="s">
        <v>46</v>
      </c>
    </row>
    <row r="3016" spans="1:5" x14ac:dyDescent="0.25">
      <c r="A3016" s="313" t="s">
        <v>1100</v>
      </c>
      <c r="B3016" s="313" t="s">
        <v>26</v>
      </c>
      <c r="C3016" s="313" t="s">
        <v>1513</v>
      </c>
      <c r="D3016" s="313" t="s">
        <v>24</v>
      </c>
      <c r="E3016" s="313" t="s">
        <v>1102</v>
      </c>
    </row>
    <row r="3017" spans="1:5" x14ac:dyDescent="0.25">
      <c r="A3017" s="313" t="s">
        <v>1100</v>
      </c>
      <c r="B3017" s="313" t="s">
        <v>26</v>
      </c>
      <c r="C3017" s="313" t="s">
        <v>1514</v>
      </c>
      <c r="D3017" s="313" t="s">
        <v>24</v>
      </c>
      <c r="E3017" s="313" t="s">
        <v>1102</v>
      </c>
    </row>
    <row r="3018" spans="1:5" x14ac:dyDescent="0.25">
      <c r="A3018" s="313" t="s">
        <v>1100</v>
      </c>
      <c r="B3018" s="313" t="s">
        <v>26</v>
      </c>
      <c r="C3018" s="313" t="s">
        <v>1515</v>
      </c>
      <c r="D3018" s="313" t="s">
        <v>24</v>
      </c>
      <c r="E3018" s="313" t="s">
        <v>1102</v>
      </c>
    </row>
    <row r="3019" spans="1:5" x14ac:dyDescent="0.25">
      <c r="A3019" s="313" t="s">
        <v>1100</v>
      </c>
      <c r="B3019" s="313" t="s">
        <v>26</v>
      </c>
      <c r="C3019" s="313" t="s">
        <v>1516</v>
      </c>
      <c r="D3019" s="313" t="s">
        <v>24</v>
      </c>
      <c r="E3019" s="313" t="s">
        <v>1102</v>
      </c>
    </row>
    <row r="3020" spans="1:5" x14ac:dyDescent="0.25">
      <c r="A3020" s="313" t="s">
        <v>1100</v>
      </c>
      <c r="B3020" s="313" t="s">
        <v>26</v>
      </c>
      <c r="C3020" s="313" t="s">
        <v>1517</v>
      </c>
      <c r="D3020" s="313" t="s">
        <v>24</v>
      </c>
      <c r="E3020" s="313" t="s">
        <v>1102</v>
      </c>
    </row>
    <row r="3021" spans="1:5" x14ac:dyDescent="0.25">
      <c r="A3021" s="313" t="s">
        <v>1100</v>
      </c>
      <c r="B3021" s="313" t="s">
        <v>26</v>
      </c>
      <c r="C3021" s="313" t="s">
        <v>1518</v>
      </c>
      <c r="D3021" s="313" t="s">
        <v>24</v>
      </c>
      <c r="E3021" s="313" t="s">
        <v>1716</v>
      </c>
    </row>
    <row r="3022" spans="1:5" x14ac:dyDescent="0.25">
      <c r="A3022" s="313" t="s">
        <v>1100</v>
      </c>
      <c r="B3022" s="313" t="s">
        <v>26</v>
      </c>
      <c r="C3022" s="313" t="s">
        <v>1519</v>
      </c>
      <c r="D3022" s="313" t="s">
        <v>24</v>
      </c>
      <c r="E3022" s="313" t="s">
        <v>1716</v>
      </c>
    </row>
    <row r="3023" spans="1:5" x14ac:dyDescent="0.25">
      <c r="A3023" s="313" t="s">
        <v>1103</v>
      </c>
      <c r="B3023" s="313" t="s">
        <v>19</v>
      </c>
      <c r="C3023" s="313" t="s">
        <v>1466</v>
      </c>
      <c r="D3023" s="313" t="s">
        <v>35</v>
      </c>
      <c r="E3023" s="313" t="s">
        <v>24</v>
      </c>
    </row>
    <row r="3024" spans="1:5" x14ac:dyDescent="0.25">
      <c r="A3024" s="313" t="s">
        <v>1103</v>
      </c>
      <c r="B3024" s="313" t="s">
        <v>19</v>
      </c>
      <c r="C3024" s="313" t="s">
        <v>1471</v>
      </c>
      <c r="D3024" s="313" t="s">
        <v>35</v>
      </c>
      <c r="E3024" s="313" t="s">
        <v>24</v>
      </c>
    </row>
    <row r="3025" spans="1:5" x14ac:dyDescent="0.25">
      <c r="A3025" s="313" t="s">
        <v>1103</v>
      </c>
      <c r="B3025" s="313" t="s">
        <v>19</v>
      </c>
      <c r="C3025" s="313" t="s">
        <v>1475</v>
      </c>
      <c r="D3025" s="313" t="s">
        <v>19</v>
      </c>
      <c r="E3025" s="313" t="s">
        <v>46</v>
      </c>
    </row>
    <row r="3026" spans="1:5" x14ac:dyDescent="0.25">
      <c r="A3026" s="313" t="s">
        <v>1103</v>
      </c>
      <c r="B3026" s="313" t="s">
        <v>19</v>
      </c>
      <c r="C3026" s="313" t="s">
        <v>20</v>
      </c>
      <c r="D3026" s="313" t="s">
        <v>19</v>
      </c>
      <c r="E3026" s="313" t="s">
        <v>46</v>
      </c>
    </row>
    <row r="3027" spans="1:5" x14ac:dyDescent="0.25">
      <c r="A3027" s="313" t="s">
        <v>1103</v>
      </c>
      <c r="B3027" s="313" t="s">
        <v>19</v>
      </c>
      <c r="C3027" s="313" t="s">
        <v>1487</v>
      </c>
      <c r="D3027" s="313" t="s">
        <v>26</v>
      </c>
      <c r="E3027" s="313" t="s">
        <v>24</v>
      </c>
    </row>
    <row r="3028" spans="1:5" x14ac:dyDescent="0.25">
      <c r="A3028" s="313" t="s">
        <v>1103</v>
      </c>
      <c r="B3028" s="313" t="s">
        <v>19</v>
      </c>
      <c r="C3028" s="313" t="s">
        <v>1495</v>
      </c>
      <c r="D3028" s="313" t="s">
        <v>35</v>
      </c>
      <c r="E3028" s="313" t="s">
        <v>24</v>
      </c>
    </row>
    <row r="3029" spans="1:5" x14ac:dyDescent="0.25">
      <c r="A3029" s="313" t="s">
        <v>1103</v>
      </c>
      <c r="B3029" s="313" t="s">
        <v>26</v>
      </c>
      <c r="C3029" s="313" t="s">
        <v>2929</v>
      </c>
      <c r="D3029" s="313" t="s">
        <v>24</v>
      </c>
      <c r="E3029" s="313" t="s">
        <v>1717</v>
      </c>
    </row>
    <row r="3030" spans="1:5" x14ac:dyDescent="0.25">
      <c r="A3030" s="313" t="s">
        <v>1103</v>
      </c>
      <c r="B3030" s="313" t="s">
        <v>26</v>
      </c>
      <c r="C3030" s="313" t="s">
        <v>1514</v>
      </c>
      <c r="D3030" s="313" t="s">
        <v>24</v>
      </c>
      <c r="E3030" s="313" t="s">
        <v>46</v>
      </c>
    </row>
    <row r="3031" spans="1:5" x14ac:dyDescent="0.25">
      <c r="A3031" s="313" t="s">
        <v>1103</v>
      </c>
      <c r="B3031" s="313" t="s">
        <v>26</v>
      </c>
      <c r="C3031" s="313" t="s">
        <v>1515</v>
      </c>
      <c r="D3031" s="313" t="s">
        <v>24</v>
      </c>
      <c r="E3031" s="313" t="s">
        <v>46</v>
      </c>
    </row>
    <row r="3032" spans="1:5" x14ac:dyDescent="0.25">
      <c r="A3032" s="313" t="s">
        <v>1103</v>
      </c>
      <c r="B3032" s="313" t="s">
        <v>26</v>
      </c>
      <c r="C3032" s="313" t="s">
        <v>1516</v>
      </c>
      <c r="D3032" s="313" t="s">
        <v>24</v>
      </c>
      <c r="E3032" s="313" t="s">
        <v>46</v>
      </c>
    </row>
    <row r="3033" spans="1:5" x14ac:dyDescent="0.25">
      <c r="A3033" s="313" t="s">
        <v>1103</v>
      </c>
      <c r="B3033" s="313" t="s">
        <v>26</v>
      </c>
      <c r="C3033" s="313" t="s">
        <v>1517</v>
      </c>
      <c r="D3033" s="313" t="s">
        <v>24</v>
      </c>
      <c r="E3033" s="313" t="s">
        <v>46</v>
      </c>
    </row>
    <row r="3034" spans="1:5" x14ac:dyDescent="0.25">
      <c r="A3034" s="313" t="s">
        <v>1103</v>
      </c>
      <c r="B3034" s="313" t="s">
        <v>26</v>
      </c>
      <c r="C3034" s="313" t="s">
        <v>1518</v>
      </c>
      <c r="D3034" s="313" t="s">
        <v>24</v>
      </c>
      <c r="E3034" s="313" t="s">
        <v>46</v>
      </c>
    </row>
    <row r="3035" spans="1:5" x14ac:dyDescent="0.25">
      <c r="A3035" s="313" t="s">
        <v>1103</v>
      </c>
      <c r="B3035" s="313" t="s">
        <v>26</v>
      </c>
      <c r="C3035" s="313" t="s">
        <v>1519</v>
      </c>
      <c r="D3035" s="313" t="s">
        <v>24</v>
      </c>
      <c r="E3035" s="313" t="s">
        <v>46</v>
      </c>
    </row>
    <row r="3036" spans="1:5" x14ac:dyDescent="0.25">
      <c r="A3036" s="313" t="s">
        <v>1108</v>
      </c>
      <c r="B3036" s="313" t="s">
        <v>19</v>
      </c>
      <c r="C3036" s="313" t="s">
        <v>1466</v>
      </c>
      <c r="D3036" s="313" t="s">
        <v>26</v>
      </c>
      <c r="E3036" s="313" t="s">
        <v>24</v>
      </c>
    </row>
    <row r="3037" spans="1:5" x14ac:dyDescent="0.25">
      <c r="A3037" s="313" t="s">
        <v>1108</v>
      </c>
      <c r="B3037" s="313" t="s">
        <v>19</v>
      </c>
      <c r="C3037" s="313" t="s">
        <v>1471</v>
      </c>
      <c r="D3037" s="313" t="s">
        <v>26</v>
      </c>
      <c r="E3037" s="313" t="s">
        <v>24</v>
      </c>
    </row>
    <row r="3038" spans="1:5" x14ac:dyDescent="0.25">
      <c r="A3038" s="313" t="s">
        <v>1108</v>
      </c>
      <c r="B3038" s="313" t="s">
        <v>19</v>
      </c>
      <c r="C3038" s="313" t="s">
        <v>1475</v>
      </c>
      <c r="D3038" s="313" t="s">
        <v>19</v>
      </c>
      <c r="E3038" s="313" t="s">
        <v>46</v>
      </c>
    </row>
    <row r="3039" spans="1:5" x14ac:dyDescent="0.25">
      <c r="A3039" s="313" t="s">
        <v>1108</v>
      </c>
      <c r="B3039" s="313" t="s">
        <v>19</v>
      </c>
      <c r="C3039" s="313" t="s">
        <v>20</v>
      </c>
      <c r="D3039" s="313" t="s">
        <v>26</v>
      </c>
      <c r="E3039" s="313" t="s">
        <v>24</v>
      </c>
    </row>
    <row r="3040" spans="1:5" x14ac:dyDescent="0.25">
      <c r="A3040" s="313" t="s">
        <v>1108</v>
      </c>
      <c r="B3040" s="313" t="s">
        <v>19</v>
      </c>
      <c r="C3040" s="313" t="s">
        <v>1487</v>
      </c>
      <c r="D3040" s="313" t="s">
        <v>26</v>
      </c>
      <c r="E3040" s="313" t="s">
        <v>24</v>
      </c>
    </row>
    <row r="3041" spans="1:5" x14ac:dyDescent="0.25">
      <c r="A3041" s="313" t="s">
        <v>1108</v>
      </c>
      <c r="B3041" s="313" t="s">
        <v>19</v>
      </c>
      <c r="C3041" s="313" t="s">
        <v>1495</v>
      </c>
      <c r="D3041" s="313" t="s">
        <v>35</v>
      </c>
      <c r="E3041" s="313" t="s">
        <v>24</v>
      </c>
    </row>
    <row r="3042" spans="1:5" x14ac:dyDescent="0.25">
      <c r="A3042" s="313" t="s">
        <v>1108</v>
      </c>
      <c r="B3042" s="313" t="s">
        <v>26</v>
      </c>
      <c r="C3042" s="313" t="s">
        <v>1501</v>
      </c>
      <c r="D3042" s="313" t="s">
        <v>24</v>
      </c>
      <c r="E3042" s="313" t="s">
        <v>1109</v>
      </c>
    </row>
    <row r="3043" spans="1:5" x14ac:dyDescent="0.25">
      <c r="A3043" s="313" t="s">
        <v>1108</v>
      </c>
      <c r="B3043" s="313" t="s">
        <v>26</v>
      </c>
      <c r="C3043" s="313" t="s">
        <v>1502</v>
      </c>
      <c r="D3043" s="313" t="s">
        <v>24</v>
      </c>
      <c r="E3043" s="313" t="s">
        <v>1718</v>
      </c>
    </row>
    <row r="3044" spans="1:5" x14ac:dyDescent="0.25">
      <c r="A3044" s="313" t="s">
        <v>1108</v>
      </c>
      <c r="B3044" s="313" t="s">
        <v>26</v>
      </c>
      <c r="C3044" s="313" t="s">
        <v>1503</v>
      </c>
      <c r="D3044" s="313" t="s">
        <v>24</v>
      </c>
      <c r="E3044" s="313" t="s">
        <v>1109</v>
      </c>
    </row>
    <row r="3045" spans="1:5" x14ac:dyDescent="0.25">
      <c r="A3045" s="313" t="s">
        <v>1108</v>
      </c>
      <c r="B3045" s="313" t="s">
        <v>26</v>
      </c>
      <c r="C3045" s="313" t="s">
        <v>2929</v>
      </c>
      <c r="D3045" s="313" t="s">
        <v>24</v>
      </c>
      <c r="E3045" s="313" t="s">
        <v>1719</v>
      </c>
    </row>
    <row r="3046" spans="1:5" x14ac:dyDescent="0.25">
      <c r="A3046" s="313" t="s">
        <v>1108</v>
      </c>
      <c r="B3046" s="313" t="s">
        <v>26</v>
      </c>
      <c r="C3046" s="313" t="s">
        <v>2930</v>
      </c>
      <c r="D3046" s="313" t="s">
        <v>24</v>
      </c>
      <c r="E3046" s="313" t="s">
        <v>35</v>
      </c>
    </row>
    <row r="3047" spans="1:5" x14ac:dyDescent="0.25">
      <c r="A3047" s="313" t="s">
        <v>1108</v>
      </c>
      <c r="B3047" s="313" t="s">
        <v>26</v>
      </c>
      <c r="C3047" s="313" t="s">
        <v>1509</v>
      </c>
      <c r="D3047" s="313" t="s">
        <v>24</v>
      </c>
      <c r="E3047" s="313" t="s">
        <v>1109</v>
      </c>
    </row>
    <row r="3048" spans="1:5" x14ac:dyDescent="0.25">
      <c r="A3048" s="313" t="s">
        <v>1108</v>
      </c>
      <c r="B3048" s="313" t="s">
        <v>26</v>
      </c>
      <c r="C3048" s="313" t="s">
        <v>1510</v>
      </c>
      <c r="D3048" s="313" t="s">
        <v>24</v>
      </c>
      <c r="E3048" s="313" t="s">
        <v>1109</v>
      </c>
    </row>
    <row r="3049" spans="1:5" x14ac:dyDescent="0.25">
      <c r="A3049" s="313" t="s">
        <v>1108</v>
      </c>
      <c r="B3049" s="313" t="s">
        <v>26</v>
      </c>
      <c r="C3049" s="313" t="s">
        <v>1511</v>
      </c>
      <c r="D3049" s="313" t="s">
        <v>24</v>
      </c>
      <c r="E3049" s="313" t="s">
        <v>1718</v>
      </c>
    </row>
    <row r="3050" spans="1:5" x14ac:dyDescent="0.25">
      <c r="A3050" s="313" t="s">
        <v>1108</v>
      </c>
      <c r="B3050" s="313" t="s">
        <v>26</v>
      </c>
      <c r="C3050" s="313" t="s">
        <v>27</v>
      </c>
      <c r="D3050" s="313" t="s">
        <v>24</v>
      </c>
      <c r="E3050" s="313" t="s">
        <v>1109</v>
      </c>
    </row>
    <row r="3051" spans="1:5" x14ac:dyDescent="0.25">
      <c r="A3051" s="313" t="s">
        <v>1108</v>
      </c>
      <c r="B3051" s="313" t="s">
        <v>26</v>
      </c>
      <c r="C3051" s="313" t="s">
        <v>1512</v>
      </c>
      <c r="D3051" s="313" t="s">
        <v>24</v>
      </c>
      <c r="E3051" s="313" t="s">
        <v>1109</v>
      </c>
    </row>
    <row r="3052" spans="1:5" x14ac:dyDescent="0.25">
      <c r="A3052" s="313" t="s">
        <v>1108</v>
      </c>
      <c r="B3052" s="313" t="s">
        <v>26</v>
      </c>
      <c r="C3052" s="313" t="s">
        <v>1513</v>
      </c>
      <c r="D3052" s="313" t="s">
        <v>24</v>
      </c>
      <c r="E3052" s="313" t="s">
        <v>1109</v>
      </c>
    </row>
    <row r="3053" spans="1:5" x14ac:dyDescent="0.25">
      <c r="A3053" s="313" t="s">
        <v>1108</v>
      </c>
      <c r="B3053" s="313" t="s">
        <v>26</v>
      </c>
      <c r="C3053" s="313" t="s">
        <v>1514</v>
      </c>
      <c r="D3053" s="313" t="s">
        <v>24</v>
      </c>
      <c r="E3053" s="313" t="s">
        <v>1109</v>
      </c>
    </row>
    <row r="3054" spans="1:5" x14ac:dyDescent="0.25">
      <c r="A3054" s="313" t="s">
        <v>1108</v>
      </c>
      <c r="B3054" s="313" t="s">
        <v>26</v>
      </c>
      <c r="C3054" s="313" t="s">
        <v>1515</v>
      </c>
      <c r="D3054" s="313" t="s">
        <v>24</v>
      </c>
      <c r="E3054" s="313" t="s">
        <v>1109</v>
      </c>
    </row>
    <row r="3055" spans="1:5" x14ac:dyDescent="0.25">
      <c r="A3055" s="313" t="s">
        <v>1108</v>
      </c>
      <c r="B3055" s="313" t="s">
        <v>26</v>
      </c>
      <c r="C3055" s="313" t="s">
        <v>1516</v>
      </c>
      <c r="D3055" s="313" t="s">
        <v>24</v>
      </c>
      <c r="E3055" s="313" t="s">
        <v>1109</v>
      </c>
    </row>
    <row r="3056" spans="1:5" x14ac:dyDescent="0.25">
      <c r="A3056" s="313" t="s">
        <v>1108</v>
      </c>
      <c r="B3056" s="313" t="s">
        <v>26</v>
      </c>
      <c r="C3056" s="313" t="s">
        <v>1517</v>
      </c>
      <c r="D3056" s="313" t="s">
        <v>24</v>
      </c>
      <c r="E3056" s="313" t="s">
        <v>1109</v>
      </c>
    </row>
    <row r="3057" spans="1:5" x14ac:dyDescent="0.25">
      <c r="A3057" s="313" t="s">
        <v>1108</v>
      </c>
      <c r="B3057" s="313" t="s">
        <v>26</v>
      </c>
      <c r="C3057" s="313" t="s">
        <v>1518</v>
      </c>
      <c r="D3057" s="313" t="s">
        <v>24</v>
      </c>
      <c r="E3057" s="313" t="s">
        <v>1109</v>
      </c>
    </row>
    <row r="3058" spans="1:5" x14ac:dyDescent="0.25">
      <c r="A3058" s="313" t="s">
        <v>1108</v>
      </c>
      <c r="B3058" s="313" t="s">
        <v>26</v>
      </c>
      <c r="C3058" s="313" t="s">
        <v>1519</v>
      </c>
      <c r="D3058" s="313" t="s">
        <v>24</v>
      </c>
      <c r="E3058" s="313" t="s">
        <v>1109</v>
      </c>
    </row>
    <row r="3059" spans="1:5" x14ac:dyDescent="0.25">
      <c r="A3059" s="313" t="s">
        <v>1112</v>
      </c>
      <c r="B3059" s="313" t="s">
        <v>19</v>
      </c>
      <c r="C3059" s="313" t="s">
        <v>1466</v>
      </c>
      <c r="D3059" s="313" t="s">
        <v>35</v>
      </c>
      <c r="E3059" s="313" t="s">
        <v>24</v>
      </c>
    </row>
    <row r="3060" spans="1:5" x14ac:dyDescent="0.25">
      <c r="A3060" s="313" t="s">
        <v>1112</v>
      </c>
      <c r="B3060" s="313" t="s">
        <v>19</v>
      </c>
      <c r="C3060" s="313" t="s">
        <v>1471</v>
      </c>
      <c r="D3060" s="313" t="s">
        <v>35</v>
      </c>
      <c r="E3060" s="313" t="s">
        <v>24</v>
      </c>
    </row>
    <row r="3061" spans="1:5" x14ac:dyDescent="0.25">
      <c r="A3061" s="313" t="s">
        <v>1112</v>
      </c>
      <c r="B3061" s="313" t="s">
        <v>19</v>
      </c>
      <c r="C3061" s="313" t="s">
        <v>1475</v>
      </c>
      <c r="D3061" s="313" t="s">
        <v>35</v>
      </c>
      <c r="E3061" s="313" t="s">
        <v>24</v>
      </c>
    </row>
    <row r="3062" spans="1:5" x14ac:dyDescent="0.25">
      <c r="A3062" s="313" t="s">
        <v>1112</v>
      </c>
      <c r="B3062" s="313" t="s">
        <v>19</v>
      </c>
      <c r="C3062" s="313" t="s">
        <v>20</v>
      </c>
      <c r="D3062" s="313" t="s">
        <v>35</v>
      </c>
      <c r="E3062" s="313" t="s">
        <v>24</v>
      </c>
    </row>
    <row r="3063" spans="1:5" x14ac:dyDescent="0.25">
      <c r="A3063" s="313" t="s">
        <v>1112</v>
      </c>
      <c r="B3063" s="313" t="s">
        <v>19</v>
      </c>
      <c r="C3063" s="313" t="s">
        <v>1487</v>
      </c>
      <c r="D3063" s="313" t="s">
        <v>35</v>
      </c>
      <c r="E3063" s="313" t="s">
        <v>24</v>
      </c>
    </row>
    <row r="3064" spans="1:5" x14ac:dyDescent="0.25">
      <c r="A3064" s="313" t="s">
        <v>1112</v>
      </c>
      <c r="B3064" s="313" t="s">
        <v>19</v>
      </c>
      <c r="C3064" s="313" t="s">
        <v>1495</v>
      </c>
      <c r="D3064" s="313" t="s">
        <v>35</v>
      </c>
      <c r="E3064" s="313" t="s">
        <v>24</v>
      </c>
    </row>
    <row r="3065" spans="1:5" x14ac:dyDescent="0.25">
      <c r="A3065" s="313" t="s">
        <v>1114</v>
      </c>
      <c r="B3065" s="313" t="s">
        <v>19</v>
      </c>
      <c r="C3065" s="313" t="s">
        <v>1466</v>
      </c>
      <c r="D3065" s="313" t="s">
        <v>35</v>
      </c>
      <c r="E3065" s="313" t="s">
        <v>24</v>
      </c>
    </row>
    <row r="3066" spans="1:5" x14ac:dyDescent="0.25">
      <c r="A3066" s="313" t="s">
        <v>1114</v>
      </c>
      <c r="B3066" s="313" t="s">
        <v>19</v>
      </c>
      <c r="C3066" s="313" t="s">
        <v>1471</v>
      </c>
      <c r="D3066" s="313" t="s">
        <v>35</v>
      </c>
      <c r="E3066" s="313" t="s">
        <v>24</v>
      </c>
    </row>
    <row r="3067" spans="1:5" x14ac:dyDescent="0.25">
      <c r="A3067" s="313" t="s">
        <v>1114</v>
      </c>
      <c r="B3067" s="313" t="s">
        <v>19</v>
      </c>
      <c r="C3067" s="313" t="s">
        <v>1475</v>
      </c>
      <c r="D3067" s="313" t="s">
        <v>19</v>
      </c>
      <c r="E3067" s="313" t="s">
        <v>46</v>
      </c>
    </row>
    <row r="3068" spans="1:5" x14ac:dyDescent="0.25">
      <c r="A3068" s="313" t="s">
        <v>1114</v>
      </c>
      <c r="B3068" s="313" t="s">
        <v>19</v>
      </c>
      <c r="C3068" s="313" t="s">
        <v>20</v>
      </c>
      <c r="D3068" s="313" t="s">
        <v>35</v>
      </c>
      <c r="E3068" s="313" t="s">
        <v>24</v>
      </c>
    </row>
    <row r="3069" spans="1:5" x14ac:dyDescent="0.25">
      <c r="A3069" s="313" t="s">
        <v>1114</v>
      </c>
      <c r="B3069" s="313" t="s">
        <v>19</v>
      </c>
      <c r="C3069" s="313" t="s">
        <v>1487</v>
      </c>
      <c r="D3069" s="313" t="s">
        <v>35</v>
      </c>
      <c r="E3069" s="313" t="s">
        <v>24</v>
      </c>
    </row>
    <row r="3070" spans="1:5" x14ac:dyDescent="0.25">
      <c r="A3070" s="313" t="s">
        <v>1114</v>
      </c>
      <c r="B3070" s="313" t="s">
        <v>19</v>
      </c>
      <c r="C3070" s="313" t="s">
        <v>1495</v>
      </c>
      <c r="D3070" s="313" t="s">
        <v>35</v>
      </c>
      <c r="E3070" s="313" t="s">
        <v>24</v>
      </c>
    </row>
    <row r="3071" spans="1:5" x14ac:dyDescent="0.25">
      <c r="A3071" s="313" t="s">
        <v>1116</v>
      </c>
      <c r="B3071" s="313" t="s">
        <v>19</v>
      </c>
      <c r="C3071" s="313" t="s">
        <v>1466</v>
      </c>
      <c r="D3071" s="313" t="s">
        <v>19</v>
      </c>
      <c r="E3071" s="313" t="s">
        <v>1720</v>
      </c>
    </row>
    <row r="3072" spans="1:5" x14ac:dyDescent="0.25">
      <c r="A3072" s="313" t="s">
        <v>1116</v>
      </c>
      <c r="B3072" s="313" t="s">
        <v>19</v>
      </c>
      <c r="C3072" s="313" t="s">
        <v>1471</v>
      </c>
      <c r="D3072" s="313" t="s">
        <v>26</v>
      </c>
      <c r="E3072" s="313" t="s">
        <v>24</v>
      </c>
    </row>
    <row r="3073" spans="1:5" x14ac:dyDescent="0.25">
      <c r="A3073" s="313" t="s">
        <v>1116</v>
      </c>
      <c r="B3073" s="313" t="s">
        <v>19</v>
      </c>
      <c r="C3073" s="313" t="s">
        <v>1475</v>
      </c>
      <c r="D3073" s="313" t="s">
        <v>19</v>
      </c>
      <c r="E3073" s="313" t="s">
        <v>46</v>
      </c>
    </row>
    <row r="3074" spans="1:5" x14ac:dyDescent="0.25">
      <c r="A3074" s="313" t="s">
        <v>1116</v>
      </c>
      <c r="B3074" s="313" t="s">
        <v>19</v>
      </c>
      <c r="C3074" s="313" t="s">
        <v>20</v>
      </c>
      <c r="D3074" s="313" t="s">
        <v>26</v>
      </c>
      <c r="E3074" s="313" t="s">
        <v>24</v>
      </c>
    </row>
    <row r="3075" spans="1:5" x14ac:dyDescent="0.25">
      <c r="A3075" s="313" t="s">
        <v>1116</v>
      </c>
      <c r="B3075" s="313" t="s">
        <v>19</v>
      </c>
      <c r="C3075" s="313" t="s">
        <v>1487</v>
      </c>
      <c r="D3075" s="313" t="s">
        <v>26</v>
      </c>
      <c r="E3075" s="313" t="s">
        <v>24</v>
      </c>
    </row>
    <row r="3076" spans="1:5" x14ac:dyDescent="0.25">
      <c r="A3076" s="313" t="s">
        <v>1116</v>
      </c>
      <c r="B3076" s="313" t="s">
        <v>19</v>
      </c>
      <c r="C3076" s="313" t="s">
        <v>1495</v>
      </c>
      <c r="D3076" s="313" t="s">
        <v>35</v>
      </c>
      <c r="E3076" s="313" t="s">
        <v>24</v>
      </c>
    </row>
    <row r="3077" spans="1:5" x14ac:dyDescent="0.25">
      <c r="A3077" s="313" t="s">
        <v>1116</v>
      </c>
      <c r="B3077" s="313" t="s">
        <v>26</v>
      </c>
      <c r="C3077" s="313" t="s">
        <v>2929</v>
      </c>
      <c r="D3077" s="313" t="s">
        <v>24</v>
      </c>
      <c r="E3077" s="313" t="s">
        <v>1720</v>
      </c>
    </row>
    <row r="3078" spans="1:5" x14ac:dyDescent="0.25">
      <c r="A3078" s="313" t="s">
        <v>1116</v>
      </c>
      <c r="B3078" s="313" t="s">
        <v>26</v>
      </c>
      <c r="C3078" s="313" t="s">
        <v>1509</v>
      </c>
      <c r="D3078" s="313" t="s">
        <v>24</v>
      </c>
      <c r="E3078" s="313" t="s">
        <v>1117</v>
      </c>
    </row>
    <row r="3079" spans="1:5" x14ac:dyDescent="0.25">
      <c r="A3079" s="313" t="s">
        <v>1116</v>
      </c>
      <c r="B3079" s="313" t="s">
        <v>26</v>
      </c>
      <c r="C3079" s="313" t="s">
        <v>1510</v>
      </c>
      <c r="D3079" s="313" t="s">
        <v>24</v>
      </c>
      <c r="E3079" s="313" t="s">
        <v>1117</v>
      </c>
    </row>
    <row r="3080" spans="1:5" x14ac:dyDescent="0.25">
      <c r="A3080" s="313" t="s">
        <v>1116</v>
      </c>
      <c r="B3080" s="313" t="s">
        <v>26</v>
      </c>
      <c r="C3080" s="313" t="s">
        <v>1511</v>
      </c>
      <c r="D3080" s="313" t="s">
        <v>24</v>
      </c>
      <c r="E3080" s="313" t="s">
        <v>1721</v>
      </c>
    </row>
    <row r="3081" spans="1:5" x14ac:dyDescent="0.25">
      <c r="A3081" s="313" t="s">
        <v>1116</v>
      </c>
      <c r="B3081" s="313" t="s">
        <v>26</v>
      </c>
      <c r="C3081" s="313" t="s">
        <v>27</v>
      </c>
      <c r="D3081" s="313" t="s">
        <v>24</v>
      </c>
      <c r="E3081" s="313" t="s">
        <v>1117</v>
      </c>
    </row>
    <row r="3082" spans="1:5" x14ac:dyDescent="0.25">
      <c r="A3082" s="313" t="s">
        <v>1116</v>
      </c>
      <c r="B3082" s="313" t="s">
        <v>26</v>
      </c>
      <c r="C3082" s="313" t="s">
        <v>1512</v>
      </c>
      <c r="D3082" s="313" t="s">
        <v>24</v>
      </c>
      <c r="E3082" s="313" t="s">
        <v>1117</v>
      </c>
    </row>
    <row r="3083" spans="1:5" x14ac:dyDescent="0.25">
      <c r="A3083" s="313" t="s">
        <v>1116</v>
      </c>
      <c r="B3083" s="313" t="s">
        <v>26</v>
      </c>
      <c r="C3083" s="313" t="s">
        <v>1513</v>
      </c>
      <c r="D3083" s="313" t="s">
        <v>24</v>
      </c>
      <c r="E3083" s="313" t="s">
        <v>1117</v>
      </c>
    </row>
    <row r="3084" spans="1:5" x14ac:dyDescent="0.25">
      <c r="A3084" s="313" t="s">
        <v>1116</v>
      </c>
      <c r="B3084" s="313" t="s">
        <v>26</v>
      </c>
      <c r="C3084" s="313" t="s">
        <v>1514</v>
      </c>
      <c r="D3084" s="313" t="s">
        <v>24</v>
      </c>
      <c r="E3084" s="313" t="s">
        <v>1720</v>
      </c>
    </row>
    <row r="3085" spans="1:5" x14ac:dyDescent="0.25">
      <c r="A3085" s="313" t="s">
        <v>1116</v>
      </c>
      <c r="B3085" s="313" t="s">
        <v>26</v>
      </c>
      <c r="C3085" s="313" t="s">
        <v>1515</v>
      </c>
      <c r="D3085" s="313" t="s">
        <v>24</v>
      </c>
      <c r="E3085" s="313" t="s">
        <v>1720</v>
      </c>
    </row>
    <row r="3086" spans="1:5" x14ac:dyDescent="0.25">
      <c r="A3086" s="313" t="s">
        <v>1116</v>
      </c>
      <c r="B3086" s="313" t="s">
        <v>26</v>
      </c>
      <c r="C3086" s="313" t="s">
        <v>1516</v>
      </c>
      <c r="D3086" s="313" t="s">
        <v>24</v>
      </c>
      <c r="E3086" s="313" t="s">
        <v>1720</v>
      </c>
    </row>
    <row r="3087" spans="1:5" x14ac:dyDescent="0.25">
      <c r="A3087" s="313" t="s">
        <v>1116</v>
      </c>
      <c r="B3087" s="313" t="s">
        <v>26</v>
      </c>
      <c r="C3087" s="313" t="s">
        <v>1517</v>
      </c>
      <c r="D3087" s="313" t="s">
        <v>24</v>
      </c>
      <c r="E3087" s="313" t="s">
        <v>1720</v>
      </c>
    </row>
    <row r="3088" spans="1:5" x14ac:dyDescent="0.25">
      <c r="A3088" s="313" t="s">
        <v>1116</v>
      </c>
      <c r="B3088" s="313" t="s">
        <v>26</v>
      </c>
      <c r="C3088" s="313" t="s">
        <v>1518</v>
      </c>
      <c r="D3088" s="313" t="s">
        <v>24</v>
      </c>
      <c r="E3088" s="313" t="s">
        <v>1720</v>
      </c>
    </row>
    <row r="3089" spans="1:5" x14ac:dyDescent="0.25">
      <c r="A3089" s="313" t="s">
        <v>1116</v>
      </c>
      <c r="B3089" s="313" t="s">
        <v>26</v>
      </c>
      <c r="C3089" s="313" t="s">
        <v>1519</v>
      </c>
      <c r="D3089" s="313" t="s">
        <v>24</v>
      </c>
      <c r="E3089" s="313" t="s">
        <v>1720</v>
      </c>
    </row>
    <row r="3090" spans="1:5" x14ac:dyDescent="0.25">
      <c r="A3090" s="313" t="s">
        <v>1120</v>
      </c>
      <c r="B3090" s="313" t="s">
        <v>19</v>
      </c>
      <c r="C3090" s="313" t="s">
        <v>1466</v>
      </c>
      <c r="D3090" s="313" t="s">
        <v>19</v>
      </c>
      <c r="E3090" s="313" t="s">
        <v>1722</v>
      </c>
    </row>
    <row r="3091" spans="1:5" x14ac:dyDescent="0.25">
      <c r="A3091" s="313" t="s">
        <v>1120</v>
      </c>
      <c r="B3091" s="313" t="s">
        <v>19</v>
      </c>
      <c r="C3091" s="313" t="s">
        <v>1471</v>
      </c>
      <c r="D3091" s="313" t="s">
        <v>35</v>
      </c>
      <c r="E3091" s="313" t="s">
        <v>24</v>
      </c>
    </row>
    <row r="3092" spans="1:5" x14ac:dyDescent="0.25">
      <c r="A3092" s="313" t="s">
        <v>1120</v>
      </c>
      <c r="B3092" s="313" t="s">
        <v>19</v>
      </c>
      <c r="C3092" s="313" t="s">
        <v>1475</v>
      </c>
      <c r="D3092" s="313" t="s">
        <v>19</v>
      </c>
      <c r="E3092" s="313" t="s">
        <v>46</v>
      </c>
    </row>
    <row r="3093" spans="1:5" x14ac:dyDescent="0.25">
      <c r="A3093" s="313" t="s">
        <v>1120</v>
      </c>
      <c r="B3093" s="313" t="s">
        <v>19</v>
      </c>
      <c r="C3093" s="313" t="s">
        <v>20</v>
      </c>
      <c r="D3093" s="313" t="s">
        <v>35</v>
      </c>
      <c r="E3093" s="313" t="s">
        <v>24</v>
      </c>
    </row>
    <row r="3094" spans="1:5" x14ac:dyDescent="0.25">
      <c r="A3094" s="313" t="s">
        <v>1120</v>
      </c>
      <c r="B3094" s="313" t="s">
        <v>19</v>
      </c>
      <c r="C3094" s="313" t="s">
        <v>1487</v>
      </c>
      <c r="D3094" s="313" t="s">
        <v>35</v>
      </c>
      <c r="E3094" s="313" t="s">
        <v>24</v>
      </c>
    </row>
    <row r="3095" spans="1:5" x14ac:dyDescent="0.25">
      <c r="A3095" s="313" t="s">
        <v>1120</v>
      </c>
      <c r="B3095" s="313" t="s">
        <v>19</v>
      </c>
      <c r="C3095" s="313" t="s">
        <v>1495</v>
      </c>
      <c r="D3095" s="313" t="s">
        <v>35</v>
      </c>
      <c r="E3095" s="313" t="s">
        <v>24</v>
      </c>
    </row>
    <row r="3096" spans="1:5" x14ac:dyDescent="0.25">
      <c r="A3096" s="313" t="s">
        <v>1123</v>
      </c>
      <c r="B3096" s="313" t="s">
        <v>19</v>
      </c>
      <c r="C3096" s="313" t="s">
        <v>1466</v>
      </c>
      <c r="D3096" s="313" t="s">
        <v>35</v>
      </c>
      <c r="E3096" s="313" t="s">
        <v>24</v>
      </c>
    </row>
    <row r="3097" spans="1:5" x14ac:dyDescent="0.25">
      <c r="A3097" s="313" t="s">
        <v>1123</v>
      </c>
      <c r="B3097" s="313" t="s">
        <v>19</v>
      </c>
      <c r="C3097" s="313" t="s">
        <v>1471</v>
      </c>
      <c r="D3097" s="313" t="s">
        <v>35</v>
      </c>
      <c r="E3097" s="313" t="s">
        <v>24</v>
      </c>
    </row>
    <row r="3098" spans="1:5" x14ac:dyDescent="0.25">
      <c r="A3098" s="313" t="s">
        <v>1123</v>
      </c>
      <c r="B3098" s="313" t="s">
        <v>19</v>
      </c>
      <c r="C3098" s="313" t="s">
        <v>1475</v>
      </c>
      <c r="D3098" s="313" t="s">
        <v>19</v>
      </c>
      <c r="E3098" s="313" t="s">
        <v>46</v>
      </c>
    </row>
    <row r="3099" spans="1:5" x14ac:dyDescent="0.25">
      <c r="A3099" s="313" t="s">
        <v>1123</v>
      </c>
      <c r="B3099" s="313" t="s">
        <v>19</v>
      </c>
      <c r="C3099" s="313" t="s">
        <v>20</v>
      </c>
      <c r="D3099" s="313" t="s">
        <v>35</v>
      </c>
      <c r="E3099" s="313" t="s">
        <v>24</v>
      </c>
    </row>
    <row r="3100" spans="1:5" x14ac:dyDescent="0.25">
      <c r="A3100" s="313" t="s">
        <v>1123</v>
      </c>
      <c r="B3100" s="313" t="s">
        <v>19</v>
      </c>
      <c r="C3100" s="313" t="s">
        <v>1487</v>
      </c>
      <c r="D3100" s="313" t="s">
        <v>35</v>
      </c>
      <c r="E3100" s="313" t="s">
        <v>24</v>
      </c>
    </row>
    <row r="3101" spans="1:5" x14ac:dyDescent="0.25">
      <c r="A3101" s="313" t="s">
        <v>1123</v>
      </c>
      <c r="B3101" s="313" t="s">
        <v>19</v>
      </c>
      <c r="C3101" s="313" t="s">
        <v>1495</v>
      </c>
      <c r="D3101" s="313" t="s">
        <v>35</v>
      </c>
      <c r="E3101" s="313" t="s">
        <v>24</v>
      </c>
    </row>
    <row r="3102" spans="1:5" x14ac:dyDescent="0.25">
      <c r="A3102" s="313" t="s">
        <v>1127</v>
      </c>
      <c r="B3102" s="313" t="s">
        <v>19</v>
      </c>
      <c r="C3102" s="313" t="s">
        <v>1466</v>
      </c>
      <c r="D3102" s="313" t="s">
        <v>19</v>
      </c>
      <c r="E3102" s="313" t="s">
        <v>1128</v>
      </c>
    </row>
    <row r="3103" spans="1:5" x14ac:dyDescent="0.25">
      <c r="A3103" s="313" t="s">
        <v>1127</v>
      </c>
      <c r="B3103" s="313" t="s">
        <v>19</v>
      </c>
      <c r="C3103" s="313" t="s">
        <v>1471</v>
      </c>
      <c r="D3103" s="313" t="s">
        <v>26</v>
      </c>
      <c r="E3103" s="313" t="s">
        <v>24</v>
      </c>
    </row>
    <row r="3104" spans="1:5" x14ac:dyDescent="0.25">
      <c r="A3104" s="313" t="s">
        <v>1127</v>
      </c>
      <c r="B3104" s="313" t="s">
        <v>19</v>
      </c>
      <c r="C3104" s="313" t="s">
        <v>1475</v>
      </c>
      <c r="D3104" s="313" t="s">
        <v>26</v>
      </c>
      <c r="E3104" s="313" t="s">
        <v>24</v>
      </c>
    </row>
    <row r="3105" spans="1:5" x14ac:dyDescent="0.25">
      <c r="A3105" s="313" t="s">
        <v>1127</v>
      </c>
      <c r="B3105" s="313" t="s">
        <v>19</v>
      </c>
      <c r="C3105" s="313" t="s">
        <v>20</v>
      </c>
      <c r="D3105" s="313" t="s">
        <v>19</v>
      </c>
      <c r="E3105" s="313" t="s">
        <v>1128</v>
      </c>
    </row>
    <row r="3106" spans="1:5" x14ac:dyDescent="0.25">
      <c r="A3106" s="313" t="s">
        <v>1127</v>
      </c>
      <c r="B3106" s="313" t="s">
        <v>19</v>
      </c>
      <c r="C3106" s="313" t="s">
        <v>1487</v>
      </c>
      <c r="D3106" s="313" t="s">
        <v>26</v>
      </c>
      <c r="E3106" s="313" t="s">
        <v>24</v>
      </c>
    </row>
    <row r="3107" spans="1:5" x14ac:dyDescent="0.25">
      <c r="A3107" s="313" t="s">
        <v>1127</v>
      </c>
      <c r="B3107" s="313" t="s">
        <v>19</v>
      </c>
      <c r="C3107" s="313" t="s">
        <v>1495</v>
      </c>
      <c r="D3107" s="313" t="s">
        <v>35</v>
      </c>
      <c r="E3107" s="313" t="s">
        <v>24</v>
      </c>
    </row>
    <row r="3108" spans="1:5" x14ac:dyDescent="0.25">
      <c r="A3108" s="313" t="s">
        <v>1127</v>
      </c>
      <c r="B3108" s="313" t="s">
        <v>26</v>
      </c>
      <c r="C3108" s="313" t="s">
        <v>2929</v>
      </c>
      <c r="D3108" s="313" t="s">
        <v>24</v>
      </c>
      <c r="E3108" s="313" t="s">
        <v>1128</v>
      </c>
    </row>
    <row r="3109" spans="1:5" x14ac:dyDescent="0.25">
      <c r="A3109" s="313" t="s">
        <v>1127</v>
      </c>
      <c r="B3109" s="313" t="s">
        <v>26</v>
      </c>
      <c r="C3109" s="313" t="s">
        <v>2930</v>
      </c>
      <c r="D3109" s="313" t="s">
        <v>24</v>
      </c>
      <c r="E3109" s="313" t="s">
        <v>35</v>
      </c>
    </row>
    <row r="3110" spans="1:5" x14ac:dyDescent="0.25">
      <c r="A3110" s="313" t="s">
        <v>1127</v>
      </c>
      <c r="B3110" s="313" t="s">
        <v>26</v>
      </c>
      <c r="C3110" s="313" t="s">
        <v>1506</v>
      </c>
      <c r="D3110" s="313" t="s">
        <v>24</v>
      </c>
      <c r="E3110" s="313" t="s">
        <v>46</v>
      </c>
    </row>
    <row r="3111" spans="1:5" x14ac:dyDescent="0.25">
      <c r="A3111" s="313" t="s">
        <v>1127</v>
      </c>
      <c r="B3111" s="313" t="s">
        <v>26</v>
      </c>
      <c r="C3111" s="313" t="s">
        <v>1507</v>
      </c>
      <c r="D3111" s="313" t="s">
        <v>24</v>
      </c>
      <c r="E3111" s="313" t="s">
        <v>46</v>
      </c>
    </row>
    <row r="3112" spans="1:5" x14ac:dyDescent="0.25">
      <c r="A3112" s="313" t="s">
        <v>1127</v>
      </c>
      <c r="B3112" s="313" t="s">
        <v>26</v>
      </c>
      <c r="C3112" s="313" t="s">
        <v>1508</v>
      </c>
      <c r="D3112" s="313" t="s">
        <v>24</v>
      </c>
      <c r="E3112" s="313" t="s">
        <v>1128</v>
      </c>
    </row>
    <row r="3113" spans="1:5" x14ac:dyDescent="0.25">
      <c r="A3113" s="313" t="s">
        <v>1127</v>
      </c>
      <c r="B3113" s="313" t="s">
        <v>26</v>
      </c>
      <c r="C3113" s="313" t="s">
        <v>1514</v>
      </c>
      <c r="D3113" s="313" t="s">
        <v>24</v>
      </c>
      <c r="E3113" s="313" t="s">
        <v>1128</v>
      </c>
    </row>
    <row r="3114" spans="1:5" x14ac:dyDescent="0.25">
      <c r="A3114" s="313" t="s">
        <v>1127</v>
      </c>
      <c r="B3114" s="313" t="s">
        <v>26</v>
      </c>
      <c r="C3114" s="313" t="s">
        <v>1515</v>
      </c>
      <c r="D3114" s="313" t="s">
        <v>24</v>
      </c>
      <c r="E3114" s="313" t="s">
        <v>1128</v>
      </c>
    </row>
    <row r="3115" spans="1:5" x14ac:dyDescent="0.25">
      <c r="A3115" s="313" t="s">
        <v>1127</v>
      </c>
      <c r="B3115" s="313" t="s">
        <v>26</v>
      </c>
      <c r="C3115" s="313" t="s">
        <v>1516</v>
      </c>
      <c r="D3115" s="313" t="s">
        <v>24</v>
      </c>
      <c r="E3115" s="313" t="s">
        <v>1128</v>
      </c>
    </row>
    <row r="3116" spans="1:5" x14ac:dyDescent="0.25">
      <c r="A3116" s="313" t="s">
        <v>1127</v>
      </c>
      <c r="B3116" s="313" t="s">
        <v>26</v>
      </c>
      <c r="C3116" s="313" t="s">
        <v>1517</v>
      </c>
      <c r="D3116" s="313" t="s">
        <v>24</v>
      </c>
      <c r="E3116" s="313" t="s">
        <v>1128</v>
      </c>
    </row>
    <row r="3117" spans="1:5" x14ac:dyDescent="0.25">
      <c r="A3117" s="313" t="s">
        <v>1127</v>
      </c>
      <c r="B3117" s="313" t="s">
        <v>26</v>
      </c>
      <c r="C3117" s="313" t="s">
        <v>1518</v>
      </c>
      <c r="D3117" s="313" t="s">
        <v>24</v>
      </c>
      <c r="E3117" s="313" t="s">
        <v>1128</v>
      </c>
    </row>
    <row r="3118" spans="1:5" x14ac:dyDescent="0.25">
      <c r="A3118" s="313" t="s">
        <v>1127</v>
      </c>
      <c r="B3118" s="313" t="s">
        <v>26</v>
      </c>
      <c r="C3118" s="313" t="s">
        <v>1519</v>
      </c>
      <c r="D3118" s="313" t="s">
        <v>24</v>
      </c>
      <c r="E3118" s="313" t="s">
        <v>1128</v>
      </c>
    </row>
    <row r="3119" spans="1:5" x14ac:dyDescent="0.25">
      <c r="A3119" s="313" t="s">
        <v>1131</v>
      </c>
      <c r="B3119" s="313" t="s">
        <v>19</v>
      </c>
      <c r="C3119" s="313" t="s">
        <v>1466</v>
      </c>
      <c r="D3119" s="313" t="s">
        <v>19</v>
      </c>
      <c r="E3119" s="313" t="s">
        <v>1723</v>
      </c>
    </row>
    <row r="3120" spans="1:5" x14ac:dyDescent="0.25">
      <c r="A3120" s="313" t="s">
        <v>1131</v>
      </c>
      <c r="B3120" s="313" t="s">
        <v>19</v>
      </c>
      <c r="C3120" s="313" t="s">
        <v>1471</v>
      </c>
      <c r="D3120" s="313" t="s">
        <v>35</v>
      </c>
      <c r="E3120" s="313" t="s">
        <v>24</v>
      </c>
    </row>
    <row r="3121" spans="1:5" x14ac:dyDescent="0.25">
      <c r="A3121" s="313" t="s">
        <v>1131</v>
      </c>
      <c r="B3121" s="313" t="s">
        <v>19</v>
      </c>
      <c r="C3121" s="313" t="s">
        <v>1475</v>
      </c>
      <c r="D3121" s="313" t="s">
        <v>26</v>
      </c>
      <c r="E3121" s="313" t="s">
        <v>24</v>
      </c>
    </row>
    <row r="3122" spans="1:5" x14ac:dyDescent="0.25">
      <c r="A3122" s="313" t="s">
        <v>1131</v>
      </c>
      <c r="B3122" s="313" t="s">
        <v>19</v>
      </c>
      <c r="C3122" s="313" t="s">
        <v>20</v>
      </c>
      <c r="D3122" s="313" t="s">
        <v>19</v>
      </c>
      <c r="E3122" s="313" t="s">
        <v>46</v>
      </c>
    </row>
    <row r="3123" spans="1:5" x14ac:dyDescent="0.25">
      <c r="A3123" s="313" t="s">
        <v>1131</v>
      </c>
      <c r="B3123" s="313" t="s">
        <v>19</v>
      </c>
      <c r="C3123" s="313" t="s">
        <v>1487</v>
      </c>
      <c r="D3123" s="313" t="s">
        <v>35</v>
      </c>
      <c r="E3123" s="313" t="s">
        <v>24</v>
      </c>
    </row>
    <row r="3124" spans="1:5" x14ac:dyDescent="0.25">
      <c r="A3124" s="313" t="s">
        <v>1131</v>
      </c>
      <c r="B3124" s="313" t="s">
        <v>19</v>
      </c>
      <c r="C3124" s="313" t="s">
        <v>1495</v>
      </c>
      <c r="D3124" s="313" t="s">
        <v>35</v>
      </c>
      <c r="E3124" s="313" t="s">
        <v>24</v>
      </c>
    </row>
    <row r="3125" spans="1:5" x14ac:dyDescent="0.25">
      <c r="A3125" s="313" t="s">
        <v>1131</v>
      </c>
      <c r="B3125" s="313" t="s">
        <v>26</v>
      </c>
      <c r="C3125" s="313" t="s">
        <v>1506</v>
      </c>
      <c r="D3125" s="313" t="s">
        <v>24</v>
      </c>
      <c r="E3125" s="313" t="s">
        <v>46</v>
      </c>
    </row>
    <row r="3126" spans="1:5" x14ac:dyDescent="0.25">
      <c r="A3126" s="313" t="s">
        <v>1131</v>
      </c>
      <c r="B3126" s="313" t="s">
        <v>26</v>
      </c>
      <c r="C3126" s="313" t="s">
        <v>1507</v>
      </c>
      <c r="D3126" s="313" t="s">
        <v>24</v>
      </c>
      <c r="E3126" s="313" t="s">
        <v>46</v>
      </c>
    </row>
    <row r="3127" spans="1:5" x14ac:dyDescent="0.25">
      <c r="A3127" s="313" t="s">
        <v>1131</v>
      </c>
      <c r="B3127" s="313" t="s">
        <v>26</v>
      </c>
      <c r="C3127" s="313" t="s">
        <v>1508</v>
      </c>
      <c r="D3127" s="313" t="s">
        <v>24</v>
      </c>
      <c r="E3127" s="313" t="s">
        <v>1573</v>
      </c>
    </row>
    <row r="3128" spans="1:5" x14ac:dyDescent="0.25">
      <c r="A3128" s="313" t="s">
        <v>1131</v>
      </c>
      <c r="B3128" s="313" t="s">
        <v>26</v>
      </c>
      <c r="C3128" s="313" t="s">
        <v>1515</v>
      </c>
      <c r="D3128" s="313" t="s">
        <v>24</v>
      </c>
      <c r="E3128" s="313" t="s">
        <v>1724</v>
      </c>
    </row>
    <row r="3129" spans="1:5" x14ac:dyDescent="0.25">
      <c r="A3129" s="313" t="s">
        <v>1134</v>
      </c>
      <c r="B3129" s="313" t="s">
        <v>19</v>
      </c>
      <c r="C3129" s="313" t="s">
        <v>1466</v>
      </c>
      <c r="D3129" s="313" t="s">
        <v>19</v>
      </c>
      <c r="E3129" s="313" t="s">
        <v>1136</v>
      </c>
    </row>
    <row r="3130" spans="1:5" x14ac:dyDescent="0.25">
      <c r="A3130" s="313" t="s">
        <v>1134</v>
      </c>
      <c r="B3130" s="313" t="s">
        <v>19</v>
      </c>
      <c r="C3130" s="313" t="s">
        <v>1471</v>
      </c>
      <c r="D3130" s="313" t="s">
        <v>35</v>
      </c>
      <c r="E3130" s="313" t="s">
        <v>24</v>
      </c>
    </row>
    <row r="3131" spans="1:5" x14ac:dyDescent="0.25">
      <c r="A3131" s="313" t="s">
        <v>1134</v>
      </c>
      <c r="B3131" s="313" t="s">
        <v>19</v>
      </c>
      <c r="C3131" s="313" t="s">
        <v>1475</v>
      </c>
      <c r="D3131" s="313" t="s">
        <v>26</v>
      </c>
      <c r="E3131" s="313" t="s">
        <v>24</v>
      </c>
    </row>
    <row r="3132" spans="1:5" x14ac:dyDescent="0.25">
      <c r="A3132" s="313" t="s">
        <v>1134</v>
      </c>
      <c r="B3132" s="313" t="s">
        <v>19</v>
      </c>
      <c r="C3132" s="313" t="s">
        <v>20</v>
      </c>
      <c r="D3132" s="313" t="s">
        <v>35</v>
      </c>
      <c r="E3132" s="313" t="s">
        <v>24</v>
      </c>
    </row>
    <row r="3133" spans="1:5" x14ac:dyDescent="0.25">
      <c r="A3133" s="313" t="s">
        <v>1134</v>
      </c>
      <c r="B3133" s="313" t="s">
        <v>19</v>
      </c>
      <c r="C3133" s="313" t="s">
        <v>1487</v>
      </c>
      <c r="D3133" s="313" t="s">
        <v>35</v>
      </c>
      <c r="E3133" s="313" t="s">
        <v>24</v>
      </c>
    </row>
    <row r="3134" spans="1:5" x14ac:dyDescent="0.25">
      <c r="A3134" s="313" t="s">
        <v>1134</v>
      </c>
      <c r="B3134" s="313" t="s">
        <v>19</v>
      </c>
      <c r="C3134" s="313" t="s">
        <v>1495</v>
      </c>
      <c r="D3134" s="313" t="s">
        <v>35</v>
      </c>
      <c r="E3134" s="313" t="s">
        <v>24</v>
      </c>
    </row>
    <row r="3135" spans="1:5" x14ac:dyDescent="0.25">
      <c r="A3135" s="313" t="s">
        <v>1134</v>
      </c>
      <c r="B3135" s="313" t="s">
        <v>26</v>
      </c>
      <c r="C3135" s="313" t="s">
        <v>1506</v>
      </c>
      <c r="D3135" s="313" t="s">
        <v>24</v>
      </c>
      <c r="E3135" s="313" t="s">
        <v>46</v>
      </c>
    </row>
    <row r="3136" spans="1:5" x14ac:dyDescent="0.25">
      <c r="A3136" s="313" t="s">
        <v>1134</v>
      </c>
      <c r="B3136" s="313" t="s">
        <v>26</v>
      </c>
      <c r="C3136" s="313" t="s">
        <v>1507</v>
      </c>
      <c r="D3136" s="313" t="s">
        <v>24</v>
      </c>
      <c r="E3136" s="313" t="s">
        <v>46</v>
      </c>
    </row>
    <row r="3137" spans="1:5" x14ac:dyDescent="0.25">
      <c r="A3137" s="313" t="s">
        <v>1134</v>
      </c>
      <c r="B3137" s="313" t="s">
        <v>26</v>
      </c>
      <c r="C3137" s="313" t="s">
        <v>1508</v>
      </c>
      <c r="D3137" s="313" t="s">
        <v>24</v>
      </c>
      <c r="E3137" s="313" t="s">
        <v>1573</v>
      </c>
    </row>
    <row r="3138" spans="1:5" x14ac:dyDescent="0.25">
      <c r="A3138" s="313" t="s">
        <v>1137</v>
      </c>
      <c r="B3138" s="313" t="s">
        <v>19</v>
      </c>
      <c r="C3138" s="313" t="s">
        <v>1466</v>
      </c>
      <c r="D3138" s="313" t="s">
        <v>19</v>
      </c>
      <c r="E3138" s="313" t="s">
        <v>1725</v>
      </c>
    </row>
    <row r="3139" spans="1:5" x14ac:dyDescent="0.25">
      <c r="A3139" s="313" t="s">
        <v>1137</v>
      </c>
      <c r="B3139" s="313" t="s">
        <v>19</v>
      </c>
      <c r="C3139" s="313" t="s">
        <v>1471</v>
      </c>
      <c r="D3139" s="313" t="s">
        <v>26</v>
      </c>
      <c r="E3139" s="313" t="s">
        <v>24</v>
      </c>
    </row>
    <row r="3140" spans="1:5" x14ac:dyDescent="0.25">
      <c r="A3140" s="313" t="s">
        <v>1137</v>
      </c>
      <c r="B3140" s="313" t="s">
        <v>19</v>
      </c>
      <c r="C3140" s="313" t="s">
        <v>1475</v>
      </c>
      <c r="D3140" s="313" t="s">
        <v>19</v>
      </c>
      <c r="E3140" s="313" t="s">
        <v>46</v>
      </c>
    </row>
    <row r="3141" spans="1:5" x14ac:dyDescent="0.25">
      <c r="A3141" s="313" t="s">
        <v>1137</v>
      </c>
      <c r="B3141" s="313" t="s">
        <v>19</v>
      </c>
      <c r="C3141" s="313" t="s">
        <v>20</v>
      </c>
      <c r="D3141" s="313" t="s">
        <v>19</v>
      </c>
      <c r="E3141" s="313" t="s">
        <v>1138</v>
      </c>
    </row>
    <row r="3142" spans="1:5" x14ac:dyDescent="0.25">
      <c r="A3142" s="313" t="s">
        <v>1137</v>
      </c>
      <c r="B3142" s="313" t="s">
        <v>19</v>
      </c>
      <c r="C3142" s="313" t="s">
        <v>1487</v>
      </c>
      <c r="D3142" s="313" t="s">
        <v>26</v>
      </c>
      <c r="E3142" s="313" t="s">
        <v>24</v>
      </c>
    </row>
    <row r="3143" spans="1:5" x14ac:dyDescent="0.25">
      <c r="A3143" s="313" t="s">
        <v>1137</v>
      </c>
      <c r="B3143" s="313" t="s">
        <v>19</v>
      </c>
      <c r="C3143" s="313" t="s">
        <v>1495</v>
      </c>
      <c r="D3143" s="313" t="s">
        <v>35</v>
      </c>
      <c r="E3143" s="313" t="s">
        <v>24</v>
      </c>
    </row>
    <row r="3144" spans="1:5" x14ac:dyDescent="0.25">
      <c r="A3144" s="313" t="s">
        <v>1137</v>
      </c>
      <c r="B3144" s="313" t="s">
        <v>26</v>
      </c>
      <c r="C3144" s="313" t="s">
        <v>2929</v>
      </c>
      <c r="D3144" s="313" t="s">
        <v>24</v>
      </c>
      <c r="E3144" s="313" t="s">
        <v>1138</v>
      </c>
    </row>
    <row r="3145" spans="1:5" x14ac:dyDescent="0.25">
      <c r="A3145" s="313" t="s">
        <v>1137</v>
      </c>
      <c r="B3145" s="313" t="s">
        <v>26</v>
      </c>
      <c r="C3145" s="313" t="s">
        <v>2930</v>
      </c>
      <c r="D3145" s="313" t="s">
        <v>24</v>
      </c>
      <c r="E3145" s="313" t="s">
        <v>35</v>
      </c>
    </row>
    <row r="3146" spans="1:5" x14ac:dyDescent="0.25">
      <c r="A3146" s="313" t="s">
        <v>1137</v>
      </c>
      <c r="B3146" s="313" t="s">
        <v>26</v>
      </c>
      <c r="C3146" s="313" t="s">
        <v>1514</v>
      </c>
      <c r="D3146" s="313" t="s">
        <v>24</v>
      </c>
      <c r="E3146" s="313" t="s">
        <v>1725</v>
      </c>
    </row>
    <row r="3147" spans="1:5" x14ac:dyDescent="0.25">
      <c r="A3147" s="313" t="s">
        <v>1137</v>
      </c>
      <c r="B3147" s="313" t="s">
        <v>26</v>
      </c>
      <c r="C3147" s="313" t="s">
        <v>1515</v>
      </c>
      <c r="D3147" s="313" t="s">
        <v>24</v>
      </c>
      <c r="E3147" s="313" t="s">
        <v>1725</v>
      </c>
    </row>
    <row r="3148" spans="1:5" x14ac:dyDescent="0.25">
      <c r="A3148" s="313" t="s">
        <v>1137</v>
      </c>
      <c r="B3148" s="313" t="s">
        <v>26</v>
      </c>
      <c r="C3148" s="313" t="s">
        <v>1516</v>
      </c>
      <c r="D3148" s="313" t="s">
        <v>24</v>
      </c>
      <c r="E3148" s="313" t="s">
        <v>1725</v>
      </c>
    </row>
    <row r="3149" spans="1:5" x14ac:dyDescent="0.25">
      <c r="A3149" s="313" t="s">
        <v>1137</v>
      </c>
      <c r="B3149" s="313" t="s">
        <v>26</v>
      </c>
      <c r="C3149" s="313" t="s">
        <v>1517</v>
      </c>
      <c r="D3149" s="313" t="s">
        <v>24</v>
      </c>
      <c r="E3149" s="313" t="s">
        <v>1725</v>
      </c>
    </row>
    <row r="3150" spans="1:5" x14ac:dyDescent="0.25">
      <c r="A3150" s="313" t="s">
        <v>1137</v>
      </c>
      <c r="B3150" s="313" t="s">
        <v>26</v>
      </c>
      <c r="C3150" s="313" t="s">
        <v>1518</v>
      </c>
      <c r="D3150" s="313" t="s">
        <v>24</v>
      </c>
      <c r="E3150" s="313" t="s">
        <v>1725</v>
      </c>
    </row>
    <row r="3151" spans="1:5" x14ac:dyDescent="0.25">
      <c r="A3151" s="313" t="s">
        <v>1137</v>
      </c>
      <c r="B3151" s="313" t="s">
        <v>26</v>
      </c>
      <c r="C3151" s="313" t="s">
        <v>1519</v>
      </c>
      <c r="D3151" s="313" t="s">
        <v>24</v>
      </c>
      <c r="E3151" s="313" t="s">
        <v>1725</v>
      </c>
    </row>
    <row r="3152" spans="1:5" x14ac:dyDescent="0.25">
      <c r="A3152" s="313" t="s">
        <v>1141</v>
      </c>
      <c r="B3152" s="313" t="s">
        <v>19</v>
      </c>
      <c r="C3152" s="313" t="s">
        <v>1466</v>
      </c>
      <c r="D3152" s="313" t="s">
        <v>35</v>
      </c>
      <c r="E3152" s="313" t="s">
        <v>24</v>
      </c>
    </row>
    <row r="3153" spans="1:5" x14ac:dyDescent="0.25">
      <c r="A3153" s="313" t="s">
        <v>1141</v>
      </c>
      <c r="B3153" s="313" t="s">
        <v>19</v>
      </c>
      <c r="C3153" s="313" t="s">
        <v>1471</v>
      </c>
      <c r="D3153" s="313" t="s">
        <v>35</v>
      </c>
      <c r="E3153" s="313" t="s">
        <v>24</v>
      </c>
    </row>
    <row r="3154" spans="1:5" x14ac:dyDescent="0.25">
      <c r="A3154" s="313" t="s">
        <v>1141</v>
      </c>
      <c r="B3154" s="313" t="s">
        <v>19</v>
      </c>
      <c r="C3154" s="313" t="s">
        <v>1475</v>
      </c>
      <c r="D3154" s="313" t="s">
        <v>19</v>
      </c>
      <c r="E3154" s="313" t="s">
        <v>46</v>
      </c>
    </row>
    <row r="3155" spans="1:5" x14ac:dyDescent="0.25">
      <c r="A3155" s="313" t="s">
        <v>1141</v>
      </c>
      <c r="B3155" s="313" t="s">
        <v>19</v>
      </c>
      <c r="C3155" s="313" t="s">
        <v>20</v>
      </c>
      <c r="D3155" s="313" t="s">
        <v>35</v>
      </c>
      <c r="E3155" s="313" t="s">
        <v>24</v>
      </c>
    </row>
    <row r="3156" spans="1:5" x14ac:dyDescent="0.25">
      <c r="A3156" s="313" t="s">
        <v>1141</v>
      </c>
      <c r="B3156" s="313" t="s">
        <v>19</v>
      </c>
      <c r="C3156" s="313" t="s">
        <v>1487</v>
      </c>
      <c r="D3156" s="313" t="s">
        <v>35</v>
      </c>
      <c r="E3156" s="313" t="s">
        <v>24</v>
      </c>
    </row>
    <row r="3157" spans="1:5" x14ac:dyDescent="0.25">
      <c r="A3157" s="313" t="s">
        <v>1141</v>
      </c>
      <c r="B3157" s="313" t="s">
        <v>19</v>
      </c>
      <c r="C3157" s="313" t="s">
        <v>1495</v>
      </c>
      <c r="D3157" s="313" t="s">
        <v>35</v>
      </c>
      <c r="E3157" s="313" t="s">
        <v>24</v>
      </c>
    </row>
    <row r="3158" spans="1:5" x14ac:dyDescent="0.25">
      <c r="A3158" s="313" t="s">
        <v>1143</v>
      </c>
      <c r="B3158" s="313" t="s">
        <v>19</v>
      </c>
      <c r="C3158" s="313" t="s">
        <v>1466</v>
      </c>
      <c r="D3158" s="313" t="s">
        <v>19</v>
      </c>
      <c r="E3158" s="313" t="s">
        <v>1726</v>
      </c>
    </row>
    <row r="3159" spans="1:5" x14ac:dyDescent="0.25">
      <c r="A3159" s="313" t="s">
        <v>1143</v>
      </c>
      <c r="B3159" s="313" t="s">
        <v>19</v>
      </c>
      <c r="C3159" s="313" t="s">
        <v>1471</v>
      </c>
      <c r="D3159" s="313" t="s">
        <v>35</v>
      </c>
      <c r="E3159" s="313" t="s">
        <v>24</v>
      </c>
    </row>
    <row r="3160" spans="1:5" x14ac:dyDescent="0.25">
      <c r="A3160" s="313" t="s">
        <v>1143</v>
      </c>
      <c r="B3160" s="313" t="s">
        <v>19</v>
      </c>
      <c r="C3160" s="313" t="s">
        <v>1475</v>
      </c>
      <c r="D3160" s="313" t="s">
        <v>19</v>
      </c>
      <c r="E3160" s="313" t="s">
        <v>46</v>
      </c>
    </row>
    <row r="3161" spans="1:5" x14ac:dyDescent="0.25">
      <c r="A3161" s="313" t="s">
        <v>1143</v>
      </c>
      <c r="B3161" s="313" t="s">
        <v>19</v>
      </c>
      <c r="C3161" s="313" t="s">
        <v>20</v>
      </c>
      <c r="D3161" s="313" t="s">
        <v>26</v>
      </c>
      <c r="E3161" s="313" t="s">
        <v>24</v>
      </c>
    </row>
    <row r="3162" spans="1:5" x14ac:dyDescent="0.25">
      <c r="A3162" s="313" t="s">
        <v>1143</v>
      </c>
      <c r="B3162" s="313" t="s">
        <v>19</v>
      </c>
      <c r="C3162" s="313" t="s">
        <v>1487</v>
      </c>
      <c r="D3162" s="313" t="s">
        <v>35</v>
      </c>
      <c r="E3162" s="313" t="s">
        <v>24</v>
      </c>
    </row>
    <row r="3163" spans="1:5" x14ac:dyDescent="0.25">
      <c r="A3163" s="313" t="s">
        <v>1143</v>
      </c>
      <c r="B3163" s="313" t="s">
        <v>19</v>
      </c>
      <c r="C3163" s="313" t="s">
        <v>1495</v>
      </c>
      <c r="D3163" s="313" t="s">
        <v>35</v>
      </c>
      <c r="E3163" s="313" t="s">
        <v>24</v>
      </c>
    </row>
    <row r="3164" spans="1:5" x14ac:dyDescent="0.25">
      <c r="A3164" s="313" t="s">
        <v>1143</v>
      </c>
      <c r="B3164" s="313" t="s">
        <v>26</v>
      </c>
      <c r="C3164" s="313" t="s">
        <v>1509</v>
      </c>
      <c r="D3164" s="313" t="s">
        <v>24</v>
      </c>
      <c r="E3164" s="313" t="s">
        <v>1144</v>
      </c>
    </row>
    <row r="3165" spans="1:5" x14ac:dyDescent="0.25">
      <c r="A3165" s="313" t="s">
        <v>1143</v>
      </c>
      <c r="B3165" s="313" t="s">
        <v>26</v>
      </c>
      <c r="C3165" s="313" t="s">
        <v>1510</v>
      </c>
      <c r="D3165" s="313" t="s">
        <v>24</v>
      </c>
      <c r="E3165" s="313" t="s">
        <v>1144</v>
      </c>
    </row>
    <row r="3166" spans="1:5" x14ac:dyDescent="0.25">
      <c r="A3166" s="313" t="s">
        <v>1143</v>
      </c>
      <c r="B3166" s="313" t="s">
        <v>26</v>
      </c>
      <c r="C3166" s="313" t="s">
        <v>1511</v>
      </c>
      <c r="D3166" s="313" t="s">
        <v>24</v>
      </c>
      <c r="E3166" s="313" t="s">
        <v>1726</v>
      </c>
    </row>
    <row r="3167" spans="1:5" x14ac:dyDescent="0.25">
      <c r="A3167" s="313" t="s">
        <v>1143</v>
      </c>
      <c r="B3167" s="313" t="s">
        <v>26</v>
      </c>
      <c r="C3167" s="313" t="s">
        <v>27</v>
      </c>
      <c r="D3167" s="313" t="s">
        <v>24</v>
      </c>
      <c r="E3167" s="313" t="s">
        <v>1144</v>
      </c>
    </row>
    <row r="3168" spans="1:5" x14ac:dyDescent="0.25">
      <c r="A3168" s="313" t="s">
        <v>1143</v>
      </c>
      <c r="B3168" s="313" t="s">
        <v>26</v>
      </c>
      <c r="C3168" s="313" t="s">
        <v>1512</v>
      </c>
      <c r="D3168" s="313" t="s">
        <v>24</v>
      </c>
      <c r="E3168" s="313" t="s">
        <v>1144</v>
      </c>
    </row>
    <row r="3169" spans="1:5" x14ac:dyDescent="0.25">
      <c r="A3169" s="313" t="s">
        <v>1143</v>
      </c>
      <c r="B3169" s="313" t="s">
        <v>26</v>
      </c>
      <c r="C3169" s="313" t="s">
        <v>1513</v>
      </c>
      <c r="D3169" s="313" t="s">
        <v>24</v>
      </c>
      <c r="E3169" s="313" t="s">
        <v>1144</v>
      </c>
    </row>
    <row r="3170" spans="1:5" x14ac:dyDescent="0.25">
      <c r="A3170" s="313" t="s">
        <v>1147</v>
      </c>
      <c r="B3170" s="313" t="s">
        <v>19</v>
      </c>
      <c r="C3170" s="313" t="s">
        <v>1466</v>
      </c>
      <c r="D3170" s="313" t="s">
        <v>35</v>
      </c>
      <c r="E3170" s="313" t="s">
        <v>24</v>
      </c>
    </row>
    <row r="3171" spans="1:5" x14ac:dyDescent="0.25">
      <c r="A3171" s="313" t="s">
        <v>1147</v>
      </c>
      <c r="B3171" s="313" t="s">
        <v>19</v>
      </c>
      <c r="C3171" s="313" t="s">
        <v>1471</v>
      </c>
      <c r="D3171" s="313" t="s">
        <v>35</v>
      </c>
      <c r="E3171" s="313" t="s">
        <v>24</v>
      </c>
    </row>
    <row r="3172" spans="1:5" x14ac:dyDescent="0.25">
      <c r="A3172" s="313" t="s">
        <v>1147</v>
      </c>
      <c r="B3172" s="313" t="s">
        <v>19</v>
      </c>
      <c r="C3172" s="313" t="s">
        <v>1475</v>
      </c>
      <c r="D3172" s="313" t="s">
        <v>35</v>
      </c>
      <c r="E3172" s="313" t="s">
        <v>24</v>
      </c>
    </row>
    <row r="3173" spans="1:5" x14ac:dyDescent="0.25">
      <c r="A3173" s="313" t="s">
        <v>1147</v>
      </c>
      <c r="B3173" s="313" t="s">
        <v>19</v>
      </c>
      <c r="C3173" s="313" t="s">
        <v>20</v>
      </c>
      <c r="D3173" s="313" t="s">
        <v>35</v>
      </c>
      <c r="E3173" s="313" t="s">
        <v>24</v>
      </c>
    </row>
    <row r="3174" spans="1:5" x14ac:dyDescent="0.25">
      <c r="A3174" s="313" t="s">
        <v>1147</v>
      </c>
      <c r="B3174" s="313" t="s">
        <v>19</v>
      </c>
      <c r="C3174" s="313" t="s">
        <v>1487</v>
      </c>
      <c r="D3174" s="313" t="s">
        <v>35</v>
      </c>
      <c r="E3174" s="313" t="s">
        <v>24</v>
      </c>
    </row>
    <row r="3175" spans="1:5" x14ac:dyDescent="0.25">
      <c r="A3175" s="313" t="s">
        <v>1147</v>
      </c>
      <c r="B3175" s="313" t="s">
        <v>19</v>
      </c>
      <c r="C3175" s="313" t="s">
        <v>1495</v>
      </c>
      <c r="D3175" s="313" t="s">
        <v>35</v>
      </c>
      <c r="E3175" s="313" t="s">
        <v>24</v>
      </c>
    </row>
    <row r="3176" spans="1:5" ht="409.5" x14ac:dyDescent="0.25">
      <c r="A3176" s="313" t="s">
        <v>1147</v>
      </c>
      <c r="B3176" s="313" t="s">
        <v>26</v>
      </c>
      <c r="C3176" s="313" t="s">
        <v>1515</v>
      </c>
      <c r="D3176" s="313" t="s">
        <v>24</v>
      </c>
      <c r="E3176" s="315" t="s">
        <v>1727</v>
      </c>
    </row>
    <row r="3177" spans="1:5" x14ac:dyDescent="0.25">
      <c r="A3177" s="313" t="s">
        <v>1151</v>
      </c>
      <c r="B3177" s="313" t="s">
        <v>51</v>
      </c>
      <c r="C3177" s="313" t="s">
        <v>24</v>
      </c>
      <c r="D3177" s="313" t="s">
        <v>24</v>
      </c>
      <c r="E3177" s="313" t="s">
        <v>1152</v>
      </c>
    </row>
    <row r="3178" spans="1:5" x14ac:dyDescent="0.25">
      <c r="A3178" s="313" t="s">
        <v>1151</v>
      </c>
      <c r="B3178" s="313" t="s">
        <v>19</v>
      </c>
      <c r="C3178" s="313" t="s">
        <v>1466</v>
      </c>
      <c r="D3178" s="313" t="s">
        <v>51</v>
      </c>
      <c r="E3178" s="313" t="s">
        <v>51</v>
      </c>
    </row>
    <row r="3179" spans="1:5" x14ac:dyDescent="0.25">
      <c r="A3179" s="313" t="s">
        <v>1151</v>
      </c>
      <c r="B3179" s="313" t="s">
        <v>19</v>
      </c>
      <c r="C3179" s="313" t="s">
        <v>1471</v>
      </c>
      <c r="D3179" s="313" t="s">
        <v>51</v>
      </c>
      <c r="E3179" s="313" t="s">
        <v>24</v>
      </c>
    </row>
    <row r="3180" spans="1:5" x14ac:dyDescent="0.25">
      <c r="A3180" s="313" t="s">
        <v>1151</v>
      </c>
      <c r="B3180" s="313" t="s">
        <v>19</v>
      </c>
      <c r="C3180" s="313" t="s">
        <v>1475</v>
      </c>
      <c r="D3180" s="313" t="s">
        <v>51</v>
      </c>
      <c r="E3180" s="313" t="s">
        <v>24</v>
      </c>
    </row>
    <row r="3181" spans="1:5" x14ac:dyDescent="0.25">
      <c r="A3181" s="313" t="s">
        <v>1151</v>
      </c>
      <c r="B3181" s="313" t="s">
        <v>19</v>
      </c>
      <c r="C3181" s="313" t="s">
        <v>20</v>
      </c>
      <c r="D3181" s="313" t="s">
        <v>51</v>
      </c>
      <c r="E3181" s="313" t="s">
        <v>24</v>
      </c>
    </row>
    <row r="3182" spans="1:5" x14ac:dyDescent="0.25">
      <c r="A3182" s="313" t="s">
        <v>1151</v>
      </c>
      <c r="B3182" s="313" t="s">
        <v>19</v>
      </c>
      <c r="C3182" s="313" t="s">
        <v>1487</v>
      </c>
      <c r="D3182" s="313" t="s">
        <v>51</v>
      </c>
      <c r="E3182" s="313" t="s">
        <v>24</v>
      </c>
    </row>
    <row r="3183" spans="1:5" x14ac:dyDescent="0.25">
      <c r="A3183" s="313" t="s">
        <v>1151</v>
      </c>
      <c r="B3183" s="313" t="s">
        <v>19</v>
      </c>
      <c r="C3183" s="313" t="s">
        <v>1495</v>
      </c>
      <c r="D3183" s="313" t="s">
        <v>51</v>
      </c>
      <c r="E3183" s="313" t="s">
        <v>24</v>
      </c>
    </row>
    <row r="3184" spans="1:5" x14ac:dyDescent="0.25">
      <c r="A3184" s="313" t="s">
        <v>1151</v>
      </c>
      <c r="B3184" s="313" t="s">
        <v>26</v>
      </c>
      <c r="C3184" s="313" t="s">
        <v>1501</v>
      </c>
      <c r="D3184" s="313" t="s">
        <v>24</v>
      </c>
      <c r="E3184" s="313" t="s">
        <v>51</v>
      </c>
    </row>
    <row r="3185" spans="1:5" x14ac:dyDescent="0.25">
      <c r="A3185" s="313" t="s">
        <v>1151</v>
      </c>
      <c r="B3185" s="313" t="s">
        <v>26</v>
      </c>
      <c r="C3185" s="313" t="s">
        <v>1502</v>
      </c>
      <c r="D3185" s="313" t="s">
        <v>24</v>
      </c>
      <c r="E3185" s="313" t="s">
        <v>51</v>
      </c>
    </row>
    <row r="3186" spans="1:5" x14ac:dyDescent="0.25">
      <c r="A3186" s="313" t="s">
        <v>1151</v>
      </c>
      <c r="B3186" s="313" t="s">
        <v>26</v>
      </c>
      <c r="C3186" s="313" t="s">
        <v>1503</v>
      </c>
      <c r="D3186" s="313" t="s">
        <v>24</v>
      </c>
      <c r="E3186" s="313" t="s">
        <v>51</v>
      </c>
    </row>
    <row r="3187" spans="1:5" x14ac:dyDescent="0.25">
      <c r="A3187" s="313" t="s">
        <v>1155</v>
      </c>
      <c r="B3187" s="313" t="s">
        <v>19</v>
      </c>
      <c r="C3187" s="313" t="s">
        <v>1466</v>
      </c>
      <c r="D3187" s="313" t="s">
        <v>35</v>
      </c>
      <c r="E3187" s="313" t="s">
        <v>24</v>
      </c>
    </row>
    <row r="3188" spans="1:5" x14ac:dyDescent="0.25">
      <c r="A3188" s="313" t="s">
        <v>1155</v>
      </c>
      <c r="B3188" s="313" t="s">
        <v>19</v>
      </c>
      <c r="C3188" s="313" t="s">
        <v>1471</v>
      </c>
      <c r="D3188" s="313" t="s">
        <v>35</v>
      </c>
      <c r="E3188" s="313" t="s">
        <v>24</v>
      </c>
    </row>
    <row r="3189" spans="1:5" x14ac:dyDescent="0.25">
      <c r="A3189" s="313" t="s">
        <v>1155</v>
      </c>
      <c r="B3189" s="313" t="s">
        <v>19</v>
      </c>
      <c r="C3189" s="313" t="s">
        <v>1475</v>
      </c>
      <c r="D3189" s="313" t="s">
        <v>35</v>
      </c>
      <c r="E3189" s="313" t="s">
        <v>24</v>
      </c>
    </row>
    <row r="3190" spans="1:5" x14ac:dyDescent="0.25">
      <c r="A3190" s="313" t="s">
        <v>1155</v>
      </c>
      <c r="B3190" s="313" t="s">
        <v>19</v>
      </c>
      <c r="C3190" s="313" t="s">
        <v>20</v>
      </c>
      <c r="D3190" s="313" t="s">
        <v>35</v>
      </c>
      <c r="E3190" s="313" t="s">
        <v>24</v>
      </c>
    </row>
    <row r="3191" spans="1:5" x14ac:dyDescent="0.25">
      <c r="A3191" s="313" t="s">
        <v>1155</v>
      </c>
      <c r="B3191" s="313" t="s">
        <v>19</v>
      </c>
      <c r="C3191" s="313" t="s">
        <v>1487</v>
      </c>
      <c r="D3191" s="313" t="s">
        <v>35</v>
      </c>
      <c r="E3191" s="313" t="s">
        <v>24</v>
      </c>
    </row>
    <row r="3192" spans="1:5" x14ac:dyDescent="0.25">
      <c r="A3192" s="313" t="s">
        <v>1155</v>
      </c>
      <c r="B3192" s="313" t="s">
        <v>19</v>
      </c>
      <c r="C3192" s="313" t="s">
        <v>1495</v>
      </c>
      <c r="D3192" s="313" t="s">
        <v>35</v>
      </c>
      <c r="E3192" s="313" t="s">
        <v>24</v>
      </c>
    </row>
    <row r="3193" spans="1:5" x14ac:dyDescent="0.25">
      <c r="A3193" s="313" t="s">
        <v>1157</v>
      </c>
      <c r="B3193" s="313" t="s">
        <v>19</v>
      </c>
      <c r="C3193" s="313" t="s">
        <v>1466</v>
      </c>
      <c r="D3193" s="313" t="s">
        <v>35</v>
      </c>
      <c r="E3193" s="313" t="s">
        <v>24</v>
      </c>
    </row>
    <row r="3194" spans="1:5" x14ac:dyDescent="0.25">
      <c r="A3194" s="313" t="s">
        <v>1157</v>
      </c>
      <c r="B3194" s="313" t="s">
        <v>19</v>
      </c>
      <c r="C3194" s="313" t="s">
        <v>1471</v>
      </c>
      <c r="D3194" s="313" t="s">
        <v>35</v>
      </c>
      <c r="E3194" s="313" t="s">
        <v>24</v>
      </c>
    </row>
    <row r="3195" spans="1:5" x14ac:dyDescent="0.25">
      <c r="A3195" s="313" t="s">
        <v>1157</v>
      </c>
      <c r="B3195" s="313" t="s">
        <v>19</v>
      </c>
      <c r="C3195" s="313" t="s">
        <v>1475</v>
      </c>
      <c r="D3195" s="313" t="s">
        <v>35</v>
      </c>
      <c r="E3195" s="313" t="s">
        <v>24</v>
      </c>
    </row>
    <row r="3196" spans="1:5" x14ac:dyDescent="0.25">
      <c r="A3196" s="313" t="s">
        <v>1157</v>
      </c>
      <c r="B3196" s="313" t="s">
        <v>19</v>
      </c>
      <c r="C3196" s="313" t="s">
        <v>20</v>
      </c>
      <c r="D3196" s="313" t="s">
        <v>35</v>
      </c>
      <c r="E3196" s="313" t="s">
        <v>24</v>
      </c>
    </row>
    <row r="3197" spans="1:5" x14ac:dyDescent="0.25">
      <c r="A3197" s="313" t="s">
        <v>1157</v>
      </c>
      <c r="B3197" s="313" t="s">
        <v>19</v>
      </c>
      <c r="C3197" s="313" t="s">
        <v>1487</v>
      </c>
      <c r="D3197" s="313" t="s">
        <v>35</v>
      </c>
      <c r="E3197" s="313" t="s">
        <v>24</v>
      </c>
    </row>
    <row r="3198" spans="1:5" x14ac:dyDescent="0.25">
      <c r="A3198" s="313" t="s">
        <v>1157</v>
      </c>
      <c r="B3198" s="313" t="s">
        <v>19</v>
      </c>
      <c r="C3198" s="313" t="s">
        <v>1495</v>
      </c>
      <c r="D3198" s="313" t="s">
        <v>35</v>
      </c>
      <c r="E3198" s="313" t="s">
        <v>24</v>
      </c>
    </row>
    <row r="3199" spans="1:5" x14ac:dyDescent="0.25">
      <c r="A3199" s="313" t="s">
        <v>1160</v>
      </c>
      <c r="B3199" s="313" t="s">
        <v>19</v>
      </c>
      <c r="C3199" s="313" t="s">
        <v>1466</v>
      </c>
      <c r="D3199" s="313" t="s">
        <v>35</v>
      </c>
      <c r="E3199" s="313" t="s">
        <v>24</v>
      </c>
    </row>
    <row r="3200" spans="1:5" x14ac:dyDescent="0.25">
      <c r="A3200" s="313" t="s">
        <v>1160</v>
      </c>
      <c r="B3200" s="313" t="s">
        <v>19</v>
      </c>
      <c r="C3200" s="313" t="s">
        <v>1471</v>
      </c>
      <c r="D3200" s="313" t="s">
        <v>35</v>
      </c>
      <c r="E3200" s="313" t="s">
        <v>24</v>
      </c>
    </row>
    <row r="3201" spans="1:5" x14ac:dyDescent="0.25">
      <c r="A3201" s="313" t="s">
        <v>1160</v>
      </c>
      <c r="B3201" s="313" t="s">
        <v>19</v>
      </c>
      <c r="C3201" s="313" t="s">
        <v>1475</v>
      </c>
      <c r="D3201" s="313" t="s">
        <v>35</v>
      </c>
      <c r="E3201" s="313" t="s">
        <v>24</v>
      </c>
    </row>
    <row r="3202" spans="1:5" x14ac:dyDescent="0.25">
      <c r="A3202" s="313" t="s">
        <v>1160</v>
      </c>
      <c r="B3202" s="313" t="s">
        <v>19</v>
      </c>
      <c r="C3202" s="313" t="s">
        <v>20</v>
      </c>
      <c r="D3202" s="313" t="s">
        <v>35</v>
      </c>
      <c r="E3202" s="313" t="s">
        <v>24</v>
      </c>
    </row>
    <row r="3203" spans="1:5" x14ac:dyDescent="0.25">
      <c r="A3203" s="313" t="s">
        <v>1160</v>
      </c>
      <c r="B3203" s="313" t="s">
        <v>19</v>
      </c>
      <c r="C3203" s="313" t="s">
        <v>1487</v>
      </c>
      <c r="D3203" s="313" t="s">
        <v>35</v>
      </c>
      <c r="E3203" s="313" t="s">
        <v>24</v>
      </c>
    </row>
    <row r="3204" spans="1:5" x14ac:dyDescent="0.25">
      <c r="A3204" s="313" t="s">
        <v>1160</v>
      </c>
      <c r="B3204" s="313" t="s">
        <v>19</v>
      </c>
      <c r="C3204" s="313" t="s">
        <v>1495</v>
      </c>
      <c r="D3204" s="313" t="s">
        <v>35</v>
      </c>
      <c r="E3204" s="313" t="s">
        <v>24</v>
      </c>
    </row>
    <row r="3205" spans="1:5" x14ac:dyDescent="0.25">
      <c r="A3205" s="313" t="s">
        <v>1163</v>
      </c>
      <c r="B3205" s="313" t="s">
        <v>19</v>
      </c>
      <c r="C3205" s="313" t="s">
        <v>1466</v>
      </c>
      <c r="D3205" s="313" t="s">
        <v>35</v>
      </c>
      <c r="E3205" s="313" t="s">
        <v>24</v>
      </c>
    </row>
    <row r="3206" spans="1:5" x14ac:dyDescent="0.25">
      <c r="A3206" s="313" t="s">
        <v>1163</v>
      </c>
      <c r="B3206" s="313" t="s">
        <v>19</v>
      </c>
      <c r="C3206" s="313" t="s">
        <v>1471</v>
      </c>
      <c r="D3206" s="313" t="s">
        <v>35</v>
      </c>
      <c r="E3206" s="313" t="s">
        <v>24</v>
      </c>
    </row>
    <row r="3207" spans="1:5" x14ac:dyDescent="0.25">
      <c r="A3207" s="313" t="s">
        <v>1163</v>
      </c>
      <c r="B3207" s="313" t="s">
        <v>19</v>
      </c>
      <c r="C3207" s="313" t="s">
        <v>1475</v>
      </c>
      <c r="D3207" s="313" t="s">
        <v>19</v>
      </c>
      <c r="E3207" s="313" t="s">
        <v>1728</v>
      </c>
    </row>
    <row r="3208" spans="1:5" x14ac:dyDescent="0.25">
      <c r="A3208" s="313" t="s">
        <v>1163</v>
      </c>
      <c r="B3208" s="313" t="s">
        <v>19</v>
      </c>
      <c r="C3208" s="313" t="s">
        <v>20</v>
      </c>
      <c r="D3208" s="313" t="s">
        <v>35</v>
      </c>
      <c r="E3208" s="313" t="s">
        <v>24</v>
      </c>
    </row>
    <row r="3209" spans="1:5" x14ac:dyDescent="0.25">
      <c r="A3209" s="313" t="s">
        <v>1163</v>
      </c>
      <c r="B3209" s="313" t="s">
        <v>19</v>
      </c>
      <c r="C3209" s="313" t="s">
        <v>1487</v>
      </c>
      <c r="D3209" s="313" t="s">
        <v>35</v>
      </c>
      <c r="E3209" s="313" t="s">
        <v>24</v>
      </c>
    </row>
    <row r="3210" spans="1:5" x14ac:dyDescent="0.25">
      <c r="A3210" s="313" t="s">
        <v>1163</v>
      </c>
      <c r="B3210" s="313" t="s">
        <v>19</v>
      </c>
      <c r="C3210" s="313" t="s">
        <v>1495</v>
      </c>
      <c r="D3210" s="313" t="s">
        <v>35</v>
      </c>
      <c r="E3210" s="313" t="s">
        <v>24</v>
      </c>
    </row>
    <row r="3211" spans="1:5" x14ac:dyDescent="0.25">
      <c r="A3211" s="313" t="s">
        <v>1166</v>
      </c>
      <c r="B3211" s="313" t="s">
        <v>19</v>
      </c>
      <c r="C3211" s="313" t="s">
        <v>1466</v>
      </c>
      <c r="D3211" s="313" t="s">
        <v>35</v>
      </c>
      <c r="E3211" s="313" t="s">
        <v>24</v>
      </c>
    </row>
    <row r="3212" spans="1:5" x14ac:dyDescent="0.25">
      <c r="A3212" s="313" t="s">
        <v>1166</v>
      </c>
      <c r="B3212" s="313" t="s">
        <v>19</v>
      </c>
      <c r="C3212" s="313" t="s">
        <v>1471</v>
      </c>
      <c r="D3212" s="313" t="s">
        <v>35</v>
      </c>
      <c r="E3212" s="313" t="s">
        <v>24</v>
      </c>
    </row>
    <row r="3213" spans="1:5" x14ac:dyDescent="0.25">
      <c r="A3213" s="313" t="s">
        <v>1166</v>
      </c>
      <c r="B3213" s="313" t="s">
        <v>19</v>
      </c>
      <c r="C3213" s="313" t="s">
        <v>1475</v>
      </c>
      <c r="D3213" s="313" t="s">
        <v>35</v>
      </c>
      <c r="E3213" s="313" t="s">
        <v>24</v>
      </c>
    </row>
    <row r="3214" spans="1:5" x14ac:dyDescent="0.25">
      <c r="A3214" s="313" t="s">
        <v>1166</v>
      </c>
      <c r="B3214" s="313" t="s">
        <v>19</v>
      </c>
      <c r="C3214" s="313" t="s">
        <v>20</v>
      </c>
      <c r="D3214" s="313" t="s">
        <v>35</v>
      </c>
      <c r="E3214" s="313" t="s">
        <v>24</v>
      </c>
    </row>
    <row r="3215" spans="1:5" x14ac:dyDescent="0.25">
      <c r="A3215" s="313" t="s">
        <v>1166</v>
      </c>
      <c r="B3215" s="313" t="s">
        <v>19</v>
      </c>
      <c r="C3215" s="313" t="s">
        <v>1487</v>
      </c>
      <c r="D3215" s="313" t="s">
        <v>35</v>
      </c>
      <c r="E3215" s="313" t="s">
        <v>24</v>
      </c>
    </row>
    <row r="3216" spans="1:5" x14ac:dyDescent="0.25">
      <c r="A3216" s="313" t="s">
        <v>1166</v>
      </c>
      <c r="B3216" s="313" t="s">
        <v>19</v>
      </c>
      <c r="C3216" s="313" t="s">
        <v>1495</v>
      </c>
      <c r="D3216" s="313" t="s">
        <v>35</v>
      </c>
      <c r="E3216" s="313" t="s">
        <v>24</v>
      </c>
    </row>
    <row r="3217" spans="1:5" x14ac:dyDescent="0.25">
      <c r="A3217" s="313" t="s">
        <v>1166</v>
      </c>
      <c r="B3217" s="313" t="s">
        <v>26</v>
      </c>
      <c r="C3217" s="313" t="s">
        <v>1511</v>
      </c>
      <c r="D3217" s="313" t="s">
        <v>24</v>
      </c>
      <c r="E3217" s="313" t="s">
        <v>46</v>
      </c>
    </row>
    <row r="3218" spans="1:5" x14ac:dyDescent="0.25">
      <c r="A3218" s="313" t="s">
        <v>1166</v>
      </c>
      <c r="B3218" s="313" t="s">
        <v>26</v>
      </c>
      <c r="C3218" s="313" t="s">
        <v>27</v>
      </c>
      <c r="D3218" s="313" t="s">
        <v>24</v>
      </c>
      <c r="E3218" s="313" t="s">
        <v>46</v>
      </c>
    </row>
    <row r="3219" spans="1:5" x14ac:dyDescent="0.25">
      <c r="A3219" s="313" t="s">
        <v>1166</v>
      </c>
      <c r="B3219" s="313" t="s">
        <v>26</v>
      </c>
      <c r="C3219" s="313" t="s">
        <v>1512</v>
      </c>
      <c r="D3219" s="313" t="s">
        <v>24</v>
      </c>
      <c r="E3219" s="313" t="s">
        <v>46</v>
      </c>
    </row>
    <row r="3220" spans="1:5" x14ac:dyDescent="0.25">
      <c r="A3220" s="313" t="s">
        <v>1168</v>
      </c>
      <c r="B3220" s="313" t="s">
        <v>19</v>
      </c>
      <c r="C3220" s="313" t="s">
        <v>1466</v>
      </c>
      <c r="D3220" s="313" t="s">
        <v>19</v>
      </c>
      <c r="E3220" s="313" t="s">
        <v>46</v>
      </c>
    </row>
    <row r="3221" spans="1:5" x14ac:dyDescent="0.25">
      <c r="A3221" s="313" t="s">
        <v>1168</v>
      </c>
      <c r="B3221" s="313" t="s">
        <v>19</v>
      </c>
      <c r="C3221" s="313" t="s">
        <v>1471</v>
      </c>
      <c r="D3221" s="313" t="s">
        <v>35</v>
      </c>
      <c r="E3221" s="313" t="s">
        <v>24</v>
      </c>
    </row>
    <row r="3222" spans="1:5" x14ac:dyDescent="0.25">
      <c r="A3222" s="313" t="s">
        <v>1168</v>
      </c>
      <c r="B3222" s="313" t="s">
        <v>19</v>
      </c>
      <c r="C3222" s="313" t="s">
        <v>1475</v>
      </c>
      <c r="D3222" s="313" t="s">
        <v>19</v>
      </c>
      <c r="E3222" s="313" t="s">
        <v>1729</v>
      </c>
    </row>
    <row r="3223" spans="1:5" x14ac:dyDescent="0.25">
      <c r="A3223" s="313" t="s">
        <v>1168</v>
      </c>
      <c r="B3223" s="313" t="s">
        <v>19</v>
      </c>
      <c r="C3223" s="313" t="s">
        <v>20</v>
      </c>
      <c r="D3223" s="313" t="s">
        <v>35</v>
      </c>
      <c r="E3223" s="313" t="s">
        <v>24</v>
      </c>
    </row>
    <row r="3224" spans="1:5" x14ac:dyDescent="0.25">
      <c r="A3224" s="313" t="s">
        <v>1168</v>
      </c>
      <c r="B3224" s="313" t="s">
        <v>19</v>
      </c>
      <c r="C3224" s="313" t="s">
        <v>1487</v>
      </c>
      <c r="D3224" s="313" t="s">
        <v>35</v>
      </c>
      <c r="E3224" s="313" t="s">
        <v>24</v>
      </c>
    </row>
    <row r="3225" spans="1:5" x14ac:dyDescent="0.25">
      <c r="A3225" s="313" t="s">
        <v>1168</v>
      </c>
      <c r="B3225" s="313" t="s">
        <v>19</v>
      </c>
      <c r="C3225" s="313" t="s">
        <v>1495</v>
      </c>
      <c r="D3225" s="313" t="s">
        <v>35</v>
      </c>
      <c r="E3225" s="313" t="s">
        <v>24</v>
      </c>
    </row>
    <row r="3226" spans="1:5" x14ac:dyDescent="0.25">
      <c r="A3226" s="313" t="s">
        <v>1168</v>
      </c>
      <c r="B3226" s="313" t="s">
        <v>26</v>
      </c>
      <c r="C3226" s="313" t="s">
        <v>1511</v>
      </c>
      <c r="D3226" s="313" t="s">
        <v>24</v>
      </c>
      <c r="E3226" s="313" t="s">
        <v>46</v>
      </c>
    </row>
    <row r="3227" spans="1:5" x14ac:dyDescent="0.25">
      <c r="A3227" s="313" t="s">
        <v>1168</v>
      </c>
      <c r="B3227" s="313" t="s">
        <v>26</v>
      </c>
      <c r="C3227" s="313" t="s">
        <v>27</v>
      </c>
      <c r="D3227" s="313" t="s">
        <v>24</v>
      </c>
      <c r="E3227" s="313" t="s">
        <v>46</v>
      </c>
    </row>
    <row r="3228" spans="1:5" x14ac:dyDescent="0.25">
      <c r="A3228" s="313" t="s">
        <v>1168</v>
      </c>
      <c r="B3228" s="313" t="s">
        <v>26</v>
      </c>
      <c r="C3228" s="313" t="s">
        <v>1512</v>
      </c>
      <c r="D3228" s="313" t="s">
        <v>24</v>
      </c>
      <c r="E3228" s="313" t="s">
        <v>46</v>
      </c>
    </row>
    <row r="3229" spans="1:5" x14ac:dyDescent="0.25">
      <c r="A3229" s="313" t="s">
        <v>1171</v>
      </c>
      <c r="B3229" s="313" t="s">
        <v>19</v>
      </c>
      <c r="C3229" s="313" t="s">
        <v>1466</v>
      </c>
      <c r="D3229" s="313" t="s">
        <v>35</v>
      </c>
      <c r="E3229" s="313" t="s">
        <v>24</v>
      </c>
    </row>
    <row r="3230" spans="1:5" x14ac:dyDescent="0.25">
      <c r="A3230" s="313" t="s">
        <v>1171</v>
      </c>
      <c r="B3230" s="313" t="s">
        <v>19</v>
      </c>
      <c r="C3230" s="313" t="s">
        <v>1471</v>
      </c>
      <c r="D3230" s="313" t="s">
        <v>35</v>
      </c>
      <c r="E3230" s="313" t="s">
        <v>24</v>
      </c>
    </row>
    <row r="3231" spans="1:5" x14ac:dyDescent="0.25">
      <c r="A3231" s="313" t="s">
        <v>1171</v>
      </c>
      <c r="B3231" s="313" t="s">
        <v>19</v>
      </c>
      <c r="C3231" s="313" t="s">
        <v>1475</v>
      </c>
      <c r="D3231" s="313" t="s">
        <v>35</v>
      </c>
      <c r="E3231" s="313" t="s">
        <v>24</v>
      </c>
    </row>
    <row r="3232" spans="1:5" x14ac:dyDescent="0.25">
      <c r="A3232" s="313" t="s">
        <v>1171</v>
      </c>
      <c r="B3232" s="313" t="s">
        <v>19</v>
      </c>
      <c r="C3232" s="313" t="s">
        <v>20</v>
      </c>
      <c r="D3232" s="313" t="s">
        <v>35</v>
      </c>
      <c r="E3232" s="313" t="s">
        <v>24</v>
      </c>
    </row>
    <row r="3233" spans="1:5" x14ac:dyDescent="0.25">
      <c r="A3233" s="313" t="s">
        <v>1171</v>
      </c>
      <c r="B3233" s="313" t="s">
        <v>19</v>
      </c>
      <c r="C3233" s="313" t="s">
        <v>1487</v>
      </c>
      <c r="D3233" s="313" t="s">
        <v>35</v>
      </c>
      <c r="E3233" s="313" t="s">
        <v>24</v>
      </c>
    </row>
    <row r="3234" spans="1:5" x14ac:dyDescent="0.25">
      <c r="A3234" s="313" t="s">
        <v>1171</v>
      </c>
      <c r="B3234" s="313" t="s">
        <v>19</v>
      </c>
      <c r="C3234" s="313" t="s">
        <v>1495</v>
      </c>
      <c r="D3234" s="313" t="s">
        <v>35</v>
      </c>
      <c r="E3234" s="313" t="s">
        <v>24</v>
      </c>
    </row>
    <row r="3235" spans="1:5" x14ac:dyDescent="0.25">
      <c r="A3235" s="313" t="s">
        <v>1172</v>
      </c>
      <c r="B3235" s="313" t="s">
        <v>51</v>
      </c>
      <c r="C3235" s="313" t="s">
        <v>24</v>
      </c>
      <c r="D3235" s="313" t="s">
        <v>24</v>
      </c>
      <c r="E3235" s="313" t="s">
        <v>1173</v>
      </c>
    </row>
    <row r="3236" spans="1:5" x14ac:dyDescent="0.25">
      <c r="A3236" s="313" t="s">
        <v>1172</v>
      </c>
      <c r="B3236" s="313" t="s">
        <v>19</v>
      </c>
      <c r="C3236" s="313" t="s">
        <v>1466</v>
      </c>
      <c r="D3236" s="313" t="s">
        <v>51</v>
      </c>
      <c r="E3236" s="313" t="s">
        <v>24</v>
      </c>
    </row>
    <row r="3237" spans="1:5" x14ac:dyDescent="0.25">
      <c r="A3237" s="313" t="s">
        <v>1172</v>
      </c>
      <c r="B3237" s="313" t="s">
        <v>19</v>
      </c>
      <c r="C3237" s="313" t="s">
        <v>1471</v>
      </c>
      <c r="D3237" s="313" t="s">
        <v>51</v>
      </c>
      <c r="E3237" s="313" t="s">
        <v>24</v>
      </c>
    </row>
    <row r="3238" spans="1:5" x14ac:dyDescent="0.25">
      <c r="A3238" s="313" t="s">
        <v>1172</v>
      </c>
      <c r="B3238" s="313" t="s">
        <v>19</v>
      </c>
      <c r="C3238" s="313" t="s">
        <v>1475</v>
      </c>
      <c r="D3238" s="313" t="s">
        <v>51</v>
      </c>
      <c r="E3238" s="313" t="s">
        <v>24</v>
      </c>
    </row>
    <row r="3239" spans="1:5" x14ac:dyDescent="0.25">
      <c r="A3239" s="313" t="s">
        <v>1172</v>
      </c>
      <c r="B3239" s="313" t="s">
        <v>19</v>
      </c>
      <c r="C3239" s="313" t="s">
        <v>20</v>
      </c>
      <c r="D3239" s="313" t="s">
        <v>51</v>
      </c>
      <c r="E3239" s="313" t="s">
        <v>24</v>
      </c>
    </row>
    <row r="3240" spans="1:5" x14ac:dyDescent="0.25">
      <c r="A3240" s="313" t="s">
        <v>1172</v>
      </c>
      <c r="B3240" s="313" t="s">
        <v>19</v>
      </c>
      <c r="C3240" s="313" t="s">
        <v>1487</v>
      </c>
      <c r="D3240" s="313" t="s">
        <v>51</v>
      </c>
      <c r="E3240" s="313" t="s">
        <v>24</v>
      </c>
    </row>
    <row r="3241" spans="1:5" x14ac:dyDescent="0.25">
      <c r="A3241" s="313" t="s">
        <v>1172</v>
      </c>
      <c r="B3241" s="313" t="s">
        <v>19</v>
      </c>
      <c r="C3241" s="313" t="s">
        <v>1495</v>
      </c>
      <c r="D3241" s="313" t="s">
        <v>51</v>
      </c>
      <c r="E3241" s="313" t="s">
        <v>24</v>
      </c>
    </row>
    <row r="3242" spans="1:5" x14ac:dyDescent="0.25">
      <c r="A3242" s="313" t="s">
        <v>1172</v>
      </c>
      <c r="B3242" s="313" t="s">
        <v>26</v>
      </c>
      <c r="C3242" s="313" t="s">
        <v>1511</v>
      </c>
      <c r="D3242" s="313" t="s">
        <v>24</v>
      </c>
      <c r="E3242" s="313" t="s">
        <v>46</v>
      </c>
    </row>
    <row r="3243" spans="1:5" x14ac:dyDescent="0.25">
      <c r="A3243" s="313" t="s">
        <v>1172</v>
      </c>
      <c r="B3243" s="313" t="s">
        <v>26</v>
      </c>
      <c r="C3243" s="313" t="s">
        <v>27</v>
      </c>
      <c r="D3243" s="313" t="s">
        <v>24</v>
      </c>
      <c r="E3243" s="313" t="s">
        <v>46</v>
      </c>
    </row>
    <row r="3244" spans="1:5" x14ac:dyDescent="0.25">
      <c r="A3244" s="313" t="s">
        <v>1172</v>
      </c>
      <c r="B3244" s="313" t="s">
        <v>26</v>
      </c>
      <c r="C3244" s="313" t="s">
        <v>1512</v>
      </c>
      <c r="D3244" s="313" t="s">
        <v>24</v>
      </c>
      <c r="E3244" s="313" t="s">
        <v>46</v>
      </c>
    </row>
    <row r="3245" spans="1:5" x14ac:dyDescent="0.25">
      <c r="A3245" s="313" t="s">
        <v>1176</v>
      </c>
      <c r="B3245" s="313" t="s">
        <v>19</v>
      </c>
      <c r="C3245" s="313" t="s">
        <v>1466</v>
      </c>
      <c r="D3245" s="313" t="s">
        <v>35</v>
      </c>
      <c r="E3245" s="313" t="s">
        <v>24</v>
      </c>
    </row>
    <row r="3246" spans="1:5" x14ac:dyDescent="0.25">
      <c r="A3246" s="313" t="s">
        <v>1176</v>
      </c>
      <c r="B3246" s="313" t="s">
        <v>19</v>
      </c>
      <c r="C3246" s="313" t="s">
        <v>1471</v>
      </c>
      <c r="D3246" s="313" t="s">
        <v>35</v>
      </c>
      <c r="E3246" s="313" t="s">
        <v>24</v>
      </c>
    </row>
    <row r="3247" spans="1:5" x14ac:dyDescent="0.25">
      <c r="A3247" s="313" t="s">
        <v>1176</v>
      </c>
      <c r="B3247" s="313" t="s">
        <v>19</v>
      </c>
      <c r="C3247" s="313" t="s">
        <v>1475</v>
      </c>
      <c r="D3247" s="313" t="s">
        <v>35</v>
      </c>
      <c r="E3247" s="313" t="s">
        <v>24</v>
      </c>
    </row>
    <row r="3248" spans="1:5" x14ac:dyDescent="0.25">
      <c r="A3248" s="313" t="s">
        <v>1176</v>
      </c>
      <c r="B3248" s="313" t="s">
        <v>19</v>
      </c>
      <c r="C3248" s="313" t="s">
        <v>20</v>
      </c>
      <c r="D3248" s="313" t="s">
        <v>35</v>
      </c>
      <c r="E3248" s="313" t="s">
        <v>24</v>
      </c>
    </row>
    <row r="3249" spans="1:5" x14ac:dyDescent="0.25">
      <c r="A3249" s="313" t="s">
        <v>1176</v>
      </c>
      <c r="B3249" s="313" t="s">
        <v>19</v>
      </c>
      <c r="C3249" s="313" t="s">
        <v>1487</v>
      </c>
      <c r="D3249" s="313" t="s">
        <v>35</v>
      </c>
      <c r="E3249" s="313" t="s">
        <v>24</v>
      </c>
    </row>
    <row r="3250" spans="1:5" x14ac:dyDescent="0.25">
      <c r="A3250" s="313" t="s">
        <v>1176</v>
      </c>
      <c r="B3250" s="313" t="s">
        <v>19</v>
      </c>
      <c r="C3250" s="313" t="s">
        <v>1495</v>
      </c>
      <c r="D3250" s="313" t="s">
        <v>35</v>
      </c>
      <c r="E3250" s="313" t="s">
        <v>24</v>
      </c>
    </row>
    <row r="3251" spans="1:5" x14ac:dyDescent="0.25">
      <c r="A3251" s="313" t="s">
        <v>1177</v>
      </c>
      <c r="B3251" s="313" t="s">
        <v>51</v>
      </c>
      <c r="C3251" s="313" t="s">
        <v>24</v>
      </c>
      <c r="D3251" s="313" t="s">
        <v>24</v>
      </c>
      <c r="E3251" s="313" t="s">
        <v>1178</v>
      </c>
    </row>
    <row r="3252" spans="1:5" x14ac:dyDescent="0.25">
      <c r="A3252" s="313" t="s">
        <v>1177</v>
      </c>
      <c r="B3252" s="313" t="s">
        <v>19</v>
      </c>
      <c r="C3252" s="313" t="s">
        <v>1466</v>
      </c>
      <c r="D3252" s="313" t="s">
        <v>51</v>
      </c>
      <c r="E3252" s="313" t="s">
        <v>24</v>
      </c>
    </row>
    <row r="3253" spans="1:5" x14ac:dyDescent="0.25">
      <c r="A3253" s="313" t="s">
        <v>1177</v>
      </c>
      <c r="B3253" s="313" t="s">
        <v>19</v>
      </c>
      <c r="C3253" s="313" t="s">
        <v>1471</v>
      </c>
      <c r="D3253" s="313" t="s">
        <v>51</v>
      </c>
      <c r="E3253" s="313" t="s">
        <v>24</v>
      </c>
    </row>
    <row r="3254" spans="1:5" x14ac:dyDescent="0.25">
      <c r="A3254" s="313" t="s">
        <v>1177</v>
      </c>
      <c r="B3254" s="313" t="s">
        <v>19</v>
      </c>
      <c r="C3254" s="313" t="s">
        <v>1475</v>
      </c>
      <c r="D3254" s="313" t="s">
        <v>51</v>
      </c>
      <c r="E3254" s="313" t="s">
        <v>24</v>
      </c>
    </row>
    <row r="3255" spans="1:5" x14ac:dyDescent="0.25">
      <c r="A3255" s="313" t="s">
        <v>1177</v>
      </c>
      <c r="B3255" s="313" t="s">
        <v>19</v>
      </c>
      <c r="C3255" s="313" t="s">
        <v>20</v>
      </c>
      <c r="D3255" s="313" t="s">
        <v>51</v>
      </c>
      <c r="E3255" s="313" t="s">
        <v>24</v>
      </c>
    </row>
    <row r="3256" spans="1:5" x14ac:dyDescent="0.25">
      <c r="A3256" s="313" t="s">
        <v>1177</v>
      </c>
      <c r="B3256" s="313" t="s">
        <v>19</v>
      </c>
      <c r="C3256" s="313" t="s">
        <v>1487</v>
      </c>
      <c r="D3256" s="313" t="s">
        <v>51</v>
      </c>
      <c r="E3256" s="313" t="s">
        <v>24</v>
      </c>
    </row>
    <row r="3257" spans="1:5" x14ac:dyDescent="0.25">
      <c r="A3257" s="313" t="s">
        <v>1177</v>
      </c>
      <c r="B3257" s="313" t="s">
        <v>19</v>
      </c>
      <c r="C3257" s="313" t="s">
        <v>1495</v>
      </c>
      <c r="D3257" s="313" t="s">
        <v>51</v>
      </c>
      <c r="E3257" s="313" t="s">
        <v>24</v>
      </c>
    </row>
    <row r="3258" spans="1:5" x14ac:dyDescent="0.25">
      <c r="A3258" s="313" t="s">
        <v>1177</v>
      </c>
      <c r="B3258" s="313" t="s">
        <v>26</v>
      </c>
      <c r="C3258" s="313" t="s">
        <v>1511</v>
      </c>
      <c r="D3258" s="313" t="s">
        <v>24</v>
      </c>
      <c r="E3258" s="313" t="s">
        <v>46</v>
      </c>
    </row>
    <row r="3259" spans="1:5" x14ac:dyDescent="0.25">
      <c r="A3259" s="313" t="s">
        <v>1177</v>
      </c>
      <c r="B3259" s="313" t="s">
        <v>26</v>
      </c>
      <c r="C3259" s="313" t="s">
        <v>27</v>
      </c>
      <c r="D3259" s="313" t="s">
        <v>24</v>
      </c>
      <c r="E3259" s="313" t="s">
        <v>46</v>
      </c>
    </row>
    <row r="3260" spans="1:5" x14ac:dyDescent="0.25">
      <c r="A3260" s="313" t="s">
        <v>1177</v>
      </c>
      <c r="B3260" s="313" t="s">
        <v>26</v>
      </c>
      <c r="C3260" s="313" t="s">
        <v>1512</v>
      </c>
      <c r="D3260" s="313" t="s">
        <v>24</v>
      </c>
      <c r="E3260" s="313" t="s">
        <v>46</v>
      </c>
    </row>
    <row r="3261" spans="1:5" x14ac:dyDescent="0.25">
      <c r="A3261" s="313" t="s">
        <v>1181</v>
      </c>
      <c r="B3261" s="313" t="s">
        <v>51</v>
      </c>
      <c r="C3261" s="313" t="s">
        <v>24</v>
      </c>
      <c r="D3261" s="313" t="s">
        <v>24</v>
      </c>
      <c r="E3261" s="313" t="s">
        <v>1182</v>
      </c>
    </row>
    <row r="3262" spans="1:5" x14ac:dyDescent="0.25">
      <c r="A3262" s="313" t="s">
        <v>1181</v>
      </c>
      <c r="B3262" s="313" t="s">
        <v>19</v>
      </c>
      <c r="C3262" s="313" t="s">
        <v>1466</v>
      </c>
      <c r="D3262" s="313" t="s">
        <v>51</v>
      </c>
      <c r="E3262" s="313" t="s">
        <v>24</v>
      </c>
    </row>
    <row r="3263" spans="1:5" x14ac:dyDescent="0.25">
      <c r="A3263" s="313" t="s">
        <v>1181</v>
      </c>
      <c r="B3263" s="313" t="s">
        <v>19</v>
      </c>
      <c r="C3263" s="313" t="s">
        <v>1471</v>
      </c>
      <c r="D3263" s="313" t="s">
        <v>51</v>
      </c>
      <c r="E3263" s="313" t="s">
        <v>24</v>
      </c>
    </row>
    <row r="3264" spans="1:5" x14ac:dyDescent="0.25">
      <c r="A3264" s="313" t="s">
        <v>1181</v>
      </c>
      <c r="B3264" s="313" t="s">
        <v>19</v>
      </c>
      <c r="C3264" s="313" t="s">
        <v>1475</v>
      </c>
      <c r="D3264" s="313" t="s">
        <v>51</v>
      </c>
      <c r="E3264" s="313" t="s">
        <v>24</v>
      </c>
    </row>
    <row r="3265" spans="1:5" x14ac:dyDescent="0.25">
      <c r="A3265" s="313" t="s">
        <v>1181</v>
      </c>
      <c r="B3265" s="313" t="s">
        <v>19</v>
      </c>
      <c r="C3265" s="313" t="s">
        <v>20</v>
      </c>
      <c r="D3265" s="313" t="s">
        <v>51</v>
      </c>
      <c r="E3265" s="313" t="s">
        <v>24</v>
      </c>
    </row>
    <row r="3266" spans="1:5" x14ac:dyDescent="0.25">
      <c r="A3266" s="313" t="s">
        <v>1181</v>
      </c>
      <c r="B3266" s="313" t="s">
        <v>19</v>
      </c>
      <c r="C3266" s="313" t="s">
        <v>1487</v>
      </c>
      <c r="D3266" s="313" t="s">
        <v>51</v>
      </c>
      <c r="E3266" s="313" t="s">
        <v>24</v>
      </c>
    </row>
    <row r="3267" spans="1:5" x14ac:dyDescent="0.25">
      <c r="A3267" s="313" t="s">
        <v>1181</v>
      </c>
      <c r="B3267" s="313" t="s">
        <v>19</v>
      </c>
      <c r="C3267" s="313" t="s">
        <v>1495</v>
      </c>
      <c r="D3267" s="313" t="s">
        <v>51</v>
      </c>
      <c r="E3267" s="313" t="s">
        <v>24</v>
      </c>
    </row>
    <row r="3268" spans="1:5" x14ac:dyDescent="0.25">
      <c r="A3268" s="313" t="s">
        <v>1185</v>
      </c>
      <c r="B3268" s="313" t="s">
        <v>19</v>
      </c>
      <c r="C3268" s="313" t="s">
        <v>1466</v>
      </c>
      <c r="D3268" s="313" t="s">
        <v>35</v>
      </c>
      <c r="E3268" s="313" t="s">
        <v>24</v>
      </c>
    </row>
    <row r="3269" spans="1:5" x14ac:dyDescent="0.25">
      <c r="A3269" s="313" t="s">
        <v>1185</v>
      </c>
      <c r="B3269" s="313" t="s">
        <v>19</v>
      </c>
      <c r="C3269" s="313" t="s">
        <v>1471</v>
      </c>
      <c r="D3269" s="313" t="s">
        <v>35</v>
      </c>
      <c r="E3269" s="313" t="s">
        <v>24</v>
      </c>
    </row>
    <row r="3270" spans="1:5" x14ac:dyDescent="0.25">
      <c r="A3270" s="313" t="s">
        <v>1185</v>
      </c>
      <c r="B3270" s="313" t="s">
        <v>19</v>
      </c>
      <c r="C3270" s="313" t="s">
        <v>1475</v>
      </c>
      <c r="D3270" s="313" t="s">
        <v>35</v>
      </c>
      <c r="E3270" s="313" t="s">
        <v>24</v>
      </c>
    </row>
    <row r="3271" spans="1:5" x14ac:dyDescent="0.25">
      <c r="A3271" s="313" t="s">
        <v>1185</v>
      </c>
      <c r="B3271" s="313" t="s">
        <v>19</v>
      </c>
      <c r="C3271" s="313" t="s">
        <v>20</v>
      </c>
      <c r="D3271" s="313" t="s">
        <v>35</v>
      </c>
      <c r="E3271" s="313" t="s">
        <v>24</v>
      </c>
    </row>
    <row r="3272" spans="1:5" x14ac:dyDescent="0.25">
      <c r="A3272" s="313" t="s">
        <v>1185</v>
      </c>
      <c r="B3272" s="313" t="s">
        <v>19</v>
      </c>
      <c r="C3272" s="313" t="s">
        <v>1487</v>
      </c>
      <c r="D3272" s="313" t="s">
        <v>35</v>
      </c>
      <c r="E3272" s="313" t="s">
        <v>24</v>
      </c>
    </row>
    <row r="3273" spans="1:5" x14ac:dyDescent="0.25">
      <c r="A3273" s="313" t="s">
        <v>1185</v>
      </c>
      <c r="B3273" s="313" t="s">
        <v>19</v>
      </c>
      <c r="C3273" s="313" t="s">
        <v>1495</v>
      </c>
      <c r="D3273" s="313" t="s">
        <v>35</v>
      </c>
      <c r="E3273" s="313" t="s">
        <v>24</v>
      </c>
    </row>
    <row r="3274" spans="1:5" x14ac:dyDescent="0.25">
      <c r="A3274" s="313" t="s">
        <v>1187</v>
      </c>
      <c r="B3274" s="313" t="s">
        <v>19</v>
      </c>
      <c r="C3274" s="313" t="s">
        <v>1466</v>
      </c>
      <c r="D3274" s="313" t="s">
        <v>35</v>
      </c>
      <c r="E3274" s="313" t="s">
        <v>24</v>
      </c>
    </row>
    <row r="3275" spans="1:5" x14ac:dyDescent="0.25">
      <c r="A3275" s="313" t="s">
        <v>1187</v>
      </c>
      <c r="B3275" s="313" t="s">
        <v>19</v>
      </c>
      <c r="C3275" s="313" t="s">
        <v>1471</v>
      </c>
      <c r="D3275" s="313" t="s">
        <v>35</v>
      </c>
      <c r="E3275" s="313" t="s">
        <v>24</v>
      </c>
    </row>
    <row r="3276" spans="1:5" x14ac:dyDescent="0.25">
      <c r="A3276" s="313" t="s">
        <v>1187</v>
      </c>
      <c r="B3276" s="313" t="s">
        <v>19</v>
      </c>
      <c r="C3276" s="313" t="s">
        <v>1475</v>
      </c>
      <c r="D3276" s="313" t="s">
        <v>35</v>
      </c>
      <c r="E3276" s="313" t="s">
        <v>24</v>
      </c>
    </row>
    <row r="3277" spans="1:5" x14ac:dyDescent="0.25">
      <c r="A3277" s="313" t="s">
        <v>1187</v>
      </c>
      <c r="B3277" s="313" t="s">
        <v>19</v>
      </c>
      <c r="C3277" s="313" t="s">
        <v>20</v>
      </c>
      <c r="D3277" s="313" t="s">
        <v>35</v>
      </c>
      <c r="E3277" s="313" t="s">
        <v>24</v>
      </c>
    </row>
    <row r="3278" spans="1:5" x14ac:dyDescent="0.25">
      <c r="A3278" s="313" t="s">
        <v>1187</v>
      </c>
      <c r="B3278" s="313" t="s">
        <v>19</v>
      </c>
      <c r="C3278" s="313" t="s">
        <v>1487</v>
      </c>
      <c r="D3278" s="313" t="s">
        <v>35</v>
      </c>
      <c r="E3278" s="313" t="s">
        <v>24</v>
      </c>
    </row>
    <row r="3279" spans="1:5" x14ac:dyDescent="0.25">
      <c r="A3279" s="313" t="s">
        <v>1187</v>
      </c>
      <c r="B3279" s="313" t="s">
        <v>19</v>
      </c>
      <c r="C3279" s="313" t="s">
        <v>1495</v>
      </c>
      <c r="D3279" s="313" t="s">
        <v>35</v>
      </c>
      <c r="E3279" s="313" t="s">
        <v>24</v>
      </c>
    </row>
    <row r="3280" spans="1:5" x14ac:dyDescent="0.25">
      <c r="A3280" s="313" t="s">
        <v>1189</v>
      </c>
      <c r="B3280" s="313" t="s">
        <v>19</v>
      </c>
      <c r="C3280" s="313" t="s">
        <v>1466</v>
      </c>
      <c r="D3280" s="313" t="s">
        <v>35</v>
      </c>
      <c r="E3280" s="313" t="s">
        <v>24</v>
      </c>
    </row>
    <row r="3281" spans="1:5" x14ac:dyDescent="0.25">
      <c r="A3281" s="313" t="s">
        <v>1189</v>
      </c>
      <c r="B3281" s="313" t="s">
        <v>19</v>
      </c>
      <c r="C3281" s="313" t="s">
        <v>1471</v>
      </c>
      <c r="D3281" s="313" t="s">
        <v>35</v>
      </c>
      <c r="E3281" s="313" t="s">
        <v>24</v>
      </c>
    </row>
    <row r="3282" spans="1:5" x14ac:dyDescent="0.25">
      <c r="A3282" s="313" t="s">
        <v>1189</v>
      </c>
      <c r="B3282" s="313" t="s">
        <v>19</v>
      </c>
      <c r="C3282" s="313" t="s">
        <v>1475</v>
      </c>
      <c r="D3282" s="313" t="s">
        <v>19</v>
      </c>
      <c r="E3282" s="313" t="s">
        <v>1735</v>
      </c>
    </row>
    <row r="3283" spans="1:5" x14ac:dyDescent="0.25">
      <c r="A3283" s="313" t="s">
        <v>1189</v>
      </c>
      <c r="B3283" s="313" t="s">
        <v>19</v>
      </c>
      <c r="C3283" s="313" t="s">
        <v>20</v>
      </c>
      <c r="D3283" s="313" t="s">
        <v>35</v>
      </c>
      <c r="E3283" s="313" t="s">
        <v>24</v>
      </c>
    </row>
    <row r="3284" spans="1:5" x14ac:dyDescent="0.25">
      <c r="A3284" s="313" t="s">
        <v>1189</v>
      </c>
      <c r="B3284" s="313" t="s">
        <v>19</v>
      </c>
      <c r="C3284" s="313" t="s">
        <v>1487</v>
      </c>
      <c r="D3284" s="313" t="s">
        <v>35</v>
      </c>
      <c r="E3284" s="313" t="s">
        <v>24</v>
      </c>
    </row>
    <row r="3285" spans="1:5" x14ac:dyDescent="0.25">
      <c r="A3285" s="313" t="s">
        <v>1189</v>
      </c>
      <c r="B3285" s="313" t="s">
        <v>19</v>
      </c>
      <c r="C3285" s="313" t="s">
        <v>1495</v>
      </c>
      <c r="D3285" s="313" t="s">
        <v>35</v>
      </c>
      <c r="E3285" s="313" t="s">
        <v>24</v>
      </c>
    </row>
    <row r="3286" spans="1:5" x14ac:dyDescent="0.25">
      <c r="A3286" s="313" t="s">
        <v>1192</v>
      </c>
      <c r="B3286" s="313" t="s">
        <v>19</v>
      </c>
      <c r="C3286" s="313" t="s">
        <v>1466</v>
      </c>
      <c r="D3286" s="313" t="s">
        <v>35</v>
      </c>
      <c r="E3286" s="313" t="s">
        <v>24</v>
      </c>
    </row>
    <row r="3287" spans="1:5" x14ac:dyDescent="0.25">
      <c r="A3287" s="313" t="s">
        <v>1192</v>
      </c>
      <c r="B3287" s="313" t="s">
        <v>19</v>
      </c>
      <c r="C3287" s="313" t="s">
        <v>1471</v>
      </c>
      <c r="D3287" s="313" t="s">
        <v>35</v>
      </c>
      <c r="E3287" s="313" t="s">
        <v>24</v>
      </c>
    </row>
    <row r="3288" spans="1:5" x14ac:dyDescent="0.25">
      <c r="A3288" s="313" t="s">
        <v>1192</v>
      </c>
      <c r="B3288" s="313" t="s">
        <v>19</v>
      </c>
      <c r="C3288" s="313" t="s">
        <v>1475</v>
      </c>
      <c r="D3288" s="313" t="s">
        <v>35</v>
      </c>
      <c r="E3288" s="313" t="s">
        <v>24</v>
      </c>
    </row>
    <row r="3289" spans="1:5" x14ac:dyDescent="0.25">
      <c r="A3289" s="313" t="s">
        <v>1192</v>
      </c>
      <c r="B3289" s="313" t="s">
        <v>19</v>
      </c>
      <c r="C3289" s="313" t="s">
        <v>20</v>
      </c>
      <c r="D3289" s="313" t="s">
        <v>35</v>
      </c>
      <c r="E3289" s="313" t="s">
        <v>24</v>
      </c>
    </row>
    <row r="3290" spans="1:5" x14ac:dyDescent="0.25">
      <c r="A3290" s="313" t="s">
        <v>1192</v>
      </c>
      <c r="B3290" s="313" t="s">
        <v>19</v>
      </c>
      <c r="C3290" s="313" t="s">
        <v>1487</v>
      </c>
      <c r="D3290" s="313" t="s">
        <v>35</v>
      </c>
      <c r="E3290" s="313" t="s">
        <v>24</v>
      </c>
    </row>
    <row r="3291" spans="1:5" x14ac:dyDescent="0.25">
      <c r="A3291" s="313" t="s">
        <v>1192</v>
      </c>
      <c r="B3291" s="313" t="s">
        <v>19</v>
      </c>
      <c r="C3291" s="313" t="s">
        <v>1495</v>
      </c>
      <c r="D3291" s="313" t="s">
        <v>35</v>
      </c>
      <c r="E3291" s="313" t="s">
        <v>24</v>
      </c>
    </row>
    <row r="3292" spans="1:5" x14ac:dyDescent="0.25">
      <c r="A3292" s="313" t="s">
        <v>1194</v>
      </c>
      <c r="B3292" s="313" t="s">
        <v>19</v>
      </c>
      <c r="C3292" s="313" t="s">
        <v>1466</v>
      </c>
      <c r="D3292" s="313" t="s">
        <v>35</v>
      </c>
      <c r="E3292" s="313" t="s">
        <v>24</v>
      </c>
    </row>
    <row r="3293" spans="1:5" x14ac:dyDescent="0.25">
      <c r="A3293" s="313" t="s">
        <v>1194</v>
      </c>
      <c r="B3293" s="313" t="s">
        <v>19</v>
      </c>
      <c r="C3293" s="313" t="s">
        <v>1471</v>
      </c>
      <c r="D3293" s="313" t="s">
        <v>35</v>
      </c>
      <c r="E3293" s="313" t="s">
        <v>24</v>
      </c>
    </row>
    <row r="3294" spans="1:5" x14ac:dyDescent="0.25">
      <c r="A3294" s="313" t="s">
        <v>1194</v>
      </c>
      <c r="B3294" s="313" t="s">
        <v>19</v>
      </c>
      <c r="C3294" s="313" t="s">
        <v>1475</v>
      </c>
      <c r="D3294" s="313" t="s">
        <v>35</v>
      </c>
      <c r="E3294" s="313" t="s">
        <v>24</v>
      </c>
    </row>
    <row r="3295" spans="1:5" x14ac:dyDescent="0.25">
      <c r="A3295" s="313" t="s">
        <v>1194</v>
      </c>
      <c r="B3295" s="313" t="s">
        <v>19</v>
      </c>
      <c r="C3295" s="313" t="s">
        <v>20</v>
      </c>
      <c r="D3295" s="313" t="s">
        <v>35</v>
      </c>
      <c r="E3295" s="313" t="s">
        <v>24</v>
      </c>
    </row>
    <row r="3296" spans="1:5" x14ac:dyDescent="0.25">
      <c r="A3296" s="313" t="s">
        <v>1194</v>
      </c>
      <c r="B3296" s="313" t="s">
        <v>19</v>
      </c>
      <c r="C3296" s="313" t="s">
        <v>1487</v>
      </c>
      <c r="D3296" s="313" t="s">
        <v>35</v>
      </c>
      <c r="E3296" s="313" t="s">
        <v>24</v>
      </c>
    </row>
    <row r="3297" spans="1:5" x14ac:dyDescent="0.25">
      <c r="A3297" s="313" t="s">
        <v>1194</v>
      </c>
      <c r="B3297" s="313" t="s">
        <v>19</v>
      </c>
      <c r="C3297" s="313" t="s">
        <v>1495</v>
      </c>
      <c r="D3297" s="313" t="s">
        <v>35</v>
      </c>
      <c r="E3297" s="313" t="s">
        <v>24</v>
      </c>
    </row>
    <row r="3298" spans="1:5" x14ac:dyDescent="0.25">
      <c r="A3298" s="313" t="s">
        <v>1196</v>
      </c>
      <c r="B3298" s="313" t="s">
        <v>19</v>
      </c>
      <c r="C3298" s="313" t="s">
        <v>1466</v>
      </c>
      <c r="D3298" s="313" t="s">
        <v>19</v>
      </c>
      <c r="E3298" s="313" t="s">
        <v>1739</v>
      </c>
    </row>
    <row r="3299" spans="1:5" x14ac:dyDescent="0.25">
      <c r="A3299" s="313" t="s">
        <v>1196</v>
      </c>
      <c r="B3299" s="313" t="s">
        <v>19</v>
      </c>
      <c r="C3299" s="313" t="s">
        <v>1471</v>
      </c>
      <c r="D3299" s="313" t="s">
        <v>26</v>
      </c>
      <c r="E3299" s="313" t="s">
        <v>24</v>
      </c>
    </row>
    <row r="3300" spans="1:5" x14ac:dyDescent="0.25">
      <c r="A3300" s="313" t="s">
        <v>1196</v>
      </c>
      <c r="B3300" s="313" t="s">
        <v>19</v>
      </c>
      <c r="C3300" s="313" t="s">
        <v>1475</v>
      </c>
      <c r="D3300" s="313" t="s">
        <v>19</v>
      </c>
      <c r="E3300" s="313" t="s">
        <v>1739</v>
      </c>
    </row>
    <row r="3301" spans="1:5" x14ac:dyDescent="0.25">
      <c r="A3301" s="313" t="s">
        <v>1196</v>
      </c>
      <c r="B3301" s="313" t="s">
        <v>19</v>
      </c>
      <c r="C3301" s="313" t="s">
        <v>20</v>
      </c>
      <c r="D3301" s="313" t="s">
        <v>26</v>
      </c>
      <c r="E3301" s="313" t="s">
        <v>24</v>
      </c>
    </row>
    <row r="3302" spans="1:5" x14ac:dyDescent="0.25">
      <c r="A3302" s="313" t="s">
        <v>1196</v>
      </c>
      <c r="B3302" s="313" t="s">
        <v>19</v>
      </c>
      <c r="C3302" s="313" t="s">
        <v>1487</v>
      </c>
      <c r="D3302" s="313" t="s">
        <v>26</v>
      </c>
      <c r="E3302" s="313" t="s">
        <v>24</v>
      </c>
    </row>
    <row r="3303" spans="1:5" x14ac:dyDescent="0.25">
      <c r="A3303" s="313" t="s">
        <v>1196</v>
      </c>
      <c r="B3303" s="313" t="s">
        <v>19</v>
      </c>
      <c r="C3303" s="313" t="s">
        <v>1495</v>
      </c>
      <c r="D3303" s="313" t="s">
        <v>35</v>
      </c>
      <c r="E3303" s="313" t="s">
        <v>24</v>
      </c>
    </row>
    <row r="3304" spans="1:5" x14ac:dyDescent="0.25">
      <c r="A3304" s="313" t="s">
        <v>1196</v>
      </c>
      <c r="B3304" s="313" t="s">
        <v>26</v>
      </c>
      <c r="C3304" s="313" t="s">
        <v>2929</v>
      </c>
      <c r="D3304" s="313" t="s">
        <v>24</v>
      </c>
      <c r="E3304" s="313" t="s">
        <v>1739</v>
      </c>
    </row>
    <row r="3305" spans="1:5" x14ac:dyDescent="0.25">
      <c r="A3305" s="313" t="s">
        <v>1196</v>
      </c>
      <c r="B3305" s="313" t="s">
        <v>26</v>
      </c>
      <c r="C3305" s="313" t="s">
        <v>2930</v>
      </c>
      <c r="D3305" s="313" t="s">
        <v>24</v>
      </c>
      <c r="E3305" s="313" t="s">
        <v>35</v>
      </c>
    </row>
    <row r="3306" spans="1:5" x14ac:dyDescent="0.25">
      <c r="A3306" s="313" t="s">
        <v>1196</v>
      </c>
      <c r="B3306" s="313" t="s">
        <v>26</v>
      </c>
      <c r="C3306" s="313" t="s">
        <v>1509</v>
      </c>
      <c r="D3306" s="313" t="s">
        <v>24</v>
      </c>
      <c r="E3306" s="313" t="s">
        <v>1739</v>
      </c>
    </row>
    <row r="3307" spans="1:5" x14ac:dyDescent="0.25">
      <c r="A3307" s="313" t="s">
        <v>1196</v>
      </c>
      <c r="B3307" s="313" t="s">
        <v>26</v>
      </c>
      <c r="C3307" s="313" t="s">
        <v>1510</v>
      </c>
      <c r="D3307" s="313" t="s">
        <v>24</v>
      </c>
      <c r="E3307" s="313" t="s">
        <v>1739</v>
      </c>
    </row>
    <row r="3308" spans="1:5" x14ac:dyDescent="0.25">
      <c r="A3308" s="313" t="s">
        <v>1196</v>
      </c>
      <c r="B3308" s="313" t="s">
        <v>26</v>
      </c>
      <c r="C3308" s="313" t="s">
        <v>1511</v>
      </c>
      <c r="D3308" s="313" t="s">
        <v>24</v>
      </c>
      <c r="E3308" s="313" t="s">
        <v>46</v>
      </c>
    </row>
    <row r="3309" spans="1:5" x14ac:dyDescent="0.25">
      <c r="A3309" s="313" t="s">
        <v>1196</v>
      </c>
      <c r="B3309" s="313" t="s">
        <v>26</v>
      </c>
      <c r="C3309" s="313" t="s">
        <v>27</v>
      </c>
      <c r="D3309" s="313" t="s">
        <v>24</v>
      </c>
      <c r="E3309" s="313" t="s">
        <v>46</v>
      </c>
    </row>
    <row r="3310" spans="1:5" x14ac:dyDescent="0.25">
      <c r="A3310" s="313" t="s">
        <v>1196</v>
      </c>
      <c r="B3310" s="313" t="s">
        <v>26</v>
      </c>
      <c r="C3310" s="313" t="s">
        <v>1512</v>
      </c>
      <c r="D3310" s="313" t="s">
        <v>24</v>
      </c>
      <c r="E3310" s="313" t="s">
        <v>46</v>
      </c>
    </row>
    <row r="3311" spans="1:5" x14ac:dyDescent="0.25">
      <c r="A3311" s="313" t="s">
        <v>1196</v>
      </c>
      <c r="B3311" s="313" t="s">
        <v>26</v>
      </c>
      <c r="C3311" s="313" t="s">
        <v>1513</v>
      </c>
      <c r="D3311" s="313" t="s">
        <v>24</v>
      </c>
      <c r="E3311" s="313" t="s">
        <v>1740</v>
      </c>
    </row>
    <row r="3312" spans="1:5" x14ac:dyDescent="0.25">
      <c r="A3312" s="313" t="s">
        <v>1196</v>
      </c>
      <c r="B3312" s="313" t="s">
        <v>26</v>
      </c>
      <c r="C3312" s="313" t="s">
        <v>1514</v>
      </c>
      <c r="D3312" s="313" t="s">
        <v>24</v>
      </c>
      <c r="E3312" s="313" t="s">
        <v>1739</v>
      </c>
    </row>
    <row r="3313" spans="1:5" x14ac:dyDescent="0.25">
      <c r="A3313" s="313" t="s">
        <v>1196</v>
      </c>
      <c r="B3313" s="313" t="s">
        <v>26</v>
      </c>
      <c r="C3313" s="313" t="s">
        <v>1515</v>
      </c>
      <c r="D3313" s="313" t="s">
        <v>24</v>
      </c>
      <c r="E3313" s="313" t="s">
        <v>1739</v>
      </c>
    </row>
    <row r="3314" spans="1:5" x14ac:dyDescent="0.25">
      <c r="A3314" s="313" t="s">
        <v>1196</v>
      </c>
      <c r="B3314" s="313" t="s">
        <v>26</v>
      </c>
      <c r="C3314" s="313" t="s">
        <v>1516</v>
      </c>
      <c r="D3314" s="313" t="s">
        <v>24</v>
      </c>
      <c r="E3314" s="313" t="s">
        <v>1740</v>
      </c>
    </row>
    <row r="3315" spans="1:5" x14ac:dyDescent="0.25">
      <c r="A3315" s="313" t="s">
        <v>1196</v>
      </c>
      <c r="B3315" s="313" t="s">
        <v>26</v>
      </c>
      <c r="C3315" s="313" t="s">
        <v>1517</v>
      </c>
      <c r="D3315" s="313" t="s">
        <v>24</v>
      </c>
      <c r="E3315" s="313" t="s">
        <v>1739</v>
      </c>
    </row>
    <row r="3316" spans="1:5" x14ac:dyDescent="0.25">
      <c r="A3316" s="313" t="s">
        <v>1196</v>
      </c>
      <c r="B3316" s="313" t="s">
        <v>26</v>
      </c>
      <c r="C3316" s="313" t="s">
        <v>1518</v>
      </c>
      <c r="D3316" s="313" t="s">
        <v>24</v>
      </c>
      <c r="E3316" s="313" t="s">
        <v>1740</v>
      </c>
    </row>
    <row r="3317" spans="1:5" x14ac:dyDescent="0.25">
      <c r="A3317" s="313" t="s">
        <v>1196</v>
      </c>
      <c r="B3317" s="313" t="s">
        <v>26</v>
      </c>
      <c r="C3317" s="313" t="s">
        <v>1519</v>
      </c>
      <c r="D3317" s="313" t="s">
        <v>24</v>
      </c>
      <c r="E3317" s="313" t="s">
        <v>1740</v>
      </c>
    </row>
    <row r="3318" spans="1:5" x14ac:dyDescent="0.25">
      <c r="A3318" s="313" t="s">
        <v>1199</v>
      </c>
      <c r="B3318" s="313" t="s">
        <v>51</v>
      </c>
      <c r="C3318" s="313" t="s">
        <v>24</v>
      </c>
      <c r="D3318" s="313" t="s">
        <v>24</v>
      </c>
      <c r="E3318" s="313" t="s">
        <v>1200</v>
      </c>
    </row>
    <row r="3319" spans="1:5" x14ac:dyDescent="0.25">
      <c r="A3319" s="313" t="s">
        <v>1199</v>
      </c>
      <c r="B3319" s="313" t="s">
        <v>19</v>
      </c>
      <c r="C3319" s="313" t="s">
        <v>1466</v>
      </c>
      <c r="D3319" s="313" t="s">
        <v>51</v>
      </c>
      <c r="E3319" s="313" t="s">
        <v>24</v>
      </c>
    </row>
    <row r="3320" spans="1:5" x14ac:dyDescent="0.25">
      <c r="A3320" s="313" t="s">
        <v>1199</v>
      </c>
      <c r="B3320" s="313" t="s">
        <v>19</v>
      </c>
      <c r="C3320" s="313" t="s">
        <v>1471</v>
      </c>
      <c r="D3320" s="313" t="s">
        <v>51</v>
      </c>
      <c r="E3320" s="313" t="s">
        <v>24</v>
      </c>
    </row>
    <row r="3321" spans="1:5" x14ac:dyDescent="0.25">
      <c r="A3321" s="313" t="s">
        <v>1199</v>
      </c>
      <c r="B3321" s="313" t="s">
        <v>19</v>
      </c>
      <c r="C3321" s="313" t="s">
        <v>1475</v>
      </c>
      <c r="D3321" s="313" t="s">
        <v>51</v>
      </c>
      <c r="E3321" s="313" t="s">
        <v>24</v>
      </c>
    </row>
    <row r="3322" spans="1:5" x14ac:dyDescent="0.25">
      <c r="A3322" s="313" t="s">
        <v>1199</v>
      </c>
      <c r="B3322" s="313" t="s">
        <v>19</v>
      </c>
      <c r="C3322" s="313" t="s">
        <v>20</v>
      </c>
      <c r="D3322" s="313" t="s">
        <v>51</v>
      </c>
      <c r="E3322" s="313" t="s">
        <v>24</v>
      </c>
    </row>
    <row r="3323" spans="1:5" x14ac:dyDescent="0.25">
      <c r="A3323" s="313" t="s">
        <v>1199</v>
      </c>
      <c r="B3323" s="313" t="s">
        <v>19</v>
      </c>
      <c r="C3323" s="313" t="s">
        <v>1487</v>
      </c>
      <c r="D3323" s="313" t="s">
        <v>51</v>
      </c>
      <c r="E3323" s="313" t="s">
        <v>24</v>
      </c>
    </row>
    <row r="3324" spans="1:5" x14ac:dyDescent="0.25">
      <c r="A3324" s="313" t="s">
        <v>1199</v>
      </c>
      <c r="B3324" s="313" t="s">
        <v>19</v>
      </c>
      <c r="C3324" s="313" t="s">
        <v>1495</v>
      </c>
      <c r="D3324" s="313" t="s">
        <v>51</v>
      </c>
      <c r="E3324" s="313" t="s">
        <v>24</v>
      </c>
    </row>
    <row r="3325" spans="1:5" x14ac:dyDescent="0.25">
      <c r="A3325" s="313" t="s">
        <v>1205</v>
      </c>
      <c r="B3325" s="313" t="s">
        <v>19</v>
      </c>
      <c r="C3325" s="313" t="s">
        <v>1466</v>
      </c>
      <c r="D3325" s="313" t="s">
        <v>26</v>
      </c>
      <c r="E3325" s="313" t="s">
        <v>24</v>
      </c>
    </row>
    <row r="3326" spans="1:5" x14ac:dyDescent="0.25">
      <c r="A3326" s="313" t="s">
        <v>1205</v>
      </c>
      <c r="B3326" s="313" t="s">
        <v>19</v>
      </c>
      <c r="C3326" s="313" t="s">
        <v>1471</v>
      </c>
      <c r="D3326" s="313" t="s">
        <v>26</v>
      </c>
      <c r="E3326" s="313" t="s">
        <v>24</v>
      </c>
    </row>
    <row r="3327" spans="1:5" x14ac:dyDescent="0.25">
      <c r="A3327" s="313" t="s">
        <v>1205</v>
      </c>
      <c r="B3327" s="313" t="s">
        <v>19</v>
      </c>
      <c r="C3327" s="313" t="s">
        <v>1475</v>
      </c>
      <c r="D3327" s="313" t="s">
        <v>19</v>
      </c>
      <c r="E3327" s="313" t="s">
        <v>1206</v>
      </c>
    </row>
    <row r="3328" spans="1:5" x14ac:dyDescent="0.25">
      <c r="A3328" s="313" t="s">
        <v>1205</v>
      </c>
      <c r="B3328" s="313" t="s">
        <v>19</v>
      </c>
      <c r="C3328" s="313" t="s">
        <v>20</v>
      </c>
      <c r="D3328" s="313" t="s">
        <v>26</v>
      </c>
      <c r="E3328" s="313" t="s">
        <v>24</v>
      </c>
    </row>
    <row r="3329" spans="1:5" x14ac:dyDescent="0.25">
      <c r="A3329" s="313" t="s">
        <v>1205</v>
      </c>
      <c r="B3329" s="313" t="s">
        <v>19</v>
      </c>
      <c r="C3329" s="313" t="s">
        <v>1487</v>
      </c>
      <c r="D3329" s="313" t="s">
        <v>26</v>
      </c>
      <c r="E3329" s="313" t="s">
        <v>24</v>
      </c>
    </row>
    <row r="3330" spans="1:5" x14ac:dyDescent="0.25">
      <c r="A3330" s="313" t="s">
        <v>1205</v>
      </c>
      <c r="B3330" s="313" t="s">
        <v>19</v>
      </c>
      <c r="C3330" s="313" t="s">
        <v>1495</v>
      </c>
      <c r="D3330" s="313" t="s">
        <v>35</v>
      </c>
      <c r="E3330" s="313" t="s">
        <v>24</v>
      </c>
    </row>
    <row r="3331" spans="1:5" x14ac:dyDescent="0.25">
      <c r="A3331" s="313" t="s">
        <v>1205</v>
      </c>
      <c r="B3331" s="313" t="s">
        <v>26</v>
      </c>
      <c r="C3331" s="313" t="s">
        <v>1501</v>
      </c>
      <c r="D3331" s="313" t="s">
        <v>24</v>
      </c>
      <c r="E3331" s="313" t="s">
        <v>1206</v>
      </c>
    </row>
    <row r="3332" spans="1:5" x14ac:dyDescent="0.25">
      <c r="A3332" s="313" t="s">
        <v>1205</v>
      </c>
      <c r="B3332" s="313" t="s">
        <v>26</v>
      </c>
      <c r="C3332" s="313" t="s">
        <v>1502</v>
      </c>
      <c r="D3332" s="313" t="s">
        <v>24</v>
      </c>
      <c r="E3332" s="313" t="s">
        <v>1742</v>
      </c>
    </row>
    <row r="3333" spans="1:5" x14ac:dyDescent="0.25">
      <c r="A3333" s="313" t="s">
        <v>1205</v>
      </c>
      <c r="B3333" s="313" t="s">
        <v>26</v>
      </c>
      <c r="C3333" s="313" t="s">
        <v>1503</v>
      </c>
      <c r="D3333" s="313" t="s">
        <v>24</v>
      </c>
      <c r="E3333" s="313" t="s">
        <v>1206</v>
      </c>
    </row>
    <row r="3334" spans="1:5" x14ac:dyDescent="0.25">
      <c r="A3334" s="313" t="s">
        <v>1205</v>
      </c>
      <c r="B3334" s="313" t="s">
        <v>26</v>
      </c>
      <c r="C3334" s="313" t="s">
        <v>2929</v>
      </c>
      <c r="D3334" s="313" t="s">
        <v>24</v>
      </c>
      <c r="E3334" s="313" t="s">
        <v>1742</v>
      </c>
    </row>
    <row r="3335" spans="1:5" x14ac:dyDescent="0.25">
      <c r="A3335" s="313" t="s">
        <v>1205</v>
      </c>
      <c r="B3335" s="313" t="s">
        <v>26</v>
      </c>
      <c r="C3335" s="313" t="s">
        <v>2930</v>
      </c>
      <c r="D3335" s="313" t="s">
        <v>24</v>
      </c>
      <c r="E3335" s="313" t="s">
        <v>35</v>
      </c>
    </row>
    <row r="3336" spans="1:5" x14ac:dyDescent="0.25">
      <c r="A3336" s="313" t="s">
        <v>1205</v>
      </c>
      <c r="B3336" s="313" t="s">
        <v>26</v>
      </c>
      <c r="C3336" s="313" t="s">
        <v>1509</v>
      </c>
      <c r="D3336" s="313" t="s">
        <v>24</v>
      </c>
      <c r="E3336" s="313" t="s">
        <v>1206</v>
      </c>
    </row>
    <row r="3337" spans="1:5" x14ac:dyDescent="0.25">
      <c r="A3337" s="313" t="s">
        <v>1205</v>
      </c>
      <c r="B3337" s="313" t="s">
        <v>26</v>
      </c>
      <c r="C3337" s="313" t="s">
        <v>1510</v>
      </c>
      <c r="D3337" s="313" t="s">
        <v>24</v>
      </c>
      <c r="E3337" s="313" t="s">
        <v>1206</v>
      </c>
    </row>
    <row r="3338" spans="1:5" x14ac:dyDescent="0.25">
      <c r="A3338" s="313" t="s">
        <v>1205</v>
      </c>
      <c r="B3338" s="313" t="s">
        <v>26</v>
      </c>
      <c r="C3338" s="313" t="s">
        <v>1511</v>
      </c>
      <c r="D3338" s="313" t="s">
        <v>24</v>
      </c>
      <c r="E3338" s="313" t="s">
        <v>1742</v>
      </c>
    </row>
    <row r="3339" spans="1:5" x14ac:dyDescent="0.25">
      <c r="A3339" s="313" t="s">
        <v>1205</v>
      </c>
      <c r="B3339" s="313" t="s">
        <v>26</v>
      </c>
      <c r="C3339" s="313" t="s">
        <v>27</v>
      </c>
      <c r="D3339" s="313" t="s">
        <v>24</v>
      </c>
      <c r="E3339" s="313" t="s">
        <v>1206</v>
      </c>
    </row>
    <row r="3340" spans="1:5" x14ac:dyDescent="0.25">
      <c r="A3340" s="313" t="s">
        <v>1205</v>
      </c>
      <c r="B3340" s="313" t="s">
        <v>26</v>
      </c>
      <c r="C3340" s="313" t="s">
        <v>1512</v>
      </c>
      <c r="D3340" s="313" t="s">
        <v>24</v>
      </c>
      <c r="E3340" s="313" t="s">
        <v>1206</v>
      </c>
    </row>
    <row r="3341" spans="1:5" x14ac:dyDescent="0.25">
      <c r="A3341" s="313" t="s">
        <v>1205</v>
      </c>
      <c r="B3341" s="313" t="s">
        <v>26</v>
      </c>
      <c r="C3341" s="313" t="s">
        <v>1513</v>
      </c>
      <c r="D3341" s="313" t="s">
        <v>24</v>
      </c>
      <c r="E3341" s="313" t="s">
        <v>1206</v>
      </c>
    </row>
    <row r="3342" spans="1:5" x14ac:dyDescent="0.25">
      <c r="A3342" s="313" t="s">
        <v>1205</v>
      </c>
      <c r="B3342" s="313" t="s">
        <v>26</v>
      </c>
      <c r="C3342" s="313" t="s">
        <v>1514</v>
      </c>
      <c r="D3342" s="313" t="s">
        <v>24</v>
      </c>
      <c r="E3342" s="313" t="s">
        <v>1206</v>
      </c>
    </row>
    <row r="3343" spans="1:5" x14ac:dyDescent="0.25">
      <c r="A3343" s="313" t="s">
        <v>1205</v>
      </c>
      <c r="B3343" s="313" t="s">
        <v>26</v>
      </c>
      <c r="C3343" s="313" t="s">
        <v>1515</v>
      </c>
      <c r="D3343" s="313" t="s">
        <v>24</v>
      </c>
      <c r="E3343" s="313" t="s">
        <v>1743</v>
      </c>
    </row>
    <row r="3344" spans="1:5" x14ac:dyDescent="0.25">
      <c r="A3344" s="313" t="s">
        <v>1205</v>
      </c>
      <c r="B3344" s="313" t="s">
        <v>26</v>
      </c>
      <c r="C3344" s="313" t="s">
        <v>1516</v>
      </c>
      <c r="D3344" s="313" t="s">
        <v>24</v>
      </c>
      <c r="E3344" s="313" t="s">
        <v>1744</v>
      </c>
    </row>
    <row r="3345" spans="1:5" x14ac:dyDescent="0.25">
      <c r="A3345" s="313" t="s">
        <v>1205</v>
      </c>
      <c r="B3345" s="313" t="s">
        <v>26</v>
      </c>
      <c r="C3345" s="313" t="s">
        <v>1517</v>
      </c>
      <c r="D3345" s="313" t="s">
        <v>24</v>
      </c>
      <c r="E3345" s="313" t="s">
        <v>1743</v>
      </c>
    </row>
    <row r="3346" spans="1:5" x14ac:dyDescent="0.25">
      <c r="A3346" s="313" t="s">
        <v>1205</v>
      </c>
      <c r="B3346" s="313" t="s">
        <v>26</v>
      </c>
      <c r="C3346" s="313" t="s">
        <v>1518</v>
      </c>
      <c r="D3346" s="313" t="s">
        <v>24</v>
      </c>
      <c r="E3346" s="313" t="s">
        <v>1744</v>
      </c>
    </row>
    <row r="3347" spans="1:5" x14ac:dyDescent="0.25">
      <c r="A3347" s="313" t="s">
        <v>1205</v>
      </c>
      <c r="B3347" s="313" t="s">
        <v>26</v>
      </c>
      <c r="C3347" s="313" t="s">
        <v>1519</v>
      </c>
      <c r="D3347" s="313" t="s">
        <v>24</v>
      </c>
      <c r="E3347" s="313" t="s">
        <v>1744</v>
      </c>
    </row>
    <row r="3348" spans="1:5" x14ac:dyDescent="0.25">
      <c r="A3348" s="313" t="s">
        <v>1209</v>
      </c>
      <c r="B3348" s="313" t="s">
        <v>19</v>
      </c>
      <c r="C3348" s="313" t="s">
        <v>1466</v>
      </c>
      <c r="D3348" s="313" t="s">
        <v>35</v>
      </c>
      <c r="E3348" s="313" t="s">
        <v>24</v>
      </c>
    </row>
    <row r="3349" spans="1:5" x14ac:dyDescent="0.25">
      <c r="A3349" s="313" t="s">
        <v>1209</v>
      </c>
      <c r="B3349" s="313" t="s">
        <v>19</v>
      </c>
      <c r="C3349" s="313" t="s">
        <v>1471</v>
      </c>
      <c r="D3349" s="313" t="s">
        <v>35</v>
      </c>
      <c r="E3349" s="313" t="s">
        <v>24</v>
      </c>
    </row>
    <row r="3350" spans="1:5" x14ac:dyDescent="0.25">
      <c r="A3350" s="313" t="s">
        <v>1209</v>
      </c>
      <c r="B3350" s="313" t="s">
        <v>19</v>
      </c>
      <c r="C3350" s="313" t="s">
        <v>1475</v>
      </c>
      <c r="D3350" s="313" t="s">
        <v>35</v>
      </c>
      <c r="E3350" s="313" t="s">
        <v>24</v>
      </c>
    </row>
    <row r="3351" spans="1:5" x14ac:dyDescent="0.25">
      <c r="A3351" s="313" t="s">
        <v>1209</v>
      </c>
      <c r="B3351" s="313" t="s">
        <v>19</v>
      </c>
      <c r="C3351" s="313" t="s">
        <v>20</v>
      </c>
      <c r="D3351" s="313" t="s">
        <v>35</v>
      </c>
      <c r="E3351" s="313" t="s">
        <v>24</v>
      </c>
    </row>
    <row r="3352" spans="1:5" x14ac:dyDescent="0.25">
      <c r="A3352" s="313" t="s">
        <v>1209</v>
      </c>
      <c r="B3352" s="313" t="s">
        <v>19</v>
      </c>
      <c r="C3352" s="313" t="s">
        <v>1487</v>
      </c>
      <c r="D3352" s="313" t="s">
        <v>35</v>
      </c>
      <c r="E3352" s="313" t="s">
        <v>24</v>
      </c>
    </row>
    <row r="3353" spans="1:5" x14ac:dyDescent="0.25">
      <c r="A3353" s="313" t="s">
        <v>1209</v>
      </c>
      <c r="B3353" s="313" t="s">
        <v>19</v>
      </c>
      <c r="C3353" s="313" t="s">
        <v>1495</v>
      </c>
      <c r="D3353" s="313" t="s">
        <v>35</v>
      </c>
      <c r="E3353" s="313" t="s">
        <v>24</v>
      </c>
    </row>
    <row r="3354" spans="1:5" x14ac:dyDescent="0.25">
      <c r="A3354" s="313" t="s">
        <v>1209</v>
      </c>
      <c r="B3354" s="313" t="s">
        <v>26</v>
      </c>
      <c r="C3354" s="313" t="s">
        <v>1515</v>
      </c>
      <c r="D3354" s="313" t="s">
        <v>24</v>
      </c>
      <c r="E3354" s="313" t="s">
        <v>1745</v>
      </c>
    </row>
    <row r="3355" spans="1:5" x14ac:dyDescent="0.25">
      <c r="A3355" s="313" t="s">
        <v>1209</v>
      </c>
      <c r="B3355" s="313" t="s">
        <v>26</v>
      </c>
      <c r="C3355" s="313" t="s">
        <v>1517</v>
      </c>
      <c r="D3355" s="313" t="s">
        <v>24</v>
      </c>
      <c r="E3355" s="313" t="s">
        <v>1746</v>
      </c>
    </row>
    <row r="3356" spans="1:5" x14ac:dyDescent="0.25">
      <c r="A3356" s="313" t="s">
        <v>1211</v>
      </c>
      <c r="B3356" s="313" t="s">
        <v>19</v>
      </c>
      <c r="C3356" s="313" t="s">
        <v>1466</v>
      </c>
      <c r="D3356" s="313" t="s">
        <v>19</v>
      </c>
      <c r="E3356" s="313" t="s">
        <v>1747</v>
      </c>
    </row>
    <row r="3357" spans="1:5" x14ac:dyDescent="0.25">
      <c r="A3357" s="313" t="s">
        <v>1211</v>
      </c>
      <c r="B3357" s="313" t="s">
        <v>19</v>
      </c>
      <c r="C3357" s="313" t="s">
        <v>1471</v>
      </c>
      <c r="D3357" s="313" t="s">
        <v>26</v>
      </c>
      <c r="E3357" s="313" t="s">
        <v>24</v>
      </c>
    </row>
    <row r="3358" spans="1:5" x14ac:dyDescent="0.25">
      <c r="A3358" s="313" t="s">
        <v>1211</v>
      </c>
      <c r="B3358" s="313" t="s">
        <v>19</v>
      </c>
      <c r="C3358" s="313" t="s">
        <v>1475</v>
      </c>
      <c r="D3358" s="313" t="s">
        <v>19</v>
      </c>
      <c r="E3358" s="313" t="s">
        <v>46</v>
      </c>
    </row>
    <row r="3359" spans="1:5" x14ac:dyDescent="0.25">
      <c r="A3359" s="313" t="s">
        <v>1211</v>
      </c>
      <c r="B3359" s="313" t="s">
        <v>19</v>
      </c>
      <c r="C3359" s="313" t="s">
        <v>20</v>
      </c>
      <c r="D3359" s="313" t="s">
        <v>19</v>
      </c>
      <c r="E3359" s="313" t="s">
        <v>46</v>
      </c>
    </row>
    <row r="3360" spans="1:5" x14ac:dyDescent="0.25">
      <c r="A3360" s="313" t="s">
        <v>1211</v>
      </c>
      <c r="B3360" s="313" t="s">
        <v>19</v>
      </c>
      <c r="C3360" s="313" t="s">
        <v>1487</v>
      </c>
      <c r="D3360" s="313" t="s">
        <v>19</v>
      </c>
      <c r="E3360" s="313" t="s">
        <v>46</v>
      </c>
    </row>
    <row r="3361" spans="1:5" x14ac:dyDescent="0.25">
      <c r="A3361" s="313" t="s">
        <v>1211</v>
      </c>
      <c r="B3361" s="313" t="s">
        <v>19</v>
      </c>
      <c r="C3361" s="313" t="s">
        <v>1495</v>
      </c>
      <c r="D3361" s="313" t="s">
        <v>35</v>
      </c>
      <c r="E3361" s="313" t="s">
        <v>24</v>
      </c>
    </row>
    <row r="3362" spans="1:5" x14ac:dyDescent="0.25">
      <c r="A3362" s="313" t="s">
        <v>1211</v>
      </c>
      <c r="B3362" s="313" t="s">
        <v>26</v>
      </c>
      <c r="C3362" s="313" t="s">
        <v>2929</v>
      </c>
      <c r="D3362" s="313" t="s">
        <v>24</v>
      </c>
      <c r="E3362" s="313" t="s">
        <v>46</v>
      </c>
    </row>
    <row r="3363" spans="1:5" x14ac:dyDescent="0.25">
      <c r="A3363" s="313" t="s">
        <v>1211</v>
      </c>
      <c r="B3363" s="313" t="s">
        <v>26</v>
      </c>
      <c r="C3363" s="313" t="s">
        <v>2930</v>
      </c>
      <c r="D3363" s="313" t="s">
        <v>24</v>
      </c>
      <c r="E3363" s="313" t="s">
        <v>35</v>
      </c>
    </row>
    <row r="3364" spans="1:5" x14ac:dyDescent="0.25">
      <c r="A3364" s="313" t="s">
        <v>1214</v>
      </c>
      <c r="B3364" s="313" t="s">
        <v>19</v>
      </c>
      <c r="C3364" s="313" t="s">
        <v>1466</v>
      </c>
      <c r="D3364" s="313" t="s">
        <v>26</v>
      </c>
      <c r="E3364" s="313" t="s">
        <v>24</v>
      </c>
    </row>
    <row r="3365" spans="1:5" x14ac:dyDescent="0.25">
      <c r="A3365" s="313" t="s">
        <v>1214</v>
      </c>
      <c r="B3365" s="313" t="s">
        <v>19</v>
      </c>
      <c r="C3365" s="313" t="s">
        <v>1471</v>
      </c>
      <c r="D3365" s="313" t="s">
        <v>26</v>
      </c>
      <c r="E3365" s="313" t="s">
        <v>24</v>
      </c>
    </row>
    <row r="3366" spans="1:5" x14ac:dyDescent="0.25">
      <c r="A3366" s="313" t="s">
        <v>1214</v>
      </c>
      <c r="B3366" s="313" t="s">
        <v>19</v>
      </c>
      <c r="C3366" s="313" t="s">
        <v>1475</v>
      </c>
      <c r="D3366" s="313" t="s">
        <v>19</v>
      </c>
      <c r="E3366" s="313" t="s">
        <v>46</v>
      </c>
    </row>
    <row r="3367" spans="1:5" x14ac:dyDescent="0.25">
      <c r="A3367" s="313" t="s">
        <v>1214</v>
      </c>
      <c r="B3367" s="313" t="s">
        <v>19</v>
      </c>
      <c r="C3367" s="313" t="s">
        <v>20</v>
      </c>
      <c r="D3367" s="313" t="s">
        <v>19</v>
      </c>
      <c r="E3367" s="313" t="s">
        <v>46</v>
      </c>
    </row>
    <row r="3368" spans="1:5" x14ac:dyDescent="0.25">
      <c r="A3368" s="313" t="s">
        <v>1214</v>
      </c>
      <c r="B3368" s="313" t="s">
        <v>19</v>
      </c>
      <c r="C3368" s="313" t="s">
        <v>1487</v>
      </c>
      <c r="D3368" s="313" t="s">
        <v>19</v>
      </c>
      <c r="E3368" s="313" t="s">
        <v>46</v>
      </c>
    </row>
    <row r="3369" spans="1:5" x14ac:dyDescent="0.25">
      <c r="A3369" s="313" t="s">
        <v>1214</v>
      </c>
      <c r="B3369" s="313" t="s">
        <v>19</v>
      </c>
      <c r="C3369" s="313" t="s">
        <v>1495</v>
      </c>
      <c r="D3369" s="313" t="s">
        <v>35</v>
      </c>
      <c r="E3369" s="313" t="s">
        <v>24</v>
      </c>
    </row>
    <row r="3370" spans="1:5" x14ac:dyDescent="0.25">
      <c r="A3370" s="313" t="s">
        <v>1214</v>
      </c>
      <c r="B3370" s="313" t="s">
        <v>26</v>
      </c>
      <c r="C3370" s="313" t="s">
        <v>1501</v>
      </c>
      <c r="D3370" s="313" t="s">
        <v>24</v>
      </c>
      <c r="E3370" s="313" t="s">
        <v>1748</v>
      </c>
    </row>
    <row r="3371" spans="1:5" x14ac:dyDescent="0.25">
      <c r="A3371" s="313" t="s">
        <v>1214</v>
      </c>
      <c r="B3371" s="313" t="s">
        <v>26</v>
      </c>
      <c r="C3371" s="313" t="s">
        <v>1502</v>
      </c>
      <c r="D3371" s="313" t="s">
        <v>24</v>
      </c>
      <c r="E3371" s="313" t="s">
        <v>1748</v>
      </c>
    </row>
    <row r="3372" spans="1:5" x14ac:dyDescent="0.25">
      <c r="A3372" s="313" t="s">
        <v>1214</v>
      </c>
      <c r="B3372" s="313" t="s">
        <v>26</v>
      </c>
      <c r="C3372" s="313" t="s">
        <v>1503</v>
      </c>
      <c r="D3372" s="313" t="s">
        <v>24</v>
      </c>
      <c r="E3372" s="313" t="s">
        <v>1749</v>
      </c>
    </row>
    <row r="3373" spans="1:5" x14ac:dyDescent="0.25">
      <c r="A3373" s="313" t="s">
        <v>1214</v>
      </c>
      <c r="B3373" s="313" t="s">
        <v>26</v>
      </c>
      <c r="C3373" s="313" t="s">
        <v>2929</v>
      </c>
      <c r="D3373" s="313" t="s">
        <v>24</v>
      </c>
      <c r="E3373" s="313" t="s">
        <v>46</v>
      </c>
    </row>
    <row r="3374" spans="1:5" x14ac:dyDescent="0.25">
      <c r="A3374" s="313" t="s">
        <v>1214</v>
      </c>
      <c r="B3374" s="313" t="s">
        <v>26</v>
      </c>
      <c r="C3374" s="313" t="s">
        <v>2930</v>
      </c>
      <c r="D3374" s="313" t="s">
        <v>24</v>
      </c>
      <c r="E3374" s="313" t="s">
        <v>35</v>
      </c>
    </row>
    <row r="3375" spans="1:5" x14ac:dyDescent="0.25">
      <c r="A3375" s="313" t="s">
        <v>1217</v>
      </c>
      <c r="B3375" s="313" t="s">
        <v>19</v>
      </c>
      <c r="C3375" s="313" t="s">
        <v>1466</v>
      </c>
      <c r="D3375" s="313" t="s">
        <v>19</v>
      </c>
      <c r="E3375" s="313" t="s">
        <v>1218</v>
      </c>
    </row>
    <row r="3376" spans="1:5" x14ac:dyDescent="0.25">
      <c r="A3376" s="313" t="s">
        <v>1217</v>
      </c>
      <c r="B3376" s="313" t="s">
        <v>19</v>
      </c>
      <c r="C3376" s="313" t="s">
        <v>1471</v>
      </c>
      <c r="D3376" s="313" t="s">
        <v>26</v>
      </c>
      <c r="E3376" s="313" t="s">
        <v>24</v>
      </c>
    </row>
    <row r="3377" spans="1:5" x14ac:dyDescent="0.25">
      <c r="A3377" s="313" t="s">
        <v>1217</v>
      </c>
      <c r="B3377" s="313" t="s">
        <v>19</v>
      </c>
      <c r="C3377" s="313" t="s">
        <v>1475</v>
      </c>
      <c r="D3377" s="313" t="s">
        <v>19</v>
      </c>
      <c r="E3377" s="313" t="s">
        <v>46</v>
      </c>
    </row>
    <row r="3378" spans="1:5" x14ac:dyDescent="0.25">
      <c r="A3378" s="313" t="s">
        <v>1217</v>
      </c>
      <c r="B3378" s="313" t="s">
        <v>19</v>
      </c>
      <c r="C3378" s="313" t="s">
        <v>20</v>
      </c>
      <c r="D3378" s="313" t="s">
        <v>26</v>
      </c>
      <c r="E3378" s="313" t="s">
        <v>24</v>
      </c>
    </row>
    <row r="3379" spans="1:5" x14ac:dyDescent="0.25">
      <c r="A3379" s="313" t="s">
        <v>1217</v>
      </c>
      <c r="B3379" s="313" t="s">
        <v>19</v>
      </c>
      <c r="C3379" s="313" t="s">
        <v>1487</v>
      </c>
      <c r="D3379" s="313" t="s">
        <v>19</v>
      </c>
      <c r="E3379" s="313" t="s">
        <v>46</v>
      </c>
    </row>
    <row r="3380" spans="1:5" x14ac:dyDescent="0.25">
      <c r="A3380" s="313" t="s">
        <v>1217</v>
      </c>
      <c r="B3380" s="313" t="s">
        <v>19</v>
      </c>
      <c r="C3380" s="313" t="s">
        <v>1495</v>
      </c>
      <c r="D3380" s="313" t="s">
        <v>35</v>
      </c>
      <c r="E3380" s="313" t="s">
        <v>24</v>
      </c>
    </row>
    <row r="3381" spans="1:5" x14ac:dyDescent="0.25">
      <c r="A3381" s="313" t="s">
        <v>1217</v>
      </c>
      <c r="B3381" s="313" t="s">
        <v>26</v>
      </c>
      <c r="C3381" s="313" t="s">
        <v>2929</v>
      </c>
      <c r="D3381" s="313" t="s">
        <v>24</v>
      </c>
      <c r="E3381" s="313" t="s">
        <v>46</v>
      </c>
    </row>
    <row r="3382" spans="1:5" x14ac:dyDescent="0.25">
      <c r="A3382" s="313" t="s">
        <v>1217</v>
      </c>
      <c r="B3382" s="313" t="s">
        <v>26</v>
      </c>
      <c r="C3382" s="313" t="s">
        <v>2930</v>
      </c>
      <c r="D3382" s="313" t="s">
        <v>24</v>
      </c>
      <c r="E3382" s="313" t="s">
        <v>35</v>
      </c>
    </row>
    <row r="3383" spans="1:5" x14ac:dyDescent="0.25">
      <c r="A3383" s="313" t="s">
        <v>1217</v>
      </c>
      <c r="B3383" s="313" t="s">
        <v>26</v>
      </c>
      <c r="C3383" s="313" t="s">
        <v>1509</v>
      </c>
      <c r="D3383" s="313" t="s">
        <v>24</v>
      </c>
      <c r="E3383" s="313" t="s">
        <v>46</v>
      </c>
    </row>
    <row r="3384" spans="1:5" x14ac:dyDescent="0.25">
      <c r="A3384" s="313" t="s">
        <v>1217</v>
      </c>
      <c r="B3384" s="313" t="s">
        <v>26</v>
      </c>
      <c r="C3384" s="313" t="s">
        <v>1510</v>
      </c>
      <c r="D3384" s="313" t="s">
        <v>24</v>
      </c>
      <c r="E3384" s="313" t="s">
        <v>1218</v>
      </c>
    </row>
    <row r="3385" spans="1:5" x14ac:dyDescent="0.25">
      <c r="A3385" s="313" t="s">
        <v>1217</v>
      </c>
      <c r="B3385" s="313" t="s">
        <v>26</v>
      </c>
      <c r="C3385" s="313" t="s">
        <v>1511</v>
      </c>
      <c r="D3385" s="313" t="s">
        <v>24</v>
      </c>
      <c r="E3385" s="313" t="s">
        <v>46</v>
      </c>
    </row>
    <row r="3386" spans="1:5" x14ac:dyDescent="0.25">
      <c r="A3386" s="313" t="s">
        <v>1217</v>
      </c>
      <c r="B3386" s="313" t="s">
        <v>26</v>
      </c>
      <c r="C3386" s="313" t="s">
        <v>27</v>
      </c>
      <c r="D3386" s="313" t="s">
        <v>24</v>
      </c>
      <c r="E3386" s="313" t="s">
        <v>1218</v>
      </c>
    </row>
    <row r="3387" spans="1:5" x14ac:dyDescent="0.25">
      <c r="A3387" s="313" t="s">
        <v>1217</v>
      </c>
      <c r="B3387" s="313" t="s">
        <v>26</v>
      </c>
      <c r="C3387" s="313" t="s">
        <v>1512</v>
      </c>
      <c r="D3387" s="313" t="s">
        <v>24</v>
      </c>
      <c r="E3387" s="313" t="s">
        <v>1218</v>
      </c>
    </row>
    <row r="3388" spans="1:5" x14ac:dyDescent="0.25">
      <c r="A3388" s="313" t="s">
        <v>1217</v>
      </c>
      <c r="B3388" s="313" t="s">
        <v>26</v>
      </c>
      <c r="C3388" s="313" t="s">
        <v>1513</v>
      </c>
      <c r="D3388" s="313" t="s">
        <v>24</v>
      </c>
      <c r="E3388" s="313" t="s">
        <v>1218</v>
      </c>
    </row>
    <row r="3389" spans="1:5" x14ac:dyDescent="0.25">
      <c r="A3389" s="313" t="s">
        <v>1221</v>
      </c>
      <c r="B3389" s="313" t="s">
        <v>51</v>
      </c>
      <c r="C3389" s="313" t="s">
        <v>24</v>
      </c>
      <c r="D3389" s="313" t="s">
        <v>24</v>
      </c>
      <c r="E3389" s="313" t="s">
        <v>1222</v>
      </c>
    </row>
    <row r="3390" spans="1:5" x14ac:dyDescent="0.25">
      <c r="A3390" s="313" t="s">
        <v>1221</v>
      </c>
      <c r="B3390" s="313" t="s">
        <v>19</v>
      </c>
      <c r="C3390" s="313" t="s">
        <v>1466</v>
      </c>
      <c r="D3390" s="313" t="s">
        <v>51</v>
      </c>
      <c r="E3390" s="313" t="s">
        <v>24</v>
      </c>
    </row>
    <row r="3391" spans="1:5" x14ac:dyDescent="0.25">
      <c r="A3391" s="313" t="s">
        <v>1221</v>
      </c>
      <c r="B3391" s="313" t="s">
        <v>19</v>
      </c>
      <c r="C3391" s="313" t="s">
        <v>1471</v>
      </c>
      <c r="D3391" s="313" t="s">
        <v>51</v>
      </c>
      <c r="E3391" s="313" t="s">
        <v>24</v>
      </c>
    </row>
    <row r="3392" spans="1:5" x14ac:dyDescent="0.25">
      <c r="A3392" s="313" t="s">
        <v>1221</v>
      </c>
      <c r="B3392" s="313" t="s">
        <v>19</v>
      </c>
      <c r="C3392" s="313" t="s">
        <v>1475</v>
      </c>
      <c r="D3392" s="313" t="s">
        <v>51</v>
      </c>
      <c r="E3392" s="313" t="s">
        <v>24</v>
      </c>
    </row>
    <row r="3393" spans="1:5" x14ac:dyDescent="0.25">
      <c r="A3393" s="313" t="s">
        <v>1221</v>
      </c>
      <c r="B3393" s="313" t="s">
        <v>19</v>
      </c>
      <c r="C3393" s="313" t="s">
        <v>20</v>
      </c>
      <c r="D3393" s="313" t="s">
        <v>51</v>
      </c>
      <c r="E3393" s="313" t="s">
        <v>24</v>
      </c>
    </row>
    <row r="3394" spans="1:5" x14ac:dyDescent="0.25">
      <c r="A3394" s="313" t="s">
        <v>1221</v>
      </c>
      <c r="B3394" s="313" t="s">
        <v>19</v>
      </c>
      <c r="C3394" s="313" t="s">
        <v>1487</v>
      </c>
      <c r="D3394" s="313" t="s">
        <v>51</v>
      </c>
      <c r="E3394" s="313" t="s">
        <v>24</v>
      </c>
    </row>
    <row r="3395" spans="1:5" x14ac:dyDescent="0.25">
      <c r="A3395" s="313" t="s">
        <v>1221</v>
      </c>
      <c r="B3395" s="313" t="s">
        <v>19</v>
      </c>
      <c r="C3395" s="313" t="s">
        <v>1495</v>
      </c>
      <c r="D3395" s="313" t="s">
        <v>51</v>
      </c>
      <c r="E3395" s="313" t="s">
        <v>24</v>
      </c>
    </row>
    <row r="3396" spans="1:5" x14ac:dyDescent="0.25">
      <c r="A3396" s="313" t="s">
        <v>1225</v>
      </c>
      <c r="B3396" s="313" t="s">
        <v>19</v>
      </c>
      <c r="C3396" s="313" t="s">
        <v>1466</v>
      </c>
      <c r="D3396" s="313" t="s">
        <v>19</v>
      </c>
      <c r="E3396" s="313" t="s">
        <v>1226</v>
      </c>
    </row>
    <row r="3397" spans="1:5" x14ac:dyDescent="0.25">
      <c r="A3397" s="313" t="s">
        <v>1225</v>
      </c>
      <c r="B3397" s="313" t="s">
        <v>19</v>
      </c>
      <c r="C3397" s="313" t="s">
        <v>1471</v>
      </c>
      <c r="D3397" s="313" t="s">
        <v>26</v>
      </c>
      <c r="E3397" s="313" t="s">
        <v>24</v>
      </c>
    </row>
    <row r="3398" spans="1:5" x14ac:dyDescent="0.25">
      <c r="A3398" s="313" t="s">
        <v>1225</v>
      </c>
      <c r="B3398" s="313" t="s">
        <v>19</v>
      </c>
      <c r="C3398" s="313" t="s">
        <v>1475</v>
      </c>
      <c r="D3398" s="313" t="s">
        <v>19</v>
      </c>
      <c r="E3398" s="313" t="s">
        <v>46</v>
      </c>
    </row>
    <row r="3399" spans="1:5" x14ac:dyDescent="0.25">
      <c r="A3399" s="313" t="s">
        <v>1225</v>
      </c>
      <c r="B3399" s="313" t="s">
        <v>19</v>
      </c>
      <c r="C3399" s="313" t="s">
        <v>20</v>
      </c>
      <c r="D3399" s="313" t="s">
        <v>26</v>
      </c>
      <c r="E3399" s="313" t="s">
        <v>24</v>
      </c>
    </row>
    <row r="3400" spans="1:5" x14ac:dyDescent="0.25">
      <c r="A3400" s="313" t="s">
        <v>1225</v>
      </c>
      <c r="B3400" s="313" t="s">
        <v>19</v>
      </c>
      <c r="C3400" s="313" t="s">
        <v>1487</v>
      </c>
      <c r="D3400" s="313" t="s">
        <v>26</v>
      </c>
      <c r="E3400" s="313" t="s">
        <v>24</v>
      </c>
    </row>
    <row r="3401" spans="1:5" x14ac:dyDescent="0.25">
      <c r="A3401" s="313" t="s">
        <v>1225</v>
      </c>
      <c r="B3401" s="313" t="s">
        <v>19</v>
      </c>
      <c r="C3401" s="313" t="s">
        <v>1495</v>
      </c>
      <c r="D3401" s="313" t="s">
        <v>35</v>
      </c>
      <c r="E3401" s="313" t="s">
        <v>24</v>
      </c>
    </row>
    <row r="3402" spans="1:5" x14ac:dyDescent="0.25">
      <c r="A3402" s="313" t="s">
        <v>1225</v>
      </c>
      <c r="B3402" s="313" t="s">
        <v>26</v>
      </c>
      <c r="C3402" s="313" t="s">
        <v>2929</v>
      </c>
      <c r="D3402" s="313" t="s">
        <v>24</v>
      </c>
      <c r="E3402" s="313" t="s">
        <v>1226</v>
      </c>
    </row>
    <row r="3403" spans="1:5" x14ac:dyDescent="0.25">
      <c r="A3403" s="313" t="s">
        <v>1225</v>
      </c>
      <c r="B3403" s="313" t="s">
        <v>26</v>
      </c>
      <c r="C3403" s="313" t="s">
        <v>2930</v>
      </c>
      <c r="D3403" s="313" t="s">
        <v>24</v>
      </c>
      <c r="E3403" s="313" t="s">
        <v>35</v>
      </c>
    </row>
    <row r="3404" spans="1:5" x14ac:dyDescent="0.25">
      <c r="A3404" s="313" t="s">
        <v>1225</v>
      </c>
      <c r="B3404" s="313" t="s">
        <v>26</v>
      </c>
      <c r="C3404" s="313" t="s">
        <v>1509</v>
      </c>
      <c r="D3404" s="313" t="s">
        <v>24</v>
      </c>
      <c r="E3404" s="313" t="s">
        <v>1226</v>
      </c>
    </row>
    <row r="3405" spans="1:5" x14ac:dyDescent="0.25">
      <c r="A3405" s="313" t="s">
        <v>1225</v>
      </c>
      <c r="B3405" s="313" t="s">
        <v>26</v>
      </c>
      <c r="C3405" s="313" t="s">
        <v>1510</v>
      </c>
      <c r="D3405" s="313" t="s">
        <v>24</v>
      </c>
      <c r="E3405" s="313" t="s">
        <v>46</v>
      </c>
    </row>
    <row r="3406" spans="1:5" x14ac:dyDescent="0.25">
      <c r="A3406" s="313" t="s">
        <v>1225</v>
      </c>
      <c r="B3406" s="313" t="s">
        <v>26</v>
      </c>
      <c r="C3406" s="313" t="s">
        <v>1511</v>
      </c>
      <c r="D3406" s="313" t="s">
        <v>24</v>
      </c>
      <c r="E3406" s="313" t="s">
        <v>1226</v>
      </c>
    </row>
    <row r="3407" spans="1:5" x14ac:dyDescent="0.25">
      <c r="A3407" s="313" t="s">
        <v>1225</v>
      </c>
      <c r="B3407" s="313" t="s">
        <v>26</v>
      </c>
      <c r="C3407" s="313" t="s">
        <v>27</v>
      </c>
      <c r="D3407" s="313" t="s">
        <v>24</v>
      </c>
      <c r="E3407" s="313" t="s">
        <v>1226</v>
      </c>
    </row>
    <row r="3408" spans="1:5" x14ac:dyDescent="0.25">
      <c r="A3408" s="313" t="s">
        <v>1225</v>
      </c>
      <c r="B3408" s="313" t="s">
        <v>26</v>
      </c>
      <c r="C3408" s="313" t="s">
        <v>1512</v>
      </c>
      <c r="D3408" s="313" t="s">
        <v>24</v>
      </c>
      <c r="E3408" s="313" t="s">
        <v>1226</v>
      </c>
    </row>
    <row r="3409" spans="1:5" x14ac:dyDescent="0.25">
      <c r="A3409" s="313" t="s">
        <v>1225</v>
      </c>
      <c r="B3409" s="313" t="s">
        <v>26</v>
      </c>
      <c r="C3409" s="313" t="s">
        <v>1513</v>
      </c>
      <c r="D3409" s="313" t="s">
        <v>24</v>
      </c>
      <c r="E3409" s="313" t="s">
        <v>1750</v>
      </c>
    </row>
    <row r="3410" spans="1:5" x14ac:dyDescent="0.25">
      <c r="A3410" s="313" t="s">
        <v>1225</v>
      </c>
      <c r="B3410" s="313" t="s">
        <v>26</v>
      </c>
      <c r="C3410" s="313" t="s">
        <v>1514</v>
      </c>
      <c r="D3410" s="313" t="s">
        <v>24</v>
      </c>
      <c r="E3410" s="313" t="s">
        <v>1751</v>
      </c>
    </row>
    <row r="3411" spans="1:5" x14ac:dyDescent="0.25">
      <c r="A3411" s="313" t="s">
        <v>1225</v>
      </c>
      <c r="B3411" s="313" t="s">
        <v>26</v>
      </c>
      <c r="C3411" s="313" t="s">
        <v>1515</v>
      </c>
      <c r="D3411" s="313" t="s">
        <v>24</v>
      </c>
      <c r="E3411" s="313" t="s">
        <v>1751</v>
      </c>
    </row>
    <row r="3412" spans="1:5" x14ac:dyDescent="0.25">
      <c r="A3412" s="313" t="s">
        <v>1225</v>
      </c>
      <c r="B3412" s="313" t="s">
        <v>26</v>
      </c>
      <c r="C3412" s="313" t="s">
        <v>1516</v>
      </c>
      <c r="D3412" s="313" t="s">
        <v>24</v>
      </c>
      <c r="E3412" s="313" t="s">
        <v>1751</v>
      </c>
    </row>
    <row r="3413" spans="1:5" x14ac:dyDescent="0.25">
      <c r="A3413" s="313" t="s">
        <v>1225</v>
      </c>
      <c r="B3413" s="313" t="s">
        <v>26</v>
      </c>
      <c r="C3413" s="313" t="s">
        <v>1517</v>
      </c>
      <c r="D3413" s="313" t="s">
        <v>24</v>
      </c>
      <c r="E3413" s="313" t="s">
        <v>1751</v>
      </c>
    </row>
    <row r="3414" spans="1:5" x14ac:dyDescent="0.25">
      <c r="A3414" s="313" t="s">
        <v>1225</v>
      </c>
      <c r="B3414" s="313" t="s">
        <v>26</v>
      </c>
      <c r="C3414" s="313" t="s">
        <v>1518</v>
      </c>
      <c r="D3414" s="313" t="s">
        <v>24</v>
      </c>
      <c r="E3414" s="313" t="s">
        <v>1751</v>
      </c>
    </row>
    <row r="3415" spans="1:5" x14ac:dyDescent="0.25">
      <c r="A3415" s="313" t="s">
        <v>1225</v>
      </c>
      <c r="B3415" s="313" t="s">
        <v>26</v>
      </c>
      <c r="C3415" s="313" t="s">
        <v>1519</v>
      </c>
      <c r="D3415" s="313" t="s">
        <v>24</v>
      </c>
      <c r="E3415" s="313" t="s">
        <v>1751</v>
      </c>
    </row>
    <row r="3416" spans="1:5" x14ac:dyDescent="0.25">
      <c r="A3416" s="313" t="s">
        <v>1235</v>
      </c>
      <c r="B3416" s="313" t="s">
        <v>51</v>
      </c>
      <c r="C3416" s="313" t="s">
        <v>24</v>
      </c>
      <c r="D3416" s="313" t="s">
        <v>24</v>
      </c>
      <c r="E3416" s="313" t="s">
        <v>1236</v>
      </c>
    </row>
    <row r="3417" spans="1:5" x14ac:dyDescent="0.25">
      <c r="A3417" s="313" t="s">
        <v>1235</v>
      </c>
      <c r="B3417" s="313" t="s">
        <v>19</v>
      </c>
      <c r="C3417" s="313" t="s">
        <v>1466</v>
      </c>
      <c r="D3417" s="313" t="s">
        <v>51</v>
      </c>
      <c r="E3417" s="313" t="s">
        <v>24</v>
      </c>
    </row>
    <row r="3418" spans="1:5" x14ac:dyDescent="0.25">
      <c r="A3418" s="313" t="s">
        <v>1235</v>
      </c>
      <c r="B3418" s="313" t="s">
        <v>19</v>
      </c>
      <c r="C3418" s="313" t="s">
        <v>1471</v>
      </c>
      <c r="D3418" s="313" t="s">
        <v>51</v>
      </c>
      <c r="E3418" s="313" t="s">
        <v>24</v>
      </c>
    </row>
    <row r="3419" spans="1:5" x14ac:dyDescent="0.25">
      <c r="A3419" s="313" t="s">
        <v>1235</v>
      </c>
      <c r="B3419" s="313" t="s">
        <v>19</v>
      </c>
      <c r="C3419" s="313" t="s">
        <v>1475</v>
      </c>
      <c r="D3419" s="313" t="s">
        <v>51</v>
      </c>
      <c r="E3419" s="313" t="s">
        <v>24</v>
      </c>
    </row>
    <row r="3420" spans="1:5" x14ac:dyDescent="0.25">
      <c r="A3420" s="313" t="s">
        <v>1235</v>
      </c>
      <c r="B3420" s="313" t="s">
        <v>19</v>
      </c>
      <c r="C3420" s="313" t="s">
        <v>20</v>
      </c>
      <c r="D3420" s="313" t="s">
        <v>51</v>
      </c>
      <c r="E3420" s="313" t="s">
        <v>24</v>
      </c>
    </row>
    <row r="3421" spans="1:5" x14ac:dyDescent="0.25">
      <c r="A3421" s="313" t="s">
        <v>1235</v>
      </c>
      <c r="B3421" s="313" t="s">
        <v>19</v>
      </c>
      <c r="C3421" s="313" t="s">
        <v>1487</v>
      </c>
      <c r="D3421" s="313" t="s">
        <v>51</v>
      </c>
      <c r="E3421" s="313" t="s">
        <v>24</v>
      </c>
    </row>
    <row r="3422" spans="1:5" x14ac:dyDescent="0.25">
      <c r="A3422" s="313" t="s">
        <v>1235</v>
      </c>
      <c r="B3422" s="313" t="s">
        <v>19</v>
      </c>
      <c r="C3422" s="313" t="s">
        <v>1495</v>
      </c>
      <c r="D3422" s="313" t="s">
        <v>51</v>
      </c>
      <c r="E3422" s="313" t="s">
        <v>24</v>
      </c>
    </row>
    <row r="3423" spans="1:5" x14ac:dyDescent="0.25">
      <c r="A3423" s="313" t="s">
        <v>1239</v>
      </c>
      <c r="B3423" s="313" t="s">
        <v>19</v>
      </c>
      <c r="C3423" s="313" t="s">
        <v>1466</v>
      </c>
      <c r="D3423" s="313" t="s">
        <v>35</v>
      </c>
      <c r="E3423" s="313" t="s">
        <v>24</v>
      </c>
    </row>
    <row r="3424" spans="1:5" x14ac:dyDescent="0.25">
      <c r="A3424" s="313" t="s">
        <v>1239</v>
      </c>
      <c r="B3424" s="313" t="s">
        <v>19</v>
      </c>
      <c r="C3424" s="313" t="s">
        <v>1471</v>
      </c>
      <c r="D3424" s="313" t="s">
        <v>35</v>
      </c>
      <c r="E3424" s="313" t="s">
        <v>24</v>
      </c>
    </row>
    <row r="3425" spans="1:5" x14ac:dyDescent="0.25">
      <c r="A3425" s="313" t="s">
        <v>1239</v>
      </c>
      <c r="B3425" s="313" t="s">
        <v>19</v>
      </c>
      <c r="C3425" s="313" t="s">
        <v>1475</v>
      </c>
      <c r="D3425" s="313" t="s">
        <v>35</v>
      </c>
      <c r="E3425" s="313" t="s">
        <v>24</v>
      </c>
    </row>
    <row r="3426" spans="1:5" x14ac:dyDescent="0.25">
      <c r="A3426" s="313" t="s">
        <v>1239</v>
      </c>
      <c r="B3426" s="313" t="s">
        <v>19</v>
      </c>
      <c r="C3426" s="313" t="s">
        <v>20</v>
      </c>
      <c r="D3426" s="313" t="s">
        <v>35</v>
      </c>
      <c r="E3426" s="313" t="s">
        <v>24</v>
      </c>
    </row>
    <row r="3427" spans="1:5" x14ac:dyDescent="0.25">
      <c r="A3427" s="313" t="s">
        <v>1239</v>
      </c>
      <c r="B3427" s="313" t="s">
        <v>19</v>
      </c>
      <c r="C3427" s="313" t="s">
        <v>1487</v>
      </c>
      <c r="D3427" s="313" t="s">
        <v>35</v>
      </c>
      <c r="E3427" s="313" t="s">
        <v>24</v>
      </c>
    </row>
    <row r="3428" spans="1:5" x14ac:dyDescent="0.25">
      <c r="A3428" s="313" t="s">
        <v>1239</v>
      </c>
      <c r="B3428" s="313" t="s">
        <v>19</v>
      </c>
      <c r="C3428" s="313" t="s">
        <v>1495</v>
      </c>
      <c r="D3428" s="313" t="s">
        <v>35</v>
      </c>
      <c r="E3428" s="313" t="s">
        <v>24</v>
      </c>
    </row>
    <row r="3429" spans="1:5" x14ac:dyDescent="0.25">
      <c r="A3429" s="313" t="s">
        <v>1243</v>
      </c>
      <c r="B3429" s="313" t="s">
        <v>51</v>
      </c>
      <c r="C3429" s="313" t="s">
        <v>24</v>
      </c>
      <c r="D3429" s="313" t="s">
        <v>24</v>
      </c>
      <c r="E3429" s="313" t="s">
        <v>1244</v>
      </c>
    </row>
    <row r="3430" spans="1:5" x14ac:dyDescent="0.25">
      <c r="A3430" s="313" t="s">
        <v>1243</v>
      </c>
      <c r="B3430" s="313" t="s">
        <v>19</v>
      </c>
      <c r="C3430" s="313" t="s">
        <v>1466</v>
      </c>
      <c r="D3430" s="313" t="s">
        <v>51</v>
      </c>
      <c r="E3430" s="313" t="s">
        <v>24</v>
      </c>
    </row>
    <row r="3431" spans="1:5" x14ac:dyDescent="0.25">
      <c r="A3431" s="313" t="s">
        <v>1243</v>
      </c>
      <c r="B3431" s="313" t="s">
        <v>19</v>
      </c>
      <c r="C3431" s="313" t="s">
        <v>1471</v>
      </c>
      <c r="D3431" s="313" t="s">
        <v>51</v>
      </c>
      <c r="E3431" s="313" t="s">
        <v>24</v>
      </c>
    </row>
    <row r="3432" spans="1:5" x14ac:dyDescent="0.25">
      <c r="A3432" s="313" t="s">
        <v>1243</v>
      </c>
      <c r="B3432" s="313" t="s">
        <v>19</v>
      </c>
      <c r="C3432" s="313" t="s">
        <v>1475</v>
      </c>
      <c r="D3432" s="313" t="s">
        <v>51</v>
      </c>
      <c r="E3432" s="313" t="s">
        <v>24</v>
      </c>
    </row>
    <row r="3433" spans="1:5" x14ac:dyDescent="0.25">
      <c r="A3433" s="313" t="s">
        <v>1243</v>
      </c>
      <c r="B3433" s="313" t="s">
        <v>19</v>
      </c>
      <c r="C3433" s="313" t="s">
        <v>20</v>
      </c>
      <c r="D3433" s="313" t="s">
        <v>51</v>
      </c>
      <c r="E3433" s="313" t="s">
        <v>24</v>
      </c>
    </row>
    <row r="3434" spans="1:5" x14ac:dyDescent="0.25">
      <c r="A3434" s="313" t="s">
        <v>1243</v>
      </c>
      <c r="B3434" s="313" t="s">
        <v>19</v>
      </c>
      <c r="C3434" s="313" t="s">
        <v>1487</v>
      </c>
      <c r="D3434" s="313" t="s">
        <v>51</v>
      </c>
      <c r="E3434" s="313" t="s">
        <v>24</v>
      </c>
    </row>
    <row r="3435" spans="1:5" x14ac:dyDescent="0.25">
      <c r="A3435" s="313" t="s">
        <v>1243</v>
      </c>
      <c r="B3435" s="313" t="s">
        <v>19</v>
      </c>
      <c r="C3435" s="313" t="s">
        <v>1495</v>
      </c>
      <c r="D3435" s="313" t="s">
        <v>51</v>
      </c>
      <c r="E3435" s="313" t="s">
        <v>24</v>
      </c>
    </row>
    <row r="3436" spans="1:5" x14ac:dyDescent="0.25">
      <c r="A3436" s="313" t="s">
        <v>1247</v>
      </c>
      <c r="B3436" s="313" t="s">
        <v>19</v>
      </c>
      <c r="C3436" s="313" t="s">
        <v>1466</v>
      </c>
      <c r="D3436" s="313" t="s">
        <v>19</v>
      </c>
      <c r="E3436" s="313" t="s">
        <v>1248</v>
      </c>
    </row>
    <row r="3437" spans="1:5" x14ac:dyDescent="0.25">
      <c r="A3437" s="313" t="s">
        <v>1247</v>
      </c>
      <c r="B3437" s="313" t="s">
        <v>19</v>
      </c>
      <c r="C3437" s="313" t="s">
        <v>1471</v>
      </c>
      <c r="D3437" s="313" t="s">
        <v>26</v>
      </c>
      <c r="E3437" s="313" t="s">
        <v>24</v>
      </c>
    </row>
    <row r="3438" spans="1:5" x14ac:dyDescent="0.25">
      <c r="A3438" s="313" t="s">
        <v>1247</v>
      </c>
      <c r="B3438" s="313" t="s">
        <v>19</v>
      </c>
      <c r="C3438" s="313" t="s">
        <v>1475</v>
      </c>
      <c r="D3438" s="313" t="s">
        <v>26</v>
      </c>
      <c r="E3438" s="313" t="s">
        <v>24</v>
      </c>
    </row>
    <row r="3439" spans="1:5" x14ac:dyDescent="0.25">
      <c r="A3439" s="313" t="s">
        <v>1247</v>
      </c>
      <c r="B3439" s="313" t="s">
        <v>19</v>
      </c>
      <c r="C3439" s="313" t="s">
        <v>20</v>
      </c>
      <c r="D3439" s="313" t="s">
        <v>19</v>
      </c>
      <c r="E3439" s="313" t="s">
        <v>1248</v>
      </c>
    </row>
    <row r="3440" spans="1:5" x14ac:dyDescent="0.25">
      <c r="A3440" s="313" t="s">
        <v>1247</v>
      </c>
      <c r="B3440" s="313" t="s">
        <v>19</v>
      </c>
      <c r="C3440" s="313" t="s">
        <v>1487</v>
      </c>
      <c r="D3440" s="313" t="s">
        <v>26</v>
      </c>
      <c r="E3440" s="313" t="s">
        <v>24</v>
      </c>
    </row>
    <row r="3441" spans="1:5" x14ac:dyDescent="0.25">
      <c r="A3441" s="313" t="s">
        <v>1247</v>
      </c>
      <c r="B3441" s="313" t="s">
        <v>19</v>
      </c>
      <c r="C3441" s="313" t="s">
        <v>1495</v>
      </c>
      <c r="D3441" s="313" t="s">
        <v>35</v>
      </c>
      <c r="E3441" s="313" t="s">
        <v>24</v>
      </c>
    </row>
    <row r="3442" spans="1:5" x14ac:dyDescent="0.25">
      <c r="A3442" s="313" t="s">
        <v>1247</v>
      </c>
      <c r="B3442" s="313" t="s">
        <v>26</v>
      </c>
      <c r="C3442" s="313" t="s">
        <v>2929</v>
      </c>
      <c r="D3442" s="313" t="s">
        <v>24</v>
      </c>
      <c r="E3442" s="313" t="s">
        <v>1753</v>
      </c>
    </row>
    <row r="3443" spans="1:5" x14ac:dyDescent="0.25">
      <c r="A3443" s="313" t="s">
        <v>1247</v>
      </c>
      <c r="B3443" s="313" t="s">
        <v>26</v>
      </c>
      <c r="C3443" s="313" t="s">
        <v>2930</v>
      </c>
      <c r="D3443" s="313" t="s">
        <v>24</v>
      </c>
      <c r="E3443" s="313" t="s">
        <v>35</v>
      </c>
    </row>
    <row r="3444" spans="1:5" x14ac:dyDescent="0.25">
      <c r="A3444" s="313" t="s">
        <v>1247</v>
      </c>
      <c r="B3444" s="313" t="s">
        <v>26</v>
      </c>
      <c r="C3444" s="313" t="s">
        <v>1506</v>
      </c>
      <c r="D3444" s="313" t="s">
        <v>24</v>
      </c>
      <c r="E3444" s="313" t="s">
        <v>1248</v>
      </c>
    </row>
    <row r="3445" spans="1:5" x14ac:dyDescent="0.25">
      <c r="A3445" s="313" t="s">
        <v>1247</v>
      </c>
      <c r="B3445" s="313" t="s">
        <v>26</v>
      </c>
      <c r="C3445" s="313" t="s">
        <v>1507</v>
      </c>
      <c r="D3445" s="313" t="s">
        <v>24</v>
      </c>
      <c r="E3445" s="313" t="s">
        <v>1248</v>
      </c>
    </row>
    <row r="3446" spans="1:5" x14ac:dyDescent="0.25">
      <c r="A3446" s="313" t="s">
        <v>1247</v>
      </c>
      <c r="B3446" s="313" t="s">
        <v>26</v>
      </c>
      <c r="C3446" s="313" t="s">
        <v>1508</v>
      </c>
      <c r="D3446" s="313" t="s">
        <v>24</v>
      </c>
      <c r="E3446" s="313" t="s">
        <v>1753</v>
      </c>
    </row>
    <row r="3447" spans="1:5" x14ac:dyDescent="0.25">
      <c r="A3447" s="313" t="s">
        <v>1247</v>
      </c>
      <c r="B3447" s="313" t="s">
        <v>26</v>
      </c>
      <c r="C3447" s="313" t="s">
        <v>1514</v>
      </c>
      <c r="D3447" s="313" t="s">
        <v>24</v>
      </c>
      <c r="E3447" s="313" t="s">
        <v>1753</v>
      </c>
    </row>
    <row r="3448" spans="1:5" x14ac:dyDescent="0.25">
      <c r="A3448" s="313" t="s">
        <v>1247</v>
      </c>
      <c r="B3448" s="313" t="s">
        <v>26</v>
      </c>
      <c r="C3448" s="313" t="s">
        <v>1515</v>
      </c>
      <c r="D3448" s="313" t="s">
        <v>24</v>
      </c>
      <c r="E3448" s="313" t="s">
        <v>1753</v>
      </c>
    </row>
    <row r="3449" spans="1:5" x14ac:dyDescent="0.25">
      <c r="A3449" s="313" t="s">
        <v>1247</v>
      </c>
      <c r="B3449" s="313" t="s">
        <v>26</v>
      </c>
      <c r="C3449" s="313" t="s">
        <v>1516</v>
      </c>
      <c r="D3449" s="313" t="s">
        <v>24</v>
      </c>
      <c r="E3449" s="313" t="s">
        <v>1753</v>
      </c>
    </row>
    <row r="3450" spans="1:5" x14ac:dyDescent="0.25">
      <c r="A3450" s="313" t="s">
        <v>1247</v>
      </c>
      <c r="B3450" s="313" t="s">
        <v>26</v>
      </c>
      <c r="C3450" s="313" t="s">
        <v>1517</v>
      </c>
      <c r="D3450" s="313" t="s">
        <v>24</v>
      </c>
      <c r="E3450" s="313" t="s">
        <v>1753</v>
      </c>
    </row>
    <row r="3451" spans="1:5" x14ac:dyDescent="0.25">
      <c r="A3451" s="313" t="s">
        <v>1247</v>
      </c>
      <c r="B3451" s="313" t="s">
        <v>26</v>
      </c>
      <c r="C3451" s="313" t="s">
        <v>1518</v>
      </c>
      <c r="D3451" s="313" t="s">
        <v>24</v>
      </c>
      <c r="E3451" s="313" t="s">
        <v>1753</v>
      </c>
    </row>
    <row r="3452" spans="1:5" x14ac:dyDescent="0.25">
      <c r="A3452" s="313" t="s">
        <v>1247</v>
      </c>
      <c r="B3452" s="313" t="s">
        <v>26</v>
      </c>
      <c r="C3452" s="313" t="s">
        <v>1519</v>
      </c>
      <c r="D3452" s="313" t="s">
        <v>24</v>
      </c>
      <c r="E3452" s="313" t="s">
        <v>1753</v>
      </c>
    </row>
    <row r="3453" spans="1:5" x14ac:dyDescent="0.25">
      <c r="A3453" s="313" t="s">
        <v>1253</v>
      </c>
      <c r="B3453" s="313" t="s">
        <v>19</v>
      </c>
      <c r="C3453" s="313" t="s">
        <v>1466</v>
      </c>
      <c r="D3453" s="313" t="s">
        <v>19</v>
      </c>
      <c r="E3453" s="313" t="s">
        <v>1254</v>
      </c>
    </row>
    <row r="3454" spans="1:5" x14ac:dyDescent="0.25">
      <c r="A3454" s="313" t="s">
        <v>1253</v>
      </c>
      <c r="B3454" s="313" t="s">
        <v>19</v>
      </c>
      <c r="C3454" s="313" t="s">
        <v>1471</v>
      </c>
      <c r="D3454" s="313" t="s">
        <v>26</v>
      </c>
      <c r="E3454" s="313" t="s">
        <v>24</v>
      </c>
    </row>
    <row r="3455" spans="1:5" x14ac:dyDescent="0.25">
      <c r="A3455" s="313" t="s">
        <v>1253</v>
      </c>
      <c r="B3455" s="313" t="s">
        <v>19</v>
      </c>
      <c r="C3455" s="313" t="s">
        <v>1475</v>
      </c>
      <c r="D3455" s="313" t="s">
        <v>19</v>
      </c>
      <c r="E3455" s="313" t="s">
        <v>1254</v>
      </c>
    </row>
    <row r="3456" spans="1:5" x14ac:dyDescent="0.25">
      <c r="A3456" s="313" t="s">
        <v>1253</v>
      </c>
      <c r="B3456" s="313" t="s">
        <v>19</v>
      </c>
      <c r="C3456" s="313" t="s">
        <v>20</v>
      </c>
      <c r="D3456" s="313" t="s">
        <v>19</v>
      </c>
      <c r="E3456" s="313" t="s">
        <v>1254</v>
      </c>
    </row>
    <row r="3457" spans="1:5" x14ac:dyDescent="0.25">
      <c r="A3457" s="313" t="s">
        <v>1253</v>
      </c>
      <c r="B3457" s="313" t="s">
        <v>19</v>
      </c>
      <c r="C3457" s="313" t="s">
        <v>1487</v>
      </c>
      <c r="D3457" s="313" t="s">
        <v>26</v>
      </c>
      <c r="E3457" s="313" t="s">
        <v>24</v>
      </c>
    </row>
    <row r="3458" spans="1:5" x14ac:dyDescent="0.25">
      <c r="A3458" s="313" t="s">
        <v>1253</v>
      </c>
      <c r="B3458" s="313" t="s">
        <v>19</v>
      </c>
      <c r="C3458" s="313" t="s">
        <v>1495</v>
      </c>
      <c r="D3458" s="313" t="s">
        <v>35</v>
      </c>
      <c r="E3458" s="313" t="s">
        <v>24</v>
      </c>
    </row>
    <row r="3459" spans="1:5" x14ac:dyDescent="0.25">
      <c r="A3459" s="313" t="s">
        <v>1253</v>
      </c>
      <c r="B3459" s="313" t="s">
        <v>26</v>
      </c>
      <c r="C3459" s="313" t="s">
        <v>2929</v>
      </c>
      <c r="D3459" s="313" t="s">
        <v>24</v>
      </c>
      <c r="E3459" s="313" t="s">
        <v>1254</v>
      </c>
    </row>
    <row r="3460" spans="1:5" x14ac:dyDescent="0.25">
      <c r="A3460" s="313" t="s">
        <v>1253</v>
      </c>
      <c r="B3460" s="313" t="s">
        <v>26</v>
      </c>
      <c r="C3460" s="313" t="s">
        <v>2930</v>
      </c>
      <c r="D3460" s="313" t="s">
        <v>24</v>
      </c>
      <c r="E3460" s="313" t="s">
        <v>35</v>
      </c>
    </row>
    <row r="3461" spans="1:5" x14ac:dyDescent="0.25">
      <c r="A3461" s="313" t="s">
        <v>1253</v>
      </c>
      <c r="B3461" s="313" t="s">
        <v>26</v>
      </c>
      <c r="C3461" s="313" t="s">
        <v>1514</v>
      </c>
      <c r="D3461" s="313" t="s">
        <v>24</v>
      </c>
      <c r="E3461" s="313" t="s">
        <v>1254</v>
      </c>
    </row>
    <row r="3462" spans="1:5" x14ac:dyDescent="0.25">
      <c r="A3462" s="313" t="s">
        <v>1253</v>
      </c>
      <c r="B3462" s="313" t="s">
        <v>26</v>
      </c>
      <c r="C3462" s="313" t="s">
        <v>1515</v>
      </c>
      <c r="D3462" s="313" t="s">
        <v>24</v>
      </c>
      <c r="E3462" s="313" t="s">
        <v>1254</v>
      </c>
    </row>
    <row r="3463" spans="1:5" x14ac:dyDescent="0.25">
      <c r="A3463" s="313" t="s">
        <v>1253</v>
      </c>
      <c r="B3463" s="313" t="s">
        <v>26</v>
      </c>
      <c r="C3463" s="313" t="s">
        <v>1516</v>
      </c>
      <c r="D3463" s="313" t="s">
        <v>24</v>
      </c>
      <c r="E3463" s="313" t="s">
        <v>1254</v>
      </c>
    </row>
    <row r="3464" spans="1:5" x14ac:dyDescent="0.25">
      <c r="A3464" s="313" t="s">
        <v>1253</v>
      </c>
      <c r="B3464" s="313" t="s">
        <v>26</v>
      </c>
      <c r="C3464" s="313" t="s">
        <v>1517</v>
      </c>
      <c r="D3464" s="313" t="s">
        <v>24</v>
      </c>
      <c r="E3464" s="313" t="s">
        <v>1254</v>
      </c>
    </row>
    <row r="3465" spans="1:5" x14ac:dyDescent="0.25">
      <c r="A3465" s="313" t="s">
        <v>1253</v>
      </c>
      <c r="B3465" s="313" t="s">
        <v>26</v>
      </c>
      <c r="C3465" s="313" t="s">
        <v>1518</v>
      </c>
      <c r="D3465" s="313" t="s">
        <v>24</v>
      </c>
      <c r="E3465" s="313" t="s">
        <v>1254</v>
      </c>
    </row>
    <row r="3466" spans="1:5" x14ac:dyDescent="0.25">
      <c r="A3466" s="313" t="s">
        <v>1253</v>
      </c>
      <c r="B3466" s="313" t="s">
        <v>26</v>
      </c>
      <c r="C3466" s="313" t="s">
        <v>1519</v>
      </c>
      <c r="D3466" s="313" t="s">
        <v>24</v>
      </c>
      <c r="E3466" s="313" t="s">
        <v>1254</v>
      </c>
    </row>
    <row r="3467" spans="1:5" x14ac:dyDescent="0.25">
      <c r="A3467" s="313" t="s">
        <v>1257</v>
      </c>
      <c r="B3467" s="313" t="s">
        <v>19</v>
      </c>
      <c r="C3467" s="313" t="s">
        <v>1466</v>
      </c>
      <c r="D3467" s="313" t="s">
        <v>19</v>
      </c>
      <c r="E3467" s="313" t="s">
        <v>1258</v>
      </c>
    </row>
    <row r="3468" spans="1:5" x14ac:dyDescent="0.25">
      <c r="A3468" s="313" t="s">
        <v>1257</v>
      </c>
      <c r="B3468" s="313" t="s">
        <v>19</v>
      </c>
      <c r="C3468" s="313" t="s">
        <v>1471</v>
      </c>
      <c r="D3468" s="313" t="s">
        <v>26</v>
      </c>
      <c r="E3468" s="313" t="s">
        <v>24</v>
      </c>
    </row>
    <row r="3469" spans="1:5" x14ac:dyDescent="0.25">
      <c r="A3469" s="313" t="s">
        <v>1257</v>
      </c>
      <c r="B3469" s="313" t="s">
        <v>19</v>
      </c>
      <c r="C3469" s="313" t="s">
        <v>1475</v>
      </c>
      <c r="D3469" s="313" t="s">
        <v>19</v>
      </c>
      <c r="E3469" s="313" t="s">
        <v>1258</v>
      </c>
    </row>
    <row r="3470" spans="1:5" x14ac:dyDescent="0.25">
      <c r="A3470" s="313" t="s">
        <v>1257</v>
      </c>
      <c r="B3470" s="313" t="s">
        <v>19</v>
      </c>
      <c r="C3470" s="313" t="s">
        <v>20</v>
      </c>
      <c r="D3470" s="313" t="s">
        <v>19</v>
      </c>
      <c r="E3470" s="313" t="s">
        <v>1258</v>
      </c>
    </row>
    <row r="3471" spans="1:5" x14ac:dyDescent="0.25">
      <c r="A3471" s="313" t="s">
        <v>1257</v>
      </c>
      <c r="B3471" s="313" t="s">
        <v>19</v>
      </c>
      <c r="C3471" s="313" t="s">
        <v>1487</v>
      </c>
      <c r="D3471" s="313" t="s">
        <v>26</v>
      </c>
      <c r="E3471" s="313" t="s">
        <v>24</v>
      </c>
    </row>
    <row r="3472" spans="1:5" x14ac:dyDescent="0.25">
      <c r="A3472" s="313" t="s">
        <v>1257</v>
      </c>
      <c r="B3472" s="313" t="s">
        <v>19</v>
      </c>
      <c r="C3472" s="313" t="s">
        <v>1495</v>
      </c>
      <c r="D3472" s="313" t="s">
        <v>35</v>
      </c>
      <c r="E3472" s="313" t="s">
        <v>24</v>
      </c>
    </row>
    <row r="3473" spans="1:5" x14ac:dyDescent="0.25">
      <c r="A3473" s="313" t="s">
        <v>1257</v>
      </c>
      <c r="B3473" s="313" t="s">
        <v>26</v>
      </c>
      <c r="C3473" s="313" t="s">
        <v>2929</v>
      </c>
      <c r="D3473" s="313" t="s">
        <v>24</v>
      </c>
      <c r="E3473" s="313" t="s">
        <v>1258</v>
      </c>
    </row>
    <row r="3474" spans="1:5" x14ac:dyDescent="0.25">
      <c r="A3474" s="313" t="s">
        <v>1257</v>
      </c>
      <c r="B3474" s="313" t="s">
        <v>26</v>
      </c>
      <c r="C3474" s="313" t="s">
        <v>2930</v>
      </c>
      <c r="D3474" s="313" t="s">
        <v>24</v>
      </c>
      <c r="E3474" s="313" t="s">
        <v>35</v>
      </c>
    </row>
    <row r="3475" spans="1:5" x14ac:dyDescent="0.25">
      <c r="A3475" s="313" t="s">
        <v>1257</v>
      </c>
      <c r="B3475" s="313" t="s">
        <v>26</v>
      </c>
      <c r="C3475" s="313" t="s">
        <v>1514</v>
      </c>
      <c r="D3475" s="313" t="s">
        <v>24</v>
      </c>
      <c r="E3475" s="313" t="s">
        <v>1258</v>
      </c>
    </row>
    <row r="3476" spans="1:5" x14ac:dyDescent="0.25">
      <c r="A3476" s="313" t="s">
        <v>1257</v>
      </c>
      <c r="B3476" s="313" t="s">
        <v>26</v>
      </c>
      <c r="C3476" s="313" t="s">
        <v>1515</v>
      </c>
      <c r="D3476" s="313" t="s">
        <v>24</v>
      </c>
      <c r="E3476" s="313" t="s">
        <v>1258</v>
      </c>
    </row>
    <row r="3477" spans="1:5" x14ac:dyDescent="0.25">
      <c r="A3477" s="313" t="s">
        <v>1257</v>
      </c>
      <c r="B3477" s="313" t="s">
        <v>26</v>
      </c>
      <c r="C3477" s="313" t="s">
        <v>1516</v>
      </c>
      <c r="D3477" s="313" t="s">
        <v>24</v>
      </c>
      <c r="E3477" s="313" t="s">
        <v>1258</v>
      </c>
    </row>
    <row r="3478" spans="1:5" x14ac:dyDescent="0.25">
      <c r="A3478" s="313" t="s">
        <v>1257</v>
      </c>
      <c r="B3478" s="313" t="s">
        <v>26</v>
      </c>
      <c r="C3478" s="313" t="s">
        <v>1517</v>
      </c>
      <c r="D3478" s="313" t="s">
        <v>24</v>
      </c>
      <c r="E3478" s="313" t="s">
        <v>1258</v>
      </c>
    </row>
    <row r="3479" spans="1:5" x14ac:dyDescent="0.25">
      <c r="A3479" s="313" t="s">
        <v>1257</v>
      </c>
      <c r="B3479" s="313" t="s">
        <v>26</v>
      </c>
      <c r="C3479" s="313" t="s">
        <v>1518</v>
      </c>
      <c r="D3479" s="313" t="s">
        <v>24</v>
      </c>
      <c r="E3479" s="313" t="s">
        <v>1258</v>
      </c>
    </row>
    <row r="3480" spans="1:5" x14ac:dyDescent="0.25">
      <c r="A3480" s="313" t="s">
        <v>1257</v>
      </c>
      <c r="B3480" s="313" t="s">
        <v>26</v>
      </c>
      <c r="C3480" s="313" t="s">
        <v>1519</v>
      </c>
      <c r="D3480" s="313" t="s">
        <v>24</v>
      </c>
      <c r="E3480" s="313" t="s">
        <v>1258</v>
      </c>
    </row>
    <row r="3481" spans="1:5" x14ac:dyDescent="0.25">
      <c r="A3481" s="313" t="s">
        <v>1261</v>
      </c>
      <c r="B3481" s="313" t="s">
        <v>19</v>
      </c>
      <c r="C3481" s="313" t="s">
        <v>1466</v>
      </c>
      <c r="D3481" s="313" t="s">
        <v>35</v>
      </c>
      <c r="E3481" s="313" t="s">
        <v>24</v>
      </c>
    </row>
    <row r="3482" spans="1:5" x14ac:dyDescent="0.25">
      <c r="A3482" s="313" t="s">
        <v>1261</v>
      </c>
      <c r="B3482" s="313" t="s">
        <v>19</v>
      </c>
      <c r="C3482" s="313" t="s">
        <v>1471</v>
      </c>
      <c r="D3482" s="313" t="s">
        <v>35</v>
      </c>
      <c r="E3482" s="313" t="s">
        <v>24</v>
      </c>
    </row>
    <row r="3483" spans="1:5" x14ac:dyDescent="0.25">
      <c r="A3483" s="313" t="s">
        <v>1261</v>
      </c>
      <c r="B3483" s="313" t="s">
        <v>19</v>
      </c>
      <c r="C3483" s="313" t="s">
        <v>1475</v>
      </c>
      <c r="D3483" s="313" t="s">
        <v>35</v>
      </c>
      <c r="E3483" s="313" t="s">
        <v>24</v>
      </c>
    </row>
    <row r="3484" spans="1:5" x14ac:dyDescent="0.25">
      <c r="A3484" s="313" t="s">
        <v>1261</v>
      </c>
      <c r="B3484" s="313" t="s">
        <v>19</v>
      </c>
      <c r="C3484" s="313" t="s">
        <v>20</v>
      </c>
      <c r="D3484" s="313" t="s">
        <v>35</v>
      </c>
      <c r="E3484" s="313" t="s">
        <v>24</v>
      </c>
    </row>
    <row r="3485" spans="1:5" x14ac:dyDescent="0.25">
      <c r="A3485" s="313" t="s">
        <v>1261</v>
      </c>
      <c r="B3485" s="313" t="s">
        <v>19</v>
      </c>
      <c r="C3485" s="313" t="s">
        <v>1487</v>
      </c>
      <c r="D3485" s="313" t="s">
        <v>35</v>
      </c>
      <c r="E3485" s="313" t="s">
        <v>24</v>
      </c>
    </row>
    <row r="3486" spans="1:5" x14ac:dyDescent="0.25">
      <c r="A3486" s="313" t="s">
        <v>1261</v>
      </c>
      <c r="B3486" s="313" t="s">
        <v>19</v>
      </c>
      <c r="C3486" s="313" t="s">
        <v>1495</v>
      </c>
      <c r="D3486" s="313" t="s">
        <v>35</v>
      </c>
      <c r="E3486" s="313" t="s">
        <v>24</v>
      </c>
    </row>
    <row r="3487" spans="1:5" x14ac:dyDescent="0.25">
      <c r="A3487" s="313" t="s">
        <v>1261</v>
      </c>
      <c r="B3487" s="313" t="s">
        <v>26</v>
      </c>
      <c r="C3487" s="313" t="s">
        <v>1515</v>
      </c>
      <c r="D3487" s="313" t="s">
        <v>24</v>
      </c>
      <c r="E3487" s="313" t="s">
        <v>75</v>
      </c>
    </row>
    <row r="3488" spans="1:5" x14ac:dyDescent="0.25">
      <c r="A3488" s="313" t="s">
        <v>1265</v>
      </c>
      <c r="B3488" s="313" t="s">
        <v>51</v>
      </c>
      <c r="C3488" s="313" t="s">
        <v>24</v>
      </c>
      <c r="D3488" s="313" t="s">
        <v>24</v>
      </c>
      <c r="E3488" s="313" t="s">
        <v>2936</v>
      </c>
    </row>
    <row r="3489" spans="1:5" x14ac:dyDescent="0.25">
      <c r="A3489" s="313" t="s">
        <v>1265</v>
      </c>
      <c r="B3489" s="313" t="s">
        <v>19</v>
      </c>
      <c r="C3489" s="313" t="s">
        <v>1466</v>
      </c>
      <c r="D3489" s="313" t="s">
        <v>51</v>
      </c>
      <c r="E3489" s="313" t="s">
        <v>24</v>
      </c>
    </row>
    <row r="3490" spans="1:5" x14ac:dyDescent="0.25">
      <c r="A3490" s="313" t="s">
        <v>1265</v>
      </c>
      <c r="B3490" s="313" t="s">
        <v>19</v>
      </c>
      <c r="C3490" s="313" t="s">
        <v>1471</v>
      </c>
      <c r="D3490" s="313" t="s">
        <v>51</v>
      </c>
      <c r="E3490" s="313" t="s">
        <v>24</v>
      </c>
    </row>
    <row r="3491" spans="1:5" x14ac:dyDescent="0.25">
      <c r="A3491" s="313" t="s">
        <v>1265</v>
      </c>
      <c r="B3491" s="313" t="s">
        <v>19</v>
      </c>
      <c r="C3491" s="313" t="s">
        <v>1475</v>
      </c>
      <c r="D3491" s="313" t="s">
        <v>51</v>
      </c>
      <c r="E3491" s="313" t="s">
        <v>24</v>
      </c>
    </row>
    <row r="3492" spans="1:5" x14ac:dyDescent="0.25">
      <c r="A3492" s="313" t="s">
        <v>1265</v>
      </c>
      <c r="B3492" s="313" t="s">
        <v>19</v>
      </c>
      <c r="C3492" s="313" t="s">
        <v>20</v>
      </c>
      <c r="D3492" s="313" t="s">
        <v>51</v>
      </c>
      <c r="E3492" s="313" t="s">
        <v>24</v>
      </c>
    </row>
    <row r="3493" spans="1:5" x14ac:dyDescent="0.25">
      <c r="A3493" s="313" t="s">
        <v>1265</v>
      </c>
      <c r="B3493" s="313" t="s">
        <v>19</v>
      </c>
      <c r="C3493" s="313" t="s">
        <v>1487</v>
      </c>
      <c r="D3493" s="313" t="s">
        <v>51</v>
      </c>
      <c r="E3493" s="313" t="s">
        <v>24</v>
      </c>
    </row>
    <row r="3494" spans="1:5" x14ac:dyDescent="0.25">
      <c r="A3494" s="313" t="s">
        <v>1265</v>
      </c>
      <c r="B3494" s="313" t="s">
        <v>19</v>
      </c>
      <c r="C3494" s="313" t="s">
        <v>1495</v>
      </c>
      <c r="D3494" s="313" t="s">
        <v>51</v>
      </c>
      <c r="E3494" s="313" t="s">
        <v>24</v>
      </c>
    </row>
    <row r="3495" spans="1:5" x14ac:dyDescent="0.25">
      <c r="A3495" s="313" t="s">
        <v>1269</v>
      </c>
      <c r="B3495" s="313" t="s">
        <v>19</v>
      </c>
      <c r="C3495" s="313" t="s">
        <v>1466</v>
      </c>
      <c r="D3495" s="313" t="s">
        <v>35</v>
      </c>
      <c r="E3495" s="313" t="s">
        <v>24</v>
      </c>
    </row>
    <row r="3496" spans="1:5" x14ac:dyDescent="0.25">
      <c r="A3496" s="313" t="s">
        <v>1269</v>
      </c>
      <c r="B3496" s="313" t="s">
        <v>19</v>
      </c>
      <c r="C3496" s="313" t="s">
        <v>1471</v>
      </c>
      <c r="D3496" s="313" t="s">
        <v>35</v>
      </c>
      <c r="E3496" s="313" t="s">
        <v>24</v>
      </c>
    </row>
    <row r="3497" spans="1:5" x14ac:dyDescent="0.25">
      <c r="A3497" s="313" t="s">
        <v>1269</v>
      </c>
      <c r="B3497" s="313" t="s">
        <v>19</v>
      </c>
      <c r="C3497" s="313" t="s">
        <v>1475</v>
      </c>
      <c r="D3497" s="313" t="s">
        <v>35</v>
      </c>
      <c r="E3497" s="313" t="s">
        <v>24</v>
      </c>
    </row>
    <row r="3498" spans="1:5" x14ac:dyDescent="0.25">
      <c r="A3498" s="313" t="s">
        <v>1269</v>
      </c>
      <c r="B3498" s="313" t="s">
        <v>19</v>
      </c>
      <c r="C3498" s="313" t="s">
        <v>20</v>
      </c>
      <c r="D3498" s="313" t="s">
        <v>35</v>
      </c>
      <c r="E3498" s="313" t="s">
        <v>24</v>
      </c>
    </row>
    <row r="3499" spans="1:5" x14ac:dyDescent="0.25">
      <c r="A3499" s="313" t="s">
        <v>1269</v>
      </c>
      <c r="B3499" s="313" t="s">
        <v>19</v>
      </c>
      <c r="C3499" s="313" t="s">
        <v>1487</v>
      </c>
      <c r="D3499" s="313" t="s">
        <v>35</v>
      </c>
      <c r="E3499" s="313" t="s">
        <v>24</v>
      </c>
    </row>
    <row r="3500" spans="1:5" x14ac:dyDescent="0.25">
      <c r="A3500" s="313" t="s">
        <v>1269</v>
      </c>
      <c r="B3500" s="313" t="s">
        <v>19</v>
      </c>
      <c r="C3500" s="313" t="s">
        <v>1495</v>
      </c>
      <c r="D3500" s="313" t="s">
        <v>35</v>
      </c>
      <c r="E3500" s="313" t="s">
        <v>24</v>
      </c>
    </row>
    <row r="3501" spans="1:5" x14ac:dyDescent="0.25">
      <c r="A3501" s="313" t="s">
        <v>1274</v>
      </c>
      <c r="B3501" s="313" t="s">
        <v>19</v>
      </c>
      <c r="C3501" s="313" t="s">
        <v>1466</v>
      </c>
      <c r="D3501" s="313" t="s">
        <v>19</v>
      </c>
      <c r="E3501" s="313" t="s">
        <v>1754</v>
      </c>
    </row>
    <row r="3502" spans="1:5" x14ac:dyDescent="0.25">
      <c r="A3502" s="313" t="s">
        <v>1274</v>
      </c>
      <c r="B3502" s="313" t="s">
        <v>19</v>
      </c>
      <c r="C3502" s="313" t="s">
        <v>1471</v>
      </c>
      <c r="D3502" s="313" t="s">
        <v>26</v>
      </c>
      <c r="E3502" s="313" t="s">
        <v>24</v>
      </c>
    </row>
    <row r="3503" spans="1:5" x14ac:dyDescent="0.25">
      <c r="A3503" s="313" t="s">
        <v>1274</v>
      </c>
      <c r="B3503" s="313" t="s">
        <v>19</v>
      </c>
      <c r="C3503" s="313" t="s">
        <v>1475</v>
      </c>
      <c r="D3503" s="313" t="s">
        <v>19</v>
      </c>
      <c r="E3503" s="313" t="s">
        <v>46</v>
      </c>
    </row>
    <row r="3504" spans="1:5" x14ac:dyDescent="0.25">
      <c r="A3504" s="313" t="s">
        <v>1274</v>
      </c>
      <c r="B3504" s="313" t="s">
        <v>19</v>
      </c>
      <c r="C3504" s="313" t="s">
        <v>20</v>
      </c>
      <c r="D3504" s="313" t="s">
        <v>19</v>
      </c>
      <c r="E3504" s="313" t="s">
        <v>46</v>
      </c>
    </row>
    <row r="3505" spans="1:5" x14ac:dyDescent="0.25">
      <c r="A3505" s="313" t="s">
        <v>1274</v>
      </c>
      <c r="B3505" s="313" t="s">
        <v>19</v>
      </c>
      <c r="C3505" s="313" t="s">
        <v>1487</v>
      </c>
      <c r="D3505" s="313" t="s">
        <v>35</v>
      </c>
      <c r="E3505" s="313" t="s">
        <v>24</v>
      </c>
    </row>
    <row r="3506" spans="1:5" x14ac:dyDescent="0.25">
      <c r="A3506" s="313" t="s">
        <v>1274</v>
      </c>
      <c r="B3506" s="313" t="s">
        <v>19</v>
      </c>
      <c r="C3506" s="313" t="s">
        <v>1495</v>
      </c>
      <c r="D3506" s="313" t="s">
        <v>35</v>
      </c>
      <c r="E3506" s="313" t="s">
        <v>24</v>
      </c>
    </row>
    <row r="3507" spans="1:5" x14ac:dyDescent="0.25">
      <c r="A3507" s="313" t="s">
        <v>1274</v>
      </c>
      <c r="B3507" s="313" t="s">
        <v>26</v>
      </c>
      <c r="C3507" s="313" t="s">
        <v>2929</v>
      </c>
      <c r="D3507" s="313" t="s">
        <v>24</v>
      </c>
      <c r="E3507" s="313" t="s">
        <v>1755</v>
      </c>
    </row>
    <row r="3508" spans="1:5" x14ac:dyDescent="0.25">
      <c r="A3508" s="313" t="s">
        <v>1274</v>
      </c>
      <c r="B3508" s="313" t="s">
        <v>26</v>
      </c>
      <c r="C3508" s="313" t="s">
        <v>2930</v>
      </c>
      <c r="D3508" s="313" t="s">
        <v>24</v>
      </c>
      <c r="E3508" s="313" t="s">
        <v>35</v>
      </c>
    </row>
    <row r="3509" spans="1:5" x14ac:dyDescent="0.25">
      <c r="A3509" s="313" t="s">
        <v>1277</v>
      </c>
      <c r="B3509" s="313" t="s">
        <v>19</v>
      </c>
      <c r="C3509" s="313" t="s">
        <v>1466</v>
      </c>
      <c r="D3509" s="313" t="s">
        <v>35</v>
      </c>
      <c r="E3509" s="313" t="s">
        <v>24</v>
      </c>
    </row>
    <row r="3510" spans="1:5" x14ac:dyDescent="0.25">
      <c r="A3510" s="313" t="s">
        <v>1277</v>
      </c>
      <c r="B3510" s="313" t="s">
        <v>19</v>
      </c>
      <c r="C3510" s="313" t="s">
        <v>1471</v>
      </c>
      <c r="D3510" s="313" t="s">
        <v>26</v>
      </c>
      <c r="E3510" s="313" t="s">
        <v>24</v>
      </c>
    </row>
    <row r="3511" spans="1:5" x14ac:dyDescent="0.25">
      <c r="A3511" s="313" t="s">
        <v>1277</v>
      </c>
      <c r="B3511" s="313" t="s">
        <v>19</v>
      </c>
      <c r="C3511" s="313" t="s">
        <v>1475</v>
      </c>
      <c r="D3511" s="313" t="s">
        <v>19</v>
      </c>
      <c r="E3511" s="313" t="s">
        <v>46</v>
      </c>
    </row>
    <row r="3512" spans="1:5" x14ac:dyDescent="0.25">
      <c r="A3512" s="313" t="s">
        <v>1277</v>
      </c>
      <c r="B3512" s="313" t="s">
        <v>19</v>
      </c>
      <c r="C3512" s="313" t="s">
        <v>20</v>
      </c>
      <c r="D3512" s="313" t="s">
        <v>19</v>
      </c>
      <c r="E3512" s="313" t="s">
        <v>46</v>
      </c>
    </row>
    <row r="3513" spans="1:5" x14ac:dyDescent="0.25">
      <c r="A3513" s="313" t="s">
        <v>1277</v>
      </c>
      <c r="B3513" s="313" t="s">
        <v>19</v>
      </c>
      <c r="C3513" s="313" t="s">
        <v>1487</v>
      </c>
      <c r="D3513" s="313" t="s">
        <v>35</v>
      </c>
      <c r="E3513" s="313" t="s">
        <v>24</v>
      </c>
    </row>
    <row r="3514" spans="1:5" x14ac:dyDescent="0.25">
      <c r="A3514" s="313" t="s">
        <v>1277</v>
      </c>
      <c r="B3514" s="313" t="s">
        <v>19</v>
      </c>
      <c r="C3514" s="313" t="s">
        <v>1495</v>
      </c>
      <c r="D3514" s="313" t="s">
        <v>35</v>
      </c>
      <c r="E3514" s="313" t="s">
        <v>24</v>
      </c>
    </row>
    <row r="3515" spans="1:5" x14ac:dyDescent="0.25">
      <c r="A3515" s="313" t="s">
        <v>1277</v>
      </c>
      <c r="B3515" s="313" t="s">
        <v>26</v>
      </c>
      <c r="C3515" s="313" t="s">
        <v>2929</v>
      </c>
      <c r="D3515" s="313" t="s">
        <v>24</v>
      </c>
      <c r="E3515" s="313" t="s">
        <v>70</v>
      </c>
    </row>
    <row r="3516" spans="1:5" x14ac:dyDescent="0.25">
      <c r="A3516" s="313" t="s">
        <v>1277</v>
      </c>
      <c r="B3516" s="313" t="s">
        <v>26</v>
      </c>
      <c r="C3516" s="313" t="s">
        <v>2930</v>
      </c>
      <c r="D3516" s="313" t="s">
        <v>24</v>
      </c>
      <c r="E3516" s="313" t="s">
        <v>35</v>
      </c>
    </row>
    <row r="3517" spans="1:5" x14ac:dyDescent="0.25">
      <c r="A3517" s="313" t="s">
        <v>1282</v>
      </c>
      <c r="B3517" s="313" t="s">
        <v>19</v>
      </c>
      <c r="C3517" s="313" t="s">
        <v>1466</v>
      </c>
      <c r="D3517" s="313" t="s">
        <v>35</v>
      </c>
      <c r="E3517" s="313" t="s">
        <v>24</v>
      </c>
    </row>
    <row r="3518" spans="1:5" x14ac:dyDescent="0.25">
      <c r="A3518" s="313" t="s">
        <v>1282</v>
      </c>
      <c r="B3518" s="313" t="s">
        <v>19</v>
      </c>
      <c r="C3518" s="313" t="s">
        <v>1471</v>
      </c>
      <c r="D3518" s="313" t="s">
        <v>35</v>
      </c>
      <c r="E3518" s="313" t="s">
        <v>24</v>
      </c>
    </row>
    <row r="3519" spans="1:5" x14ac:dyDescent="0.25">
      <c r="A3519" s="313" t="s">
        <v>1282</v>
      </c>
      <c r="B3519" s="313" t="s">
        <v>19</v>
      </c>
      <c r="C3519" s="313" t="s">
        <v>1475</v>
      </c>
      <c r="D3519" s="313" t="s">
        <v>35</v>
      </c>
      <c r="E3519" s="313" t="s">
        <v>24</v>
      </c>
    </row>
    <row r="3520" spans="1:5" x14ac:dyDescent="0.25">
      <c r="A3520" s="313" t="s">
        <v>1282</v>
      </c>
      <c r="B3520" s="313" t="s">
        <v>19</v>
      </c>
      <c r="C3520" s="313" t="s">
        <v>20</v>
      </c>
      <c r="D3520" s="313" t="s">
        <v>35</v>
      </c>
      <c r="E3520" s="313" t="s">
        <v>24</v>
      </c>
    </row>
    <row r="3521" spans="1:5" x14ac:dyDescent="0.25">
      <c r="A3521" s="313" t="s">
        <v>1282</v>
      </c>
      <c r="B3521" s="313" t="s">
        <v>19</v>
      </c>
      <c r="C3521" s="313" t="s">
        <v>1487</v>
      </c>
      <c r="D3521" s="313" t="s">
        <v>35</v>
      </c>
      <c r="E3521" s="313" t="s">
        <v>24</v>
      </c>
    </row>
    <row r="3522" spans="1:5" x14ac:dyDescent="0.25">
      <c r="A3522" s="313" t="s">
        <v>1282</v>
      </c>
      <c r="B3522" s="313" t="s">
        <v>19</v>
      </c>
      <c r="C3522" s="313" t="s">
        <v>1495</v>
      </c>
      <c r="D3522" s="313" t="s">
        <v>35</v>
      </c>
      <c r="E3522" s="313" t="s">
        <v>24</v>
      </c>
    </row>
    <row r="3523" spans="1:5" x14ac:dyDescent="0.25">
      <c r="A3523" s="313" t="s">
        <v>1289</v>
      </c>
      <c r="B3523" s="313" t="s">
        <v>19</v>
      </c>
      <c r="C3523" s="313" t="s">
        <v>1466</v>
      </c>
      <c r="D3523" s="313" t="s">
        <v>19</v>
      </c>
      <c r="E3523" s="313" t="s">
        <v>1756</v>
      </c>
    </row>
    <row r="3524" spans="1:5" x14ac:dyDescent="0.25">
      <c r="A3524" s="313" t="s">
        <v>1289</v>
      </c>
      <c r="B3524" s="313" t="s">
        <v>19</v>
      </c>
      <c r="C3524" s="313" t="s">
        <v>1471</v>
      </c>
      <c r="D3524" s="313" t="s">
        <v>26</v>
      </c>
      <c r="E3524" s="313" t="s">
        <v>24</v>
      </c>
    </row>
    <row r="3525" spans="1:5" x14ac:dyDescent="0.25">
      <c r="A3525" s="313" t="s">
        <v>1289</v>
      </c>
      <c r="B3525" s="313" t="s">
        <v>19</v>
      </c>
      <c r="C3525" s="313" t="s">
        <v>1475</v>
      </c>
      <c r="D3525" s="313" t="s">
        <v>19</v>
      </c>
      <c r="E3525" s="313" t="s">
        <v>1756</v>
      </c>
    </row>
    <row r="3526" spans="1:5" x14ac:dyDescent="0.25">
      <c r="A3526" s="313" t="s">
        <v>1289</v>
      </c>
      <c r="B3526" s="313" t="s">
        <v>19</v>
      </c>
      <c r="C3526" s="313" t="s">
        <v>20</v>
      </c>
      <c r="D3526" s="313" t="s">
        <v>26</v>
      </c>
      <c r="E3526" s="313" t="s">
        <v>24</v>
      </c>
    </row>
    <row r="3527" spans="1:5" x14ac:dyDescent="0.25">
      <c r="A3527" s="313" t="s">
        <v>1289</v>
      </c>
      <c r="B3527" s="313" t="s">
        <v>19</v>
      </c>
      <c r="C3527" s="313" t="s">
        <v>1487</v>
      </c>
      <c r="D3527" s="313" t="s">
        <v>26</v>
      </c>
      <c r="E3527" s="313" t="s">
        <v>24</v>
      </c>
    </row>
    <row r="3528" spans="1:5" x14ac:dyDescent="0.25">
      <c r="A3528" s="313" t="s">
        <v>1289</v>
      </c>
      <c r="B3528" s="313" t="s">
        <v>19</v>
      </c>
      <c r="C3528" s="313" t="s">
        <v>1495</v>
      </c>
      <c r="D3528" s="313" t="s">
        <v>35</v>
      </c>
      <c r="E3528" s="313" t="s">
        <v>24</v>
      </c>
    </row>
    <row r="3529" spans="1:5" x14ac:dyDescent="0.25">
      <c r="A3529" s="313" t="s">
        <v>1289</v>
      </c>
      <c r="B3529" s="313" t="s">
        <v>26</v>
      </c>
      <c r="C3529" s="313" t="s">
        <v>2929</v>
      </c>
      <c r="D3529" s="313" t="s">
        <v>24</v>
      </c>
      <c r="E3529" s="313" t="s">
        <v>1756</v>
      </c>
    </row>
    <row r="3530" spans="1:5" x14ac:dyDescent="0.25">
      <c r="A3530" s="313" t="s">
        <v>1289</v>
      </c>
      <c r="B3530" s="313" t="s">
        <v>26</v>
      </c>
      <c r="C3530" s="313" t="s">
        <v>2930</v>
      </c>
      <c r="D3530" s="313" t="s">
        <v>24</v>
      </c>
      <c r="E3530" s="313" t="s">
        <v>35</v>
      </c>
    </row>
    <row r="3531" spans="1:5" x14ac:dyDescent="0.25">
      <c r="A3531" s="313" t="s">
        <v>1289</v>
      </c>
      <c r="B3531" s="313" t="s">
        <v>26</v>
      </c>
      <c r="C3531" s="313" t="s">
        <v>1509</v>
      </c>
      <c r="D3531" s="313" t="s">
        <v>24</v>
      </c>
      <c r="E3531" s="313" t="s">
        <v>1756</v>
      </c>
    </row>
    <row r="3532" spans="1:5" x14ac:dyDescent="0.25">
      <c r="A3532" s="313" t="s">
        <v>1289</v>
      </c>
      <c r="B3532" s="313" t="s">
        <v>26</v>
      </c>
      <c r="C3532" s="313" t="s">
        <v>1510</v>
      </c>
      <c r="D3532" s="313" t="s">
        <v>24</v>
      </c>
      <c r="E3532" s="313" t="s">
        <v>1756</v>
      </c>
    </row>
    <row r="3533" spans="1:5" x14ac:dyDescent="0.25">
      <c r="A3533" s="313" t="s">
        <v>1289</v>
      </c>
      <c r="B3533" s="313" t="s">
        <v>26</v>
      </c>
      <c r="C3533" s="313" t="s">
        <v>1511</v>
      </c>
      <c r="D3533" s="313" t="s">
        <v>24</v>
      </c>
      <c r="E3533" s="313" t="s">
        <v>1290</v>
      </c>
    </row>
    <row r="3534" spans="1:5" x14ac:dyDescent="0.25">
      <c r="A3534" s="313" t="s">
        <v>1289</v>
      </c>
      <c r="B3534" s="313" t="s">
        <v>26</v>
      </c>
      <c r="C3534" s="313" t="s">
        <v>27</v>
      </c>
      <c r="D3534" s="313" t="s">
        <v>24</v>
      </c>
      <c r="E3534" s="313" t="s">
        <v>1290</v>
      </c>
    </row>
    <row r="3535" spans="1:5" x14ac:dyDescent="0.25">
      <c r="A3535" s="313" t="s">
        <v>1289</v>
      </c>
      <c r="B3535" s="313" t="s">
        <v>26</v>
      </c>
      <c r="C3535" s="313" t="s">
        <v>1512</v>
      </c>
      <c r="D3535" s="313" t="s">
        <v>24</v>
      </c>
      <c r="E3535" s="313" t="s">
        <v>1756</v>
      </c>
    </row>
    <row r="3536" spans="1:5" x14ac:dyDescent="0.25">
      <c r="A3536" s="313" t="s">
        <v>1289</v>
      </c>
      <c r="B3536" s="313" t="s">
        <v>26</v>
      </c>
      <c r="C3536" s="313" t="s">
        <v>1513</v>
      </c>
      <c r="D3536" s="313" t="s">
        <v>24</v>
      </c>
      <c r="E3536" s="313" t="s">
        <v>1756</v>
      </c>
    </row>
    <row r="3537" spans="1:5" x14ac:dyDescent="0.25">
      <c r="A3537" s="313" t="s">
        <v>1289</v>
      </c>
      <c r="B3537" s="313" t="s">
        <v>26</v>
      </c>
      <c r="C3537" s="313" t="s">
        <v>1514</v>
      </c>
      <c r="D3537" s="313" t="s">
        <v>24</v>
      </c>
      <c r="E3537" s="313" t="s">
        <v>1756</v>
      </c>
    </row>
    <row r="3538" spans="1:5" x14ac:dyDescent="0.25">
      <c r="A3538" s="313" t="s">
        <v>1289</v>
      </c>
      <c r="B3538" s="313" t="s">
        <v>26</v>
      </c>
      <c r="C3538" s="313" t="s">
        <v>1515</v>
      </c>
      <c r="D3538" s="313" t="s">
        <v>24</v>
      </c>
      <c r="E3538" s="313" t="s">
        <v>1756</v>
      </c>
    </row>
    <row r="3539" spans="1:5" x14ac:dyDescent="0.25">
      <c r="A3539" s="313" t="s">
        <v>1289</v>
      </c>
      <c r="B3539" s="313" t="s">
        <v>26</v>
      </c>
      <c r="C3539" s="313" t="s">
        <v>1516</v>
      </c>
      <c r="D3539" s="313" t="s">
        <v>24</v>
      </c>
      <c r="E3539" s="313" t="s">
        <v>1756</v>
      </c>
    </row>
    <row r="3540" spans="1:5" x14ac:dyDescent="0.25">
      <c r="A3540" s="313" t="s">
        <v>1289</v>
      </c>
      <c r="B3540" s="313" t="s">
        <v>26</v>
      </c>
      <c r="C3540" s="313" t="s">
        <v>1517</v>
      </c>
      <c r="D3540" s="313" t="s">
        <v>24</v>
      </c>
      <c r="E3540" s="313" t="s">
        <v>1756</v>
      </c>
    </row>
    <row r="3541" spans="1:5" x14ac:dyDescent="0.25">
      <c r="A3541" s="313" t="s">
        <v>1289</v>
      </c>
      <c r="B3541" s="313" t="s">
        <v>26</v>
      </c>
      <c r="C3541" s="313" t="s">
        <v>1518</v>
      </c>
      <c r="D3541" s="313" t="s">
        <v>24</v>
      </c>
      <c r="E3541" s="313" t="s">
        <v>1756</v>
      </c>
    </row>
    <row r="3542" spans="1:5" x14ac:dyDescent="0.25">
      <c r="A3542" s="313" t="s">
        <v>1289</v>
      </c>
      <c r="B3542" s="313" t="s">
        <v>26</v>
      </c>
      <c r="C3542" s="313" t="s">
        <v>1519</v>
      </c>
      <c r="D3542" s="313" t="s">
        <v>24</v>
      </c>
      <c r="E3542" s="313" t="s">
        <v>1756</v>
      </c>
    </row>
    <row r="3543" spans="1:5" x14ac:dyDescent="0.25">
      <c r="A3543" s="313" t="s">
        <v>1293</v>
      </c>
      <c r="B3543" s="313" t="s">
        <v>19</v>
      </c>
      <c r="C3543" s="313" t="s">
        <v>1466</v>
      </c>
      <c r="D3543" s="313" t="s">
        <v>35</v>
      </c>
      <c r="E3543" s="313" t="s">
        <v>24</v>
      </c>
    </row>
    <row r="3544" spans="1:5" x14ac:dyDescent="0.25">
      <c r="A3544" s="313" t="s">
        <v>1293</v>
      </c>
      <c r="B3544" s="313" t="s">
        <v>19</v>
      </c>
      <c r="C3544" s="313" t="s">
        <v>1471</v>
      </c>
      <c r="D3544" s="313" t="s">
        <v>35</v>
      </c>
      <c r="E3544" s="313" t="s">
        <v>24</v>
      </c>
    </row>
    <row r="3545" spans="1:5" x14ac:dyDescent="0.25">
      <c r="A3545" s="313" t="s">
        <v>1293</v>
      </c>
      <c r="B3545" s="313" t="s">
        <v>19</v>
      </c>
      <c r="C3545" s="313" t="s">
        <v>1475</v>
      </c>
      <c r="D3545" s="313" t="s">
        <v>35</v>
      </c>
      <c r="E3545" s="313" t="s">
        <v>24</v>
      </c>
    </row>
    <row r="3546" spans="1:5" x14ac:dyDescent="0.25">
      <c r="A3546" s="313" t="s">
        <v>1293</v>
      </c>
      <c r="B3546" s="313" t="s">
        <v>19</v>
      </c>
      <c r="C3546" s="313" t="s">
        <v>20</v>
      </c>
      <c r="D3546" s="313" t="s">
        <v>35</v>
      </c>
      <c r="E3546" s="313" t="s">
        <v>24</v>
      </c>
    </row>
    <row r="3547" spans="1:5" x14ac:dyDescent="0.25">
      <c r="A3547" s="313" t="s">
        <v>1293</v>
      </c>
      <c r="B3547" s="313" t="s">
        <v>19</v>
      </c>
      <c r="C3547" s="313" t="s">
        <v>1487</v>
      </c>
      <c r="D3547" s="313" t="s">
        <v>35</v>
      </c>
      <c r="E3547" s="313" t="s">
        <v>24</v>
      </c>
    </row>
    <row r="3548" spans="1:5" x14ac:dyDescent="0.25">
      <c r="A3548" s="313" t="s">
        <v>1293</v>
      </c>
      <c r="B3548" s="313" t="s">
        <v>19</v>
      </c>
      <c r="C3548" s="313" t="s">
        <v>1495</v>
      </c>
      <c r="D3548" s="313" t="s">
        <v>35</v>
      </c>
      <c r="E3548" s="313" t="s">
        <v>24</v>
      </c>
    </row>
    <row r="3549" spans="1:5" x14ac:dyDescent="0.25">
      <c r="A3549" s="313" t="s">
        <v>101</v>
      </c>
      <c r="B3549" s="313" t="s">
        <v>51</v>
      </c>
      <c r="C3549" s="313" t="s">
        <v>24</v>
      </c>
      <c r="D3549" s="313" t="s">
        <v>24</v>
      </c>
      <c r="E3549" s="313" t="s">
        <v>1757</v>
      </c>
    </row>
    <row r="3550" spans="1:5" x14ac:dyDescent="0.25">
      <c r="A3550" s="313" t="s">
        <v>101</v>
      </c>
      <c r="B3550" s="313" t="s">
        <v>19</v>
      </c>
      <c r="C3550" s="313" t="s">
        <v>1466</v>
      </c>
      <c r="D3550" s="313" t="s">
        <v>51</v>
      </c>
      <c r="E3550" s="313" t="s">
        <v>24</v>
      </c>
    </row>
    <row r="3551" spans="1:5" x14ac:dyDescent="0.25">
      <c r="A3551" s="313" t="s">
        <v>101</v>
      </c>
      <c r="B3551" s="313" t="s">
        <v>19</v>
      </c>
      <c r="C3551" s="313" t="s">
        <v>1471</v>
      </c>
      <c r="D3551" s="313" t="s">
        <v>51</v>
      </c>
      <c r="E3551" s="313" t="s">
        <v>24</v>
      </c>
    </row>
    <row r="3552" spans="1:5" x14ac:dyDescent="0.25">
      <c r="A3552" s="313" t="s">
        <v>101</v>
      </c>
      <c r="B3552" s="313" t="s">
        <v>19</v>
      </c>
      <c r="C3552" s="313" t="s">
        <v>1475</v>
      </c>
      <c r="D3552" s="313" t="s">
        <v>51</v>
      </c>
      <c r="E3552" s="313" t="s">
        <v>24</v>
      </c>
    </row>
    <row r="3553" spans="1:5" x14ac:dyDescent="0.25">
      <c r="A3553" s="313" t="s">
        <v>101</v>
      </c>
      <c r="B3553" s="313" t="s">
        <v>19</v>
      </c>
      <c r="C3553" s="313" t="s">
        <v>20</v>
      </c>
      <c r="D3553" s="313" t="s">
        <v>51</v>
      </c>
      <c r="E3553" s="313" t="s">
        <v>24</v>
      </c>
    </row>
    <row r="3554" spans="1:5" x14ac:dyDescent="0.25">
      <c r="A3554" s="313" t="s">
        <v>101</v>
      </c>
      <c r="B3554" s="313" t="s">
        <v>19</v>
      </c>
      <c r="C3554" s="313" t="s">
        <v>1487</v>
      </c>
      <c r="D3554" s="313" t="s">
        <v>51</v>
      </c>
      <c r="E3554" s="313" t="s">
        <v>24</v>
      </c>
    </row>
    <row r="3555" spans="1:5" x14ac:dyDescent="0.25">
      <c r="A3555" s="313" t="s">
        <v>101</v>
      </c>
      <c r="B3555" s="313" t="s">
        <v>19</v>
      </c>
      <c r="C3555" s="313" t="s">
        <v>1495</v>
      </c>
      <c r="D3555" s="313" t="s">
        <v>51</v>
      </c>
      <c r="E3555" s="313" t="s">
        <v>24</v>
      </c>
    </row>
    <row r="3556" spans="1:5" x14ac:dyDescent="0.25">
      <c r="A3556" s="313" t="s">
        <v>1301</v>
      </c>
      <c r="B3556" s="313" t="s">
        <v>19</v>
      </c>
      <c r="C3556" s="313" t="s">
        <v>1466</v>
      </c>
      <c r="D3556" s="313" t="s">
        <v>35</v>
      </c>
      <c r="E3556" s="313" t="s">
        <v>24</v>
      </c>
    </row>
    <row r="3557" spans="1:5" x14ac:dyDescent="0.25">
      <c r="A3557" s="313" t="s">
        <v>1301</v>
      </c>
      <c r="B3557" s="313" t="s">
        <v>19</v>
      </c>
      <c r="C3557" s="313" t="s">
        <v>1471</v>
      </c>
      <c r="D3557" s="313" t="s">
        <v>35</v>
      </c>
      <c r="E3557" s="313" t="s">
        <v>24</v>
      </c>
    </row>
    <row r="3558" spans="1:5" x14ac:dyDescent="0.25">
      <c r="A3558" s="313" t="s">
        <v>1301</v>
      </c>
      <c r="B3558" s="313" t="s">
        <v>19</v>
      </c>
      <c r="C3558" s="313" t="s">
        <v>1475</v>
      </c>
      <c r="D3558" s="313" t="s">
        <v>35</v>
      </c>
      <c r="E3558" s="313" t="s">
        <v>24</v>
      </c>
    </row>
    <row r="3559" spans="1:5" x14ac:dyDescent="0.25">
      <c r="A3559" s="313" t="s">
        <v>1301</v>
      </c>
      <c r="B3559" s="313" t="s">
        <v>19</v>
      </c>
      <c r="C3559" s="313" t="s">
        <v>20</v>
      </c>
      <c r="D3559" s="313" t="s">
        <v>35</v>
      </c>
      <c r="E3559" s="313" t="s">
        <v>24</v>
      </c>
    </row>
    <row r="3560" spans="1:5" x14ac:dyDescent="0.25">
      <c r="A3560" s="313" t="s">
        <v>1301</v>
      </c>
      <c r="B3560" s="313" t="s">
        <v>19</v>
      </c>
      <c r="C3560" s="313" t="s">
        <v>1487</v>
      </c>
      <c r="D3560" s="313" t="s">
        <v>35</v>
      </c>
      <c r="E3560" s="313" t="s">
        <v>24</v>
      </c>
    </row>
    <row r="3561" spans="1:5" x14ac:dyDescent="0.25">
      <c r="A3561" s="313" t="s">
        <v>1301</v>
      </c>
      <c r="B3561" s="313" t="s">
        <v>19</v>
      </c>
      <c r="C3561" s="313" t="s">
        <v>1495</v>
      </c>
      <c r="D3561" s="313" t="s">
        <v>35</v>
      </c>
      <c r="E3561" s="313" t="s">
        <v>24</v>
      </c>
    </row>
    <row r="3562" spans="1:5" x14ac:dyDescent="0.25">
      <c r="A3562" s="313" t="s">
        <v>1306</v>
      </c>
      <c r="B3562" s="313" t="s">
        <v>19</v>
      </c>
      <c r="C3562" s="313" t="s">
        <v>1466</v>
      </c>
      <c r="D3562" s="313" t="s">
        <v>35</v>
      </c>
      <c r="E3562" s="313" t="s">
        <v>24</v>
      </c>
    </row>
    <row r="3563" spans="1:5" x14ac:dyDescent="0.25">
      <c r="A3563" s="313" t="s">
        <v>1306</v>
      </c>
      <c r="B3563" s="313" t="s">
        <v>19</v>
      </c>
      <c r="C3563" s="313" t="s">
        <v>1471</v>
      </c>
      <c r="D3563" s="313" t="s">
        <v>35</v>
      </c>
      <c r="E3563" s="313" t="s">
        <v>24</v>
      </c>
    </row>
    <row r="3564" spans="1:5" x14ac:dyDescent="0.25">
      <c r="A3564" s="313" t="s">
        <v>1306</v>
      </c>
      <c r="B3564" s="313" t="s">
        <v>19</v>
      </c>
      <c r="C3564" s="313" t="s">
        <v>1475</v>
      </c>
      <c r="D3564" s="313" t="s">
        <v>19</v>
      </c>
      <c r="E3564" s="313" t="s">
        <v>1758</v>
      </c>
    </row>
    <row r="3565" spans="1:5" x14ac:dyDescent="0.25">
      <c r="A3565" s="313" t="s">
        <v>1306</v>
      </c>
      <c r="B3565" s="313" t="s">
        <v>19</v>
      </c>
      <c r="C3565" s="313" t="s">
        <v>20</v>
      </c>
      <c r="D3565" s="313" t="s">
        <v>35</v>
      </c>
      <c r="E3565" s="313" t="s">
        <v>24</v>
      </c>
    </row>
    <row r="3566" spans="1:5" x14ac:dyDescent="0.25">
      <c r="A3566" s="313" t="s">
        <v>1306</v>
      </c>
      <c r="B3566" s="313" t="s">
        <v>19</v>
      </c>
      <c r="C3566" s="313" t="s">
        <v>1487</v>
      </c>
      <c r="D3566" s="313" t="s">
        <v>35</v>
      </c>
      <c r="E3566" s="313" t="s">
        <v>24</v>
      </c>
    </row>
    <row r="3567" spans="1:5" x14ac:dyDescent="0.25">
      <c r="A3567" s="313" t="s">
        <v>1306</v>
      </c>
      <c r="B3567" s="313" t="s">
        <v>19</v>
      </c>
      <c r="C3567" s="313" t="s">
        <v>1495</v>
      </c>
      <c r="D3567" s="313" t="s">
        <v>35</v>
      </c>
      <c r="E3567" s="313" t="s">
        <v>24</v>
      </c>
    </row>
    <row r="3568" spans="1:5" x14ac:dyDescent="0.25">
      <c r="A3568" s="313" t="s">
        <v>1309</v>
      </c>
      <c r="B3568" s="313" t="s">
        <v>19</v>
      </c>
      <c r="C3568" s="313" t="s">
        <v>1466</v>
      </c>
      <c r="D3568" s="313" t="s">
        <v>35</v>
      </c>
      <c r="E3568" s="313" t="s">
        <v>24</v>
      </c>
    </row>
    <row r="3569" spans="1:5" x14ac:dyDescent="0.25">
      <c r="A3569" s="313" t="s">
        <v>1309</v>
      </c>
      <c r="B3569" s="313" t="s">
        <v>19</v>
      </c>
      <c r="C3569" s="313" t="s">
        <v>1471</v>
      </c>
      <c r="D3569" s="313" t="s">
        <v>35</v>
      </c>
      <c r="E3569" s="313" t="s">
        <v>24</v>
      </c>
    </row>
    <row r="3570" spans="1:5" x14ac:dyDescent="0.25">
      <c r="A3570" s="313" t="s">
        <v>1309</v>
      </c>
      <c r="B3570" s="313" t="s">
        <v>19</v>
      </c>
      <c r="C3570" s="313" t="s">
        <v>1475</v>
      </c>
      <c r="D3570" s="313" t="s">
        <v>35</v>
      </c>
      <c r="E3570" s="313" t="s">
        <v>24</v>
      </c>
    </row>
    <row r="3571" spans="1:5" x14ac:dyDescent="0.25">
      <c r="A3571" s="313" t="s">
        <v>1309</v>
      </c>
      <c r="B3571" s="313" t="s">
        <v>19</v>
      </c>
      <c r="C3571" s="313" t="s">
        <v>20</v>
      </c>
      <c r="D3571" s="313" t="s">
        <v>35</v>
      </c>
      <c r="E3571" s="313" t="s">
        <v>24</v>
      </c>
    </row>
    <row r="3572" spans="1:5" x14ac:dyDescent="0.25">
      <c r="A3572" s="313" t="s">
        <v>1309</v>
      </c>
      <c r="B3572" s="313" t="s">
        <v>19</v>
      </c>
      <c r="C3572" s="313" t="s">
        <v>1487</v>
      </c>
      <c r="D3572" s="313" t="s">
        <v>35</v>
      </c>
      <c r="E3572" s="313" t="s">
        <v>24</v>
      </c>
    </row>
    <row r="3573" spans="1:5" x14ac:dyDescent="0.25">
      <c r="A3573" s="313" t="s">
        <v>1309</v>
      </c>
      <c r="B3573" s="313" t="s">
        <v>19</v>
      </c>
      <c r="C3573" s="313" t="s">
        <v>1495</v>
      </c>
      <c r="D3573" s="313" t="s">
        <v>35</v>
      </c>
      <c r="E3573" s="313" t="s">
        <v>24</v>
      </c>
    </row>
    <row r="3574" spans="1:5" x14ac:dyDescent="0.25">
      <c r="A3574" s="313" t="s">
        <v>1313</v>
      </c>
      <c r="B3574" s="313" t="s">
        <v>19</v>
      </c>
      <c r="C3574" s="313" t="s">
        <v>1466</v>
      </c>
      <c r="D3574" s="313" t="s">
        <v>19</v>
      </c>
      <c r="E3574" s="313" t="s">
        <v>1316</v>
      </c>
    </row>
    <row r="3575" spans="1:5" x14ac:dyDescent="0.25">
      <c r="A3575" s="313" t="s">
        <v>1313</v>
      </c>
      <c r="B3575" s="313" t="s">
        <v>19</v>
      </c>
      <c r="C3575" s="313" t="s">
        <v>1471</v>
      </c>
      <c r="D3575" s="313" t="s">
        <v>26</v>
      </c>
      <c r="E3575" s="313" t="s">
        <v>24</v>
      </c>
    </row>
    <row r="3576" spans="1:5" x14ac:dyDescent="0.25">
      <c r="A3576" s="313" t="s">
        <v>1313</v>
      </c>
      <c r="B3576" s="313" t="s">
        <v>19</v>
      </c>
      <c r="C3576" s="313" t="s">
        <v>1475</v>
      </c>
      <c r="D3576" s="313" t="s">
        <v>19</v>
      </c>
      <c r="E3576" s="313" t="s">
        <v>1316</v>
      </c>
    </row>
    <row r="3577" spans="1:5" x14ac:dyDescent="0.25">
      <c r="A3577" s="313" t="s">
        <v>1313</v>
      </c>
      <c r="B3577" s="313" t="s">
        <v>19</v>
      </c>
      <c r="C3577" s="313" t="s">
        <v>20</v>
      </c>
      <c r="D3577" s="313" t="s">
        <v>19</v>
      </c>
      <c r="E3577" s="313" t="s">
        <v>1314</v>
      </c>
    </row>
    <row r="3578" spans="1:5" x14ac:dyDescent="0.25">
      <c r="A3578" s="313" t="s">
        <v>1313</v>
      </c>
      <c r="B3578" s="313" t="s">
        <v>19</v>
      </c>
      <c r="C3578" s="313" t="s">
        <v>1487</v>
      </c>
      <c r="D3578" s="313" t="s">
        <v>26</v>
      </c>
      <c r="E3578" s="313" t="s">
        <v>24</v>
      </c>
    </row>
    <row r="3579" spans="1:5" x14ac:dyDescent="0.25">
      <c r="A3579" s="313" t="s">
        <v>1313</v>
      </c>
      <c r="B3579" s="313" t="s">
        <v>19</v>
      </c>
      <c r="C3579" s="313" t="s">
        <v>1495</v>
      </c>
      <c r="D3579" s="313" t="s">
        <v>35</v>
      </c>
      <c r="E3579" s="313" t="s">
        <v>24</v>
      </c>
    </row>
    <row r="3580" spans="1:5" x14ac:dyDescent="0.25">
      <c r="A3580" s="313" t="s">
        <v>1313</v>
      </c>
      <c r="B3580" s="313" t="s">
        <v>26</v>
      </c>
      <c r="C3580" s="313" t="s">
        <v>2929</v>
      </c>
      <c r="D3580" s="313" t="s">
        <v>24</v>
      </c>
      <c r="E3580" s="313" t="s">
        <v>1316</v>
      </c>
    </row>
    <row r="3581" spans="1:5" x14ac:dyDescent="0.25">
      <c r="A3581" s="313" t="s">
        <v>1313</v>
      </c>
      <c r="B3581" s="313" t="s">
        <v>26</v>
      </c>
      <c r="C3581" s="313" t="s">
        <v>2930</v>
      </c>
      <c r="D3581" s="313" t="s">
        <v>24</v>
      </c>
      <c r="E3581" s="313" t="s">
        <v>35</v>
      </c>
    </row>
    <row r="3582" spans="1:5" x14ac:dyDescent="0.25">
      <c r="A3582" s="313" t="s">
        <v>1313</v>
      </c>
      <c r="B3582" s="313" t="s">
        <v>26</v>
      </c>
      <c r="C3582" s="313" t="s">
        <v>1514</v>
      </c>
      <c r="D3582" s="313" t="s">
        <v>24</v>
      </c>
      <c r="E3582" s="313" t="s">
        <v>1316</v>
      </c>
    </row>
    <row r="3583" spans="1:5" x14ac:dyDescent="0.25">
      <c r="A3583" s="313" t="s">
        <v>1313</v>
      </c>
      <c r="B3583" s="313" t="s">
        <v>26</v>
      </c>
      <c r="C3583" s="313" t="s">
        <v>1515</v>
      </c>
      <c r="D3583" s="313" t="s">
        <v>24</v>
      </c>
      <c r="E3583" s="313" t="s">
        <v>1316</v>
      </c>
    </row>
    <row r="3584" spans="1:5" x14ac:dyDescent="0.25">
      <c r="A3584" s="313" t="s">
        <v>1313</v>
      </c>
      <c r="B3584" s="313" t="s">
        <v>26</v>
      </c>
      <c r="C3584" s="313" t="s">
        <v>1516</v>
      </c>
      <c r="D3584" s="313" t="s">
        <v>24</v>
      </c>
      <c r="E3584" s="313" t="s">
        <v>1316</v>
      </c>
    </row>
    <row r="3585" spans="1:5" x14ac:dyDescent="0.25">
      <c r="A3585" s="313" t="s">
        <v>1313</v>
      </c>
      <c r="B3585" s="313" t="s">
        <v>26</v>
      </c>
      <c r="C3585" s="313" t="s">
        <v>1517</v>
      </c>
      <c r="D3585" s="313" t="s">
        <v>24</v>
      </c>
      <c r="E3585" s="313" t="s">
        <v>1316</v>
      </c>
    </row>
    <row r="3586" spans="1:5" x14ac:dyDescent="0.25">
      <c r="A3586" s="313" t="s">
        <v>1313</v>
      </c>
      <c r="B3586" s="313" t="s">
        <v>26</v>
      </c>
      <c r="C3586" s="313" t="s">
        <v>1518</v>
      </c>
      <c r="D3586" s="313" t="s">
        <v>24</v>
      </c>
      <c r="E3586" s="313" t="s">
        <v>1316</v>
      </c>
    </row>
    <row r="3587" spans="1:5" x14ac:dyDescent="0.25">
      <c r="A3587" s="313" t="s">
        <v>1313</v>
      </c>
      <c r="B3587" s="313" t="s">
        <v>26</v>
      </c>
      <c r="C3587" s="313" t="s">
        <v>1519</v>
      </c>
      <c r="D3587" s="313" t="s">
        <v>24</v>
      </c>
      <c r="E3587" s="313" t="s">
        <v>1316</v>
      </c>
    </row>
    <row r="3588" spans="1:5" x14ac:dyDescent="0.25">
      <c r="A3588" s="313" t="s">
        <v>1317</v>
      </c>
      <c r="B3588" s="313" t="s">
        <v>19</v>
      </c>
      <c r="C3588" s="313" t="s">
        <v>1466</v>
      </c>
      <c r="D3588" s="313" t="s">
        <v>26</v>
      </c>
      <c r="E3588" s="313" t="s">
        <v>24</v>
      </c>
    </row>
    <row r="3589" spans="1:5" x14ac:dyDescent="0.25">
      <c r="A3589" s="313" t="s">
        <v>1317</v>
      </c>
      <c r="B3589" s="313" t="s">
        <v>19</v>
      </c>
      <c r="C3589" s="313" t="s">
        <v>1471</v>
      </c>
      <c r="D3589" s="313" t="s">
        <v>35</v>
      </c>
      <c r="E3589" s="313" t="s">
        <v>24</v>
      </c>
    </row>
    <row r="3590" spans="1:5" x14ac:dyDescent="0.25">
      <c r="A3590" s="313" t="s">
        <v>1317</v>
      </c>
      <c r="B3590" s="313" t="s">
        <v>19</v>
      </c>
      <c r="C3590" s="313" t="s">
        <v>1475</v>
      </c>
      <c r="D3590" s="313" t="s">
        <v>19</v>
      </c>
      <c r="E3590" s="313" t="s">
        <v>1318</v>
      </c>
    </row>
    <row r="3591" spans="1:5" x14ac:dyDescent="0.25">
      <c r="A3591" s="313" t="s">
        <v>1317</v>
      </c>
      <c r="B3591" s="313" t="s">
        <v>19</v>
      </c>
      <c r="C3591" s="313" t="s">
        <v>20</v>
      </c>
      <c r="D3591" s="313" t="s">
        <v>19</v>
      </c>
      <c r="E3591" s="313" t="s">
        <v>1318</v>
      </c>
    </row>
    <row r="3592" spans="1:5" x14ac:dyDescent="0.25">
      <c r="A3592" s="313" t="s">
        <v>1317</v>
      </c>
      <c r="B3592" s="313" t="s">
        <v>19</v>
      </c>
      <c r="C3592" s="313" t="s">
        <v>1487</v>
      </c>
      <c r="D3592" s="313" t="s">
        <v>26</v>
      </c>
      <c r="E3592" s="313" t="s">
        <v>24</v>
      </c>
    </row>
    <row r="3593" spans="1:5" x14ac:dyDescent="0.25">
      <c r="A3593" s="313" t="s">
        <v>1317</v>
      </c>
      <c r="B3593" s="313" t="s">
        <v>19</v>
      </c>
      <c r="C3593" s="313" t="s">
        <v>1495</v>
      </c>
      <c r="D3593" s="313" t="s">
        <v>35</v>
      </c>
      <c r="E3593" s="313" t="s">
        <v>24</v>
      </c>
    </row>
    <row r="3594" spans="1:5" x14ac:dyDescent="0.25">
      <c r="A3594" s="313" t="s">
        <v>1317</v>
      </c>
      <c r="B3594" s="313" t="s">
        <v>26</v>
      </c>
      <c r="C3594" s="313" t="s">
        <v>1501</v>
      </c>
      <c r="D3594" s="313" t="s">
        <v>24</v>
      </c>
      <c r="E3594" s="313" t="s">
        <v>1318</v>
      </c>
    </row>
    <row r="3595" spans="1:5" x14ac:dyDescent="0.25">
      <c r="A3595" s="313" t="s">
        <v>1317</v>
      </c>
      <c r="B3595" s="313" t="s">
        <v>26</v>
      </c>
      <c r="C3595" s="313" t="s">
        <v>1502</v>
      </c>
      <c r="D3595" s="313" t="s">
        <v>24</v>
      </c>
      <c r="E3595" s="313" t="s">
        <v>1759</v>
      </c>
    </row>
    <row r="3596" spans="1:5" x14ac:dyDescent="0.25">
      <c r="A3596" s="313" t="s">
        <v>1317</v>
      </c>
      <c r="B3596" s="313" t="s">
        <v>26</v>
      </c>
      <c r="C3596" s="313" t="s">
        <v>1503</v>
      </c>
      <c r="D3596" s="313" t="s">
        <v>24</v>
      </c>
      <c r="E3596" s="313" t="s">
        <v>1318</v>
      </c>
    </row>
    <row r="3597" spans="1:5" x14ac:dyDescent="0.25">
      <c r="A3597" s="313" t="s">
        <v>1317</v>
      </c>
      <c r="B3597" s="313" t="s">
        <v>26</v>
      </c>
      <c r="C3597" s="313" t="s">
        <v>1514</v>
      </c>
      <c r="D3597" s="313" t="s">
        <v>24</v>
      </c>
      <c r="E3597" s="313" t="s">
        <v>1318</v>
      </c>
    </row>
    <row r="3598" spans="1:5" x14ac:dyDescent="0.25">
      <c r="A3598" s="313" t="s">
        <v>1317</v>
      </c>
      <c r="B3598" s="313" t="s">
        <v>26</v>
      </c>
      <c r="C3598" s="313" t="s">
        <v>1515</v>
      </c>
      <c r="D3598" s="313" t="s">
        <v>24</v>
      </c>
      <c r="E3598" s="313" t="s">
        <v>1759</v>
      </c>
    </row>
    <row r="3599" spans="1:5" x14ac:dyDescent="0.25">
      <c r="A3599" s="313" t="s">
        <v>1317</v>
      </c>
      <c r="B3599" s="313" t="s">
        <v>26</v>
      </c>
      <c r="C3599" s="313" t="s">
        <v>1516</v>
      </c>
      <c r="D3599" s="313" t="s">
        <v>24</v>
      </c>
      <c r="E3599" s="313" t="s">
        <v>1318</v>
      </c>
    </row>
    <row r="3600" spans="1:5" x14ac:dyDescent="0.25">
      <c r="A3600" s="313" t="s">
        <v>1317</v>
      </c>
      <c r="B3600" s="313" t="s">
        <v>26</v>
      </c>
      <c r="C3600" s="313" t="s">
        <v>1517</v>
      </c>
      <c r="D3600" s="313" t="s">
        <v>24</v>
      </c>
      <c r="E3600" s="313" t="s">
        <v>1318</v>
      </c>
    </row>
    <row r="3601" spans="1:5" x14ac:dyDescent="0.25">
      <c r="A3601" s="313" t="s">
        <v>1317</v>
      </c>
      <c r="B3601" s="313" t="s">
        <v>26</v>
      </c>
      <c r="C3601" s="313" t="s">
        <v>1518</v>
      </c>
      <c r="D3601" s="313" t="s">
        <v>24</v>
      </c>
      <c r="E3601" s="313" t="s">
        <v>1318</v>
      </c>
    </row>
    <row r="3602" spans="1:5" x14ac:dyDescent="0.25">
      <c r="A3602" s="313" t="s">
        <v>1317</v>
      </c>
      <c r="B3602" s="313" t="s">
        <v>26</v>
      </c>
      <c r="C3602" s="313" t="s">
        <v>1519</v>
      </c>
      <c r="D3602" s="313" t="s">
        <v>24</v>
      </c>
      <c r="E3602" s="313" t="s">
        <v>1318</v>
      </c>
    </row>
    <row r="3603" spans="1:5" x14ac:dyDescent="0.25">
      <c r="A3603" s="313" t="s">
        <v>1321</v>
      </c>
      <c r="B3603" s="313" t="s">
        <v>19</v>
      </c>
      <c r="C3603" s="313" t="s">
        <v>1466</v>
      </c>
      <c r="D3603" s="313" t="s">
        <v>35</v>
      </c>
      <c r="E3603" s="313" t="s">
        <v>24</v>
      </c>
    </row>
    <row r="3604" spans="1:5" x14ac:dyDescent="0.25">
      <c r="A3604" s="313" t="s">
        <v>1321</v>
      </c>
      <c r="B3604" s="313" t="s">
        <v>19</v>
      </c>
      <c r="C3604" s="313" t="s">
        <v>1471</v>
      </c>
      <c r="D3604" s="313" t="s">
        <v>35</v>
      </c>
      <c r="E3604" s="313" t="s">
        <v>24</v>
      </c>
    </row>
    <row r="3605" spans="1:5" x14ac:dyDescent="0.25">
      <c r="A3605" s="313" t="s">
        <v>1321</v>
      </c>
      <c r="B3605" s="313" t="s">
        <v>19</v>
      </c>
      <c r="C3605" s="313" t="s">
        <v>1475</v>
      </c>
      <c r="D3605" s="313" t="s">
        <v>35</v>
      </c>
      <c r="E3605" s="313" t="s">
        <v>24</v>
      </c>
    </row>
    <row r="3606" spans="1:5" x14ac:dyDescent="0.25">
      <c r="A3606" s="313" t="s">
        <v>1321</v>
      </c>
      <c r="B3606" s="313" t="s">
        <v>19</v>
      </c>
      <c r="C3606" s="313" t="s">
        <v>20</v>
      </c>
      <c r="D3606" s="313" t="s">
        <v>35</v>
      </c>
      <c r="E3606" s="313" t="s">
        <v>46</v>
      </c>
    </row>
    <row r="3607" spans="1:5" x14ac:dyDescent="0.25">
      <c r="A3607" s="313" t="s">
        <v>1321</v>
      </c>
      <c r="B3607" s="313" t="s">
        <v>19</v>
      </c>
      <c r="C3607" s="313" t="s">
        <v>1487</v>
      </c>
      <c r="D3607" s="313" t="s">
        <v>35</v>
      </c>
      <c r="E3607" s="313" t="s">
        <v>24</v>
      </c>
    </row>
    <row r="3608" spans="1:5" x14ac:dyDescent="0.25">
      <c r="A3608" s="313" t="s">
        <v>1321</v>
      </c>
      <c r="B3608" s="313" t="s">
        <v>19</v>
      </c>
      <c r="C3608" s="313" t="s">
        <v>1495</v>
      </c>
      <c r="D3608" s="313" t="s">
        <v>35</v>
      </c>
      <c r="E3608" s="313" t="s">
        <v>24</v>
      </c>
    </row>
    <row r="3609" spans="1:5" x14ac:dyDescent="0.25">
      <c r="A3609" s="313" t="s">
        <v>1323</v>
      </c>
      <c r="B3609" s="313" t="s">
        <v>19</v>
      </c>
      <c r="C3609" s="313" t="s">
        <v>1466</v>
      </c>
      <c r="D3609" s="313" t="s">
        <v>19</v>
      </c>
      <c r="E3609" s="313" t="s">
        <v>1324</v>
      </c>
    </row>
    <row r="3610" spans="1:5" x14ac:dyDescent="0.25">
      <c r="A3610" s="313" t="s">
        <v>1323</v>
      </c>
      <c r="B3610" s="313" t="s">
        <v>19</v>
      </c>
      <c r="C3610" s="313" t="s">
        <v>1471</v>
      </c>
      <c r="D3610" s="313" t="s">
        <v>35</v>
      </c>
      <c r="E3610" s="313" t="s">
        <v>24</v>
      </c>
    </row>
    <row r="3611" spans="1:5" x14ac:dyDescent="0.25">
      <c r="A3611" s="313" t="s">
        <v>1323</v>
      </c>
      <c r="B3611" s="313" t="s">
        <v>19</v>
      </c>
      <c r="C3611" s="313" t="s">
        <v>1475</v>
      </c>
      <c r="D3611" s="313" t="s">
        <v>19</v>
      </c>
      <c r="E3611" s="313" t="s">
        <v>1324</v>
      </c>
    </row>
    <row r="3612" spans="1:5" x14ac:dyDescent="0.25">
      <c r="A3612" s="313" t="s">
        <v>1323</v>
      </c>
      <c r="B3612" s="313" t="s">
        <v>19</v>
      </c>
      <c r="C3612" s="313" t="s">
        <v>20</v>
      </c>
      <c r="D3612" s="313" t="s">
        <v>26</v>
      </c>
      <c r="E3612" s="313" t="s">
        <v>24</v>
      </c>
    </row>
    <row r="3613" spans="1:5" x14ac:dyDescent="0.25">
      <c r="A3613" s="313" t="s">
        <v>1323</v>
      </c>
      <c r="B3613" s="313" t="s">
        <v>19</v>
      </c>
      <c r="C3613" s="313" t="s">
        <v>1487</v>
      </c>
      <c r="D3613" s="313" t="s">
        <v>26</v>
      </c>
      <c r="E3613" s="313" t="s">
        <v>24</v>
      </c>
    </row>
    <row r="3614" spans="1:5" x14ac:dyDescent="0.25">
      <c r="A3614" s="313" t="s">
        <v>1323</v>
      </c>
      <c r="B3614" s="313" t="s">
        <v>19</v>
      </c>
      <c r="C3614" s="313" t="s">
        <v>1495</v>
      </c>
      <c r="D3614" s="313" t="s">
        <v>35</v>
      </c>
      <c r="E3614" s="313" t="s">
        <v>24</v>
      </c>
    </row>
    <row r="3615" spans="1:5" x14ac:dyDescent="0.25">
      <c r="A3615" s="313" t="s">
        <v>1323</v>
      </c>
      <c r="B3615" s="313" t="s">
        <v>26</v>
      </c>
      <c r="C3615" s="313" t="s">
        <v>1509</v>
      </c>
      <c r="D3615" s="313" t="s">
        <v>24</v>
      </c>
      <c r="E3615" s="313" t="s">
        <v>1760</v>
      </c>
    </row>
    <row r="3616" spans="1:5" x14ac:dyDescent="0.25">
      <c r="A3616" s="313" t="s">
        <v>1323</v>
      </c>
      <c r="B3616" s="313" t="s">
        <v>26</v>
      </c>
      <c r="C3616" s="313" t="s">
        <v>1510</v>
      </c>
      <c r="D3616" s="313" t="s">
        <v>24</v>
      </c>
      <c r="E3616" s="313" t="s">
        <v>1324</v>
      </c>
    </row>
    <row r="3617" spans="1:5" x14ac:dyDescent="0.25">
      <c r="A3617" s="313" t="s">
        <v>1323</v>
      </c>
      <c r="B3617" s="313" t="s">
        <v>26</v>
      </c>
      <c r="C3617" s="313" t="s">
        <v>1511</v>
      </c>
      <c r="D3617" s="313" t="s">
        <v>24</v>
      </c>
      <c r="E3617" s="313" t="s">
        <v>1760</v>
      </c>
    </row>
    <row r="3618" spans="1:5" x14ac:dyDescent="0.25">
      <c r="A3618" s="313" t="s">
        <v>1323</v>
      </c>
      <c r="B3618" s="313" t="s">
        <v>26</v>
      </c>
      <c r="C3618" s="313" t="s">
        <v>27</v>
      </c>
      <c r="D3618" s="313" t="s">
        <v>24</v>
      </c>
      <c r="E3618" s="313" t="s">
        <v>1324</v>
      </c>
    </row>
    <row r="3619" spans="1:5" x14ac:dyDescent="0.25">
      <c r="A3619" s="313" t="s">
        <v>1323</v>
      </c>
      <c r="B3619" s="313" t="s">
        <v>26</v>
      </c>
      <c r="C3619" s="313" t="s">
        <v>1512</v>
      </c>
      <c r="D3619" s="313" t="s">
        <v>24</v>
      </c>
      <c r="E3619" s="313" t="s">
        <v>1324</v>
      </c>
    </row>
    <row r="3620" spans="1:5" x14ac:dyDescent="0.25">
      <c r="A3620" s="313" t="s">
        <v>1323</v>
      </c>
      <c r="B3620" s="313" t="s">
        <v>26</v>
      </c>
      <c r="C3620" s="313" t="s">
        <v>1513</v>
      </c>
      <c r="D3620" s="313" t="s">
        <v>24</v>
      </c>
      <c r="E3620" s="313" t="s">
        <v>1324</v>
      </c>
    </row>
    <row r="3621" spans="1:5" x14ac:dyDescent="0.25">
      <c r="A3621" s="313" t="s">
        <v>1323</v>
      </c>
      <c r="B3621" s="313" t="s">
        <v>26</v>
      </c>
      <c r="C3621" s="313" t="s">
        <v>1514</v>
      </c>
      <c r="D3621" s="313" t="s">
        <v>24</v>
      </c>
      <c r="E3621" s="313" t="s">
        <v>1324</v>
      </c>
    </row>
    <row r="3622" spans="1:5" x14ac:dyDescent="0.25">
      <c r="A3622" s="313" t="s">
        <v>1323</v>
      </c>
      <c r="B3622" s="313" t="s">
        <v>26</v>
      </c>
      <c r="C3622" s="313" t="s">
        <v>1515</v>
      </c>
      <c r="D3622" s="313" t="s">
        <v>24</v>
      </c>
      <c r="E3622" s="313" t="s">
        <v>1324</v>
      </c>
    </row>
    <row r="3623" spans="1:5" x14ac:dyDescent="0.25">
      <c r="A3623" s="313" t="s">
        <v>1323</v>
      </c>
      <c r="B3623" s="313" t="s">
        <v>26</v>
      </c>
      <c r="C3623" s="313" t="s">
        <v>1516</v>
      </c>
      <c r="D3623" s="313" t="s">
        <v>24</v>
      </c>
      <c r="E3623" s="313" t="s">
        <v>1324</v>
      </c>
    </row>
    <row r="3624" spans="1:5" x14ac:dyDescent="0.25">
      <c r="A3624" s="313" t="s">
        <v>1323</v>
      </c>
      <c r="B3624" s="313" t="s">
        <v>26</v>
      </c>
      <c r="C3624" s="313" t="s">
        <v>1517</v>
      </c>
      <c r="D3624" s="313" t="s">
        <v>24</v>
      </c>
      <c r="E3624" s="313" t="s">
        <v>1324</v>
      </c>
    </row>
    <row r="3625" spans="1:5" x14ac:dyDescent="0.25">
      <c r="A3625" s="313" t="s">
        <v>1323</v>
      </c>
      <c r="B3625" s="313" t="s">
        <v>26</v>
      </c>
      <c r="C3625" s="313" t="s">
        <v>1518</v>
      </c>
      <c r="D3625" s="313" t="s">
        <v>24</v>
      </c>
      <c r="E3625" s="313" t="s">
        <v>1324</v>
      </c>
    </row>
    <row r="3626" spans="1:5" x14ac:dyDescent="0.25">
      <c r="A3626" s="313" t="s">
        <v>1323</v>
      </c>
      <c r="B3626" s="313" t="s">
        <v>26</v>
      </c>
      <c r="C3626" s="313" t="s">
        <v>1519</v>
      </c>
      <c r="D3626" s="313" t="s">
        <v>24</v>
      </c>
      <c r="E3626" s="313" t="s">
        <v>1761</v>
      </c>
    </row>
    <row r="3627" spans="1:5" x14ac:dyDescent="0.25">
      <c r="A3627" s="313" t="s">
        <v>1327</v>
      </c>
      <c r="B3627" s="313" t="s">
        <v>19</v>
      </c>
      <c r="C3627" s="313" t="s">
        <v>1466</v>
      </c>
      <c r="D3627" s="313" t="s">
        <v>35</v>
      </c>
      <c r="E3627" s="313" t="s">
        <v>24</v>
      </c>
    </row>
    <row r="3628" spans="1:5" x14ac:dyDescent="0.25">
      <c r="A3628" s="313" t="s">
        <v>1327</v>
      </c>
      <c r="B3628" s="313" t="s">
        <v>19</v>
      </c>
      <c r="C3628" s="313" t="s">
        <v>1471</v>
      </c>
      <c r="D3628" s="313" t="s">
        <v>35</v>
      </c>
      <c r="E3628" s="313" t="s">
        <v>24</v>
      </c>
    </row>
    <row r="3629" spans="1:5" x14ac:dyDescent="0.25">
      <c r="A3629" s="313" t="s">
        <v>1327</v>
      </c>
      <c r="B3629" s="313" t="s">
        <v>19</v>
      </c>
      <c r="C3629" s="313" t="s">
        <v>1475</v>
      </c>
      <c r="D3629" s="313" t="s">
        <v>35</v>
      </c>
      <c r="E3629" s="313" t="s">
        <v>24</v>
      </c>
    </row>
    <row r="3630" spans="1:5" x14ac:dyDescent="0.25">
      <c r="A3630" s="313" t="s">
        <v>1327</v>
      </c>
      <c r="B3630" s="313" t="s">
        <v>19</v>
      </c>
      <c r="C3630" s="313" t="s">
        <v>20</v>
      </c>
      <c r="D3630" s="313" t="s">
        <v>35</v>
      </c>
      <c r="E3630" s="313" t="s">
        <v>24</v>
      </c>
    </row>
    <row r="3631" spans="1:5" x14ac:dyDescent="0.25">
      <c r="A3631" s="313" t="s">
        <v>1327</v>
      </c>
      <c r="B3631" s="313" t="s">
        <v>19</v>
      </c>
      <c r="C3631" s="313" t="s">
        <v>1487</v>
      </c>
      <c r="D3631" s="313" t="s">
        <v>35</v>
      </c>
      <c r="E3631" s="313" t="s">
        <v>24</v>
      </c>
    </row>
    <row r="3632" spans="1:5" x14ac:dyDescent="0.25">
      <c r="A3632" s="313" t="s">
        <v>1327</v>
      </c>
      <c r="B3632" s="313" t="s">
        <v>19</v>
      </c>
      <c r="C3632" s="313" t="s">
        <v>1495</v>
      </c>
      <c r="D3632" s="313" t="s">
        <v>35</v>
      </c>
      <c r="E3632" s="313" t="s">
        <v>24</v>
      </c>
    </row>
    <row r="3633" spans="1:5" x14ac:dyDescent="0.25">
      <c r="A3633" s="313" t="s">
        <v>1330</v>
      </c>
      <c r="B3633" s="313" t="s">
        <v>19</v>
      </c>
      <c r="C3633" s="313" t="s">
        <v>1466</v>
      </c>
      <c r="D3633" s="313" t="s">
        <v>19</v>
      </c>
      <c r="E3633" s="313" t="s">
        <v>1331</v>
      </c>
    </row>
    <row r="3634" spans="1:5" x14ac:dyDescent="0.25">
      <c r="A3634" s="313" t="s">
        <v>1330</v>
      </c>
      <c r="B3634" s="313" t="s">
        <v>19</v>
      </c>
      <c r="C3634" s="313" t="s">
        <v>1471</v>
      </c>
      <c r="D3634" s="313" t="s">
        <v>26</v>
      </c>
      <c r="E3634" s="313" t="s">
        <v>24</v>
      </c>
    </row>
    <row r="3635" spans="1:5" x14ac:dyDescent="0.25">
      <c r="A3635" s="313" t="s">
        <v>1330</v>
      </c>
      <c r="B3635" s="313" t="s">
        <v>19</v>
      </c>
      <c r="C3635" s="313" t="s">
        <v>1475</v>
      </c>
      <c r="D3635" s="313" t="s">
        <v>19</v>
      </c>
      <c r="E3635" s="313" t="s">
        <v>1331</v>
      </c>
    </row>
    <row r="3636" spans="1:5" x14ac:dyDescent="0.25">
      <c r="A3636" s="313" t="s">
        <v>1330</v>
      </c>
      <c r="B3636" s="313" t="s">
        <v>19</v>
      </c>
      <c r="C3636" s="313" t="s">
        <v>20</v>
      </c>
      <c r="D3636" s="313" t="s">
        <v>26</v>
      </c>
      <c r="E3636" s="313" t="s">
        <v>24</v>
      </c>
    </row>
    <row r="3637" spans="1:5" x14ac:dyDescent="0.25">
      <c r="A3637" s="313" t="s">
        <v>1330</v>
      </c>
      <c r="B3637" s="313" t="s">
        <v>19</v>
      </c>
      <c r="C3637" s="313" t="s">
        <v>1487</v>
      </c>
      <c r="D3637" s="313" t="s">
        <v>26</v>
      </c>
      <c r="E3637" s="313" t="s">
        <v>24</v>
      </c>
    </row>
    <row r="3638" spans="1:5" x14ac:dyDescent="0.25">
      <c r="A3638" s="313" t="s">
        <v>1330</v>
      </c>
      <c r="B3638" s="313" t="s">
        <v>19</v>
      </c>
      <c r="C3638" s="313" t="s">
        <v>1495</v>
      </c>
      <c r="D3638" s="313" t="s">
        <v>35</v>
      </c>
      <c r="E3638" s="313" t="s">
        <v>24</v>
      </c>
    </row>
    <row r="3639" spans="1:5" x14ac:dyDescent="0.25">
      <c r="A3639" s="313" t="s">
        <v>1330</v>
      </c>
      <c r="B3639" s="313" t="s">
        <v>26</v>
      </c>
      <c r="C3639" s="313" t="s">
        <v>2929</v>
      </c>
      <c r="D3639" s="313" t="s">
        <v>24</v>
      </c>
      <c r="E3639" s="313" t="s">
        <v>1762</v>
      </c>
    </row>
    <row r="3640" spans="1:5" x14ac:dyDescent="0.25">
      <c r="A3640" s="313" t="s">
        <v>1330</v>
      </c>
      <c r="B3640" s="313" t="s">
        <v>26</v>
      </c>
      <c r="C3640" s="313" t="s">
        <v>2930</v>
      </c>
      <c r="D3640" s="313" t="s">
        <v>24</v>
      </c>
      <c r="E3640" s="313" t="s">
        <v>35</v>
      </c>
    </row>
    <row r="3641" spans="1:5" x14ac:dyDescent="0.25">
      <c r="A3641" s="313" t="s">
        <v>1330</v>
      </c>
      <c r="B3641" s="313" t="s">
        <v>26</v>
      </c>
      <c r="C3641" s="313" t="s">
        <v>1509</v>
      </c>
      <c r="D3641" s="313" t="s">
        <v>24</v>
      </c>
      <c r="E3641" s="313" t="s">
        <v>1331</v>
      </c>
    </row>
    <row r="3642" spans="1:5" x14ac:dyDescent="0.25">
      <c r="A3642" s="313" t="s">
        <v>1330</v>
      </c>
      <c r="B3642" s="313" t="s">
        <v>26</v>
      </c>
      <c r="C3642" s="313" t="s">
        <v>1510</v>
      </c>
      <c r="D3642" s="313" t="s">
        <v>24</v>
      </c>
      <c r="E3642" s="313" t="s">
        <v>1331</v>
      </c>
    </row>
    <row r="3643" spans="1:5" x14ac:dyDescent="0.25">
      <c r="A3643" s="313" t="s">
        <v>1330</v>
      </c>
      <c r="B3643" s="313" t="s">
        <v>26</v>
      </c>
      <c r="C3643" s="313" t="s">
        <v>1511</v>
      </c>
      <c r="D3643" s="313" t="s">
        <v>24</v>
      </c>
      <c r="E3643" s="313" t="s">
        <v>1763</v>
      </c>
    </row>
    <row r="3644" spans="1:5" x14ac:dyDescent="0.25">
      <c r="A3644" s="313" t="s">
        <v>1330</v>
      </c>
      <c r="B3644" s="313" t="s">
        <v>26</v>
      </c>
      <c r="C3644" s="313" t="s">
        <v>27</v>
      </c>
      <c r="D3644" s="313" t="s">
        <v>24</v>
      </c>
      <c r="E3644" s="313" t="s">
        <v>1331</v>
      </c>
    </row>
    <row r="3645" spans="1:5" x14ac:dyDescent="0.25">
      <c r="A3645" s="313" t="s">
        <v>1330</v>
      </c>
      <c r="B3645" s="313" t="s">
        <v>26</v>
      </c>
      <c r="C3645" s="313" t="s">
        <v>1512</v>
      </c>
      <c r="D3645" s="313" t="s">
        <v>24</v>
      </c>
      <c r="E3645" s="313" t="s">
        <v>1331</v>
      </c>
    </row>
    <row r="3646" spans="1:5" x14ac:dyDescent="0.25">
      <c r="A3646" s="313" t="s">
        <v>1330</v>
      </c>
      <c r="B3646" s="313" t="s">
        <v>26</v>
      </c>
      <c r="C3646" s="313" t="s">
        <v>1513</v>
      </c>
      <c r="D3646" s="313" t="s">
        <v>24</v>
      </c>
      <c r="E3646" s="313" t="s">
        <v>1331</v>
      </c>
    </row>
    <row r="3647" spans="1:5" x14ac:dyDescent="0.25">
      <c r="A3647" s="313" t="s">
        <v>1330</v>
      </c>
      <c r="B3647" s="313" t="s">
        <v>26</v>
      </c>
      <c r="C3647" s="313" t="s">
        <v>1514</v>
      </c>
      <c r="D3647" s="313" t="s">
        <v>24</v>
      </c>
      <c r="E3647" s="313" t="s">
        <v>1762</v>
      </c>
    </row>
    <row r="3648" spans="1:5" x14ac:dyDescent="0.25">
      <c r="A3648" s="313" t="s">
        <v>1330</v>
      </c>
      <c r="B3648" s="313" t="s">
        <v>26</v>
      </c>
      <c r="C3648" s="313" t="s">
        <v>1515</v>
      </c>
      <c r="D3648" s="313" t="s">
        <v>24</v>
      </c>
      <c r="E3648" s="313" t="s">
        <v>1762</v>
      </c>
    </row>
    <row r="3649" spans="1:5" x14ac:dyDescent="0.25">
      <c r="A3649" s="313" t="s">
        <v>1330</v>
      </c>
      <c r="B3649" s="313" t="s">
        <v>26</v>
      </c>
      <c r="C3649" s="313" t="s">
        <v>1516</v>
      </c>
      <c r="D3649" s="313" t="s">
        <v>24</v>
      </c>
      <c r="E3649" s="313" t="s">
        <v>1762</v>
      </c>
    </row>
    <row r="3650" spans="1:5" x14ac:dyDescent="0.25">
      <c r="A3650" s="313" t="s">
        <v>1330</v>
      </c>
      <c r="B3650" s="313" t="s">
        <v>26</v>
      </c>
      <c r="C3650" s="313" t="s">
        <v>1517</v>
      </c>
      <c r="D3650" s="313" t="s">
        <v>24</v>
      </c>
      <c r="E3650" s="313" t="s">
        <v>1331</v>
      </c>
    </row>
    <row r="3651" spans="1:5" x14ac:dyDescent="0.25">
      <c r="A3651" s="313" t="s">
        <v>1330</v>
      </c>
      <c r="B3651" s="313" t="s">
        <v>26</v>
      </c>
      <c r="C3651" s="313" t="s">
        <v>1518</v>
      </c>
      <c r="D3651" s="313" t="s">
        <v>24</v>
      </c>
      <c r="E3651" s="313" t="s">
        <v>1762</v>
      </c>
    </row>
    <row r="3652" spans="1:5" x14ac:dyDescent="0.25">
      <c r="A3652" s="313" t="s">
        <v>1330</v>
      </c>
      <c r="B3652" s="313" t="s">
        <v>26</v>
      </c>
      <c r="C3652" s="313" t="s">
        <v>1519</v>
      </c>
      <c r="D3652" s="313" t="s">
        <v>24</v>
      </c>
      <c r="E3652" s="313" t="s">
        <v>1762</v>
      </c>
    </row>
    <row r="3653" spans="1:5" x14ac:dyDescent="0.25">
      <c r="A3653" s="313" t="s">
        <v>1334</v>
      </c>
      <c r="B3653" s="313" t="s">
        <v>19</v>
      </c>
      <c r="C3653" s="313" t="s">
        <v>1466</v>
      </c>
      <c r="D3653" s="313" t="s">
        <v>19</v>
      </c>
      <c r="E3653" s="313" t="s">
        <v>1335</v>
      </c>
    </row>
    <row r="3654" spans="1:5" x14ac:dyDescent="0.25">
      <c r="A3654" s="313" t="s">
        <v>1334</v>
      </c>
      <c r="B3654" s="313" t="s">
        <v>19</v>
      </c>
      <c r="C3654" s="313" t="s">
        <v>1471</v>
      </c>
      <c r="D3654" s="313" t="s">
        <v>26</v>
      </c>
      <c r="E3654" s="313" t="s">
        <v>24</v>
      </c>
    </row>
    <row r="3655" spans="1:5" x14ac:dyDescent="0.25">
      <c r="A3655" s="313" t="s">
        <v>1334</v>
      </c>
      <c r="B3655" s="313" t="s">
        <v>19</v>
      </c>
      <c r="C3655" s="313" t="s">
        <v>1475</v>
      </c>
      <c r="D3655" s="313" t="s">
        <v>35</v>
      </c>
      <c r="E3655" s="313" t="s">
        <v>24</v>
      </c>
    </row>
    <row r="3656" spans="1:5" x14ac:dyDescent="0.25">
      <c r="A3656" s="313" t="s">
        <v>1334</v>
      </c>
      <c r="B3656" s="313" t="s">
        <v>19</v>
      </c>
      <c r="C3656" s="313" t="s">
        <v>20</v>
      </c>
      <c r="D3656" s="313" t="s">
        <v>19</v>
      </c>
      <c r="E3656" s="313" t="s">
        <v>1335</v>
      </c>
    </row>
    <row r="3657" spans="1:5" x14ac:dyDescent="0.25">
      <c r="A3657" s="313" t="s">
        <v>1334</v>
      </c>
      <c r="B3657" s="313" t="s">
        <v>19</v>
      </c>
      <c r="C3657" s="313" t="s">
        <v>1487</v>
      </c>
      <c r="D3657" s="313" t="s">
        <v>26</v>
      </c>
      <c r="E3657" s="313" t="s">
        <v>24</v>
      </c>
    </row>
    <row r="3658" spans="1:5" x14ac:dyDescent="0.25">
      <c r="A3658" s="313" t="s">
        <v>1334</v>
      </c>
      <c r="B3658" s="313" t="s">
        <v>19</v>
      </c>
      <c r="C3658" s="313" t="s">
        <v>1495</v>
      </c>
      <c r="D3658" s="313" t="s">
        <v>35</v>
      </c>
      <c r="E3658" s="313" t="s">
        <v>24</v>
      </c>
    </row>
    <row r="3659" spans="1:5" x14ac:dyDescent="0.25">
      <c r="A3659" s="313" t="s">
        <v>1334</v>
      </c>
      <c r="B3659" s="313" t="s">
        <v>26</v>
      </c>
      <c r="C3659" s="313" t="s">
        <v>2929</v>
      </c>
      <c r="D3659" s="313" t="s">
        <v>24</v>
      </c>
      <c r="E3659" s="313" t="s">
        <v>1335</v>
      </c>
    </row>
    <row r="3660" spans="1:5" x14ac:dyDescent="0.25">
      <c r="A3660" s="313" t="s">
        <v>1334</v>
      </c>
      <c r="B3660" s="313" t="s">
        <v>26</v>
      </c>
      <c r="C3660" s="313" t="s">
        <v>2930</v>
      </c>
      <c r="D3660" s="313" t="s">
        <v>24</v>
      </c>
      <c r="E3660" s="313" t="s">
        <v>35</v>
      </c>
    </row>
    <row r="3661" spans="1:5" x14ac:dyDescent="0.25">
      <c r="A3661" s="313" t="s">
        <v>1334</v>
      </c>
      <c r="B3661" s="313" t="s">
        <v>26</v>
      </c>
      <c r="C3661" s="313" t="s">
        <v>1514</v>
      </c>
      <c r="D3661" s="313" t="s">
        <v>24</v>
      </c>
      <c r="E3661" s="313" t="s">
        <v>1335</v>
      </c>
    </row>
    <row r="3662" spans="1:5" x14ac:dyDescent="0.25">
      <c r="A3662" s="313" t="s">
        <v>1334</v>
      </c>
      <c r="B3662" s="313" t="s">
        <v>26</v>
      </c>
      <c r="C3662" s="313" t="s">
        <v>1515</v>
      </c>
      <c r="D3662" s="313" t="s">
        <v>24</v>
      </c>
      <c r="E3662" s="313" t="s">
        <v>1335</v>
      </c>
    </row>
    <row r="3663" spans="1:5" x14ac:dyDescent="0.25">
      <c r="A3663" s="313" t="s">
        <v>1334</v>
      </c>
      <c r="B3663" s="313" t="s">
        <v>26</v>
      </c>
      <c r="C3663" s="313" t="s">
        <v>1516</v>
      </c>
      <c r="D3663" s="313" t="s">
        <v>24</v>
      </c>
      <c r="E3663" s="313" t="s">
        <v>1335</v>
      </c>
    </row>
    <row r="3664" spans="1:5" x14ac:dyDescent="0.25">
      <c r="A3664" s="313" t="s">
        <v>1334</v>
      </c>
      <c r="B3664" s="313" t="s">
        <v>26</v>
      </c>
      <c r="C3664" s="313" t="s">
        <v>1517</v>
      </c>
      <c r="D3664" s="313" t="s">
        <v>24</v>
      </c>
      <c r="E3664" s="313" t="s">
        <v>1335</v>
      </c>
    </row>
    <row r="3665" spans="1:5" x14ac:dyDescent="0.25">
      <c r="A3665" s="313" t="s">
        <v>1334</v>
      </c>
      <c r="B3665" s="313" t="s">
        <v>26</v>
      </c>
      <c r="C3665" s="313" t="s">
        <v>1518</v>
      </c>
      <c r="D3665" s="313" t="s">
        <v>24</v>
      </c>
      <c r="E3665" s="313" t="s">
        <v>1335</v>
      </c>
    </row>
    <row r="3666" spans="1:5" x14ac:dyDescent="0.25">
      <c r="A3666" s="313" t="s">
        <v>1334</v>
      </c>
      <c r="B3666" s="313" t="s">
        <v>26</v>
      </c>
      <c r="C3666" s="313" t="s">
        <v>1519</v>
      </c>
      <c r="D3666" s="313" t="s">
        <v>24</v>
      </c>
      <c r="E3666" s="313" t="s">
        <v>1764</v>
      </c>
    </row>
    <row r="3667" spans="1:5" x14ac:dyDescent="0.25">
      <c r="A3667" s="313" t="s">
        <v>1338</v>
      </c>
      <c r="B3667" s="313" t="s">
        <v>19</v>
      </c>
      <c r="C3667" s="313" t="s">
        <v>1466</v>
      </c>
      <c r="D3667" s="313" t="s">
        <v>35</v>
      </c>
      <c r="E3667" s="313" t="s">
        <v>24</v>
      </c>
    </row>
    <row r="3668" spans="1:5" x14ac:dyDescent="0.25">
      <c r="A3668" s="313" t="s">
        <v>1338</v>
      </c>
      <c r="B3668" s="313" t="s">
        <v>19</v>
      </c>
      <c r="C3668" s="313" t="s">
        <v>1471</v>
      </c>
      <c r="D3668" s="313" t="s">
        <v>35</v>
      </c>
      <c r="E3668" s="313" t="s">
        <v>24</v>
      </c>
    </row>
    <row r="3669" spans="1:5" x14ac:dyDescent="0.25">
      <c r="A3669" s="313" t="s">
        <v>1338</v>
      </c>
      <c r="B3669" s="313" t="s">
        <v>19</v>
      </c>
      <c r="C3669" s="313" t="s">
        <v>1475</v>
      </c>
      <c r="D3669" s="313" t="s">
        <v>35</v>
      </c>
      <c r="E3669" s="313" t="s">
        <v>24</v>
      </c>
    </row>
    <row r="3670" spans="1:5" x14ac:dyDescent="0.25">
      <c r="A3670" s="313" t="s">
        <v>1338</v>
      </c>
      <c r="B3670" s="313" t="s">
        <v>19</v>
      </c>
      <c r="C3670" s="313" t="s">
        <v>20</v>
      </c>
      <c r="D3670" s="313" t="s">
        <v>35</v>
      </c>
      <c r="E3670" s="313" t="s">
        <v>24</v>
      </c>
    </row>
    <row r="3671" spans="1:5" x14ac:dyDescent="0.25">
      <c r="A3671" s="313" t="s">
        <v>1338</v>
      </c>
      <c r="B3671" s="313" t="s">
        <v>19</v>
      </c>
      <c r="C3671" s="313" t="s">
        <v>1487</v>
      </c>
      <c r="D3671" s="313" t="s">
        <v>26</v>
      </c>
      <c r="E3671" s="313" t="s">
        <v>24</v>
      </c>
    </row>
    <row r="3672" spans="1:5" x14ac:dyDescent="0.25">
      <c r="A3672" s="313" t="s">
        <v>1338</v>
      </c>
      <c r="B3672" s="313" t="s">
        <v>19</v>
      </c>
      <c r="C3672" s="313" t="s">
        <v>1495</v>
      </c>
      <c r="D3672" s="313" t="s">
        <v>35</v>
      </c>
      <c r="E3672" s="313" t="s">
        <v>24</v>
      </c>
    </row>
    <row r="3673" spans="1:5" x14ac:dyDescent="0.25">
      <c r="A3673" s="313" t="s">
        <v>1338</v>
      </c>
      <c r="B3673" s="313" t="s">
        <v>26</v>
      </c>
      <c r="C3673" s="313" t="s">
        <v>1514</v>
      </c>
      <c r="D3673" s="313" t="s">
        <v>24</v>
      </c>
      <c r="E3673" s="313" t="s">
        <v>1765</v>
      </c>
    </row>
    <row r="3674" spans="1:5" x14ac:dyDescent="0.25">
      <c r="A3674" s="313" t="s">
        <v>1338</v>
      </c>
      <c r="B3674" s="313" t="s">
        <v>26</v>
      </c>
      <c r="C3674" s="313" t="s">
        <v>1515</v>
      </c>
      <c r="D3674" s="313" t="s">
        <v>24</v>
      </c>
      <c r="E3674" s="313" t="s">
        <v>1765</v>
      </c>
    </row>
    <row r="3675" spans="1:5" x14ac:dyDescent="0.25">
      <c r="A3675" s="313" t="s">
        <v>1338</v>
      </c>
      <c r="B3675" s="313" t="s">
        <v>26</v>
      </c>
      <c r="C3675" s="313" t="s">
        <v>1516</v>
      </c>
      <c r="D3675" s="313" t="s">
        <v>24</v>
      </c>
      <c r="E3675" s="313" t="s">
        <v>1765</v>
      </c>
    </row>
    <row r="3676" spans="1:5" x14ac:dyDescent="0.25">
      <c r="A3676" s="313" t="s">
        <v>1338</v>
      </c>
      <c r="B3676" s="313" t="s">
        <v>26</v>
      </c>
      <c r="C3676" s="313" t="s">
        <v>1517</v>
      </c>
      <c r="D3676" s="313" t="s">
        <v>24</v>
      </c>
      <c r="E3676" s="313" t="s">
        <v>46</v>
      </c>
    </row>
    <row r="3677" spans="1:5" x14ac:dyDescent="0.25">
      <c r="A3677" s="313" t="s">
        <v>1338</v>
      </c>
      <c r="B3677" s="313" t="s">
        <v>26</v>
      </c>
      <c r="C3677" s="313" t="s">
        <v>1518</v>
      </c>
      <c r="D3677" s="313" t="s">
        <v>24</v>
      </c>
      <c r="E3677" s="313" t="s">
        <v>1766</v>
      </c>
    </row>
    <row r="3678" spans="1:5" x14ac:dyDescent="0.25">
      <c r="A3678" s="313" t="s">
        <v>1338</v>
      </c>
      <c r="B3678" s="313" t="s">
        <v>26</v>
      </c>
      <c r="C3678" s="313" t="s">
        <v>1519</v>
      </c>
      <c r="D3678" s="313" t="s">
        <v>24</v>
      </c>
      <c r="E3678" s="313" t="s">
        <v>1766</v>
      </c>
    </row>
    <row r="3679" spans="1:5" x14ac:dyDescent="0.25">
      <c r="A3679" s="313" t="s">
        <v>1341</v>
      </c>
      <c r="B3679" s="313" t="s">
        <v>19</v>
      </c>
      <c r="C3679" s="313" t="s">
        <v>1466</v>
      </c>
      <c r="D3679" s="313" t="s">
        <v>19</v>
      </c>
      <c r="E3679" s="313" t="s">
        <v>1342</v>
      </c>
    </row>
    <row r="3680" spans="1:5" x14ac:dyDescent="0.25">
      <c r="A3680" s="313" t="s">
        <v>1341</v>
      </c>
      <c r="B3680" s="313" t="s">
        <v>19</v>
      </c>
      <c r="C3680" s="313" t="s">
        <v>1471</v>
      </c>
      <c r="D3680" s="313" t="s">
        <v>26</v>
      </c>
      <c r="E3680" s="313" t="s">
        <v>24</v>
      </c>
    </row>
    <row r="3681" spans="1:5" x14ac:dyDescent="0.25">
      <c r="A3681" s="313" t="s">
        <v>1341</v>
      </c>
      <c r="B3681" s="313" t="s">
        <v>19</v>
      </c>
      <c r="C3681" s="313" t="s">
        <v>1475</v>
      </c>
      <c r="D3681" s="313" t="s">
        <v>19</v>
      </c>
      <c r="E3681" s="313" t="s">
        <v>1342</v>
      </c>
    </row>
    <row r="3682" spans="1:5" x14ac:dyDescent="0.25">
      <c r="A3682" s="313" t="s">
        <v>1341</v>
      </c>
      <c r="B3682" s="313" t="s">
        <v>19</v>
      </c>
      <c r="C3682" s="313" t="s">
        <v>20</v>
      </c>
      <c r="D3682" s="313" t="s">
        <v>26</v>
      </c>
      <c r="E3682" s="313" t="s">
        <v>24</v>
      </c>
    </row>
    <row r="3683" spans="1:5" x14ac:dyDescent="0.25">
      <c r="A3683" s="313" t="s">
        <v>1341</v>
      </c>
      <c r="B3683" s="313" t="s">
        <v>19</v>
      </c>
      <c r="C3683" s="313" t="s">
        <v>1487</v>
      </c>
      <c r="D3683" s="313" t="s">
        <v>26</v>
      </c>
      <c r="E3683" s="313" t="s">
        <v>24</v>
      </c>
    </row>
    <row r="3684" spans="1:5" x14ac:dyDescent="0.25">
      <c r="A3684" s="313" t="s">
        <v>1341</v>
      </c>
      <c r="B3684" s="313" t="s">
        <v>19</v>
      </c>
      <c r="C3684" s="313" t="s">
        <v>1495</v>
      </c>
      <c r="D3684" s="313" t="s">
        <v>35</v>
      </c>
      <c r="E3684" s="313" t="s">
        <v>24</v>
      </c>
    </row>
    <row r="3685" spans="1:5" x14ac:dyDescent="0.25">
      <c r="A3685" s="313" t="s">
        <v>1341</v>
      </c>
      <c r="B3685" s="313" t="s">
        <v>26</v>
      </c>
      <c r="C3685" s="313" t="s">
        <v>2929</v>
      </c>
      <c r="D3685" s="313" t="s">
        <v>24</v>
      </c>
      <c r="E3685" s="313" t="s">
        <v>1342</v>
      </c>
    </row>
    <row r="3686" spans="1:5" x14ac:dyDescent="0.25">
      <c r="A3686" s="313" t="s">
        <v>1341</v>
      </c>
      <c r="B3686" s="313" t="s">
        <v>26</v>
      </c>
      <c r="C3686" s="313" t="s">
        <v>2930</v>
      </c>
      <c r="D3686" s="313" t="s">
        <v>24</v>
      </c>
      <c r="E3686" s="313" t="s">
        <v>35</v>
      </c>
    </row>
    <row r="3687" spans="1:5" x14ac:dyDescent="0.25">
      <c r="A3687" s="313" t="s">
        <v>1341</v>
      </c>
      <c r="B3687" s="313" t="s">
        <v>26</v>
      </c>
      <c r="C3687" s="313" t="s">
        <v>1509</v>
      </c>
      <c r="D3687" s="313" t="s">
        <v>24</v>
      </c>
      <c r="E3687" s="313" t="s">
        <v>1767</v>
      </c>
    </row>
    <row r="3688" spans="1:5" x14ac:dyDescent="0.25">
      <c r="A3688" s="313" t="s">
        <v>1341</v>
      </c>
      <c r="B3688" s="313" t="s">
        <v>26</v>
      </c>
      <c r="C3688" s="313" t="s">
        <v>1510</v>
      </c>
      <c r="D3688" s="313" t="s">
        <v>24</v>
      </c>
      <c r="E3688" s="313" t="s">
        <v>1342</v>
      </c>
    </row>
    <row r="3689" spans="1:5" x14ac:dyDescent="0.25">
      <c r="A3689" s="313" t="s">
        <v>1341</v>
      </c>
      <c r="B3689" s="313" t="s">
        <v>26</v>
      </c>
      <c r="C3689" s="313" t="s">
        <v>1511</v>
      </c>
      <c r="D3689" s="313" t="s">
        <v>24</v>
      </c>
      <c r="E3689" s="313" t="s">
        <v>1767</v>
      </c>
    </row>
    <row r="3690" spans="1:5" x14ac:dyDescent="0.25">
      <c r="A3690" s="313" t="s">
        <v>1341</v>
      </c>
      <c r="B3690" s="313" t="s">
        <v>26</v>
      </c>
      <c r="C3690" s="313" t="s">
        <v>27</v>
      </c>
      <c r="D3690" s="313" t="s">
        <v>24</v>
      </c>
      <c r="E3690" s="313" t="s">
        <v>1342</v>
      </c>
    </row>
    <row r="3691" spans="1:5" x14ac:dyDescent="0.25">
      <c r="A3691" s="313" t="s">
        <v>1341</v>
      </c>
      <c r="B3691" s="313" t="s">
        <v>26</v>
      </c>
      <c r="C3691" s="313" t="s">
        <v>1512</v>
      </c>
      <c r="D3691" s="313" t="s">
        <v>24</v>
      </c>
      <c r="E3691" s="313" t="s">
        <v>1342</v>
      </c>
    </row>
    <row r="3692" spans="1:5" x14ac:dyDescent="0.25">
      <c r="A3692" s="313" t="s">
        <v>1341</v>
      </c>
      <c r="B3692" s="313" t="s">
        <v>26</v>
      </c>
      <c r="C3692" s="313" t="s">
        <v>1513</v>
      </c>
      <c r="D3692" s="313" t="s">
        <v>24</v>
      </c>
      <c r="E3692" s="313" t="s">
        <v>1767</v>
      </c>
    </row>
    <row r="3693" spans="1:5" x14ac:dyDescent="0.25">
      <c r="A3693" s="313" t="s">
        <v>1341</v>
      </c>
      <c r="B3693" s="313" t="s">
        <v>26</v>
      </c>
      <c r="C3693" s="313" t="s">
        <v>1514</v>
      </c>
      <c r="D3693" s="313" t="s">
        <v>24</v>
      </c>
      <c r="E3693" s="313" t="s">
        <v>1342</v>
      </c>
    </row>
    <row r="3694" spans="1:5" x14ac:dyDescent="0.25">
      <c r="A3694" s="313" t="s">
        <v>1341</v>
      </c>
      <c r="B3694" s="313" t="s">
        <v>26</v>
      </c>
      <c r="C3694" s="313" t="s">
        <v>1515</v>
      </c>
      <c r="D3694" s="313" t="s">
        <v>24</v>
      </c>
      <c r="E3694" s="313" t="s">
        <v>1767</v>
      </c>
    </row>
    <row r="3695" spans="1:5" x14ac:dyDescent="0.25">
      <c r="A3695" s="313" t="s">
        <v>1341</v>
      </c>
      <c r="B3695" s="313" t="s">
        <v>26</v>
      </c>
      <c r="C3695" s="313" t="s">
        <v>1516</v>
      </c>
      <c r="D3695" s="313" t="s">
        <v>24</v>
      </c>
      <c r="E3695" s="313" t="s">
        <v>1342</v>
      </c>
    </row>
    <row r="3696" spans="1:5" x14ac:dyDescent="0.25">
      <c r="A3696" s="313" t="s">
        <v>1341</v>
      </c>
      <c r="B3696" s="313" t="s">
        <v>26</v>
      </c>
      <c r="C3696" s="313" t="s">
        <v>1517</v>
      </c>
      <c r="D3696" s="313" t="s">
        <v>24</v>
      </c>
      <c r="E3696" s="313" t="s">
        <v>1767</v>
      </c>
    </row>
    <row r="3697" spans="1:5" x14ac:dyDescent="0.25">
      <c r="A3697" s="313" t="s">
        <v>1341</v>
      </c>
      <c r="B3697" s="313" t="s">
        <v>26</v>
      </c>
      <c r="C3697" s="313" t="s">
        <v>1518</v>
      </c>
      <c r="D3697" s="313" t="s">
        <v>24</v>
      </c>
      <c r="E3697" s="313" t="s">
        <v>1342</v>
      </c>
    </row>
    <row r="3698" spans="1:5" x14ac:dyDescent="0.25">
      <c r="A3698" s="313" t="s">
        <v>1341</v>
      </c>
      <c r="B3698" s="313" t="s">
        <v>26</v>
      </c>
      <c r="C3698" s="313" t="s">
        <v>1519</v>
      </c>
      <c r="D3698" s="313" t="s">
        <v>24</v>
      </c>
      <c r="E3698" s="313" t="s">
        <v>1342</v>
      </c>
    </row>
    <row r="3699" spans="1:5" x14ac:dyDescent="0.25">
      <c r="A3699" s="313" t="s">
        <v>1345</v>
      </c>
      <c r="B3699" s="313" t="s">
        <v>19</v>
      </c>
      <c r="C3699" s="313" t="s">
        <v>1466</v>
      </c>
      <c r="D3699" s="313" t="s">
        <v>35</v>
      </c>
      <c r="E3699" s="313" t="s">
        <v>24</v>
      </c>
    </row>
    <row r="3700" spans="1:5" x14ac:dyDescent="0.25">
      <c r="A3700" s="313" t="s">
        <v>1345</v>
      </c>
      <c r="B3700" s="313" t="s">
        <v>19</v>
      </c>
      <c r="C3700" s="313" t="s">
        <v>1471</v>
      </c>
      <c r="D3700" s="313" t="s">
        <v>35</v>
      </c>
      <c r="E3700" s="313" t="s">
        <v>24</v>
      </c>
    </row>
    <row r="3701" spans="1:5" x14ac:dyDescent="0.25">
      <c r="A3701" s="313" t="s">
        <v>1345</v>
      </c>
      <c r="B3701" s="313" t="s">
        <v>19</v>
      </c>
      <c r="C3701" s="313" t="s">
        <v>1475</v>
      </c>
      <c r="D3701" s="313" t="s">
        <v>35</v>
      </c>
      <c r="E3701" s="313" t="s">
        <v>24</v>
      </c>
    </row>
    <row r="3702" spans="1:5" x14ac:dyDescent="0.25">
      <c r="A3702" s="313" t="s">
        <v>1345</v>
      </c>
      <c r="B3702" s="313" t="s">
        <v>19</v>
      </c>
      <c r="C3702" s="313" t="s">
        <v>20</v>
      </c>
      <c r="D3702" s="313" t="s">
        <v>26</v>
      </c>
      <c r="E3702" s="313" t="s">
        <v>24</v>
      </c>
    </row>
    <row r="3703" spans="1:5" x14ac:dyDescent="0.25">
      <c r="A3703" s="313" t="s">
        <v>1345</v>
      </c>
      <c r="B3703" s="313" t="s">
        <v>19</v>
      </c>
      <c r="C3703" s="313" t="s">
        <v>1487</v>
      </c>
      <c r="D3703" s="313" t="s">
        <v>26</v>
      </c>
      <c r="E3703" s="313" t="s">
        <v>24</v>
      </c>
    </row>
    <row r="3704" spans="1:5" x14ac:dyDescent="0.25">
      <c r="A3704" s="313" t="s">
        <v>1345</v>
      </c>
      <c r="B3704" s="313" t="s">
        <v>19</v>
      </c>
      <c r="C3704" s="313" t="s">
        <v>1495</v>
      </c>
      <c r="D3704" s="313" t="s">
        <v>35</v>
      </c>
      <c r="E3704" s="313" t="s">
        <v>24</v>
      </c>
    </row>
    <row r="3705" spans="1:5" x14ac:dyDescent="0.25">
      <c r="A3705" s="313" t="s">
        <v>1345</v>
      </c>
      <c r="B3705" s="313" t="s">
        <v>26</v>
      </c>
      <c r="C3705" s="313" t="s">
        <v>1509</v>
      </c>
      <c r="D3705" s="313" t="s">
        <v>24</v>
      </c>
      <c r="E3705" s="313" t="s">
        <v>1461</v>
      </c>
    </row>
    <row r="3706" spans="1:5" x14ac:dyDescent="0.25">
      <c r="A3706" s="313" t="s">
        <v>1345</v>
      </c>
      <c r="B3706" s="313" t="s">
        <v>26</v>
      </c>
      <c r="C3706" s="313" t="s">
        <v>1510</v>
      </c>
      <c r="D3706" s="313" t="s">
        <v>24</v>
      </c>
      <c r="E3706" s="313" t="s">
        <v>46</v>
      </c>
    </row>
    <row r="3707" spans="1:5" x14ac:dyDescent="0.25">
      <c r="A3707" s="313" t="s">
        <v>1345</v>
      </c>
      <c r="B3707" s="313" t="s">
        <v>26</v>
      </c>
      <c r="C3707" s="313" t="s">
        <v>1511</v>
      </c>
      <c r="D3707" s="313" t="s">
        <v>24</v>
      </c>
      <c r="E3707" s="313" t="s">
        <v>1768</v>
      </c>
    </row>
    <row r="3708" spans="1:5" x14ac:dyDescent="0.25">
      <c r="A3708" s="313" t="s">
        <v>1345</v>
      </c>
      <c r="B3708" s="313" t="s">
        <v>26</v>
      </c>
      <c r="C3708" s="313" t="s">
        <v>27</v>
      </c>
      <c r="D3708" s="313" t="s">
        <v>24</v>
      </c>
      <c r="E3708" s="313" t="s">
        <v>46</v>
      </c>
    </row>
    <row r="3709" spans="1:5" x14ac:dyDescent="0.25">
      <c r="A3709" s="313" t="s">
        <v>1345</v>
      </c>
      <c r="B3709" s="313" t="s">
        <v>26</v>
      </c>
      <c r="C3709" s="313" t="s">
        <v>1512</v>
      </c>
      <c r="D3709" s="313" t="s">
        <v>24</v>
      </c>
      <c r="E3709" s="313" t="s">
        <v>46</v>
      </c>
    </row>
    <row r="3710" spans="1:5" x14ac:dyDescent="0.25">
      <c r="A3710" s="313" t="s">
        <v>1345</v>
      </c>
      <c r="B3710" s="313" t="s">
        <v>26</v>
      </c>
      <c r="C3710" s="313" t="s">
        <v>1513</v>
      </c>
      <c r="D3710" s="313" t="s">
        <v>24</v>
      </c>
      <c r="E3710" s="313" t="s">
        <v>1591</v>
      </c>
    </row>
    <row r="3711" spans="1:5" x14ac:dyDescent="0.25">
      <c r="A3711" s="313" t="s">
        <v>1345</v>
      </c>
      <c r="B3711" s="313" t="s">
        <v>26</v>
      </c>
      <c r="C3711" s="313" t="s">
        <v>1514</v>
      </c>
      <c r="D3711" s="313" t="s">
        <v>24</v>
      </c>
      <c r="E3711" s="313" t="s">
        <v>46</v>
      </c>
    </row>
    <row r="3712" spans="1:5" x14ac:dyDescent="0.25">
      <c r="A3712" s="313" t="s">
        <v>1345</v>
      </c>
      <c r="B3712" s="313" t="s">
        <v>26</v>
      </c>
      <c r="C3712" s="313" t="s">
        <v>1515</v>
      </c>
      <c r="D3712" s="313" t="s">
        <v>24</v>
      </c>
      <c r="E3712" s="313" t="s">
        <v>1769</v>
      </c>
    </row>
    <row r="3713" spans="1:5" x14ac:dyDescent="0.25">
      <c r="A3713" s="313" t="s">
        <v>1345</v>
      </c>
      <c r="B3713" s="313" t="s">
        <v>26</v>
      </c>
      <c r="C3713" s="313" t="s">
        <v>1516</v>
      </c>
      <c r="D3713" s="313" t="s">
        <v>24</v>
      </c>
      <c r="E3713" s="313" t="s">
        <v>46</v>
      </c>
    </row>
    <row r="3714" spans="1:5" x14ac:dyDescent="0.25">
      <c r="A3714" s="313" t="s">
        <v>1345</v>
      </c>
      <c r="B3714" s="313" t="s">
        <v>26</v>
      </c>
      <c r="C3714" s="313" t="s">
        <v>1517</v>
      </c>
      <c r="D3714" s="313" t="s">
        <v>24</v>
      </c>
      <c r="E3714" s="313" t="s">
        <v>1461</v>
      </c>
    </row>
    <row r="3715" spans="1:5" x14ac:dyDescent="0.25">
      <c r="A3715" s="313" t="s">
        <v>1345</v>
      </c>
      <c r="B3715" s="313" t="s">
        <v>26</v>
      </c>
      <c r="C3715" s="313" t="s">
        <v>1518</v>
      </c>
      <c r="D3715" s="313" t="s">
        <v>24</v>
      </c>
      <c r="E3715" s="313" t="s">
        <v>46</v>
      </c>
    </row>
    <row r="3716" spans="1:5" x14ac:dyDescent="0.25">
      <c r="A3716" s="313" t="s">
        <v>1345</v>
      </c>
      <c r="B3716" s="313" t="s">
        <v>26</v>
      </c>
      <c r="C3716" s="313" t="s">
        <v>1519</v>
      </c>
      <c r="D3716" s="313" t="s">
        <v>24</v>
      </c>
      <c r="E3716" s="313" t="s">
        <v>46</v>
      </c>
    </row>
    <row r="3717" spans="1:5" x14ac:dyDescent="0.25">
      <c r="A3717" s="313" t="s">
        <v>1348</v>
      </c>
      <c r="B3717" s="313" t="s">
        <v>19</v>
      </c>
      <c r="C3717" s="313" t="s">
        <v>1466</v>
      </c>
      <c r="D3717" s="313" t="s">
        <v>35</v>
      </c>
      <c r="E3717" s="313" t="s">
        <v>24</v>
      </c>
    </row>
    <row r="3718" spans="1:5" x14ac:dyDescent="0.25">
      <c r="A3718" s="313" t="s">
        <v>1348</v>
      </c>
      <c r="B3718" s="313" t="s">
        <v>19</v>
      </c>
      <c r="C3718" s="313" t="s">
        <v>1471</v>
      </c>
      <c r="D3718" s="313" t="s">
        <v>35</v>
      </c>
      <c r="E3718" s="313" t="s">
        <v>24</v>
      </c>
    </row>
    <row r="3719" spans="1:5" x14ac:dyDescent="0.25">
      <c r="A3719" s="313" t="s">
        <v>1348</v>
      </c>
      <c r="B3719" s="313" t="s">
        <v>19</v>
      </c>
      <c r="C3719" s="313" t="s">
        <v>1475</v>
      </c>
      <c r="D3719" s="313" t="s">
        <v>35</v>
      </c>
      <c r="E3719" s="313" t="s">
        <v>24</v>
      </c>
    </row>
    <row r="3720" spans="1:5" x14ac:dyDescent="0.25">
      <c r="A3720" s="313" t="s">
        <v>1348</v>
      </c>
      <c r="B3720" s="313" t="s">
        <v>19</v>
      </c>
      <c r="C3720" s="313" t="s">
        <v>20</v>
      </c>
      <c r="D3720" s="313" t="s">
        <v>35</v>
      </c>
      <c r="E3720" s="313" t="s">
        <v>24</v>
      </c>
    </row>
    <row r="3721" spans="1:5" x14ac:dyDescent="0.25">
      <c r="A3721" s="313" t="s">
        <v>1348</v>
      </c>
      <c r="B3721" s="313" t="s">
        <v>19</v>
      </c>
      <c r="C3721" s="313" t="s">
        <v>1487</v>
      </c>
      <c r="D3721" s="313" t="s">
        <v>26</v>
      </c>
      <c r="E3721" s="313" t="s">
        <v>24</v>
      </c>
    </row>
    <row r="3722" spans="1:5" x14ac:dyDescent="0.25">
      <c r="A3722" s="313" t="s">
        <v>1348</v>
      </c>
      <c r="B3722" s="313" t="s">
        <v>19</v>
      </c>
      <c r="C3722" s="313" t="s">
        <v>1495</v>
      </c>
      <c r="D3722" s="313" t="s">
        <v>35</v>
      </c>
      <c r="E3722" s="313" t="s">
        <v>24</v>
      </c>
    </row>
    <row r="3723" spans="1:5" x14ac:dyDescent="0.25">
      <c r="A3723" s="313" t="s">
        <v>1348</v>
      </c>
      <c r="B3723" s="313" t="s">
        <v>26</v>
      </c>
      <c r="C3723" s="313" t="s">
        <v>1514</v>
      </c>
      <c r="D3723" s="313" t="s">
        <v>24</v>
      </c>
      <c r="E3723" s="313" t="s">
        <v>1770</v>
      </c>
    </row>
    <row r="3724" spans="1:5" x14ac:dyDescent="0.25">
      <c r="A3724" s="313" t="s">
        <v>1348</v>
      </c>
      <c r="B3724" s="313" t="s">
        <v>26</v>
      </c>
      <c r="C3724" s="313" t="s">
        <v>1515</v>
      </c>
      <c r="D3724" s="313" t="s">
        <v>24</v>
      </c>
      <c r="E3724" s="313" t="s">
        <v>1770</v>
      </c>
    </row>
    <row r="3725" spans="1:5" x14ac:dyDescent="0.25">
      <c r="A3725" s="313" t="s">
        <v>1348</v>
      </c>
      <c r="B3725" s="313" t="s">
        <v>26</v>
      </c>
      <c r="C3725" s="313" t="s">
        <v>1516</v>
      </c>
      <c r="D3725" s="313" t="s">
        <v>24</v>
      </c>
      <c r="E3725" s="313" t="s">
        <v>1770</v>
      </c>
    </row>
    <row r="3726" spans="1:5" x14ac:dyDescent="0.25">
      <c r="A3726" s="313" t="s">
        <v>1348</v>
      </c>
      <c r="B3726" s="313" t="s">
        <v>26</v>
      </c>
      <c r="C3726" s="313" t="s">
        <v>1517</v>
      </c>
      <c r="D3726" s="313" t="s">
        <v>24</v>
      </c>
      <c r="E3726" s="313" t="s">
        <v>1770</v>
      </c>
    </row>
    <row r="3727" spans="1:5" x14ac:dyDescent="0.25">
      <c r="A3727" s="313" t="s">
        <v>1348</v>
      </c>
      <c r="B3727" s="313" t="s">
        <v>26</v>
      </c>
      <c r="C3727" s="313" t="s">
        <v>1518</v>
      </c>
      <c r="D3727" s="313" t="s">
        <v>24</v>
      </c>
      <c r="E3727" s="313" t="s">
        <v>1770</v>
      </c>
    </row>
    <row r="3728" spans="1:5" x14ac:dyDescent="0.25">
      <c r="A3728" s="313" t="s">
        <v>1348</v>
      </c>
      <c r="B3728" s="313" t="s">
        <v>26</v>
      </c>
      <c r="C3728" s="313" t="s">
        <v>1519</v>
      </c>
      <c r="D3728" s="313" t="s">
        <v>24</v>
      </c>
      <c r="E3728" s="313" t="s">
        <v>1770</v>
      </c>
    </row>
    <row r="3729" spans="1:5" x14ac:dyDescent="0.25">
      <c r="A3729" s="313" t="s">
        <v>1351</v>
      </c>
      <c r="B3729" s="313" t="s">
        <v>19</v>
      </c>
      <c r="C3729" s="313" t="s">
        <v>1466</v>
      </c>
      <c r="D3729" s="313" t="s">
        <v>35</v>
      </c>
      <c r="E3729" s="313" t="s">
        <v>24</v>
      </c>
    </row>
    <row r="3730" spans="1:5" x14ac:dyDescent="0.25">
      <c r="A3730" s="313" t="s">
        <v>1351</v>
      </c>
      <c r="B3730" s="313" t="s">
        <v>19</v>
      </c>
      <c r="C3730" s="313" t="s">
        <v>1471</v>
      </c>
      <c r="D3730" s="313" t="s">
        <v>35</v>
      </c>
      <c r="E3730" s="313" t="s">
        <v>24</v>
      </c>
    </row>
    <row r="3731" spans="1:5" x14ac:dyDescent="0.25">
      <c r="A3731" s="313" t="s">
        <v>1351</v>
      </c>
      <c r="B3731" s="313" t="s">
        <v>19</v>
      </c>
      <c r="C3731" s="313" t="s">
        <v>1475</v>
      </c>
      <c r="D3731" s="313" t="s">
        <v>35</v>
      </c>
      <c r="E3731" s="313" t="s">
        <v>24</v>
      </c>
    </row>
    <row r="3732" spans="1:5" x14ac:dyDescent="0.25">
      <c r="A3732" s="313" t="s">
        <v>1351</v>
      </c>
      <c r="B3732" s="313" t="s">
        <v>19</v>
      </c>
      <c r="C3732" s="313" t="s">
        <v>20</v>
      </c>
      <c r="D3732" s="313" t="s">
        <v>35</v>
      </c>
      <c r="E3732" s="313" t="s">
        <v>24</v>
      </c>
    </row>
    <row r="3733" spans="1:5" x14ac:dyDescent="0.25">
      <c r="A3733" s="313" t="s">
        <v>1351</v>
      </c>
      <c r="B3733" s="313" t="s">
        <v>19</v>
      </c>
      <c r="C3733" s="313" t="s">
        <v>1487</v>
      </c>
      <c r="D3733" s="313" t="s">
        <v>26</v>
      </c>
      <c r="E3733" s="313" t="s">
        <v>24</v>
      </c>
    </row>
    <row r="3734" spans="1:5" x14ac:dyDescent="0.25">
      <c r="A3734" s="313" t="s">
        <v>1351</v>
      </c>
      <c r="B3734" s="313" t="s">
        <v>19</v>
      </c>
      <c r="C3734" s="313" t="s">
        <v>1495</v>
      </c>
      <c r="D3734" s="313" t="s">
        <v>35</v>
      </c>
      <c r="E3734" s="313" t="s">
        <v>24</v>
      </c>
    </row>
    <row r="3735" spans="1:5" x14ac:dyDescent="0.25">
      <c r="A3735" s="313" t="s">
        <v>1351</v>
      </c>
      <c r="B3735" s="313" t="s">
        <v>26</v>
      </c>
      <c r="C3735" s="313" t="s">
        <v>1514</v>
      </c>
      <c r="D3735" s="313" t="s">
        <v>24</v>
      </c>
      <c r="E3735" s="313" t="s">
        <v>1771</v>
      </c>
    </row>
    <row r="3736" spans="1:5" x14ac:dyDescent="0.25">
      <c r="A3736" s="313" t="s">
        <v>1351</v>
      </c>
      <c r="B3736" s="313" t="s">
        <v>26</v>
      </c>
      <c r="C3736" s="313" t="s">
        <v>1515</v>
      </c>
      <c r="D3736" s="313" t="s">
        <v>24</v>
      </c>
      <c r="E3736" s="313" t="s">
        <v>1772</v>
      </c>
    </row>
    <row r="3737" spans="1:5" x14ac:dyDescent="0.25">
      <c r="A3737" s="313" t="s">
        <v>1351</v>
      </c>
      <c r="B3737" s="313" t="s">
        <v>26</v>
      </c>
      <c r="C3737" s="313" t="s">
        <v>1516</v>
      </c>
      <c r="D3737" s="313" t="s">
        <v>24</v>
      </c>
      <c r="E3737" s="313" t="s">
        <v>1771</v>
      </c>
    </row>
    <row r="3738" spans="1:5" x14ac:dyDescent="0.25">
      <c r="A3738" s="313" t="s">
        <v>1351</v>
      </c>
      <c r="B3738" s="313" t="s">
        <v>26</v>
      </c>
      <c r="C3738" s="313" t="s">
        <v>1517</v>
      </c>
      <c r="D3738" s="313" t="s">
        <v>24</v>
      </c>
      <c r="E3738" s="313" t="s">
        <v>1771</v>
      </c>
    </row>
    <row r="3739" spans="1:5" x14ac:dyDescent="0.25">
      <c r="A3739" s="313" t="s">
        <v>1351</v>
      </c>
      <c r="B3739" s="313" t="s">
        <v>26</v>
      </c>
      <c r="C3739" s="313" t="s">
        <v>1518</v>
      </c>
      <c r="D3739" s="313" t="s">
        <v>24</v>
      </c>
      <c r="E3739" s="313" t="s">
        <v>1772</v>
      </c>
    </row>
    <row r="3740" spans="1:5" x14ac:dyDescent="0.25">
      <c r="A3740" s="313" t="s">
        <v>1351</v>
      </c>
      <c r="B3740" s="313" t="s">
        <v>26</v>
      </c>
      <c r="C3740" s="313" t="s">
        <v>1519</v>
      </c>
      <c r="D3740" s="313" t="s">
        <v>24</v>
      </c>
      <c r="E3740" s="313" t="s">
        <v>1772</v>
      </c>
    </row>
    <row r="3741" spans="1:5" x14ac:dyDescent="0.25">
      <c r="A3741" s="313" t="s">
        <v>1354</v>
      </c>
      <c r="B3741" s="313" t="s">
        <v>19</v>
      </c>
      <c r="C3741" s="313" t="s">
        <v>1466</v>
      </c>
      <c r="D3741" s="313" t="s">
        <v>19</v>
      </c>
      <c r="E3741" s="313" t="s">
        <v>1773</v>
      </c>
    </row>
    <row r="3742" spans="1:5" x14ac:dyDescent="0.25">
      <c r="A3742" s="313" t="s">
        <v>1354</v>
      </c>
      <c r="B3742" s="313" t="s">
        <v>19</v>
      </c>
      <c r="C3742" s="313" t="s">
        <v>1471</v>
      </c>
      <c r="D3742" s="313" t="s">
        <v>35</v>
      </c>
      <c r="E3742" s="313" t="s">
        <v>24</v>
      </c>
    </row>
    <row r="3743" spans="1:5" x14ac:dyDescent="0.25">
      <c r="A3743" s="313" t="s">
        <v>1354</v>
      </c>
      <c r="B3743" s="313" t="s">
        <v>19</v>
      </c>
      <c r="C3743" s="313" t="s">
        <v>1475</v>
      </c>
      <c r="D3743" s="313" t="s">
        <v>35</v>
      </c>
      <c r="E3743" s="313" t="s">
        <v>24</v>
      </c>
    </row>
    <row r="3744" spans="1:5" x14ac:dyDescent="0.25">
      <c r="A3744" s="313" t="s">
        <v>1354</v>
      </c>
      <c r="B3744" s="313" t="s">
        <v>19</v>
      </c>
      <c r="C3744" s="313" t="s">
        <v>20</v>
      </c>
      <c r="D3744" s="313" t="s">
        <v>35</v>
      </c>
      <c r="E3744" s="313" t="s">
        <v>24</v>
      </c>
    </row>
    <row r="3745" spans="1:5" x14ac:dyDescent="0.25">
      <c r="A3745" s="313" t="s">
        <v>1354</v>
      </c>
      <c r="B3745" s="313" t="s">
        <v>19</v>
      </c>
      <c r="C3745" s="313" t="s">
        <v>1487</v>
      </c>
      <c r="D3745" s="313" t="s">
        <v>26</v>
      </c>
      <c r="E3745" s="313" t="s">
        <v>24</v>
      </c>
    </row>
    <row r="3746" spans="1:5" x14ac:dyDescent="0.25">
      <c r="A3746" s="313" t="s">
        <v>1354</v>
      </c>
      <c r="B3746" s="313" t="s">
        <v>19</v>
      </c>
      <c r="C3746" s="313" t="s">
        <v>1495</v>
      </c>
      <c r="D3746" s="313" t="s">
        <v>35</v>
      </c>
      <c r="E3746" s="313" t="s">
        <v>24</v>
      </c>
    </row>
    <row r="3747" spans="1:5" x14ac:dyDescent="0.25">
      <c r="A3747" s="313" t="s">
        <v>1354</v>
      </c>
      <c r="B3747" s="313" t="s">
        <v>26</v>
      </c>
      <c r="C3747" s="313" t="s">
        <v>1514</v>
      </c>
      <c r="D3747" s="313" t="s">
        <v>24</v>
      </c>
      <c r="E3747" s="313" t="s">
        <v>1773</v>
      </c>
    </row>
    <row r="3748" spans="1:5" x14ac:dyDescent="0.25">
      <c r="A3748" s="313" t="s">
        <v>1354</v>
      </c>
      <c r="B3748" s="313" t="s">
        <v>26</v>
      </c>
      <c r="C3748" s="313" t="s">
        <v>1515</v>
      </c>
      <c r="D3748" s="313" t="s">
        <v>24</v>
      </c>
      <c r="E3748" s="313" t="s">
        <v>1774</v>
      </c>
    </row>
    <row r="3749" spans="1:5" x14ac:dyDescent="0.25">
      <c r="A3749" s="313" t="s">
        <v>1354</v>
      </c>
      <c r="B3749" s="313" t="s">
        <v>26</v>
      </c>
      <c r="C3749" s="313" t="s">
        <v>1516</v>
      </c>
      <c r="D3749" s="313" t="s">
        <v>24</v>
      </c>
      <c r="E3749" s="313" t="s">
        <v>1773</v>
      </c>
    </row>
    <row r="3750" spans="1:5" x14ac:dyDescent="0.25">
      <c r="A3750" s="313" t="s">
        <v>1354</v>
      </c>
      <c r="B3750" s="313" t="s">
        <v>26</v>
      </c>
      <c r="C3750" s="313" t="s">
        <v>1517</v>
      </c>
      <c r="D3750" s="313" t="s">
        <v>24</v>
      </c>
      <c r="E3750" s="313" t="s">
        <v>1773</v>
      </c>
    </row>
    <row r="3751" spans="1:5" x14ac:dyDescent="0.25">
      <c r="A3751" s="313" t="s">
        <v>1354</v>
      </c>
      <c r="B3751" s="313" t="s">
        <v>26</v>
      </c>
      <c r="C3751" s="313" t="s">
        <v>1518</v>
      </c>
      <c r="D3751" s="313" t="s">
        <v>24</v>
      </c>
      <c r="E3751" s="313" t="s">
        <v>1773</v>
      </c>
    </row>
    <row r="3752" spans="1:5" x14ac:dyDescent="0.25">
      <c r="A3752" s="313" t="s">
        <v>1354</v>
      </c>
      <c r="B3752" s="313" t="s">
        <v>26</v>
      </c>
      <c r="C3752" s="313" t="s">
        <v>1519</v>
      </c>
      <c r="D3752" s="313" t="s">
        <v>24</v>
      </c>
      <c r="E3752" s="313" t="s">
        <v>1774</v>
      </c>
    </row>
    <row r="3753" spans="1:5" x14ac:dyDescent="0.25">
      <c r="A3753" s="313" t="s">
        <v>1357</v>
      </c>
      <c r="B3753" s="313" t="s">
        <v>19</v>
      </c>
      <c r="C3753" s="313" t="s">
        <v>1466</v>
      </c>
      <c r="D3753" s="313" t="s">
        <v>19</v>
      </c>
      <c r="E3753" s="313" t="s">
        <v>1358</v>
      </c>
    </row>
    <row r="3754" spans="1:5" x14ac:dyDescent="0.25">
      <c r="A3754" s="313" t="s">
        <v>1357</v>
      </c>
      <c r="B3754" s="313" t="s">
        <v>19</v>
      </c>
      <c r="C3754" s="313" t="s">
        <v>1471</v>
      </c>
      <c r="D3754" s="313" t="s">
        <v>35</v>
      </c>
      <c r="E3754" s="313" t="s">
        <v>24</v>
      </c>
    </row>
    <row r="3755" spans="1:5" x14ac:dyDescent="0.25">
      <c r="A3755" s="313" t="s">
        <v>1357</v>
      </c>
      <c r="B3755" s="313" t="s">
        <v>19</v>
      </c>
      <c r="C3755" s="313" t="s">
        <v>1475</v>
      </c>
      <c r="D3755" s="313" t="s">
        <v>19</v>
      </c>
      <c r="E3755" s="313" t="s">
        <v>1775</v>
      </c>
    </row>
    <row r="3756" spans="1:5" x14ac:dyDescent="0.25">
      <c r="A3756" s="313" t="s">
        <v>1357</v>
      </c>
      <c r="B3756" s="313" t="s">
        <v>19</v>
      </c>
      <c r="C3756" s="313" t="s">
        <v>20</v>
      </c>
      <c r="D3756" s="313" t="s">
        <v>26</v>
      </c>
      <c r="E3756" s="313" t="s">
        <v>24</v>
      </c>
    </row>
    <row r="3757" spans="1:5" x14ac:dyDescent="0.25">
      <c r="A3757" s="313" t="s">
        <v>1357</v>
      </c>
      <c r="B3757" s="313" t="s">
        <v>19</v>
      </c>
      <c r="C3757" s="313" t="s">
        <v>1487</v>
      </c>
      <c r="D3757" s="313" t="s">
        <v>35</v>
      </c>
      <c r="E3757" s="313" t="s">
        <v>24</v>
      </c>
    </row>
    <row r="3758" spans="1:5" x14ac:dyDescent="0.25">
      <c r="A3758" s="313" t="s">
        <v>1357</v>
      </c>
      <c r="B3758" s="313" t="s">
        <v>19</v>
      </c>
      <c r="C3758" s="313" t="s">
        <v>1495</v>
      </c>
      <c r="D3758" s="313" t="s">
        <v>35</v>
      </c>
      <c r="E3758" s="313" t="s">
        <v>24</v>
      </c>
    </row>
    <row r="3759" spans="1:5" x14ac:dyDescent="0.25">
      <c r="A3759" s="313" t="s">
        <v>1357</v>
      </c>
      <c r="B3759" s="313" t="s">
        <v>26</v>
      </c>
      <c r="C3759" s="313" t="s">
        <v>1509</v>
      </c>
      <c r="D3759" s="313" t="s">
        <v>24</v>
      </c>
      <c r="E3759" s="313" t="s">
        <v>1358</v>
      </c>
    </row>
    <row r="3760" spans="1:5" x14ac:dyDescent="0.25">
      <c r="A3760" s="313" t="s">
        <v>1357</v>
      </c>
      <c r="B3760" s="313" t="s">
        <v>26</v>
      </c>
      <c r="C3760" s="313" t="s">
        <v>1510</v>
      </c>
      <c r="D3760" s="313" t="s">
        <v>24</v>
      </c>
      <c r="E3760" s="313" t="s">
        <v>1358</v>
      </c>
    </row>
    <row r="3761" spans="1:5" x14ac:dyDescent="0.25">
      <c r="A3761" s="313" t="s">
        <v>1357</v>
      </c>
      <c r="B3761" s="313" t="s">
        <v>26</v>
      </c>
      <c r="C3761" s="313" t="s">
        <v>1511</v>
      </c>
      <c r="D3761" s="313" t="s">
        <v>24</v>
      </c>
      <c r="E3761" s="313" t="s">
        <v>1776</v>
      </c>
    </row>
    <row r="3762" spans="1:5" x14ac:dyDescent="0.25">
      <c r="A3762" s="313" t="s">
        <v>1357</v>
      </c>
      <c r="B3762" s="313" t="s">
        <v>26</v>
      </c>
      <c r="C3762" s="313" t="s">
        <v>27</v>
      </c>
      <c r="D3762" s="313" t="s">
        <v>24</v>
      </c>
      <c r="E3762" s="313" t="s">
        <v>1358</v>
      </c>
    </row>
    <row r="3763" spans="1:5" x14ac:dyDescent="0.25">
      <c r="A3763" s="313" t="s">
        <v>1357</v>
      </c>
      <c r="B3763" s="313" t="s">
        <v>26</v>
      </c>
      <c r="C3763" s="313" t="s">
        <v>1512</v>
      </c>
      <c r="D3763" s="313" t="s">
        <v>24</v>
      </c>
      <c r="E3763" s="313" t="s">
        <v>1358</v>
      </c>
    </row>
    <row r="3764" spans="1:5" x14ac:dyDescent="0.25">
      <c r="A3764" s="313" t="s">
        <v>1357</v>
      </c>
      <c r="B3764" s="313" t="s">
        <v>26</v>
      </c>
      <c r="C3764" s="313" t="s">
        <v>1513</v>
      </c>
      <c r="D3764" s="313" t="s">
        <v>24</v>
      </c>
      <c r="E3764" s="313" t="s">
        <v>1358</v>
      </c>
    </row>
    <row r="3765" spans="1:5" x14ac:dyDescent="0.25">
      <c r="A3765" s="313" t="s">
        <v>1361</v>
      </c>
      <c r="B3765" s="313" t="s">
        <v>19</v>
      </c>
      <c r="C3765" s="313" t="s">
        <v>1466</v>
      </c>
      <c r="D3765" s="313" t="s">
        <v>35</v>
      </c>
      <c r="E3765" s="313" t="s">
        <v>24</v>
      </c>
    </row>
    <row r="3766" spans="1:5" x14ac:dyDescent="0.25">
      <c r="A3766" s="313" t="s">
        <v>1361</v>
      </c>
      <c r="B3766" s="313" t="s">
        <v>19</v>
      </c>
      <c r="C3766" s="313" t="s">
        <v>1471</v>
      </c>
      <c r="D3766" s="313" t="s">
        <v>35</v>
      </c>
      <c r="E3766" s="313" t="s">
        <v>24</v>
      </c>
    </row>
    <row r="3767" spans="1:5" x14ac:dyDescent="0.25">
      <c r="A3767" s="313" t="s">
        <v>1361</v>
      </c>
      <c r="B3767" s="313" t="s">
        <v>19</v>
      </c>
      <c r="C3767" s="313" t="s">
        <v>1475</v>
      </c>
      <c r="D3767" s="313" t="s">
        <v>35</v>
      </c>
      <c r="E3767" s="313" t="s">
        <v>24</v>
      </c>
    </row>
    <row r="3768" spans="1:5" x14ac:dyDescent="0.25">
      <c r="A3768" s="313" t="s">
        <v>1361</v>
      </c>
      <c r="B3768" s="313" t="s">
        <v>19</v>
      </c>
      <c r="C3768" s="313" t="s">
        <v>20</v>
      </c>
      <c r="D3768" s="313" t="s">
        <v>35</v>
      </c>
      <c r="E3768" s="313" t="s">
        <v>24</v>
      </c>
    </row>
    <row r="3769" spans="1:5" x14ac:dyDescent="0.25">
      <c r="A3769" s="313" t="s">
        <v>1361</v>
      </c>
      <c r="B3769" s="313" t="s">
        <v>19</v>
      </c>
      <c r="C3769" s="313" t="s">
        <v>1487</v>
      </c>
      <c r="D3769" s="313" t="s">
        <v>35</v>
      </c>
      <c r="E3769" s="313" t="s">
        <v>24</v>
      </c>
    </row>
    <row r="3770" spans="1:5" x14ac:dyDescent="0.25">
      <c r="A3770" s="313" t="s">
        <v>1361</v>
      </c>
      <c r="B3770" s="313" t="s">
        <v>19</v>
      </c>
      <c r="C3770" s="313" t="s">
        <v>1495</v>
      </c>
      <c r="D3770" s="313" t="s">
        <v>35</v>
      </c>
      <c r="E3770" s="313" t="s">
        <v>24</v>
      </c>
    </row>
    <row r="3771" spans="1:5" x14ac:dyDescent="0.25">
      <c r="A3771" s="313" t="s">
        <v>1363</v>
      </c>
      <c r="B3771" s="313" t="s">
        <v>19</v>
      </c>
      <c r="C3771" s="313" t="s">
        <v>1466</v>
      </c>
      <c r="D3771" s="313" t="s">
        <v>19</v>
      </c>
      <c r="E3771" s="313" t="s">
        <v>1364</v>
      </c>
    </row>
    <row r="3772" spans="1:5" x14ac:dyDescent="0.25">
      <c r="A3772" s="313" t="s">
        <v>1363</v>
      </c>
      <c r="B3772" s="313" t="s">
        <v>19</v>
      </c>
      <c r="C3772" s="313" t="s">
        <v>1471</v>
      </c>
      <c r="D3772" s="313" t="s">
        <v>26</v>
      </c>
      <c r="E3772" s="313" t="s">
        <v>24</v>
      </c>
    </row>
    <row r="3773" spans="1:5" x14ac:dyDescent="0.25">
      <c r="A3773" s="313" t="s">
        <v>1363</v>
      </c>
      <c r="B3773" s="313" t="s">
        <v>19</v>
      </c>
      <c r="C3773" s="313" t="s">
        <v>1475</v>
      </c>
      <c r="D3773" s="313" t="s">
        <v>19</v>
      </c>
      <c r="E3773" s="313" t="s">
        <v>1364</v>
      </c>
    </row>
    <row r="3774" spans="1:5" x14ac:dyDescent="0.25">
      <c r="A3774" s="313" t="s">
        <v>1363</v>
      </c>
      <c r="B3774" s="313" t="s">
        <v>19</v>
      </c>
      <c r="C3774" s="313" t="s">
        <v>20</v>
      </c>
      <c r="D3774" s="313" t="s">
        <v>26</v>
      </c>
      <c r="E3774" s="313" t="s">
        <v>24</v>
      </c>
    </row>
    <row r="3775" spans="1:5" x14ac:dyDescent="0.25">
      <c r="A3775" s="313" t="s">
        <v>1363</v>
      </c>
      <c r="B3775" s="313" t="s">
        <v>19</v>
      </c>
      <c r="C3775" s="313" t="s">
        <v>1487</v>
      </c>
      <c r="D3775" s="313" t="s">
        <v>26</v>
      </c>
      <c r="E3775" s="313" t="s">
        <v>24</v>
      </c>
    </row>
    <row r="3776" spans="1:5" x14ac:dyDescent="0.25">
      <c r="A3776" s="313" t="s">
        <v>1363</v>
      </c>
      <c r="B3776" s="313" t="s">
        <v>19</v>
      </c>
      <c r="C3776" s="313" t="s">
        <v>1495</v>
      </c>
      <c r="D3776" s="313" t="s">
        <v>35</v>
      </c>
      <c r="E3776" s="313" t="s">
        <v>24</v>
      </c>
    </row>
    <row r="3777" spans="1:5" x14ac:dyDescent="0.25">
      <c r="A3777" s="313" t="s">
        <v>1363</v>
      </c>
      <c r="B3777" s="313" t="s">
        <v>26</v>
      </c>
      <c r="C3777" s="313" t="s">
        <v>2929</v>
      </c>
      <c r="D3777" s="313" t="s">
        <v>24</v>
      </c>
      <c r="E3777" s="313" t="s">
        <v>1777</v>
      </c>
    </row>
    <row r="3778" spans="1:5" x14ac:dyDescent="0.25">
      <c r="A3778" s="313" t="s">
        <v>1363</v>
      </c>
      <c r="B3778" s="313" t="s">
        <v>26</v>
      </c>
      <c r="C3778" s="313" t="s">
        <v>2930</v>
      </c>
      <c r="D3778" s="313" t="s">
        <v>24</v>
      </c>
      <c r="E3778" s="313" t="s">
        <v>35</v>
      </c>
    </row>
    <row r="3779" spans="1:5" x14ac:dyDescent="0.25">
      <c r="A3779" s="313" t="s">
        <v>1363</v>
      </c>
      <c r="B3779" s="313" t="s">
        <v>26</v>
      </c>
      <c r="C3779" s="313" t="s">
        <v>1509</v>
      </c>
      <c r="D3779" s="313" t="s">
        <v>24</v>
      </c>
      <c r="E3779" s="313" t="s">
        <v>1364</v>
      </c>
    </row>
    <row r="3780" spans="1:5" x14ac:dyDescent="0.25">
      <c r="A3780" s="313" t="s">
        <v>1363</v>
      </c>
      <c r="B3780" s="313" t="s">
        <v>26</v>
      </c>
      <c r="C3780" s="313" t="s">
        <v>1510</v>
      </c>
      <c r="D3780" s="313" t="s">
        <v>24</v>
      </c>
      <c r="E3780" s="313" t="s">
        <v>1364</v>
      </c>
    </row>
    <row r="3781" spans="1:5" x14ac:dyDescent="0.25">
      <c r="A3781" s="313" t="s">
        <v>1363</v>
      </c>
      <c r="B3781" s="313" t="s">
        <v>26</v>
      </c>
      <c r="C3781" s="313" t="s">
        <v>1511</v>
      </c>
      <c r="D3781" s="313" t="s">
        <v>24</v>
      </c>
      <c r="E3781" s="313" t="s">
        <v>1778</v>
      </c>
    </row>
    <row r="3782" spans="1:5" x14ac:dyDescent="0.25">
      <c r="A3782" s="313" t="s">
        <v>1363</v>
      </c>
      <c r="B3782" s="313" t="s">
        <v>26</v>
      </c>
      <c r="C3782" s="313" t="s">
        <v>27</v>
      </c>
      <c r="D3782" s="313" t="s">
        <v>24</v>
      </c>
      <c r="E3782" s="313" t="s">
        <v>1364</v>
      </c>
    </row>
    <row r="3783" spans="1:5" x14ac:dyDescent="0.25">
      <c r="A3783" s="313" t="s">
        <v>1363</v>
      </c>
      <c r="B3783" s="313" t="s">
        <v>26</v>
      </c>
      <c r="C3783" s="313" t="s">
        <v>1512</v>
      </c>
      <c r="D3783" s="313" t="s">
        <v>24</v>
      </c>
      <c r="E3783" s="313" t="s">
        <v>1364</v>
      </c>
    </row>
    <row r="3784" spans="1:5" x14ac:dyDescent="0.25">
      <c r="A3784" s="313" t="s">
        <v>1363</v>
      </c>
      <c r="B3784" s="313" t="s">
        <v>26</v>
      </c>
      <c r="C3784" s="313" t="s">
        <v>1513</v>
      </c>
      <c r="D3784" s="313" t="s">
        <v>24</v>
      </c>
      <c r="E3784" s="313" t="s">
        <v>1364</v>
      </c>
    </row>
    <row r="3785" spans="1:5" x14ac:dyDescent="0.25">
      <c r="A3785" s="313" t="s">
        <v>1363</v>
      </c>
      <c r="B3785" s="313" t="s">
        <v>26</v>
      </c>
      <c r="C3785" s="313" t="s">
        <v>1514</v>
      </c>
      <c r="D3785" s="313" t="s">
        <v>24</v>
      </c>
      <c r="E3785" s="313" t="s">
        <v>1777</v>
      </c>
    </row>
    <row r="3786" spans="1:5" x14ac:dyDescent="0.25">
      <c r="A3786" s="313" t="s">
        <v>1363</v>
      </c>
      <c r="B3786" s="313" t="s">
        <v>26</v>
      </c>
      <c r="C3786" s="313" t="s">
        <v>1515</v>
      </c>
      <c r="D3786" s="313" t="s">
        <v>24</v>
      </c>
      <c r="E3786" s="313" t="s">
        <v>1777</v>
      </c>
    </row>
    <row r="3787" spans="1:5" x14ac:dyDescent="0.25">
      <c r="A3787" s="313" t="s">
        <v>1363</v>
      </c>
      <c r="B3787" s="313" t="s">
        <v>26</v>
      </c>
      <c r="C3787" s="313" t="s">
        <v>1516</v>
      </c>
      <c r="D3787" s="313" t="s">
        <v>24</v>
      </c>
      <c r="E3787" s="313" t="s">
        <v>1777</v>
      </c>
    </row>
    <row r="3788" spans="1:5" x14ac:dyDescent="0.25">
      <c r="A3788" s="313" t="s">
        <v>1363</v>
      </c>
      <c r="B3788" s="313" t="s">
        <v>26</v>
      </c>
      <c r="C3788" s="313" t="s">
        <v>1517</v>
      </c>
      <c r="D3788" s="313" t="s">
        <v>24</v>
      </c>
      <c r="E3788" s="313" t="s">
        <v>1364</v>
      </c>
    </row>
    <row r="3789" spans="1:5" x14ac:dyDescent="0.25">
      <c r="A3789" s="313" t="s">
        <v>1363</v>
      </c>
      <c r="B3789" s="313" t="s">
        <v>26</v>
      </c>
      <c r="C3789" s="313" t="s">
        <v>1518</v>
      </c>
      <c r="D3789" s="313" t="s">
        <v>24</v>
      </c>
      <c r="E3789" s="313" t="s">
        <v>1777</v>
      </c>
    </row>
    <row r="3790" spans="1:5" x14ac:dyDescent="0.25">
      <c r="A3790" s="313" t="s">
        <v>1363</v>
      </c>
      <c r="B3790" s="313" t="s">
        <v>26</v>
      </c>
      <c r="C3790" s="313" t="s">
        <v>1519</v>
      </c>
      <c r="D3790" s="313" t="s">
        <v>24</v>
      </c>
      <c r="E3790" s="313" t="s">
        <v>1777</v>
      </c>
    </row>
    <row r="3791" spans="1:5" x14ac:dyDescent="0.25">
      <c r="A3791" s="313" t="s">
        <v>1367</v>
      </c>
      <c r="B3791" s="313" t="s">
        <v>19</v>
      </c>
      <c r="C3791" s="313" t="s">
        <v>1466</v>
      </c>
      <c r="D3791" s="313" t="s">
        <v>19</v>
      </c>
      <c r="E3791" s="313" t="s">
        <v>1368</v>
      </c>
    </row>
    <row r="3792" spans="1:5" x14ac:dyDescent="0.25">
      <c r="A3792" s="313" t="s">
        <v>1367</v>
      </c>
      <c r="B3792" s="313" t="s">
        <v>19</v>
      </c>
      <c r="C3792" s="313" t="s">
        <v>1471</v>
      </c>
      <c r="D3792" s="313" t="s">
        <v>26</v>
      </c>
      <c r="E3792" s="313" t="s">
        <v>24</v>
      </c>
    </row>
    <row r="3793" spans="1:5" x14ac:dyDescent="0.25">
      <c r="A3793" s="313" t="s">
        <v>1367</v>
      </c>
      <c r="B3793" s="313" t="s">
        <v>19</v>
      </c>
      <c r="C3793" s="313" t="s">
        <v>1475</v>
      </c>
      <c r="D3793" s="313" t="s">
        <v>19</v>
      </c>
      <c r="E3793" s="313" t="s">
        <v>1368</v>
      </c>
    </row>
    <row r="3794" spans="1:5" x14ac:dyDescent="0.25">
      <c r="A3794" s="313" t="s">
        <v>1367</v>
      </c>
      <c r="B3794" s="313" t="s">
        <v>19</v>
      </c>
      <c r="C3794" s="313" t="s">
        <v>20</v>
      </c>
      <c r="D3794" s="313" t="s">
        <v>19</v>
      </c>
      <c r="E3794" s="313" t="s">
        <v>1368</v>
      </c>
    </row>
    <row r="3795" spans="1:5" x14ac:dyDescent="0.25">
      <c r="A3795" s="313" t="s">
        <v>1367</v>
      </c>
      <c r="B3795" s="313" t="s">
        <v>19</v>
      </c>
      <c r="C3795" s="313" t="s">
        <v>1487</v>
      </c>
      <c r="D3795" s="313" t="s">
        <v>26</v>
      </c>
      <c r="E3795" s="313" t="s">
        <v>24</v>
      </c>
    </row>
    <row r="3796" spans="1:5" x14ac:dyDescent="0.25">
      <c r="A3796" s="313" t="s">
        <v>1367</v>
      </c>
      <c r="B3796" s="313" t="s">
        <v>19</v>
      </c>
      <c r="C3796" s="313" t="s">
        <v>1495</v>
      </c>
      <c r="D3796" s="313" t="s">
        <v>35</v>
      </c>
      <c r="E3796" s="313" t="s">
        <v>24</v>
      </c>
    </row>
    <row r="3797" spans="1:5" x14ac:dyDescent="0.25">
      <c r="A3797" s="313" t="s">
        <v>1367</v>
      </c>
      <c r="B3797" s="313" t="s">
        <v>26</v>
      </c>
      <c r="C3797" s="313" t="s">
        <v>2929</v>
      </c>
      <c r="D3797" s="313" t="s">
        <v>24</v>
      </c>
      <c r="E3797" s="313" t="s">
        <v>1368</v>
      </c>
    </row>
    <row r="3798" spans="1:5" x14ac:dyDescent="0.25">
      <c r="A3798" s="313" t="s">
        <v>1367</v>
      </c>
      <c r="B3798" s="313" t="s">
        <v>26</v>
      </c>
      <c r="C3798" s="313" t="s">
        <v>2930</v>
      </c>
      <c r="D3798" s="313" t="s">
        <v>24</v>
      </c>
      <c r="E3798" s="313" t="s">
        <v>35</v>
      </c>
    </row>
    <row r="3799" spans="1:5" x14ac:dyDescent="0.25">
      <c r="A3799" s="313" t="s">
        <v>1367</v>
      </c>
      <c r="B3799" s="313" t="s">
        <v>26</v>
      </c>
      <c r="C3799" s="313" t="s">
        <v>1514</v>
      </c>
      <c r="D3799" s="313" t="s">
        <v>24</v>
      </c>
      <c r="E3799" s="313" t="s">
        <v>1368</v>
      </c>
    </row>
    <row r="3800" spans="1:5" x14ac:dyDescent="0.25">
      <c r="A3800" s="313" t="s">
        <v>1367</v>
      </c>
      <c r="B3800" s="313" t="s">
        <v>26</v>
      </c>
      <c r="C3800" s="313" t="s">
        <v>1515</v>
      </c>
      <c r="D3800" s="313" t="s">
        <v>24</v>
      </c>
      <c r="E3800" s="313" t="s">
        <v>1368</v>
      </c>
    </row>
    <row r="3801" spans="1:5" x14ac:dyDescent="0.25">
      <c r="A3801" s="313" t="s">
        <v>1367</v>
      </c>
      <c r="B3801" s="313" t="s">
        <v>26</v>
      </c>
      <c r="C3801" s="313" t="s">
        <v>1516</v>
      </c>
      <c r="D3801" s="313" t="s">
        <v>24</v>
      </c>
      <c r="E3801" s="313" t="s">
        <v>1368</v>
      </c>
    </row>
    <row r="3802" spans="1:5" x14ac:dyDescent="0.25">
      <c r="A3802" s="313" t="s">
        <v>1367</v>
      </c>
      <c r="B3802" s="313" t="s">
        <v>26</v>
      </c>
      <c r="C3802" s="313" t="s">
        <v>1517</v>
      </c>
      <c r="D3802" s="313" t="s">
        <v>24</v>
      </c>
      <c r="E3802" s="313" t="s">
        <v>1368</v>
      </c>
    </row>
    <row r="3803" spans="1:5" x14ac:dyDescent="0.25">
      <c r="A3803" s="313" t="s">
        <v>1367</v>
      </c>
      <c r="B3803" s="313" t="s">
        <v>26</v>
      </c>
      <c r="C3803" s="313" t="s">
        <v>1518</v>
      </c>
      <c r="D3803" s="313" t="s">
        <v>24</v>
      </c>
      <c r="E3803" s="313" t="s">
        <v>1368</v>
      </c>
    </row>
    <row r="3804" spans="1:5" x14ac:dyDescent="0.25">
      <c r="A3804" s="313" t="s">
        <v>1367</v>
      </c>
      <c r="B3804" s="313" t="s">
        <v>26</v>
      </c>
      <c r="C3804" s="313" t="s">
        <v>1519</v>
      </c>
      <c r="D3804" s="313" t="s">
        <v>24</v>
      </c>
      <c r="E3804" s="313" t="s">
        <v>1368</v>
      </c>
    </row>
    <row r="3805" spans="1:5" x14ac:dyDescent="0.25">
      <c r="A3805" s="313" t="s">
        <v>1371</v>
      </c>
      <c r="B3805" s="313" t="s">
        <v>19</v>
      </c>
      <c r="C3805" s="313" t="s">
        <v>1466</v>
      </c>
      <c r="D3805" s="313" t="s">
        <v>19</v>
      </c>
      <c r="E3805" s="313" t="s">
        <v>1372</v>
      </c>
    </row>
    <row r="3806" spans="1:5" x14ac:dyDescent="0.25">
      <c r="A3806" s="313" t="s">
        <v>1371</v>
      </c>
      <c r="B3806" s="313" t="s">
        <v>19</v>
      </c>
      <c r="C3806" s="313" t="s">
        <v>1471</v>
      </c>
      <c r="D3806" s="313" t="s">
        <v>26</v>
      </c>
      <c r="E3806" s="313" t="s">
        <v>24</v>
      </c>
    </row>
    <row r="3807" spans="1:5" x14ac:dyDescent="0.25">
      <c r="A3807" s="313" t="s">
        <v>1371</v>
      </c>
      <c r="B3807" s="313" t="s">
        <v>19</v>
      </c>
      <c r="C3807" s="313" t="s">
        <v>1475</v>
      </c>
      <c r="D3807" s="313" t="s">
        <v>19</v>
      </c>
      <c r="E3807" s="313" t="s">
        <v>1372</v>
      </c>
    </row>
    <row r="3808" spans="1:5" x14ac:dyDescent="0.25">
      <c r="A3808" s="313" t="s">
        <v>1371</v>
      </c>
      <c r="B3808" s="313" t="s">
        <v>19</v>
      </c>
      <c r="C3808" s="313" t="s">
        <v>20</v>
      </c>
      <c r="D3808" s="313" t="s">
        <v>26</v>
      </c>
      <c r="E3808" s="313" t="s">
        <v>24</v>
      </c>
    </row>
    <row r="3809" spans="1:5" x14ac:dyDescent="0.25">
      <c r="A3809" s="313" t="s">
        <v>1371</v>
      </c>
      <c r="B3809" s="313" t="s">
        <v>19</v>
      </c>
      <c r="C3809" s="313" t="s">
        <v>1487</v>
      </c>
      <c r="D3809" s="313" t="s">
        <v>26</v>
      </c>
      <c r="E3809" s="313" t="s">
        <v>24</v>
      </c>
    </row>
    <row r="3810" spans="1:5" x14ac:dyDescent="0.25">
      <c r="A3810" s="313" t="s">
        <v>1371</v>
      </c>
      <c r="B3810" s="313" t="s">
        <v>19</v>
      </c>
      <c r="C3810" s="313" t="s">
        <v>1495</v>
      </c>
      <c r="D3810" s="313" t="s">
        <v>35</v>
      </c>
      <c r="E3810" s="313" t="s">
        <v>24</v>
      </c>
    </row>
    <row r="3811" spans="1:5" x14ac:dyDescent="0.25">
      <c r="A3811" s="313" t="s">
        <v>1371</v>
      </c>
      <c r="B3811" s="313" t="s">
        <v>26</v>
      </c>
      <c r="C3811" s="313" t="s">
        <v>2929</v>
      </c>
      <c r="D3811" s="313" t="s">
        <v>24</v>
      </c>
      <c r="E3811" s="313" t="s">
        <v>1372</v>
      </c>
    </row>
    <row r="3812" spans="1:5" x14ac:dyDescent="0.25">
      <c r="A3812" s="313" t="s">
        <v>1371</v>
      </c>
      <c r="B3812" s="313" t="s">
        <v>26</v>
      </c>
      <c r="C3812" s="313" t="s">
        <v>2930</v>
      </c>
      <c r="D3812" s="313" t="s">
        <v>24</v>
      </c>
      <c r="E3812" s="313" t="s">
        <v>35</v>
      </c>
    </row>
    <row r="3813" spans="1:5" x14ac:dyDescent="0.25">
      <c r="A3813" s="313" t="s">
        <v>1371</v>
      </c>
      <c r="B3813" s="313" t="s">
        <v>26</v>
      </c>
      <c r="C3813" s="313" t="s">
        <v>1509</v>
      </c>
      <c r="D3813" s="313" t="s">
        <v>24</v>
      </c>
      <c r="E3813" s="313" t="s">
        <v>1372</v>
      </c>
    </row>
    <row r="3814" spans="1:5" x14ac:dyDescent="0.25">
      <c r="A3814" s="313" t="s">
        <v>1371</v>
      </c>
      <c r="B3814" s="313" t="s">
        <v>26</v>
      </c>
      <c r="C3814" s="313" t="s">
        <v>1510</v>
      </c>
      <c r="D3814" s="313" t="s">
        <v>24</v>
      </c>
      <c r="E3814" s="313" t="s">
        <v>1779</v>
      </c>
    </row>
    <row r="3815" spans="1:5" x14ac:dyDescent="0.25">
      <c r="A3815" s="313" t="s">
        <v>1371</v>
      </c>
      <c r="B3815" s="313" t="s">
        <v>26</v>
      </c>
      <c r="C3815" s="313" t="s">
        <v>1511</v>
      </c>
      <c r="D3815" s="313" t="s">
        <v>24</v>
      </c>
      <c r="E3815" s="313" t="s">
        <v>1372</v>
      </c>
    </row>
    <row r="3816" spans="1:5" x14ac:dyDescent="0.25">
      <c r="A3816" s="313" t="s">
        <v>1371</v>
      </c>
      <c r="B3816" s="313" t="s">
        <v>26</v>
      </c>
      <c r="C3816" s="313" t="s">
        <v>27</v>
      </c>
      <c r="D3816" s="313" t="s">
        <v>24</v>
      </c>
      <c r="E3816" s="313" t="s">
        <v>1372</v>
      </c>
    </row>
    <row r="3817" spans="1:5" x14ac:dyDescent="0.25">
      <c r="A3817" s="313" t="s">
        <v>1371</v>
      </c>
      <c r="B3817" s="313" t="s">
        <v>26</v>
      </c>
      <c r="C3817" s="313" t="s">
        <v>1512</v>
      </c>
      <c r="D3817" s="313" t="s">
        <v>24</v>
      </c>
      <c r="E3817" s="313" t="s">
        <v>1372</v>
      </c>
    </row>
    <row r="3818" spans="1:5" x14ac:dyDescent="0.25">
      <c r="A3818" s="313" t="s">
        <v>1371</v>
      </c>
      <c r="B3818" s="313" t="s">
        <v>26</v>
      </c>
      <c r="C3818" s="313" t="s">
        <v>1513</v>
      </c>
      <c r="D3818" s="313" t="s">
        <v>24</v>
      </c>
      <c r="E3818" s="313" t="s">
        <v>1372</v>
      </c>
    </row>
    <row r="3819" spans="1:5" x14ac:dyDescent="0.25">
      <c r="A3819" s="313" t="s">
        <v>1371</v>
      </c>
      <c r="B3819" s="313" t="s">
        <v>26</v>
      </c>
      <c r="C3819" s="313" t="s">
        <v>1514</v>
      </c>
      <c r="D3819" s="313" t="s">
        <v>24</v>
      </c>
      <c r="E3819" s="313" t="s">
        <v>1372</v>
      </c>
    </row>
    <row r="3820" spans="1:5" x14ac:dyDescent="0.25">
      <c r="A3820" s="313" t="s">
        <v>1371</v>
      </c>
      <c r="B3820" s="313" t="s">
        <v>26</v>
      </c>
      <c r="C3820" s="313" t="s">
        <v>1515</v>
      </c>
      <c r="D3820" s="313" t="s">
        <v>24</v>
      </c>
      <c r="E3820" s="313" t="s">
        <v>1779</v>
      </c>
    </row>
    <row r="3821" spans="1:5" x14ac:dyDescent="0.25">
      <c r="A3821" s="313" t="s">
        <v>1371</v>
      </c>
      <c r="B3821" s="313" t="s">
        <v>26</v>
      </c>
      <c r="C3821" s="313" t="s">
        <v>1516</v>
      </c>
      <c r="D3821" s="313" t="s">
        <v>24</v>
      </c>
      <c r="E3821" s="313" t="s">
        <v>1372</v>
      </c>
    </row>
    <row r="3822" spans="1:5" x14ac:dyDescent="0.25">
      <c r="A3822" s="313" t="s">
        <v>1371</v>
      </c>
      <c r="B3822" s="313" t="s">
        <v>26</v>
      </c>
      <c r="C3822" s="313" t="s">
        <v>1517</v>
      </c>
      <c r="D3822" s="313" t="s">
        <v>24</v>
      </c>
      <c r="E3822" s="313" t="s">
        <v>1372</v>
      </c>
    </row>
    <row r="3823" spans="1:5" x14ac:dyDescent="0.25">
      <c r="A3823" s="313" t="s">
        <v>1371</v>
      </c>
      <c r="B3823" s="313" t="s">
        <v>26</v>
      </c>
      <c r="C3823" s="313" t="s">
        <v>1518</v>
      </c>
      <c r="D3823" s="313" t="s">
        <v>24</v>
      </c>
      <c r="E3823" s="313" t="s">
        <v>1372</v>
      </c>
    </row>
    <row r="3824" spans="1:5" x14ac:dyDescent="0.25">
      <c r="A3824" s="313" t="s">
        <v>1371</v>
      </c>
      <c r="B3824" s="313" t="s">
        <v>26</v>
      </c>
      <c r="C3824" s="313" t="s">
        <v>1519</v>
      </c>
      <c r="D3824" s="313" t="s">
        <v>24</v>
      </c>
      <c r="E3824" s="313" t="s">
        <v>1779</v>
      </c>
    </row>
    <row r="3825" spans="1:5" x14ac:dyDescent="0.25">
      <c r="A3825" s="313" t="s">
        <v>1377</v>
      </c>
      <c r="B3825" s="313" t="s">
        <v>19</v>
      </c>
      <c r="C3825" s="313" t="s">
        <v>1466</v>
      </c>
      <c r="D3825" s="313" t="s">
        <v>26</v>
      </c>
      <c r="E3825" s="313" t="s">
        <v>24</v>
      </c>
    </row>
    <row r="3826" spans="1:5" x14ac:dyDescent="0.25">
      <c r="A3826" s="313" t="s">
        <v>1377</v>
      </c>
      <c r="B3826" s="313" t="s">
        <v>19</v>
      </c>
      <c r="C3826" s="313" t="s">
        <v>1471</v>
      </c>
      <c r="D3826" s="313" t="s">
        <v>26</v>
      </c>
      <c r="E3826" s="313" t="s">
        <v>24</v>
      </c>
    </row>
    <row r="3827" spans="1:5" x14ac:dyDescent="0.25">
      <c r="A3827" s="313" t="s">
        <v>1377</v>
      </c>
      <c r="B3827" s="313" t="s">
        <v>19</v>
      </c>
      <c r="C3827" s="313" t="s">
        <v>1475</v>
      </c>
      <c r="D3827" s="313" t="s">
        <v>19</v>
      </c>
      <c r="E3827" s="313" t="s">
        <v>1378</v>
      </c>
    </row>
    <row r="3828" spans="1:5" x14ac:dyDescent="0.25">
      <c r="A3828" s="313" t="s">
        <v>1377</v>
      </c>
      <c r="B3828" s="313" t="s">
        <v>19</v>
      </c>
      <c r="C3828" s="313" t="s">
        <v>20</v>
      </c>
      <c r="D3828" s="313" t="s">
        <v>26</v>
      </c>
      <c r="E3828" s="313" t="s">
        <v>24</v>
      </c>
    </row>
    <row r="3829" spans="1:5" x14ac:dyDescent="0.25">
      <c r="A3829" s="313" t="s">
        <v>1377</v>
      </c>
      <c r="B3829" s="313" t="s">
        <v>19</v>
      </c>
      <c r="C3829" s="313" t="s">
        <v>1487</v>
      </c>
      <c r="D3829" s="313" t="s">
        <v>26</v>
      </c>
      <c r="E3829" s="313" t="s">
        <v>24</v>
      </c>
    </row>
    <row r="3830" spans="1:5" x14ac:dyDescent="0.25">
      <c r="A3830" s="313" t="s">
        <v>1377</v>
      </c>
      <c r="B3830" s="313" t="s">
        <v>19</v>
      </c>
      <c r="C3830" s="313" t="s">
        <v>1495</v>
      </c>
      <c r="D3830" s="313" t="s">
        <v>35</v>
      </c>
      <c r="E3830" s="313" t="s">
        <v>24</v>
      </c>
    </row>
    <row r="3831" spans="1:5" x14ac:dyDescent="0.25">
      <c r="A3831" s="313" t="s">
        <v>1377</v>
      </c>
      <c r="B3831" s="313" t="s">
        <v>26</v>
      </c>
      <c r="C3831" s="313" t="s">
        <v>1501</v>
      </c>
      <c r="D3831" s="313" t="s">
        <v>24</v>
      </c>
      <c r="E3831" s="313" t="s">
        <v>1378</v>
      </c>
    </row>
    <row r="3832" spans="1:5" x14ac:dyDescent="0.25">
      <c r="A3832" s="313" t="s">
        <v>1377</v>
      </c>
      <c r="B3832" s="313" t="s">
        <v>26</v>
      </c>
      <c r="C3832" s="313" t="s">
        <v>1502</v>
      </c>
      <c r="D3832" s="313" t="s">
        <v>24</v>
      </c>
      <c r="E3832" s="313" t="s">
        <v>1780</v>
      </c>
    </row>
    <row r="3833" spans="1:5" x14ac:dyDescent="0.25">
      <c r="A3833" s="313" t="s">
        <v>1377</v>
      </c>
      <c r="B3833" s="313" t="s">
        <v>26</v>
      </c>
      <c r="C3833" s="313" t="s">
        <v>1503</v>
      </c>
      <c r="D3833" s="313" t="s">
        <v>24</v>
      </c>
      <c r="E3833" s="313" t="s">
        <v>1378</v>
      </c>
    </row>
    <row r="3834" spans="1:5" x14ac:dyDescent="0.25">
      <c r="A3834" s="313" t="s">
        <v>1377</v>
      </c>
      <c r="B3834" s="313" t="s">
        <v>26</v>
      </c>
      <c r="C3834" s="313" t="s">
        <v>2929</v>
      </c>
      <c r="D3834" s="313" t="s">
        <v>24</v>
      </c>
      <c r="E3834" s="313" t="s">
        <v>1378</v>
      </c>
    </row>
    <row r="3835" spans="1:5" x14ac:dyDescent="0.25">
      <c r="A3835" s="313" t="s">
        <v>1377</v>
      </c>
      <c r="B3835" s="313" t="s">
        <v>26</v>
      </c>
      <c r="C3835" s="313" t="s">
        <v>2930</v>
      </c>
      <c r="D3835" s="313" t="s">
        <v>24</v>
      </c>
      <c r="E3835" s="313" t="s">
        <v>35</v>
      </c>
    </row>
    <row r="3836" spans="1:5" x14ac:dyDescent="0.25">
      <c r="A3836" s="313" t="s">
        <v>1377</v>
      </c>
      <c r="B3836" s="313" t="s">
        <v>26</v>
      </c>
      <c r="C3836" s="313" t="s">
        <v>1509</v>
      </c>
      <c r="D3836" s="313" t="s">
        <v>24</v>
      </c>
      <c r="E3836" s="313" t="s">
        <v>1780</v>
      </c>
    </row>
    <row r="3837" spans="1:5" x14ac:dyDescent="0.25">
      <c r="A3837" s="313" t="s">
        <v>1377</v>
      </c>
      <c r="B3837" s="313" t="s">
        <v>26</v>
      </c>
      <c r="C3837" s="313" t="s">
        <v>1510</v>
      </c>
      <c r="D3837" s="313" t="s">
        <v>24</v>
      </c>
      <c r="E3837" s="313" t="s">
        <v>1780</v>
      </c>
    </row>
    <row r="3838" spans="1:5" x14ac:dyDescent="0.25">
      <c r="A3838" s="313" t="s">
        <v>1377</v>
      </c>
      <c r="B3838" s="313" t="s">
        <v>26</v>
      </c>
      <c r="C3838" s="313" t="s">
        <v>1511</v>
      </c>
      <c r="D3838" s="313" t="s">
        <v>24</v>
      </c>
      <c r="E3838" s="313" t="s">
        <v>1378</v>
      </c>
    </row>
    <row r="3839" spans="1:5" x14ac:dyDescent="0.25">
      <c r="A3839" s="313" t="s">
        <v>1377</v>
      </c>
      <c r="B3839" s="313" t="s">
        <v>26</v>
      </c>
      <c r="C3839" s="313" t="s">
        <v>27</v>
      </c>
      <c r="D3839" s="313" t="s">
        <v>24</v>
      </c>
      <c r="E3839" s="313" t="s">
        <v>1378</v>
      </c>
    </row>
    <row r="3840" spans="1:5" x14ac:dyDescent="0.25">
      <c r="A3840" s="313" t="s">
        <v>1377</v>
      </c>
      <c r="B3840" s="313" t="s">
        <v>26</v>
      </c>
      <c r="C3840" s="313" t="s">
        <v>1512</v>
      </c>
      <c r="D3840" s="313" t="s">
        <v>24</v>
      </c>
      <c r="E3840" s="313" t="s">
        <v>1378</v>
      </c>
    </row>
    <row r="3841" spans="1:5" x14ac:dyDescent="0.25">
      <c r="A3841" s="313" t="s">
        <v>1377</v>
      </c>
      <c r="B3841" s="313" t="s">
        <v>26</v>
      </c>
      <c r="C3841" s="313" t="s">
        <v>1513</v>
      </c>
      <c r="D3841" s="313" t="s">
        <v>24</v>
      </c>
      <c r="E3841" s="313" t="s">
        <v>1378</v>
      </c>
    </row>
    <row r="3842" spans="1:5" x14ac:dyDescent="0.25">
      <c r="A3842" s="313" t="s">
        <v>1377</v>
      </c>
      <c r="B3842" s="313" t="s">
        <v>26</v>
      </c>
      <c r="C3842" s="313" t="s">
        <v>1514</v>
      </c>
      <c r="D3842" s="313" t="s">
        <v>24</v>
      </c>
      <c r="E3842" s="313" t="s">
        <v>1378</v>
      </c>
    </row>
    <row r="3843" spans="1:5" x14ac:dyDescent="0.25">
      <c r="A3843" s="313" t="s">
        <v>1377</v>
      </c>
      <c r="B3843" s="313" t="s">
        <v>26</v>
      </c>
      <c r="C3843" s="313" t="s">
        <v>1515</v>
      </c>
      <c r="D3843" s="313" t="s">
        <v>24</v>
      </c>
      <c r="E3843" s="313" t="s">
        <v>1378</v>
      </c>
    </row>
    <row r="3844" spans="1:5" x14ac:dyDescent="0.25">
      <c r="A3844" s="313" t="s">
        <v>1377</v>
      </c>
      <c r="B3844" s="313" t="s">
        <v>26</v>
      </c>
      <c r="C3844" s="313" t="s">
        <v>1516</v>
      </c>
      <c r="D3844" s="313" t="s">
        <v>24</v>
      </c>
      <c r="E3844" s="313" t="s">
        <v>1378</v>
      </c>
    </row>
    <row r="3845" spans="1:5" x14ac:dyDescent="0.25">
      <c r="A3845" s="313" t="s">
        <v>1377</v>
      </c>
      <c r="B3845" s="313" t="s">
        <v>26</v>
      </c>
      <c r="C3845" s="313" t="s">
        <v>1517</v>
      </c>
      <c r="D3845" s="313" t="s">
        <v>24</v>
      </c>
      <c r="E3845" s="313" t="s">
        <v>1378</v>
      </c>
    </row>
    <row r="3846" spans="1:5" x14ac:dyDescent="0.25">
      <c r="A3846" s="313" t="s">
        <v>1377</v>
      </c>
      <c r="B3846" s="313" t="s">
        <v>26</v>
      </c>
      <c r="C3846" s="313" t="s">
        <v>1518</v>
      </c>
      <c r="D3846" s="313" t="s">
        <v>24</v>
      </c>
      <c r="E3846" s="313" t="s">
        <v>1378</v>
      </c>
    </row>
    <row r="3847" spans="1:5" x14ac:dyDescent="0.25">
      <c r="A3847" s="313" t="s">
        <v>1377</v>
      </c>
      <c r="B3847" s="313" t="s">
        <v>26</v>
      </c>
      <c r="C3847" s="313" t="s">
        <v>1519</v>
      </c>
      <c r="D3847" s="313" t="s">
        <v>24</v>
      </c>
      <c r="E3847" s="313" t="s">
        <v>1378</v>
      </c>
    </row>
    <row r="3848" spans="1:5" x14ac:dyDescent="0.25">
      <c r="A3848" s="313" t="s">
        <v>1381</v>
      </c>
      <c r="B3848" s="313" t="s">
        <v>19</v>
      </c>
      <c r="C3848" s="313" t="s">
        <v>1466</v>
      </c>
      <c r="D3848" s="313" t="s">
        <v>26</v>
      </c>
      <c r="E3848" s="313" t="s">
        <v>24</v>
      </c>
    </row>
    <row r="3849" spans="1:5" x14ac:dyDescent="0.25">
      <c r="A3849" s="313" t="s">
        <v>1381</v>
      </c>
      <c r="B3849" s="313" t="s">
        <v>19</v>
      </c>
      <c r="C3849" s="313" t="s">
        <v>1471</v>
      </c>
      <c r="D3849" s="313" t="s">
        <v>26</v>
      </c>
      <c r="E3849" s="313" t="s">
        <v>24</v>
      </c>
    </row>
    <row r="3850" spans="1:5" x14ac:dyDescent="0.25">
      <c r="A3850" s="313" t="s">
        <v>1381</v>
      </c>
      <c r="B3850" s="313" t="s">
        <v>19</v>
      </c>
      <c r="C3850" s="313" t="s">
        <v>1475</v>
      </c>
      <c r="D3850" s="313" t="s">
        <v>19</v>
      </c>
      <c r="E3850" s="313" t="s">
        <v>1781</v>
      </c>
    </row>
    <row r="3851" spans="1:5" x14ac:dyDescent="0.25">
      <c r="A3851" s="313" t="s">
        <v>1381</v>
      </c>
      <c r="B3851" s="313" t="s">
        <v>19</v>
      </c>
      <c r="C3851" s="313" t="s">
        <v>20</v>
      </c>
      <c r="D3851" s="313" t="s">
        <v>26</v>
      </c>
      <c r="E3851" s="313" t="s">
        <v>24</v>
      </c>
    </row>
    <row r="3852" spans="1:5" x14ac:dyDescent="0.25">
      <c r="A3852" s="313" t="s">
        <v>1381</v>
      </c>
      <c r="B3852" s="313" t="s">
        <v>19</v>
      </c>
      <c r="C3852" s="313" t="s">
        <v>1487</v>
      </c>
      <c r="D3852" s="313" t="s">
        <v>26</v>
      </c>
      <c r="E3852" s="313" t="s">
        <v>24</v>
      </c>
    </row>
    <row r="3853" spans="1:5" x14ac:dyDescent="0.25">
      <c r="A3853" s="313" t="s">
        <v>1381</v>
      </c>
      <c r="B3853" s="313" t="s">
        <v>19</v>
      </c>
      <c r="C3853" s="313" t="s">
        <v>1495</v>
      </c>
      <c r="D3853" s="313" t="s">
        <v>35</v>
      </c>
      <c r="E3853" s="313" t="s">
        <v>24</v>
      </c>
    </row>
    <row r="3854" spans="1:5" x14ac:dyDescent="0.25">
      <c r="A3854" s="313" t="s">
        <v>1381</v>
      </c>
      <c r="B3854" s="313" t="s">
        <v>26</v>
      </c>
      <c r="C3854" s="313" t="s">
        <v>1501</v>
      </c>
      <c r="D3854" s="313" t="s">
        <v>24</v>
      </c>
      <c r="E3854" s="313" t="s">
        <v>1781</v>
      </c>
    </row>
    <row r="3855" spans="1:5" x14ac:dyDescent="0.25">
      <c r="A3855" s="313" t="s">
        <v>1381</v>
      </c>
      <c r="B3855" s="313" t="s">
        <v>26</v>
      </c>
      <c r="C3855" s="313" t="s">
        <v>1502</v>
      </c>
      <c r="D3855" s="313" t="s">
        <v>24</v>
      </c>
      <c r="E3855" s="313" t="s">
        <v>1575</v>
      </c>
    </row>
    <row r="3856" spans="1:5" x14ac:dyDescent="0.25">
      <c r="A3856" s="313" t="s">
        <v>1381</v>
      </c>
      <c r="B3856" s="313" t="s">
        <v>26</v>
      </c>
      <c r="C3856" s="313" t="s">
        <v>1503</v>
      </c>
      <c r="D3856" s="313" t="s">
        <v>24</v>
      </c>
      <c r="E3856" s="313" t="s">
        <v>1781</v>
      </c>
    </row>
    <row r="3857" spans="1:5" x14ac:dyDescent="0.25">
      <c r="A3857" s="313" t="s">
        <v>1381</v>
      </c>
      <c r="B3857" s="313" t="s">
        <v>26</v>
      </c>
      <c r="C3857" s="313" t="s">
        <v>2929</v>
      </c>
      <c r="D3857" s="313" t="s">
        <v>24</v>
      </c>
      <c r="E3857" s="313" t="s">
        <v>1781</v>
      </c>
    </row>
    <row r="3858" spans="1:5" x14ac:dyDescent="0.25">
      <c r="A3858" s="313" t="s">
        <v>1381</v>
      </c>
      <c r="B3858" s="313" t="s">
        <v>26</v>
      </c>
      <c r="C3858" s="313" t="s">
        <v>2930</v>
      </c>
      <c r="D3858" s="313" t="s">
        <v>24</v>
      </c>
      <c r="E3858" s="313" t="s">
        <v>35</v>
      </c>
    </row>
    <row r="3859" spans="1:5" x14ac:dyDescent="0.25">
      <c r="A3859" s="313" t="s">
        <v>1381</v>
      </c>
      <c r="B3859" s="313" t="s">
        <v>26</v>
      </c>
      <c r="C3859" s="313" t="s">
        <v>1509</v>
      </c>
      <c r="D3859" s="313" t="s">
        <v>24</v>
      </c>
      <c r="E3859" s="313" t="s">
        <v>1382</v>
      </c>
    </row>
    <row r="3860" spans="1:5" x14ac:dyDescent="0.25">
      <c r="A3860" s="313" t="s">
        <v>1381</v>
      </c>
      <c r="B3860" s="313" t="s">
        <v>26</v>
      </c>
      <c r="C3860" s="313" t="s">
        <v>1510</v>
      </c>
      <c r="D3860" s="313" t="s">
        <v>24</v>
      </c>
      <c r="E3860" s="313" t="s">
        <v>1575</v>
      </c>
    </row>
    <row r="3861" spans="1:5" x14ac:dyDescent="0.25">
      <c r="A3861" s="313" t="s">
        <v>1381</v>
      </c>
      <c r="B3861" s="313" t="s">
        <v>26</v>
      </c>
      <c r="C3861" s="313" t="s">
        <v>1511</v>
      </c>
      <c r="D3861" s="313" t="s">
        <v>24</v>
      </c>
      <c r="E3861" s="313" t="s">
        <v>1781</v>
      </c>
    </row>
    <row r="3862" spans="1:5" x14ac:dyDescent="0.25">
      <c r="A3862" s="313" t="s">
        <v>1381</v>
      </c>
      <c r="B3862" s="313" t="s">
        <v>26</v>
      </c>
      <c r="C3862" s="313" t="s">
        <v>27</v>
      </c>
      <c r="D3862" s="313" t="s">
        <v>24</v>
      </c>
      <c r="E3862" s="313" t="s">
        <v>1382</v>
      </c>
    </row>
    <row r="3863" spans="1:5" x14ac:dyDescent="0.25">
      <c r="A3863" s="313" t="s">
        <v>1381</v>
      </c>
      <c r="B3863" s="313" t="s">
        <v>26</v>
      </c>
      <c r="C3863" s="313" t="s">
        <v>1512</v>
      </c>
      <c r="D3863" s="313" t="s">
        <v>24</v>
      </c>
      <c r="E3863" s="313" t="s">
        <v>1781</v>
      </c>
    </row>
    <row r="3864" spans="1:5" x14ac:dyDescent="0.25">
      <c r="A3864" s="313" t="s">
        <v>1381</v>
      </c>
      <c r="B3864" s="313" t="s">
        <v>26</v>
      </c>
      <c r="C3864" s="313" t="s">
        <v>1513</v>
      </c>
      <c r="D3864" s="313" t="s">
        <v>24</v>
      </c>
      <c r="E3864" s="313" t="s">
        <v>1781</v>
      </c>
    </row>
    <row r="3865" spans="1:5" x14ac:dyDescent="0.25">
      <c r="A3865" s="313" t="s">
        <v>1381</v>
      </c>
      <c r="B3865" s="313" t="s">
        <v>26</v>
      </c>
      <c r="C3865" s="313" t="s">
        <v>1514</v>
      </c>
      <c r="D3865" s="313" t="s">
        <v>24</v>
      </c>
      <c r="E3865" s="313" t="s">
        <v>1781</v>
      </c>
    </row>
    <row r="3866" spans="1:5" x14ac:dyDescent="0.25">
      <c r="A3866" s="313" t="s">
        <v>1381</v>
      </c>
      <c r="B3866" s="313" t="s">
        <v>26</v>
      </c>
      <c r="C3866" s="313" t="s">
        <v>1515</v>
      </c>
      <c r="D3866" s="313" t="s">
        <v>24</v>
      </c>
      <c r="E3866" s="313" t="s">
        <v>1781</v>
      </c>
    </row>
    <row r="3867" spans="1:5" x14ac:dyDescent="0.25">
      <c r="A3867" s="313" t="s">
        <v>1381</v>
      </c>
      <c r="B3867" s="313" t="s">
        <v>26</v>
      </c>
      <c r="C3867" s="313" t="s">
        <v>1516</v>
      </c>
      <c r="D3867" s="313" t="s">
        <v>24</v>
      </c>
      <c r="E3867" s="313" t="s">
        <v>1781</v>
      </c>
    </row>
    <row r="3868" spans="1:5" x14ac:dyDescent="0.25">
      <c r="A3868" s="313" t="s">
        <v>1381</v>
      </c>
      <c r="B3868" s="313" t="s">
        <v>26</v>
      </c>
      <c r="C3868" s="313" t="s">
        <v>1517</v>
      </c>
      <c r="D3868" s="313" t="s">
        <v>24</v>
      </c>
      <c r="E3868" s="313" t="s">
        <v>1781</v>
      </c>
    </row>
    <row r="3869" spans="1:5" x14ac:dyDescent="0.25">
      <c r="A3869" s="313" t="s">
        <v>1381</v>
      </c>
      <c r="B3869" s="313" t="s">
        <v>26</v>
      </c>
      <c r="C3869" s="313" t="s">
        <v>1518</v>
      </c>
      <c r="D3869" s="313" t="s">
        <v>24</v>
      </c>
      <c r="E3869" s="313" t="s">
        <v>1781</v>
      </c>
    </row>
    <row r="3870" spans="1:5" x14ac:dyDescent="0.25">
      <c r="A3870" s="313" t="s">
        <v>1381</v>
      </c>
      <c r="B3870" s="313" t="s">
        <v>26</v>
      </c>
      <c r="C3870" s="313" t="s">
        <v>1519</v>
      </c>
      <c r="D3870" s="313" t="s">
        <v>24</v>
      </c>
      <c r="E3870" s="313" t="s">
        <v>1781</v>
      </c>
    </row>
    <row r="3871" spans="1:5" x14ac:dyDescent="0.25">
      <c r="A3871" s="313" t="s">
        <v>1385</v>
      </c>
      <c r="B3871" s="313" t="s">
        <v>19</v>
      </c>
      <c r="C3871" s="313" t="s">
        <v>1466</v>
      </c>
      <c r="D3871" s="313" t="s">
        <v>35</v>
      </c>
      <c r="E3871" s="313" t="s">
        <v>24</v>
      </c>
    </row>
    <row r="3872" spans="1:5" x14ac:dyDescent="0.25">
      <c r="A3872" s="313" t="s">
        <v>1385</v>
      </c>
      <c r="B3872" s="313" t="s">
        <v>19</v>
      </c>
      <c r="C3872" s="313" t="s">
        <v>1471</v>
      </c>
      <c r="D3872" s="313" t="s">
        <v>35</v>
      </c>
      <c r="E3872" s="313" t="s">
        <v>24</v>
      </c>
    </row>
    <row r="3873" spans="1:5" x14ac:dyDescent="0.25">
      <c r="A3873" s="313" t="s">
        <v>1385</v>
      </c>
      <c r="B3873" s="313" t="s">
        <v>19</v>
      </c>
      <c r="C3873" s="313" t="s">
        <v>1475</v>
      </c>
      <c r="D3873" s="313" t="s">
        <v>35</v>
      </c>
      <c r="E3873" s="313" t="s">
        <v>24</v>
      </c>
    </row>
    <row r="3874" spans="1:5" x14ac:dyDescent="0.25">
      <c r="A3874" s="313" t="s">
        <v>1385</v>
      </c>
      <c r="B3874" s="313" t="s">
        <v>19</v>
      </c>
      <c r="C3874" s="313" t="s">
        <v>20</v>
      </c>
      <c r="D3874" s="313" t="s">
        <v>35</v>
      </c>
      <c r="E3874" s="313" t="s">
        <v>24</v>
      </c>
    </row>
    <row r="3875" spans="1:5" x14ac:dyDescent="0.25">
      <c r="A3875" s="313" t="s">
        <v>1385</v>
      </c>
      <c r="B3875" s="313" t="s">
        <v>19</v>
      </c>
      <c r="C3875" s="313" t="s">
        <v>1487</v>
      </c>
      <c r="D3875" s="313" t="s">
        <v>35</v>
      </c>
      <c r="E3875" s="313" t="s">
        <v>24</v>
      </c>
    </row>
    <row r="3876" spans="1:5" x14ac:dyDescent="0.25">
      <c r="A3876" s="313" t="s">
        <v>1385</v>
      </c>
      <c r="B3876" s="313" t="s">
        <v>19</v>
      </c>
      <c r="C3876" s="313" t="s">
        <v>1495</v>
      </c>
      <c r="D3876" s="313" t="s">
        <v>35</v>
      </c>
      <c r="E3876" s="313" t="s">
        <v>24</v>
      </c>
    </row>
    <row r="3877" spans="1:5" x14ac:dyDescent="0.25">
      <c r="A3877" s="313" t="s">
        <v>1385</v>
      </c>
      <c r="B3877" s="313" t="s">
        <v>26</v>
      </c>
      <c r="C3877" s="313" t="s">
        <v>1515</v>
      </c>
      <c r="D3877" s="313" t="s">
        <v>24</v>
      </c>
      <c r="E3877" s="313" t="s">
        <v>1782</v>
      </c>
    </row>
    <row r="3878" spans="1:5" x14ac:dyDescent="0.25">
      <c r="A3878" s="313" t="s">
        <v>1389</v>
      </c>
      <c r="B3878" s="313" t="s">
        <v>19</v>
      </c>
      <c r="C3878" s="313" t="s">
        <v>1466</v>
      </c>
      <c r="D3878" s="313" t="s">
        <v>19</v>
      </c>
      <c r="E3878" s="313" t="s">
        <v>1783</v>
      </c>
    </row>
    <row r="3879" spans="1:5" x14ac:dyDescent="0.25">
      <c r="A3879" s="313" t="s">
        <v>1389</v>
      </c>
      <c r="B3879" s="313" t="s">
        <v>19</v>
      </c>
      <c r="C3879" s="313" t="s">
        <v>1471</v>
      </c>
      <c r="D3879" s="313" t="s">
        <v>26</v>
      </c>
      <c r="E3879" s="313" t="s">
        <v>24</v>
      </c>
    </row>
    <row r="3880" spans="1:5" x14ac:dyDescent="0.25">
      <c r="A3880" s="313" t="s">
        <v>1389</v>
      </c>
      <c r="B3880" s="313" t="s">
        <v>19</v>
      </c>
      <c r="C3880" s="313" t="s">
        <v>1475</v>
      </c>
      <c r="D3880" s="313" t="s">
        <v>19</v>
      </c>
      <c r="E3880" s="313" t="s">
        <v>1785</v>
      </c>
    </row>
    <row r="3881" spans="1:5" x14ac:dyDescent="0.25">
      <c r="A3881" s="313" t="s">
        <v>1389</v>
      </c>
      <c r="B3881" s="313" t="s">
        <v>19</v>
      </c>
      <c r="C3881" s="313" t="s">
        <v>20</v>
      </c>
      <c r="D3881" s="313" t="s">
        <v>19</v>
      </c>
      <c r="E3881" s="313" t="s">
        <v>1390</v>
      </c>
    </row>
    <row r="3882" spans="1:5" x14ac:dyDescent="0.25">
      <c r="A3882" s="313" t="s">
        <v>1389</v>
      </c>
      <c r="B3882" s="313" t="s">
        <v>19</v>
      </c>
      <c r="C3882" s="313" t="s">
        <v>1487</v>
      </c>
      <c r="D3882" s="313" t="s">
        <v>26</v>
      </c>
      <c r="E3882" s="313" t="s">
        <v>24</v>
      </c>
    </row>
    <row r="3883" spans="1:5" x14ac:dyDescent="0.25">
      <c r="A3883" s="313" t="s">
        <v>1389</v>
      </c>
      <c r="B3883" s="313" t="s">
        <v>19</v>
      </c>
      <c r="C3883" s="313" t="s">
        <v>1495</v>
      </c>
      <c r="D3883" s="313" t="s">
        <v>35</v>
      </c>
      <c r="E3883" s="313" t="s">
        <v>24</v>
      </c>
    </row>
    <row r="3884" spans="1:5" x14ac:dyDescent="0.25">
      <c r="A3884" s="313" t="s">
        <v>1389</v>
      </c>
      <c r="B3884" s="313" t="s">
        <v>26</v>
      </c>
      <c r="C3884" s="313" t="s">
        <v>2929</v>
      </c>
      <c r="D3884" s="313" t="s">
        <v>24</v>
      </c>
      <c r="E3884" s="313" t="s">
        <v>1784</v>
      </c>
    </row>
    <row r="3885" spans="1:5" x14ac:dyDescent="0.25">
      <c r="A3885" s="313" t="s">
        <v>1389</v>
      </c>
      <c r="B3885" s="313" t="s">
        <v>26</v>
      </c>
      <c r="C3885" s="313" t="s">
        <v>2930</v>
      </c>
      <c r="D3885" s="313" t="s">
        <v>24</v>
      </c>
      <c r="E3885" s="313" t="s">
        <v>35</v>
      </c>
    </row>
    <row r="3886" spans="1:5" x14ac:dyDescent="0.25">
      <c r="A3886" s="313" t="s">
        <v>1389</v>
      </c>
      <c r="B3886" s="313" t="s">
        <v>26</v>
      </c>
      <c r="C3886" s="313" t="s">
        <v>1514</v>
      </c>
      <c r="D3886" s="313" t="s">
        <v>24</v>
      </c>
      <c r="E3886" s="313" t="s">
        <v>1786</v>
      </c>
    </row>
    <row r="3887" spans="1:5" x14ac:dyDescent="0.25">
      <c r="A3887" s="313" t="s">
        <v>1389</v>
      </c>
      <c r="B3887" s="313" t="s">
        <v>26</v>
      </c>
      <c r="C3887" s="313" t="s">
        <v>1515</v>
      </c>
      <c r="D3887" s="313" t="s">
        <v>24</v>
      </c>
      <c r="E3887" s="313" t="s">
        <v>1786</v>
      </c>
    </row>
    <row r="3888" spans="1:5" x14ac:dyDescent="0.25">
      <c r="A3888" s="313" t="s">
        <v>1389</v>
      </c>
      <c r="B3888" s="313" t="s">
        <v>26</v>
      </c>
      <c r="C3888" s="313" t="s">
        <v>1516</v>
      </c>
      <c r="D3888" s="313" t="s">
        <v>24</v>
      </c>
      <c r="E3888" s="313" t="s">
        <v>1786</v>
      </c>
    </row>
    <row r="3889" spans="1:5" x14ac:dyDescent="0.25">
      <c r="A3889" s="313" t="s">
        <v>1389</v>
      </c>
      <c r="B3889" s="313" t="s">
        <v>26</v>
      </c>
      <c r="C3889" s="313" t="s">
        <v>1517</v>
      </c>
      <c r="D3889" s="313" t="s">
        <v>24</v>
      </c>
      <c r="E3889" s="313" t="s">
        <v>1786</v>
      </c>
    </row>
    <row r="3890" spans="1:5" x14ac:dyDescent="0.25">
      <c r="A3890" s="313" t="s">
        <v>1389</v>
      </c>
      <c r="B3890" s="313" t="s">
        <v>26</v>
      </c>
      <c r="C3890" s="313" t="s">
        <v>1518</v>
      </c>
      <c r="D3890" s="313" t="s">
        <v>24</v>
      </c>
      <c r="E3890" s="313" t="s">
        <v>1786</v>
      </c>
    </row>
    <row r="3891" spans="1:5" x14ac:dyDescent="0.25">
      <c r="A3891" s="313" t="s">
        <v>1389</v>
      </c>
      <c r="B3891" s="313" t="s">
        <v>26</v>
      </c>
      <c r="C3891" s="313" t="s">
        <v>1519</v>
      </c>
      <c r="D3891" s="313" t="s">
        <v>24</v>
      </c>
      <c r="E3891" s="313" t="s">
        <v>1786</v>
      </c>
    </row>
    <row r="3892" spans="1:5" x14ac:dyDescent="0.25">
      <c r="A3892" s="313" t="s">
        <v>1393</v>
      </c>
      <c r="B3892" s="313" t="s">
        <v>19</v>
      </c>
      <c r="C3892" s="313" t="s">
        <v>1466</v>
      </c>
      <c r="D3892" s="313" t="s">
        <v>35</v>
      </c>
      <c r="E3892" s="313" t="s">
        <v>24</v>
      </c>
    </row>
    <row r="3893" spans="1:5" x14ac:dyDescent="0.25">
      <c r="A3893" s="313" t="s">
        <v>1393</v>
      </c>
      <c r="B3893" s="313" t="s">
        <v>19</v>
      </c>
      <c r="C3893" s="313" t="s">
        <v>1471</v>
      </c>
      <c r="D3893" s="313" t="s">
        <v>35</v>
      </c>
      <c r="E3893" s="313" t="s">
        <v>24</v>
      </c>
    </row>
    <row r="3894" spans="1:5" x14ac:dyDescent="0.25">
      <c r="A3894" s="313" t="s">
        <v>1393</v>
      </c>
      <c r="B3894" s="313" t="s">
        <v>19</v>
      </c>
      <c r="C3894" s="313" t="s">
        <v>1475</v>
      </c>
      <c r="D3894" s="313" t="s">
        <v>35</v>
      </c>
      <c r="E3894" s="313" t="s">
        <v>24</v>
      </c>
    </row>
    <row r="3895" spans="1:5" x14ac:dyDescent="0.25">
      <c r="A3895" s="313" t="s">
        <v>1393</v>
      </c>
      <c r="B3895" s="313" t="s">
        <v>19</v>
      </c>
      <c r="C3895" s="313" t="s">
        <v>20</v>
      </c>
      <c r="D3895" s="313" t="s">
        <v>35</v>
      </c>
      <c r="E3895" s="313" t="s">
        <v>46</v>
      </c>
    </row>
    <row r="3896" spans="1:5" x14ac:dyDescent="0.25">
      <c r="A3896" s="313" t="s">
        <v>1393</v>
      </c>
      <c r="B3896" s="313" t="s">
        <v>19</v>
      </c>
      <c r="C3896" s="313" t="s">
        <v>1487</v>
      </c>
      <c r="D3896" s="313" t="s">
        <v>19</v>
      </c>
      <c r="E3896" s="313" t="s">
        <v>46</v>
      </c>
    </row>
    <row r="3897" spans="1:5" x14ac:dyDescent="0.25">
      <c r="A3897" s="313" t="s">
        <v>1393</v>
      </c>
      <c r="B3897" s="313" t="s">
        <v>19</v>
      </c>
      <c r="C3897" s="313" t="s">
        <v>1495</v>
      </c>
      <c r="D3897" s="313" t="s">
        <v>35</v>
      </c>
      <c r="E3897" s="313" t="s">
        <v>24</v>
      </c>
    </row>
    <row r="3898" spans="1:5" x14ac:dyDescent="0.25">
      <c r="A3898" s="313" t="s">
        <v>1397</v>
      </c>
      <c r="B3898" s="313" t="s">
        <v>19</v>
      </c>
      <c r="C3898" s="313" t="s">
        <v>1466</v>
      </c>
      <c r="D3898" s="313" t="s">
        <v>19</v>
      </c>
      <c r="E3898" s="313" t="s">
        <v>1787</v>
      </c>
    </row>
    <row r="3899" spans="1:5" x14ac:dyDescent="0.25">
      <c r="A3899" s="313" t="s">
        <v>1397</v>
      </c>
      <c r="B3899" s="313" t="s">
        <v>19</v>
      </c>
      <c r="C3899" s="313" t="s">
        <v>1471</v>
      </c>
      <c r="D3899" s="313" t="s">
        <v>26</v>
      </c>
      <c r="E3899" s="313" t="s">
        <v>24</v>
      </c>
    </row>
    <row r="3900" spans="1:5" x14ac:dyDescent="0.25">
      <c r="A3900" s="313" t="s">
        <v>1397</v>
      </c>
      <c r="B3900" s="313" t="s">
        <v>19</v>
      </c>
      <c r="C3900" s="313" t="s">
        <v>1475</v>
      </c>
      <c r="D3900" s="313" t="s">
        <v>26</v>
      </c>
      <c r="E3900" s="313" t="s">
        <v>24</v>
      </c>
    </row>
    <row r="3901" spans="1:5" x14ac:dyDescent="0.25">
      <c r="A3901" s="313" t="s">
        <v>1397</v>
      </c>
      <c r="B3901" s="313" t="s">
        <v>19</v>
      </c>
      <c r="C3901" s="313" t="s">
        <v>20</v>
      </c>
      <c r="D3901" s="313" t="s">
        <v>26</v>
      </c>
      <c r="E3901" s="313" t="s">
        <v>24</v>
      </c>
    </row>
    <row r="3902" spans="1:5" x14ac:dyDescent="0.25">
      <c r="A3902" s="313" t="s">
        <v>1397</v>
      </c>
      <c r="B3902" s="313" t="s">
        <v>19</v>
      </c>
      <c r="C3902" s="313" t="s">
        <v>1487</v>
      </c>
      <c r="D3902" s="313" t="s">
        <v>26</v>
      </c>
      <c r="E3902" s="313" t="s">
        <v>24</v>
      </c>
    </row>
    <row r="3903" spans="1:5" x14ac:dyDescent="0.25">
      <c r="A3903" s="313" t="s">
        <v>1397</v>
      </c>
      <c r="B3903" s="313" t="s">
        <v>19</v>
      </c>
      <c r="C3903" s="313" t="s">
        <v>1495</v>
      </c>
      <c r="D3903" s="313" t="s">
        <v>35</v>
      </c>
      <c r="E3903" s="313" t="s">
        <v>24</v>
      </c>
    </row>
    <row r="3904" spans="1:5" x14ac:dyDescent="0.25">
      <c r="A3904" s="313" t="s">
        <v>1397</v>
      </c>
      <c r="B3904" s="313" t="s">
        <v>26</v>
      </c>
      <c r="C3904" s="313" t="s">
        <v>2929</v>
      </c>
      <c r="D3904" s="313" t="s">
        <v>24</v>
      </c>
      <c r="E3904" s="313" t="s">
        <v>1787</v>
      </c>
    </row>
    <row r="3905" spans="1:5" x14ac:dyDescent="0.25">
      <c r="A3905" s="313" t="s">
        <v>1397</v>
      </c>
      <c r="B3905" s="313" t="s">
        <v>26</v>
      </c>
      <c r="C3905" s="313" t="s">
        <v>2930</v>
      </c>
      <c r="D3905" s="313" t="s">
        <v>24</v>
      </c>
      <c r="E3905" s="313" t="s">
        <v>35</v>
      </c>
    </row>
    <row r="3906" spans="1:5" x14ac:dyDescent="0.25">
      <c r="A3906" s="313" t="s">
        <v>1397</v>
      </c>
      <c r="B3906" s="313" t="s">
        <v>26</v>
      </c>
      <c r="C3906" s="313" t="s">
        <v>1506</v>
      </c>
      <c r="D3906" s="313" t="s">
        <v>24</v>
      </c>
      <c r="E3906" s="313" t="s">
        <v>1788</v>
      </c>
    </row>
    <row r="3907" spans="1:5" x14ac:dyDescent="0.25">
      <c r="A3907" s="313" t="s">
        <v>1397</v>
      </c>
      <c r="B3907" s="313" t="s">
        <v>26</v>
      </c>
      <c r="C3907" s="313" t="s">
        <v>1507</v>
      </c>
      <c r="D3907" s="313" t="s">
        <v>24</v>
      </c>
      <c r="E3907" s="313" t="s">
        <v>1788</v>
      </c>
    </row>
    <row r="3908" spans="1:5" x14ac:dyDescent="0.25">
      <c r="A3908" s="313" t="s">
        <v>1397</v>
      </c>
      <c r="B3908" s="313" t="s">
        <v>26</v>
      </c>
      <c r="C3908" s="313" t="s">
        <v>1508</v>
      </c>
      <c r="D3908" s="313" t="s">
        <v>24</v>
      </c>
      <c r="E3908" s="313" t="s">
        <v>1398</v>
      </c>
    </row>
    <row r="3909" spans="1:5" x14ac:dyDescent="0.25">
      <c r="A3909" s="313" t="s">
        <v>1397</v>
      </c>
      <c r="B3909" s="313" t="s">
        <v>26</v>
      </c>
      <c r="C3909" s="313" t="s">
        <v>1509</v>
      </c>
      <c r="D3909" s="313" t="s">
        <v>24</v>
      </c>
      <c r="E3909" s="313" t="s">
        <v>1787</v>
      </c>
    </row>
    <row r="3910" spans="1:5" x14ac:dyDescent="0.25">
      <c r="A3910" s="313" t="s">
        <v>1397</v>
      </c>
      <c r="B3910" s="313" t="s">
        <v>26</v>
      </c>
      <c r="C3910" s="313" t="s">
        <v>1510</v>
      </c>
      <c r="D3910" s="313" t="s">
        <v>24</v>
      </c>
      <c r="E3910" s="313" t="s">
        <v>1789</v>
      </c>
    </row>
    <row r="3911" spans="1:5" x14ac:dyDescent="0.25">
      <c r="A3911" s="313" t="s">
        <v>1397</v>
      </c>
      <c r="B3911" s="313" t="s">
        <v>26</v>
      </c>
      <c r="C3911" s="313" t="s">
        <v>1511</v>
      </c>
      <c r="D3911" s="313" t="s">
        <v>24</v>
      </c>
      <c r="E3911" s="313" t="s">
        <v>1787</v>
      </c>
    </row>
    <row r="3912" spans="1:5" x14ac:dyDescent="0.25">
      <c r="A3912" s="313" t="s">
        <v>1397</v>
      </c>
      <c r="B3912" s="313" t="s">
        <v>26</v>
      </c>
      <c r="C3912" s="313" t="s">
        <v>27</v>
      </c>
      <c r="D3912" s="313" t="s">
        <v>24</v>
      </c>
      <c r="E3912" s="313" t="s">
        <v>1787</v>
      </c>
    </row>
    <row r="3913" spans="1:5" x14ac:dyDescent="0.25">
      <c r="A3913" s="313" t="s">
        <v>1397</v>
      </c>
      <c r="B3913" s="313" t="s">
        <v>26</v>
      </c>
      <c r="C3913" s="313" t="s">
        <v>1512</v>
      </c>
      <c r="D3913" s="313" t="s">
        <v>24</v>
      </c>
      <c r="E3913" s="313" t="s">
        <v>1787</v>
      </c>
    </row>
    <row r="3914" spans="1:5" x14ac:dyDescent="0.25">
      <c r="A3914" s="313" t="s">
        <v>1397</v>
      </c>
      <c r="B3914" s="313" t="s">
        <v>26</v>
      </c>
      <c r="C3914" s="313" t="s">
        <v>1513</v>
      </c>
      <c r="D3914" s="313" t="s">
        <v>24</v>
      </c>
      <c r="E3914" s="313" t="s">
        <v>1787</v>
      </c>
    </row>
    <row r="3915" spans="1:5" x14ac:dyDescent="0.25">
      <c r="A3915" s="313" t="s">
        <v>1397</v>
      </c>
      <c r="B3915" s="313" t="s">
        <v>26</v>
      </c>
      <c r="C3915" s="313" t="s">
        <v>1514</v>
      </c>
      <c r="D3915" s="313" t="s">
        <v>24</v>
      </c>
      <c r="E3915" s="313" t="s">
        <v>1787</v>
      </c>
    </row>
    <row r="3916" spans="1:5" x14ac:dyDescent="0.25">
      <c r="A3916" s="313" t="s">
        <v>1397</v>
      </c>
      <c r="B3916" s="313" t="s">
        <v>26</v>
      </c>
      <c r="C3916" s="313" t="s">
        <v>1515</v>
      </c>
      <c r="D3916" s="313" t="s">
        <v>24</v>
      </c>
      <c r="E3916" s="313" t="s">
        <v>1398</v>
      </c>
    </row>
    <row r="3917" spans="1:5" x14ac:dyDescent="0.25">
      <c r="A3917" s="313" t="s">
        <v>1397</v>
      </c>
      <c r="B3917" s="313" t="s">
        <v>26</v>
      </c>
      <c r="C3917" s="313" t="s">
        <v>1516</v>
      </c>
      <c r="D3917" s="313" t="s">
        <v>24</v>
      </c>
      <c r="E3917" s="313" t="s">
        <v>1787</v>
      </c>
    </row>
    <row r="3918" spans="1:5" x14ac:dyDescent="0.25">
      <c r="A3918" s="313" t="s">
        <v>1397</v>
      </c>
      <c r="B3918" s="313" t="s">
        <v>26</v>
      </c>
      <c r="C3918" s="313" t="s">
        <v>1517</v>
      </c>
      <c r="D3918" s="313" t="s">
        <v>24</v>
      </c>
      <c r="E3918" s="313" t="s">
        <v>1787</v>
      </c>
    </row>
    <row r="3919" spans="1:5" x14ac:dyDescent="0.25">
      <c r="A3919" s="313" t="s">
        <v>1397</v>
      </c>
      <c r="B3919" s="313" t="s">
        <v>26</v>
      </c>
      <c r="C3919" s="313" t="s">
        <v>1518</v>
      </c>
      <c r="D3919" s="313" t="s">
        <v>24</v>
      </c>
      <c r="E3919" s="313" t="s">
        <v>1787</v>
      </c>
    </row>
    <row r="3920" spans="1:5" x14ac:dyDescent="0.25">
      <c r="A3920" s="313" t="s">
        <v>1397</v>
      </c>
      <c r="B3920" s="313" t="s">
        <v>26</v>
      </c>
      <c r="C3920" s="313" t="s">
        <v>1519</v>
      </c>
      <c r="D3920" s="313" t="s">
        <v>24</v>
      </c>
      <c r="E3920" s="313" t="s">
        <v>1787</v>
      </c>
    </row>
    <row r="3921" spans="1:5" x14ac:dyDescent="0.25">
      <c r="A3921" s="313" t="s">
        <v>1401</v>
      </c>
      <c r="B3921" s="313" t="s">
        <v>19</v>
      </c>
      <c r="C3921" s="313" t="s">
        <v>1466</v>
      </c>
      <c r="D3921" s="313" t="s">
        <v>35</v>
      </c>
      <c r="E3921" s="313" t="s">
        <v>24</v>
      </c>
    </row>
    <row r="3922" spans="1:5" x14ac:dyDescent="0.25">
      <c r="A3922" s="313" t="s">
        <v>1401</v>
      </c>
      <c r="B3922" s="313" t="s">
        <v>19</v>
      </c>
      <c r="C3922" s="313" t="s">
        <v>1471</v>
      </c>
      <c r="D3922" s="313" t="s">
        <v>35</v>
      </c>
      <c r="E3922" s="313" t="s">
        <v>24</v>
      </c>
    </row>
    <row r="3923" spans="1:5" x14ac:dyDescent="0.25">
      <c r="A3923" s="313" t="s">
        <v>1401</v>
      </c>
      <c r="B3923" s="313" t="s">
        <v>19</v>
      </c>
      <c r="C3923" s="313" t="s">
        <v>1475</v>
      </c>
      <c r="D3923" s="313" t="s">
        <v>35</v>
      </c>
      <c r="E3923" s="313" t="s">
        <v>24</v>
      </c>
    </row>
    <row r="3924" spans="1:5" x14ac:dyDescent="0.25">
      <c r="A3924" s="313" t="s">
        <v>1401</v>
      </c>
      <c r="B3924" s="313" t="s">
        <v>19</v>
      </c>
      <c r="C3924" s="313" t="s">
        <v>20</v>
      </c>
      <c r="D3924" s="313" t="s">
        <v>35</v>
      </c>
      <c r="E3924" s="313" t="s">
        <v>24</v>
      </c>
    </row>
    <row r="3925" spans="1:5" x14ac:dyDescent="0.25">
      <c r="A3925" s="313" t="s">
        <v>1401</v>
      </c>
      <c r="B3925" s="313" t="s">
        <v>19</v>
      </c>
      <c r="C3925" s="313" t="s">
        <v>1487</v>
      </c>
      <c r="D3925" s="313" t="s">
        <v>35</v>
      </c>
      <c r="E3925" s="313" t="s">
        <v>24</v>
      </c>
    </row>
    <row r="3926" spans="1:5" x14ac:dyDescent="0.25">
      <c r="A3926" s="313" t="s">
        <v>1401</v>
      </c>
      <c r="B3926" s="313" t="s">
        <v>19</v>
      </c>
      <c r="C3926" s="313" t="s">
        <v>1495</v>
      </c>
      <c r="D3926" s="313" t="s">
        <v>35</v>
      </c>
      <c r="E3926" s="313" t="s">
        <v>24</v>
      </c>
    </row>
    <row r="3927" spans="1:5" x14ac:dyDescent="0.25">
      <c r="A3927" s="313" t="s">
        <v>1403</v>
      </c>
      <c r="B3927" s="313" t="s">
        <v>19</v>
      </c>
      <c r="C3927" s="313" t="s">
        <v>1466</v>
      </c>
      <c r="D3927" s="313" t="s">
        <v>19</v>
      </c>
      <c r="E3927" s="313" t="s">
        <v>1404</v>
      </c>
    </row>
    <row r="3928" spans="1:5" x14ac:dyDescent="0.25">
      <c r="A3928" s="313" t="s">
        <v>1403</v>
      </c>
      <c r="B3928" s="313" t="s">
        <v>19</v>
      </c>
      <c r="C3928" s="313" t="s">
        <v>1471</v>
      </c>
      <c r="D3928" s="313" t="s">
        <v>26</v>
      </c>
      <c r="E3928" s="313" t="s">
        <v>24</v>
      </c>
    </row>
    <row r="3929" spans="1:5" x14ac:dyDescent="0.25">
      <c r="A3929" s="313" t="s">
        <v>1403</v>
      </c>
      <c r="B3929" s="313" t="s">
        <v>19</v>
      </c>
      <c r="C3929" s="313" t="s">
        <v>1475</v>
      </c>
      <c r="D3929" s="313" t="s">
        <v>26</v>
      </c>
      <c r="E3929" s="313" t="s">
        <v>24</v>
      </c>
    </row>
    <row r="3930" spans="1:5" x14ac:dyDescent="0.25">
      <c r="A3930" s="313" t="s">
        <v>1403</v>
      </c>
      <c r="B3930" s="313" t="s">
        <v>19</v>
      </c>
      <c r="C3930" s="313" t="s">
        <v>20</v>
      </c>
      <c r="D3930" s="313" t="s">
        <v>26</v>
      </c>
      <c r="E3930" s="313" t="s">
        <v>24</v>
      </c>
    </row>
    <row r="3931" spans="1:5" x14ac:dyDescent="0.25">
      <c r="A3931" s="313" t="s">
        <v>1403</v>
      </c>
      <c r="B3931" s="313" t="s">
        <v>19</v>
      </c>
      <c r="C3931" s="313" t="s">
        <v>1487</v>
      </c>
      <c r="D3931" s="313" t="s">
        <v>26</v>
      </c>
      <c r="E3931" s="313" t="s">
        <v>24</v>
      </c>
    </row>
    <row r="3932" spans="1:5" x14ac:dyDescent="0.25">
      <c r="A3932" s="313" t="s">
        <v>1403</v>
      </c>
      <c r="B3932" s="313" t="s">
        <v>19</v>
      </c>
      <c r="C3932" s="313" t="s">
        <v>1495</v>
      </c>
      <c r="D3932" s="313" t="s">
        <v>35</v>
      </c>
      <c r="E3932" s="313" t="s">
        <v>24</v>
      </c>
    </row>
    <row r="3933" spans="1:5" x14ac:dyDescent="0.25">
      <c r="A3933" s="313" t="s">
        <v>1403</v>
      </c>
      <c r="B3933" s="313" t="s">
        <v>26</v>
      </c>
      <c r="C3933" s="313" t="s">
        <v>2929</v>
      </c>
      <c r="D3933" s="313" t="s">
        <v>24</v>
      </c>
      <c r="E3933" s="313" t="s">
        <v>1404</v>
      </c>
    </row>
    <row r="3934" spans="1:5" x14ac:dyDescent="0.25">
      <c r="A3934" s="313" t="s">
        <v>1403</v>
      </c>
      <c r="B3934" s="313" t="s">
        <v>26</v>
      </c>
      <c r="C3934" s="313" t="s">
        <v>2930</v>
      </c>
      <c r="D3934" s="313" t="s">
        <v>24</v>
      </c>
      <c r="E3934" s="313" t="s">
        <v>35</v>
      </c>
    </row>
    <row r="3935" spans="1:5" x14ac:dyDescent="0.25">
      <c r="A3935" s="313" t="s">
        <v>1403</v>
      </c>
      <c r="B3935" s="313" t="s">
        <v>26</v>
      </c>
      <c r="C3935" s="313" t="s">
        <v>1506</v>
      </c>
      <c r="D3935" s="313" t="s">
        <v>24</v>
      </c>
      <c r="E3935" s="313" t="s">
        <v>1404</v>
      </c>
    </row>
    <row r="3936" spans="1:5" x14ac:dyDescent="0.25">
      <c r="A3936" s="313" t="s">
        <v>1403</v>
      </c>
      <c r="B3936" s="313" t="s">
        <v>26</v>
      </c>
      <c r="C3936" s="313" t="s">
        <v>1507</v>
      </c>
      <c r="D3936" s="313" t="s">
        <v>24</v>
      </c>
      <c r="E3936" s="313" t="s">
        <v>1406</v>
      </c>
    </row>
    <row r="3937" spans="1:5" x14ac:dyDescent="0.25">
      <c r="A3937" s="313" t="s">
        <v>1403</v>
      </c>
      <c r="B3937" s="313" t="s">
        <v>26</v>
      </c>
      <c r="C3937" s="313" t="s">
        <v>1508</v>
      </c>
      <c r="D3937" s="313" t="s">
        <v>24</v>
      </c>
      <c r="E3937" s="313" t="s">
        <v>1404</v>
      </c>
    </row>
    <row r="3938" spans="1:5" x14ac:dyDescent="0.25">
      <c r="A3938" s="313" t="s">
        <v>1403</v>
      </c>
      <c r="B3938" s="313" t="s">
        <v>26</v>
      </c>
      <c r="C3938" s="313" t="s">
        <v>1509</v>
      </c>
      <c r="D3938" s="313" t="s">
        <v>24</v>
      </c>
      <c r="E3938" s="313" t="s">
        <v>46</v>
      </c>
    </row>
    <row r="3939" spans="1:5" x14ac:dyDescent="0.25">
      <c r="A3939" s="313" t="s">
        <v>1403</v>
      </c>
      <c r="B3939" s="313" t="s">
        <v>26</v>
      </c>
      <c r="C3939" s="313" t="s">
        <v>1510</v>
      </c>
      <c r="D3939" s="313" t="s">
        <v>24</v>
      </c>
      <c r="E3939" s="313" t="s">
        <v>1790</v>
      </c>
    </row>
    <row r="3940" spans="1:5" x14ac:dyDescent="0.25">
      <c r="A3940" s="313" t="s">
        <v>1403</v>
      </c>
      <c r="B3940" s="313" t="s">
        <v>26</v>
      </c>
      <c r="C3940" s="313" t="s">
        <v>1511</v>
      </c>
      <c r="D3940" s="313" t="s">
        <v>24</v>
      </c>
      <c r="E3940" s="313" t="s">
        <v>46</v>
      </c>
    </row>
    <row r="3941" spans="1:5" x14ac:dyDescent="0.25">
      <c r="A3941" s="313" t="s">
        <v>1403</v>
      </c>
      <c r="B3941" s="313" t="s">
        <v>26</v>
      </c>
      <c r="C3941" s="313" t="s">
        <v>27</v>
      </c>
      <c r="D3941" s="313" t="s">
        <v>24</v>
      </c>
      <c r="E3941" s="313" t="s">
        <v>1404</v>
      </c>
    </row>
    <row r="3942" spans="1:5" x14ac:dyDescent="0.25">
      <c r="A3942" s="313" t="s">
        <v>1403</v>
      </c>
      <c r="B3942" s="313" t="s">
        <v>26</v>
      </c>
      <c r="C3942" s="313" t="s">
        <v>1512</v>
      </c>
      <c r="D3942" s="313" t="s">
        <v>24</v>
      </c>
      <c r="E3942" s="313" t="s">
        <v>46</v>
      </c>
    </row>
    <row r="3943" spans="1:5" x14ac:dyDescent="0.25">
      <c r="A3943" s="313" t="s">
        <v>1403</v>
      </c>
      <c r="B3943" s="313" t="s">
        <v>26</v>
      </c>
      <c r="C3943" s="313" t="s">
        <v>1513</v>
      </c>
      <c r="D3943" s="313" t="s">
        <v>24</v>
      </c>
      <c r="E3943" s="313" t="s">
        <v>46</v>
      </c>
    </row>
    <row r="3944" spans="1:5" x14ac:dyDescent="0.25">
      <c r="A3944" s="313" t="s">
        <v>1403</v>
      </c>
      <c r="B3944" s="313" t="s">
        <v>26</v>
      </c>
      <c r="C3944" s="313" t="s">
        <v>1514</v>
      </c>
      <c r="D3944" s="313" t="s">
        <v>24</v>
      </c>
      <c r="E3944" s="313" t="s">
        <v>46</v>
      </c>
    </row>
    <row r="3945" spans="1:5" x14ac:dyDescent="0.25">
      <c r="A3945" s="313" t="s">
        <v>1403</v>
      </c>
      <c r="B3945" s="313" t="s">
        <v>26</v>
      </c>
      <c r="C3945" s="313" t="s">
        <v>1515</v>
      </c>
      <c r="D3945" s="313" t="s">
        <v>24</v>
      </c>
      <c r="E3945" s="313" t="s">
        <v>1404</v>
      </c>
    </row>
    <row r="3946" spans="1:5" x14ac:dyDescent="0.25">
      <c r="A3946" s="313" t="s">
        <v>1403</v>
      </c>
      <c r="B3946" s="313" t="s">
        <v>26</v>
      </c>
      <c r="C3946" s="313" t="s">
        <v>1516</v>
      </c>
      <c r="D3946" s="313" t="s">
        <v>24</v>
      </c>
      <c r="E3946" s="313" t="s">
        <v>46</v>
      </c>
    </row>
    <row r="3947" spans="1:5" x14ac:dyDescent="0.25">
      <c r="A3947" s="313" t="s">
        <v>1403</v>
      </c>
      <c r="B3947" s="313" t="s">
        <v>26</v>
      </c>
      <c r="C3947" s="313" t="s">
        <v>1517</v>
      </c>
      <c r="D3947" s="313" t="s">
        <v>24</v>
      </c>
      <c r="E3947" s="313" t="s">
        <v>46</v>
      </c>
    </row>
    <row r="3948" spans="1:5" x14ac:dyDescent="0.25">
      <c r="A3948" s="313" t="s">
        <v>1403</v>
      </c>
      <c r="B3948" s="313" t="s">
        <v>26</v>
      </c>
      <c r="C3948" s="313" t="s">
        <v>1518</v>
      </c>
      <c r="D3948" s="313" t="s">
        <v>24</v>
      </c>
      <c r="E3948" s="313" t="s">
        <v>46</v>
      </c>
    </row>
    <row r="3949" spans="1:5" x14ac:dyDescent="0.25">
      <c r="A3949" s="313" t="s">
        <v>1403</v>
      </c>
      <c r="B3949" s="313" t="s">
        <v>26</v>
      </c>
      <c r="C3949" s="313" t="s">
        <v>1519</v>
      </c>
      <c r="D3949" s="313" t="s">
        <v>24</v>
      </c>
      <c r="E3949" s="313" t="s">
        <v>46</v>
      </c>
    </row>
    <row r="3950" spans="1:5" x14ac:dyDescent="0.25">
      <c r="A3950" s="313" t="s">
        <v>1407</v>
      </c>
      <c r="B3950" s="313" t="s">
        <v>51</v>
      </c>
      <c r="C3950" s="313" t="s">
        <v>24</v>
      </c>
      <c r="D3950" s="313" t="s">
        <v>24</v>
      </c>
      <c r="E3950" s="313" t="s">
        <v>1408</v>
      </c>
    </row>
    <row r="3951" spans="1:5" x14ac:dyDescent="0.25">
      <c r="A3951" s="313" t="s">
        <v>1407</v>
      </c>
      <c r="B3951" s="313" t="s">
        <v>19</v>
      </c>
      <c r="C3951" s="313" t="s">
        <v>1466</v>
      </c>
      <c r="D3951" s="313" t="s">
        <v>51</v>
      </c>
      <c r="E3951" s="313" t="s">
        <v>24</v>
      </c>
    </row>
    <row r="3952" spans="1:5" x14ac:dyDescent="0.25">
      <c r="A3952" s="313" t="s">
        <v>1407</v>
      </c>
      <c r="B3952" s="313" t="s">
        <v>19</v>
      </c>
      <c r="C3952" s="313" t="s">
        <v>1471</v>
      </c>
      <c r="D3952" s="313" t="s">
        <v>51</v>
      </c>
      <c r="E3952" s="313" t="s">
        <v>24</v>
      </c>
    </row>
    <row r="3953" spans="1:5" x14ac:dyDescent="0.25">
      <c r="A3953" s="313" t="s">
        <v>1407</v>
      </c>
      <c r="B3953" s="313" t="s">
        <v>19</v>
      </c>
      <c r="C3953" s="313" t="s">
        <v>1475</v>
      </c>
      <c r="D3953" s="313" t="s">
        <v>51</v>
      </c>
      <c r="E3953" s="313" t="s">
        <v>24</v>
      </c>
    </row>
    <row r="3954" spans="1:5" x14ac:dyDescent="0.25">
      <c r="A3954" s="313" t="s">
        <v>1407</v>
      </c>
      <c r="B3954" s="313" t="s">
        <v>19</v>
      </c>
      <c r="C3954" s="313" t="s">
        <v>20</v>
      </c>
      <c r="D3954" s="313" t="s">
        <v>51</v>
      </c>
      <c r="E3954" s="313" t="s">
        <v>24</v>
      </c>
    </row>
    <row r="3955" spans="1:5" x14ac:dyDescent="0.25">
      <c r="A3955" s="313" t="s">
        <v>1407</v>
      </c>
      <c r="B3955" s="313" t="s">
        <v>19</v>
      </c>
      <c r="C3955" s="313" t="s">
        <v>1487</v>
      </c>
      <c r="D3955" s="313" t="s">
        <v>51</v>
      </c>
      <c r="E3955" s="313" t="s">
        <v>24</v>
      </c>
    </row>
    <row r="3956" spans="1:5" x14ac:dyDescent="0.25">
      <c r="A3956" s="313" t="s">
        <v>1407</v>
      </c>
      <c r="B3956" s="313" t="s">
        <v>19</v>
      </c>
      <c r="C3956" s="313" t="s">
        <v>1495</v>
      </c>
      <c r="D3956" s="313" t="s">
        <v>51</v>
      </c>
      <c r="E3956" s="313" t="s">
        <v>24</v>
      </c>
    </row>
    <row r="3957" spans="1:5" x14ac:dyDescent="0.25">
      <c r="A3957" s="313" t="s">
        <v>1411</v>
      </c>
      <c r="B3957" s="313" t="s">
        <v>19</v>
      </c>
      <c r="C3957" s="313" t="s">
        <v>1466</v>
      </c>
      <c r="D3957" s="313" t="s">
        <v>35</v>
      </c>
      <c r="E3957" s="313" t="s">
        <v>24</v>
      </c>
    </row>
    <row r="3958" spans="1:5" x14ac:dyDescent="0.25">
      <c r="A3958" s="313" t="s">
        <v>1411</v>
      </c>
      <c r="B3958" s="313" t="s">
        <v>19</v>
      </c>
      <c r="C3958" s="313" t="s">
        <v>1471</v>
      </c>
      <c r="D3958" s="313" t="s">
        <v>35</v>
      </c>
      <c r="E3958" s="313" t="s">
        <v>24</v>
      </c>
    </row>
    <row r="3959" spans="1:5" x14ac:dyDescent="0.25">
      <c r="A3959" s="313" t="s">
        <v>1411</v>
      </c>
      <c r="B3959" s="313" t="s">
        <v>19</v>
      </c>
      <c r="C3959" s="313" t="s">
        <v>1475</v>
      </c>
      <c r="D3959" s="313" t="s">
        <v>26</v>
      </c>
      <c r="E3959" s="313" t="s">
        <v>24</v>
      </c>
    </row>
    <row r="3960" spans="1:5" x14ac:dyDescent="0.25">
      <c r="A3960" s="313" t="s">
        <v>1411</v>
      </c>
      <c r="B3960" s="313" t="s">
        <v>19</v>
      </c>
      <c r="C3960" s="313" t="s">
        <v>20</v>
      </c>
      <c r="D3960" s="313" t="s">
        <v>26</v>
      </c>
      <c r="E3960" s="313" t="s">
        <v>24</v>
      </c>
    </row>
    <row r="3961" spans="1:5" x14ac:dyDescent="0.25">
      <c r="A3961" s="313" t="s">
        <v>1411</v>
      </c>
      <c r="B3961" s="313" t="s">
        <v>19</v>
      </c>
      <c r="C3961" s="313" t="s">
        <v>1487</v>
      </c>
      <c r="D3961" s="313" t="s">
        <v>26</v>
      </c>
      <c r="E3961" s="313" t="s">
        <v>24</v>
      </c>
    </row>
    <row r="3962" spans="1:5" x14ac:dyDescent="0.25">
      <c r="A3962" s="313" t="s">
        <v>1411</v>
      </c>
      <c r="B3962" s="313" t="s">
        <v>19</v>
      </c>
      <c r="C3962" s="313" t="s">
        <v>1495</v>
      </c>
      <c r="D3962" s="313" t="s">
        <v>35</v>
      </c>
      <c r="E3962" s="313" t="s">
        <v>24</v>
      </c>
    </row>
    <row r="3963" spans="1:5" x14ac:dyDescent="0.25">
      <c r="A3963" s="313" t="s">
        <v>1411</v>
      </c>
      <c r="B3963" s="313" t="s">
        <v>26</v>
      </c>
      <c r="C3963" s="313" t="s">
        <v>1506</v>
      </c>
      <c r="D3963" s="313" t="s">
        <v>24</v>
      </c>
      <c r="E3963" s="313" t="s">
        <v>1412</v>
      </c>
    </row>
    <row r="3964" spans="1:5" x14ac:dyDescent="0.25">
      <c r="A3964" s="313" t="s">
        <v>1411</v>
      </c>
      <c r="B3964" s="313" t="s">
        <v>26</v>
      </c>
      <c r="C3964" s="313" t="s">
        <v>1507</v>
      </c>
      <c r="D3964" s="313" t="s">
        <v>24</v>
      </c>
      <c r="E3964" s="313" t="s">
        <v>1412</v>
      </c>
    </row>
    <row r="3965" spans="1:5" x14ac:dyDescent="0.25">
      <c r="A3965" s="313" t="s">
        <v>1411</v>
      </c>
      <c r="B3965" s="313" t="s">
        <v>26</v>
      </c>
      <c r="C3965" s="313" t="s">
        <v>1508</v>
      </c>
      <c r="D3965" s="313" t="s">
        <v>24</v>
      </c>
      <c r="E3965" s="313" t="s">
        <v>1791</v>
      </c>
    </row>
    <row r="3966" spans="1:5" x14ac:dyDescent="0.25">
      <c r="A3966" s="313" t="s">
        <v>1411</v>
      </c>
      <c r="B3966" s="313" t="s">
        <v>26</v>
      </c>
      <c r="C3966" s="313" t="s">
        <v>1509</v>
      </c>
      <c r="D3966" s="313" t="s">
        <v>24</v>
      </c>
      <c r="E3966" s="313" t="s">
        <v>1412</v>
      </c>
    </row>
    <row r="3967" spans="1:5" x14ac:dyDescent="0.25">
      <c r="A3967" s="313" t="s">
        <v>1411</v>
      </c>
      <c r="B3967" s="313" t="s">
        <v>26</v>
      </c>
      <c r="C3967" s="313" t="s">
        <v>1510</v>
      </c>
      <c r="D3967" s="313" t="s">
        <v>24</v>
      </c>
      <c r="E3967" s="313" t="s">
        <v>1792</v>
      </c>
    </row>
    <row r="3968" spans="1:5" x14ac:dyDescent="0.25">
      <c r="A3968" s="313" t="s">
        <v>1411</v>
      </c>
      <c r="B3968" s="313" t="s">
        <v>26</v>
      </c>
      <c r="C3968" s="313" t="s">
        <v>1511</v>
      </c>
      <c r="D3968" s="313" t="s">
        <v>24</v>
      </c>
      <c r="E3968" s="313" t="s">
        <v>1412</v>
      </c>
    </row>
    <row r="3969" spans="1:5" x14ac:dyDescent="0.25">
      <c r="A3969" s="313" t="s">
        <v>1411</v>
      </c>
      <c r="B3969" s="313" t="s">
        <v>26</v>
      </c>
      <c r="C3969" s="313" t="s">
        <v>27</v>
      </c>
      <c r="D3969" s="313" t="s">
        <v>24</v>
      </c>
      <c r="E3969" s="313" t="s">
        <v>1412</v>
      </c>
    </row>
    <row r="3970" spans="1:5" x14ac:dyDescent="0.25">
      <c r="A3970" s="313" t="s">
        <v>1411</v>
      </c>
      <c r="B3970" s="313" t="s">
        <v>26</v>
      </c>
      <c r="C3970" s="313" t="s">
        <v>1512</v>
      </c>
      <c r="D3970" s="313" t="s">
        <v>24</v>
      </c>
      <c r="E3970" s="313" t="s">
        <v>1412</v>
      </c>
    </row>
    <row r="3971" spans="1:5" x14ac:dyDescent="0.25">
      <c r="A3971" s="313" t="s">
        <v>1411</v>
      </c>
      <c r="B3971" s="313" t="s">
        <v>26</v>
      </c>
      <c r="C3971" s="313" t="s">
        <v>1513</v>
      </c>
      <c r="D3971" s="313" t="s">
        <v>24</v>
      </c>
      <c r="E3971" s="313" t="s">
        <v>1412</v>
      </c>
    </row>
    <row r="3972" spans="1:5" x14ac:dyDescent="0.25">
      <c r="A3972" s="313" t="s">
        <v>1411</v>
      </c>
      <c r="B3972" s="313" t="s">
        <v>26</v>
      </c>
      <c r="C3972" s="313" t="s">
        <v>1518</v>
      </c>
      <c r="D3972" s="313" t="s">
        <v>24</v>
      </c>
      <c r="E3972" s="313" t="s">
        <v>1412</v>
      </c>
    </row>
    <row r="3973" spans="1:5" x14ac:dyDescent="0.25">
      <c r="A3973" s="313" t="s">
        <v>1415</v>
      </c>
      <c r="B3973" s="313" t="s">
        <v>19</v>
      </c>
      <c r="C3973" s="313" t="s">
        <v>1466</v>
      </c>
      <c r="D3973" s="313" t="s">
        <v>35</v>
      </c>
      <c r="E3973" s="313" t="s">
        <v>24</v>
      </c>
    </row>
    <row r="3974" spans="1:5" x14ac:dyDescent="0.25">
      <c r="A3974" s="313" t="s">
        <v>1415</v>
      </c>
      <c r="B3974" s="313" t="s">
        <v>19</v>
      </c>
      <c r="C3974" s="313" t="s">
        <v>1471</v>
      </c>
      <c r="D3974" s="313" t="s">
        <v>35</v>
      </c>
      <c r="E3974" s="313" t="s">
        <v>24</v>
      </c>
    </row>
    <row r="3975" spans="1:5" x14ac:dyDescent="0.25">
      <c r="A3975" s="313" t="s">
        <v>1415</v>
      </c>
      <c r="B3975" s="313" t="s">
        <v>19</v>
      </c>
      <c r="C3975" s="313" t="s">
        <v>1475</v>
      </c>
      <c r="D3975" s="313" t="s">
        <v>35</v>
      </c>
      <c r="E3975" s="313" t="s">
        <v>24</v>
      </c>
    </row>
    <row r="3976" spans="1:5" x14ac:dyDescent="0.25">
      <c r="A3976" s="313" t="s">
        <v>1415</v>
      </c>
      <c r="B3976" s="313" t="s">
        <v>19</v>
      </c>
      <c r="C3976" s="313" t="s">
        <v>20</v>
      </c>
      <c r="D3976" s="313" t="s">
        <v>35</v>
      </c>
      <c r="E3976" s="313" t="s">
        <v>24</v>
      </c>
    </row>
    <row r="3977" spans="1:5" x14ac:dyDescent="0.25">
      <c r="A3977" s="313" t="s">
        <v>1415</v>
      </c>
      <c r="B3977" s="313" t="s">
        <v>19</v>
      </c>
      <c r="C3977" s="313" t="s">
        <v>1487</v>
      </c>
      <c r="D3977" s="313" t="s">
        <v>35</v>
      </c>
      <c r="E3977" s="313" t="s">
        <v>24</v>
      </c>
    </row>
    <row r="3978" spans="1:5" x14ac:dyDescent="0.25">
      <c r="A3978" s="313" t="s">
        <v>1415</v>
      </c>
      <c r="B3978" s="313" t="s">
        <v>19</v>
      </c>
      <c r="C3978" s="313" t="s">
        <v>1495</v>
      </c>
      <c r="D3978" s="313" t="s">
        <v>35</v>
      </c>
      <c r="E3978" s="313" t="s">
        <v>24</v>
      </c>
    </row>
    <row r="3979" spans="1:5" x14ac:dyDescent="0.25">
      <c r="A3979" s="313" t="s">
        <v>1415</v>
      </c>
      <c r="B3979" s="313" t="s">
        <v>26</v>
      </c>
      <c r="C3979" s="313" t="s">
        <v>1506</v>
      </c>
      <c r="D3979" s="313" t="s">
        <v>24</v>
      </c>
      <c r="E3979" s="313" t="s">
        <v>1404</v>
      </c>
    </row>
    <row r="3980" spans="1:5" x14ac:dyDescent="0.25">
      <c r="A3980" s="313" t="s">
        <v>1419</v>
      </c>
      <c r="B3980" s="313" t="s">
        <v>19</v>
      </c>
      <c r="C3980" s="313" t="s">
        <v>1466</v>
      </c>
      <c r="D3980" s="313" t="s">
        <v>19</v>
      </c>
      <c r="E3980" s="313" t="s">
        <v>1420</v>
      </c>
    </row>
    <row r="3981" spans="1:5" x14ac:dyDescent="0.25">
      <c r="A3981" s="313" t="s">
        <v>1419</v>
      </c>
      <c r="B3981" s="313" t="s">
        <v>19</v>
      </c>
      <c r="C3981" s="313" t="s">
        <v>1471</v>
      </c>
      <c r="D3981" s="313" t="s">
        <v>26</v>
      </c>
      <c r="E3981" s="313" t="s">
        <v>24</v>
      </c>
    </row>
    <row r="3982" spans="1:5" x14ac:dyDescent="0.25">
      <c r="A3982" s="313" t="s">
        <v>1419</v>
      </c>
      <c r="B3982" s="313" t="s">
        <v>19</v>
      </c>
      <c r="C3982" s="313" t="s">
        <v>1475</v>
      </c>
      <c r="D3982" s="313" t="s">
        <v>19</v>
      </c>
      <c r="E3982" s="313" t="s">
        <v>1420</v>
      </c>
    </row>
    <row r="3983" spans="1:5" x14ac:dyDescent="0.25">
      <c r="A3983" s="313" t="s">
        <v>1419</v>
      </c>
      <c r="B3983" s="313" t="s">
        <v>19</v>
      </c>
      <c r="C3983" s="313" t="s">
        <v>20</v>
      </c>
      <c r="D3983" s="313" t="s">
        <v>19</v>
      </c>
      <c r="E3983" s="313" t="s">
        <v>1420</v>
      </c>
    </row>
    <row r="3984" spans="1:5" x14ac:dyDescent="0.25">
      <c r="A3984" s="313" t="s">
        <v>1419</v>
      </c>
      <c r="B3984" s="313" t="s">
        <v>19</v>
      </c>
      <c r="C3984" s="313" t="s">
        <v>1487</v>
      </c>
      <c r="D3984" s="313" t="s">
        <v>26</v>
      </c>
      <c r="E3984" s="313" t="s">
        <v>24</v>
      </c>
    </row>
    <row r="3985" spans="1:5" x14ac:dyDescent="0.25">
      <c r="A3985" s="313" t="s">
        <v>1419</v>
      </c>
      <c r="B3985" s="313" t="s">
        <v>19</v>
      </c>
      <c r="C3985" s="313" t="s">
        <v>1495</v>
      </c>
      <c r="D3985" s="313" t="s">
        <v>35</v>
      </c>
      <c r="E3985" s="313" t="s">
        <v>24</v>
      </c>
    </row>
    <row r="3986" spans="1:5" x14ac:dyDescent="0.25">
      <c r="A3986" s="313" t="s">
        <v>1419</v>
      </c>
      <c r="B3986" s="313" t="s">
        <v>26</v>
      </c>
      <c r="C3986" s="313" t="s">
        <v>2929</v>
      </c>
      <c r="D3986" s="313" t="s">
        <v>24</v>
      </c>
      <c r="E3986" s="313" t="s">
        <v>1420</v>
      </c>
    </row>
    <row r="3987" spans="1:5" x14ac:dyDescent="0.25">
      <c r="A3987" s="313" t="s">
        <v>1419</v>
      </c>
      <c r="B3987" s="313" t="s">
        <v>26</v>
      </c>
      <c r="C3987" s="313" t="s">
        <v>2930</v>
      </c>
      <c r="D3987" s="313" t="s">
        <v>24</v>
      </c>
      <c r="E3987" s="313" t="s">
        <v>35</v>
      </c>
    </row>
    <row r="3988" spans="1:5" x14ac:dyDescent="0.25">
      <c r="A3988" s="313" t="s">
        <v>1419</v>
      </c>
      <c r="B3988" s="313" t="s">
        <v>26</v>
      </c>
      <c r="C3988" s="313" t="s">
        <v>1514</v>
      </c>
      <c r="D3988" s="313" t="s">
        <v>24</v>
      </c>
      <c r="E3988" s="313" t="s">
        <v>1420</v>
      </c>
    </row>
    <row r="3989" spans="1:5" x14ac:dyDescent="0.25">
      <c r="A3989" s="313" t="s">
        <v>1419</v>
      </c>
      <c r="B3989" s="313" t="s">
        <v>26</v>
      </c>
      <c r="C3989" s="313" t="s">
        <v>1515</v>
      </c>
      <c r="D3989" s="313" t="s">
        <v>24</v>
      </c>
      <c r="E3989" s="313" t="s">
        <v>1420</v>
      </c>
    </row>
    <row r="3990" spans="1:5" x14ac:dyDescent="0.25">
      <c r="A3990" s="313" t="s">
        <v>1419</v>
      </c>
      <c r="B3990" s="313" t="s">
        <v>26</v>
      </c>
      <c r="C3990" s="313" t="s">
        <v>1516</v>
      </c>
      <c r="D3990" s="313" t="s">
        <v>24</v>
      </c>
      <c r="E3990" s="313" t="s">
        <v>1420</v>
      </c>
    </row>
    <row r="3991" spans="1:5" x14ac:dyDescent="0.25">
      <c r="A3991" s="313" t="s">
        <v>1419</v>
      </c>
      <c r="B3991" s="313" t="s">
        <v>26</v>
      </c>
      <c r="C3991" s="313" t="s">
        <v>1517</v>
      </c>
      <c r="D3991" s="313" t="s">
        <v>24</v>
      </c>
      <c r="E3991" s="313" t="s">
        <v>1420</v>
      </c>
    </row>
    <row r="3992" spans="1:5" x14ac:dyDescent="0.25">
      <c r="A3992" s="313" t="s">
        <v>1419</v>
      </c>
      <c r="B3992" s="313" t="s">
        <v>26</v>
      </c>
      <c r="C3992" s="313" t="s">
        <v>1518</v>
      </c>
      <c r="D3992" s="313" t="s">
        <v>24</v>
      </c>
      <c r="E3992" s="313" t="s">
        <v>1420</v>
      </c>
    </row>
    <row r="3993" spans="1:5" x14ac:dyDescent="0.25">
      <c r="A3993" s="313" t="s">
        <v>1419</v>
      </c>
      <c r="B3993" s="313" t="s">
        <v>26</v>
      </c>
      <c r="C3993" s="313" t="s">
        <v>1519</v>
      </c>
      <c r="D3993" s="313" t="s">
        <v>24</v>
      </c>
      <c r="E3993" s="313" t="s">
        <v>1420</v>
      </c>
    </row>
    <row r="3994" spans="1:5" x14ac:dyDescent="0.25">
      <c r="A3994" s="313" t="s">
        <v>1423</v>
      </c>
      <c r="B3994" s="313" t="s">
        <v>19</v>
      </c>
      <c r="C3994" s="313" t="s">
        <v>1466</v>
      </c>
      <c r="D3994" s="313" t="s">
        <v>35</v>
      </c>
      <c r="E3994" s="313" t="s">
        <v>24</v>
      </c>
    </row>
    <row r="3995" spans="1:5" x14ac:dyDescent="0.25">
      <c r="A3995" s="313" t="s">
        <v>1423</v>
      </c>
      <c r="B3995" s="313" t="s">
        <v>19</v>
      </c>
      <c r="C3995" s="313" t="s">
        <v>1471</v>
      </c>
      <c r="D3995" s="313" t="s">
        <v>35</v>
      </c>
      <c r="E3995" s="313" t="s">
        <v>24</v>
      </c>
    </row>
    <row r="3996" spans="1:5" x14ac:dyDescent="0.25">
      <c r="A3996" s="313" t="s">
        <v>1423</v>
      </c>
      <c r="B3996" s="313" t="s">
        <v>19</v>
      </c>
      <c r="C3996" s="313" t="s">
        <v>1475</v>
      </c>
      <c r="D3996" s="313" t="s">
        <v>35</v>
      </c>
      <c r="E3996" s="313" t="s">
        <v>24</v>
      </c>
    </row>
    <row r="3997" spans="1:5" x14ac:dyDescent="0.25">
      <c r="A3997" s="313" t="s">
        <v>1423</v>
      </c>
      <c r="B3997" s="313" t="s">
        <v>19</v>
      </c>
      <c r="C3997" s="313" t="s">
        <v>20</v>
      </c>
      <c r="D3997" s="313" t="s">
        <v>35</v>
      </c>
      <c r="E3997" s="313" t="s">
        <v>24</v>
      </c>
    </row>
    <row r="3998" spans="1:5" x14ac:dyDescent="0.25">
      <c r="A3998" s="313" t="s">
        <v>1423</v>
      </c>
      <c r="B3998" s="313" t="s">
        <v>19</v>
      </c>
      <c r="C3998" s="313" t="s">
        <v>1487</v>
      </c>
      <c r="D3998" s="313" t="s">
        <v>35</v>
      </c>
      <c r="E3998" s="313" t="s">
        <v>24</v>
      </c>
    </row>
    <row r="3999" spans="1:5" x14ac:dyDescent="0.25">
      <c r="A3999" s="313" t="s">
        <v>1423</v>
      </c>
      <c r="B3999" s="313" t="s">
        <v>19</v>
      </c>
      <c r="C3999" s="313" t="s">
        <v>1495</v>
      </c>
      <c r="D3999" s="313" t="s">
        <v>35</v>
      </c>
      <c r="E3999" s="313" t="s">
        <v>24</v>
      </c>
    </row>
    <row r="4000" spans="1:5" x14ac:dyDescent="0.25">
      <c r="A4000" s="313" t="s">
        <v>1425</v>
      </c>
      <c r="B4000" s="313" t="s">
        <v>19</v>
      </c>
      <c r="C4000" s="313" t="s">
        <v>1466</v>
      </c>
      <c r="D4000" s="313" t="s">
        <v>19</v>
      </c>
      <c r="E4000" s="313" t="s">
        <v>1793</v>
      </c>
    </row>
    <row r="4001" spans="1:5" x14ac:dyDescent="0.25">
      <c r="A4001" s="313" t="s">
        <v>1425</v>
      </c>
      <c r="B4001" s="313" t="s">
        <v>19</v>
      </c>
      <c r="C4001" s="313" t="s">
        <v>1471</v>
      </c>
      <c r="D4001" s="313" t="s">
        <v>26</v>
      </c>
      <c r="E4001" s="313" t="s">
        <v>24</v>
      </c>
    </row>
    <row r="4002" spans="1:5" x14ac:dyDescent="0.25">
      <c r="A4002" s="313" t="s">
        <v>1425</v>
      </c>
      <c r="B4002" s="313" t="s">
        <v>19</v>
      </c>
      <c r="C4002" s="313" t="s">
        <v>1475</v>
      </c>
      <c r="D4002" s="313" t="s">
        <v>19</v>
      </c>
      <c r="E4002" s="313" t="s">
        <v>1794</v>
      </c>
    </row>
    <row r="4003" spans="1:5" x14ac:dyDescent="0.25">
      <c r="A4003" s="313" t="s">
        <v>1425</v>
      </c>
      <c r="B4003" s="313" t="s">
        <v>19</v>
      </c>
      <c r="C4003" s="313" t="s">
        <v>20</v>
      </c>
      <c r="D4003" s="313" t="s">
        <v>19</v>
      </c>
      <c r="E4003" s="313" t="s">
        <v>1426</v>
      </c>
    </row>
    <row r="4004" spans="1:5" x14ac:dyDescent="0.25">
      <c r="A4004" s="313" t="s">
        <v>1425</v>
      </c>
      <c r="B4004" s="313" t="s">
        <v>19</v>
      </c>
      <c r="C4004" s="313" t="s">
        <v>1487</v>
      </c>
      <c r="D4004" s="313" t="s">
        <v>26</v>
      </c>
      <c r="E4004" s="313" t="s">
        <v>24</v>
      </c>
    </row>
    <row r="4005" spans="1:5" x14ac:dyDescent="0.25">
      <c r="A4005" s="313" t="s">
        <v>1425</v>
      </c>
      <c r="B4005" s="313" t="s">
        <v>19</v>
      </c>
      <c r="C4005" s="313" t="s">
        <v>1495</v>
      </c>
      <c r="D4005" s="313" t="s">
        <v>35</v>
      </c>
      <c r="E4005" s="313" t="s">
        <v>24</v>
      </c>
    </row>
    <row r="4006" spans="1:5" x14ac:dyDescent="0.25">
      <c r="A4006" s="313" t="s">
        <v>1425</v>
      </c>
      <c r="B4006" s="313" t="s">
        <v>26</v>
      </c>
      <c r="C4006" s="313" t="s">
        <v>2929</v>
      </c>
      <c r="D4006" s="313" t="s">
        <v>24</v>
      </c>
      <c r="E4006" s="313" t="s">
        <v>1794</v>
      </c>
    </row>
    <row r="4007" spans="1:5" x14ac:dyDescent="0.25">
      <c r="A4007" s="313" t="s">
        <v>1425</v>
      </c>
      <c r="B4007" s="313" t="s">
        <v>26</v>
      </c>
      <c r="C4007" s="313" t="s">
        <v>2930</v>
      </c>
      <c r="D4007" s="313" t="s">
        <v>24</v>
      </c>
      <c r="E4007" s="313" t="s">
        <v>35</v>
      </c>
    </row>
    <row r="4008" spans="1:5" x14ac:dyDescent="0.25">
      <c r="A4008" s="313" t="s">
        <v>1425</v>
      </c>
      <c r="B4008" s="313" t="s">
        <v>26</v>
      </c>
      <c r="C4008" s="313" t="s">
        <v>1514</v>
      </c>
      <c r="D4008" s="313" t="s">
        <v>24</v>
      </c>
      <c r="E4008" s="313" t="s">
        <v>1795</v>
      </c>
    </row>
    <row r="4009" spans="1:5" x14ac:dyDescent="0.25">
      <c r="A4009" s="313" t="s">
        <v>1425</v>
      </c>
      <c r="B4009" s="313" t="s">
        <v>26</v>
      </c>
      <c r="C4009" s="313" t="s">
        <v>1515</v>
      </c>
      <c r="D4009" s="313" t="s">
        <v>24</v>
      </c>
      <c r="E4009" s="313" t="s">
        <v>1795</v>
      </c>
    </row>
    <row r="4010" spans="1:5" x14ac:dyDescent="0.25">
      <c r="A4010" s="313" t="s">
        <v>1425</v>
      </c>
      <c r="B4010" s="313" t="s">
        <v>26</v>
      </c>
      <c r="C4010" s="313" t="s">
        <v>1516</v>
      </c>
      <c r="D4010" s="313" t="s">
        <v>24</v>
      </c>
      <c r="E4010" s="313" t="s">
        <v>1795</v>
      </c>
    </row>
    <row r="4011" spans="1:5" x14ac:dyDescent="0.25">
      <c r="A4011" s="313" t="s">
        <v>1425</v>
      </c>
      <c r="B4011" s="313" t="s">
        <v>26</v>
      </c>
      <c r="C4011" s="313" t="s">
        <v>1517</v>
      </c>
      <c r="D4011" s="313" t="s">
        <v>24</v>
      </c>
      <c r="E4011" s="313" t="s">
        <v>1795</v>
      </c>
    </row>
    <row r="4012" spans="1:5" x14ac:dyDescent="0.25">
      <c r="A4012" s="313" t="s">
        <v>1425</v>
      </c>
      <c r="B4012" s="313" t="s">
        <v>26</v>
      </c>
      <c r="C4012" s="313" t="s">
        <v>1518</v>
      </c>
      <c r="D4012" s="313" t="s">
        <v>24</v>
      </c>
      <c r="E4012" s="313" t="s">
        <v>1795</v>
      </c>
    </row>
    <row r="4013" spans="1:5" x14ac:dyDescent="0.25">
      <c r="A4013" s="313" t="s">
        <v>1425</v>
      </c>
      <c r="B4013" s="313" t="s">
        <v>26</v>
      </c>
      <c r="C4013" s="313" t="s">
        <v>1519</v>
      </c>
      <c r="D4013" s="313" t="s">
        <v>24</v>
      </c>
      <c r="E4013" s="313" t="s">
        <v>1795</v>
      </c>
    </row>
    <row r="4014" spans="1:5" x14ac:dyDescent="0.25">
      <c r="A4014" s="313" t="s">
        <v>1429</v>
      </c>
      <c r="B4014" s="313" t="s">
        <v>19</v>
      </c>
      <c r="C4014" s="313" t="s">
        <v>1466</v>
      </c>
      <c r="D4014" s="313" t="s">
        <v>35</v>
      </c>
      <c r="E4014" s="313" t="s">
        <v>24</v>
      </c>
    </row>
    <row r="4015" spans="1:5" x14ac:dyDescent="0.25">
      <c r="A4015" s="313" t="s">
        <v>1429</v>
      </c>
      <c r="B4015" s="313" t="s">
        <v>19</v>
      </c>
      <c r="C4015" s="313" t="s">
        <v>1471</v>
      </c>
      <c r="D4015" s="313" t="s">
        <v>35</v>
      </c>
      <c r="E4015" s="313" t="s">
        <v>24</v>
      </c>
    </row>
    <row r="4016" spans="1:5" x14ac:dyDescent="0.25">
      <c r="A4016" s="313" t="s">
        <v>1429</v>
      </c>
      <c r="B4016" s="313" t="s">
        <v>19</v>
      </c>
      <c r="C4016" s="313" t="s">
        <v>1475</v>
      </c>
      <c r="D4016" s="313" t="s">
        <v>35</v>
      </c>
      <c r="E4016" s="313" t="s">
        <v>24</v>
      </c>
    </row>
    <row r="4017" spans="1:5" x14ac:dyDescent="0.25">
      <c r="A4017" s="313" t="s">
        <v>1429</v>
      </c>
      <c r="B4017" s="313" t="s">
        <v>19</v>
      </c>
      <c r="C4017" s="313" t="s">
        <v>20</v>
      </c>
      <c r="D4017" s="313" t="s">
        <v>35</v>
      </c>
      <c r="E4017" s="313" t="s">
        <v>24</v>
      </c>
    </row>
    <row r="4018" spans="1:5" x14ac:dyDescent="0.25">
      <c r="A4018" s="313" t="s">
        <v>1429</v>
      </c>
      <c r="B4018" s="313" t="s">
        <v>19</v>
      </c>
      <c r="C4018" s="313" t="s">
        <v>1487</v>
      </c>
      <c r="D4018" s="313" t="s">
        <v>35</v>
      </c>
      <c r="E4018" s="313" t="s">
        <v>24</v>
      </c>
    </row>
    <row r="4019" spans="1:5" x14ac:dyDescent="0.25">
      <c r="A4019" s="313" t="s">
        <v>1429</v>
      </c>
      <c r="B4019" s="313" t="s">
        <v>19</v>
      </c>
      <c r="C4019" s="313" t="s">
        <v>1495</v>
      </c>
      <c r="D4019" s="313" t="s">
        <v>35</v>
      </c>
      <c r="E4019" s="313" t="s">
        <v>24</v>
      </c>
    </row>
    <row r="4020" spans="1:5" x14ac:dyDescent="0.25">
      <c r="A4020" s="313" t="s">
        <v>1431</v>
      </c>
      <c r="B4020" s="313" t="s">
        <v>19</v>
      </c>
      <c r="C4020" s="313" t="s">
        <v>1466</v>
      </c>
      <c r="D4020" s="313" t="s">
        <v>19</v>
      </c>
      <c r="E4020" s="313" t="s">
        <v>1796</v>
      </c>
    </row>
    <row r="4021" spans="1:5" x14ac:dyDescent="0.25">
      <c r="A4021" s="313" t="s">
        <v>1431</v>
      </c>
      <c r="B4021" s="313" t="s">
        <v>19</v>
      </c>
      <c r="C4021" s="313" t="s">
        <v>1471</v>
      </c>
      <c r="D4021" s="313" t="s">
        <v>35</v>
      </c>
      <c r="E4021" s="313" t="s">
        <v>24</v>
      </c>
    </row>
    <row r="4022" spans="1:5" x14ac:dyDescent="0.25">
      <c r="A4022" s="313" t="s">
        <v>1431</v>
      </c>
      <c r="B4022" s="313" t="s">
        <v>19</v>
      </c>
      <c r="C4022" s="313" t="s">
        <v>1475</v>
      </c>
      <c r="D4022" s="313" t="s">
        <v>35</v>
      </c>
      <c r="E4022" s="313" t="s">
        <v>24</v>
      </c>
    </row>
    <row r="4023" spans="1:5" x14ac:dyDescent="0.25">
      <c r="A4023" s="313" t="s">
        <v>1431</v>
      </c>
      <c r="B4023" s="313" t="s">
        <v>19</v>
      </c>
      <c r="C4023" s="313" t="s">
        <v>20</v>
      </c>
      <c r="D4023" s="313" t="s">
        <v>35</v>
      </c>
      <c r="E4023" s="313" t="s">
        <v>24</v>
      </c>
    </row>
    <row r="4024" spans="1:5" x14ac:dyDescent="0.25">
      <c r="A4024" s="313" t="s">
        <v>1431</v>
      </c>
      <c r="B4024" s="313" t="s">
        <v>19</v>
      </c>
      <c r="C4024" s="313" t="s">
        <v>1487</v>
      </c>
      <c r="D4024" s="313" t="s">
        <v>35</v>
      </c>
      <c r="E4024" s="313" t="s">
        <v>24</v>
      </c>
    </row>
    <row r="4025" spans="1:5" x14ac:dyDescent="0.25">
      <c r="A4025" s="313" t="s">
        <v>1431</v>
      </c>
      <c r="B4025" s="313" t="s">
        <v>19</v>
      </c>
      <c r="C4025" s="313" t="s">
        <v>1495</v>
      </c>
      <c r="D4025" s="313" t="s">
        <v>35</v>
      </c>
      <c r="E4025" s="313" t="s">
        <v>24</v>
      </c>
    </row>
    <row r="4026" spans="1:5" x14ac:dyDescent="0.25">
      <c r="A4026" s="313" t="s">
        <v>1431</v>
      </c>
      <c r="B4026" s="313" t="s">
        <v>26</v>
      </c>
      <c r="C4026" s="313" t="s">
        <v>1515</v>
      </c>
      <c r="D4026" s="313" t="s">
        <v>24</v>
      </c>
      <c r="E4026" s="313" t="s">
        <v>1797</v>
      </c>
    </row>
    <row r="4027" spans="1:5" x14ac:dyDescent="0.25">
      <c r="A4027" s="313" t="s">
        <v>1433</v>
      </c>
      <c r="B4027" s="313" t="s">
        <v>51</v>
      </c>
      <c r="C4027" s="313" t="s">
        <v>24</v>
      </c>
      <c r="D4027" s="313" t="s">
        <v>24</v>
      </c>
      <c r="E4027" s="313" t="s">
        <v>1434</v>
      </c>
    </row>
    <row r="4028" spans="1:5" x14ac:dyDescent="0.25">
      <c r="A4028" s="313" t="s">
        <v>1433</v>
      </c>
      <c r="B4028" s="313" t="s">
        <v>19</v>
      </c>
      <c r="C4028" s="313" t="s">
        <v>1466</v>
      </c>
      <c r="D4028" s="313" t="s">
        <v>51</v>
      </c>
      <c r="E4028" s="313" t="s">
        <v>24</v>
      </c>
    </row>
    <row r="4029" spans="1:5" x14ac:dyDescent="0.25">
      <c r="A4029" s="313" t="s">
        <v>1433</v>
      </c>
      <c r="B4029" s="313" t="s">
        <v>19</v>
      </c>
      <c r="C4029" s="313" t="s">
        <v>1471</v>
      </c>
      <c r="D4029" s="313" t="s">
        <v>51</v>
      </c>
      <c r="E4029" s="313" t="s">
        <v>24</v>
      </c>
    </row>
    <row r="4030" spans="1:5" x14ac:dyDescent="0.25">
      <c r="A4030" s="313" t="s">
        <v>1433</v>
      </c>
      <c r="B4030" s="313" t="s">
        <v>19</v>
      </c>
      <c r="C4030" s="313" t="s">
        <v>1475</v>
      </c>
      <c r="D4030" s="313" t="s">
        <v>51</v>
      </c>
      <c r="E4030" s="313" t="s">
        <v>24</v>
      </c>
    </row>
    <row r="4031" spans="1:5" x14ac:dyDescent="0.25">
      <c r="A4031" s="313" t="s">
        <v>1433</v>
      </c>
      <c r="B4031" s="313" t="s">
        <v>19</v>
      </c>
      <c r="C4031" s="313" t="s">
        <v>20</v>
      </c>
      <c r="D4031" s="313" t="s">
        <v>51</v>
      </c>
      <c r="E4031" s="313" t="s">
        <v>24</v>
      </c>
    </row>
    <row r="4032" spans="1:5" x14ac:dyDescent="0.25">
      <c r="A4032" s="313" t="s">
        <v>1433</v>
      </c>
      <c r="B4032" s="313" t="s">
        <v>19</v>
      </c>
      <c r="C4032" s="313" t="s">
        <v>1487</v>
      </c>
      <c r="D4032" s="313" t="s">
        <v>51</v>
      </c>
      <c r="E4032" s="313" t="s">
        <v>24</v>
      </c>
    </row>
    <row r="4033" spans="1:5" x14ac:dyDescent="0.25">
      <c r="A4033" s="313" t="s">
        <v>1433</v>
      </c>
      <c r="B4033" s="313" t="s">
        <v>19</v>
      </c>
      <c r="C4033" s="313" t="s">
        <v>1495</v>
      </c>
      <c r="D4033" s="313" t="s">
        <v>51</v>
      </c>
      <c r="E4033" s="313" t="s">
        <v>24</v>
      </c>
    </row>
    <row r="4034" spans="1:5" x14ac:dyDescent="0.25">
      <c r="A4034" s="313" t="s">
        <v>1437</v>
      </c>
      <c r="B4034" s="313" t="s">
        <v>19</v>
      </c>
      <c r="C4034" s="313" t="s">
        <v>1466</v>
      </c>
      <c r="D4034" s="313" t="s">
        <v>35</v>
      </c>
      <c r="E4034" s="313" t="s">
        <v>24</v>
      </c>
    </row>
    <row r="4035" spans="1:5" x14ac:dyDescent="0.25">
      <c r="A4035" s="313" t="s">
        <v>1437</v>
      </c>
      <c r="B4035" s="313" t="s">
        <v>19</v>
      </c>
      <c r="C4035" s="313" t="s">
        <v>1471</v>
      </c>
      <c r="D4035" s="313" t="s">
        <v>35</v>
      </c>
      <c r="E4035" s="313" t="s">
        <v>24</v>
      </c>
    </row>
    <row r="4036" spans="1:5" x14ac:dyDescent="0.25">
      <c r="A4036" s="313" t="s">
        <v>1437</v>
      </c>
      <c r="B4036" s="313" t="s">
        <v>19</v>
      </c>
      <c r="C4036" s="313" t="s">
        <v>1475</v>
      </c>
      <c r="D4036" s="313" t="s">
        <v>35</v>
      </c>
      <c r="E4036" s="313" t="s">
        <v>24</v>
      </c>
    </row>
    <row r="4037" spans="1:5" x14ac:dyDescent="0.25">
      <c r="A4037" s="313" t="s">
        <v>1437</v>
      </c>
      <c r="B4037" s="313" t="s">
        <v>19</v>
      </c>
      <c r="C4037" s="313" t="s">
        <v>20</v>
      </c>
      <c r="D4037" s="313" t="s">
        <v>35</v>
      </c>
      <c r="E4037" s="313" t="s">
        <v>24</v>
      </c>
    </row>
    <row r="4038" spans="1:5" x14ac:dyDescent="0.25">
      <c r="A4038" s="313" t="s">
        <v>1437</v>
      </c>
      <c r="B4038" s="313" t="s">
        <v>19</v>
      </c>
      <c r="C4038" s="313" t="s">
        <v>1487</v>
      </c>
      <c r="D4038" s="313" t="s">
        <v>35</v>
      </c>
      <c r="E4038" s="313" t="s">
        <v>24</v>
      </c>
    </row>
    <row r="4039" spans="1:5" x14ac:dyDescent="0.25">
      <c r="A4039" s="313" t="s">
        <v>1437</v>
      </c>
      <c r="B4039" s="313" t="s">
        <v>19</v>
      </c>
      <c r="C4039" s="313" t="s">
        <v>1495</v>
      </c>
      <c r="D4039" s="313" t="s">
        <v>35</v>
      </c>
      <c r="E4039" s="313" t="s">
        <v>24</v>
      </c>
    </row>
    <row r="4040" spans="1:5" x14ac:dyDescent="0.25">
      <c r="A4040" s="313" t="s">
        <v>1439</v>
      </c>
      <c r="B4040" s="313" t="s">
        <v>19</v>
      </c>
      <c r="C4040" s="313" t="s">
        <v>1466</v>
      </c>
      <c r="D4040" s="313" t="s">
        <v>35</v>
      </c>
      <c r="E4040" s="313" t="s">
        <v>24</v>
      </c>
    </row>
    <row r="4041" spans="1:5" x14ac:dyDescent="0.25">
      <c r="A4041" s="313" t="s">
        <v>1439</v>
      </c>
      <c r="B4041" s="313" t="s">
        <v>19</v>
      </c>
      <c r="C4041" s="313" t="s">
        <v>1471</v>
      </c>
      <c r="D4041" s="313" t="s">
        <v>35</v>
      </c>
      <c r="E4041" s="313" t="s">
        <v>24</v>
      </c>
    </row>
    <row r="4042" spans="1:5" x14ac:dyDescent="0.25">
      <c r="A4042" s="313" t="s">
        <v>1439</v>
      </c>
      <c r="B4042" s="313" t="s">
        <v>19</v>
      </c>
      <c r="C4042" s="313" t="s">
        <v>1475</v>
      </c>
      <c r="D4042" s="313" t="s">
        <v>35</v>
      </c>
      <c r="E4042" s="313" t="s">
        <v>24</v>
      </c>
    </row>
    <row r="4043" spans="1:5" x14ac:dyDescent="0.25">
      <c r="A4043" s="313" t="s">
        <v>1439</v>
      </c>
      <c r="B4043" s="313" t="s">
        <v>19</v>
      </c>
      <c r="C4043" s="313" t="s">
        <v>20</v>
      </c>
      <c r="D4043" s="313" t="s">
        <v>35</v>
      </c>
      <c r="E4043" s="313" t="s">
        <v>24</v>
      </c>
    </row>
    <row r="4044" spans="1:5" x14ac:dyDescent="0.25">
      <c r="A4044" s="313" t="s">
        <v>1439</v>
      </c>
      <c r="B4044" s="313" t="s">
        <v>19</v>
      </c>
      <c r="C4044" s="313" t="s">
        <v>1487</v>
      </c>
      <c r="D4044" s="313" t="s">
        <v>35</v>
      </c>
      <c r="E4044" s="313" t="s">
        <v>24</v>
      </c>
    </row>
    <row r="4045" spans="1:5" x14ac:dyDescent="0.25">
      <c r="A4045" s="313" t="s">
        <v>1439</v>
      </c>
      <c r="B4045" s="313" t="s">
        <v>19</v>
      </c>
      <c r="C4045" s="313" t="s">
        <v>1495</v>
      </c>
      <c r="D4045" s="313" t="s">
        <v>35</v>
      </c>
      <c r="E4045" s="313" t="s">
        <v>24</v>
      </c>
    </row>
    <row r="4046" spans="1:5" x14ac:dyDescent="0.25">
      <c r="A4046" s="313" t="s">
        <v>1442</v>
      </c>
      <c r="B4046" s="313" t="s">
        <v>19</v>
      </c>
      <c r="C4046" s="313" t="s">
        <v>1466</v>
      </c>
      <c r="D4046" s="313" t="s">
        <v>35</v>
      </c>
      <c r="E4046" s="313" t="s">
        <v>24</v>
      </c>
    </row>
    <row r="4047" spans="1:5" x14ac:dyDescent="0.25">
      <c r="A4047" s="313" t="s">
        <v>1442</v>
      </c>
      <c r="B4047" s="313" t="s">
        <v>19</v>
      </c>
      <c r="C4047" s="313" t="s">
        <v>1471</v>
      </c>
      <c r="D4047" s="313" t="s">
        <v>35</v>
      </c>
      <c r="E4047" s="313" t="s">
        <v>24</v>
      </c>
    </row>
    <row r="4048" spans="1:5" x14ac:dyDescent="0.25">
      <c r="A4048" s="313" t="s">
        <v>1442</v>
      </c>
      <c r="B4048" s="313" t="s">
        <v>19</v>
      </c>
      <c r="C4048" s="313" t="s">
        <v>1475</v>
      </c>
      <c r="D4048" s="313" t="s">
        <v>35</v>
      </c>
      <c r="E4048" s="313" t="s">
        <v>24</v>
      </c>
    </row>
    <row r="4049" spans="1:5" x14ac:dyDescent="0.25">
      <c r="A4049" s="313" t="s">
        <v>1442</v>
      </c>
      <c r="B4049" s="313" t="s">
        <v>19</v>
      </c>
      <c r="C4049" s="313" t="s">
        <v>20</v>
      </c>
      <c r="D4049" s="313" t="s">
        <v>35</v>
      </c>
      <c r="E4049" s="313" t="s">
        <v>24</v>
      </c>
    </row>
    <row r="4050" spans="1:5" x14ac:dyDescent="0.25">
      <c r="A4050" s="313" t="s">
        <v>1442</v>
      </c>
      <c r="B4050" s="313" t="s">
        <v>19</v>
      </c>
      <c r="C4050" s="313" t="s">
        <v>1487</v>
      </c>
      <c r="D4050" s="313" t="s">
        <v>35</v>
      </c>
      <c r="E4050" s="313" t="s">
        <v>24</v>
      </c>
    </row>
    <row r="4051" spans="1:5" x14ac:dyDescent="0.25">
      <c r="A4051" s="313" t="s">
        <v>1442</v>
      </c>
      <c r="B4051" s="313" t="s">
        <v>19</v>
      </c>
      <c r="C4051" s="313" t="s">
        <v>1495</v>
      </c>
      <c r="D4051" s="313" t="s">
        <v>35</v>
      </c>
      <c r="E4051" s="313" t="s">
        <v>24</v>
      </c>
    </row>
    <row r="4052" spans="1:5" x14ac:dyDescent="0.25">
      <c r="A4052" s="313" t="s">
        <v>1446</v>
      </c>
      <c r="B4052" s="313" t="s">
        <v>19</v>
      </c>
      <c r="C4052" s="313" t="s">
        <v>1466</v>
      </c>
      <c r="D4052" s="313" t="s">
        <v>35</v>
      </c>
      <c r="E4052" s="313" t="s">
        <v>24</v>
      </c>
    </row>
    <row r="4053" spans="1:5" x14ac:dyDescent="0.25">
      <c r="A4053" s="313" t="s">
        <v>1446</v>
      </c>
      <c r="B4053" s="313" t="s">
        <v>19</v>
      </c>
      <c r="C4053" s="313" t="s">
        <v>1471</v>
      </c>
      <c r="D4053" s="313" t="s">
        <v>35</v>
      </c>
      <c r="E4053" s="313" t="s">
        <v>24</v>
      </c>
    </row>
    <row r="4054" spans="1:5" x14ac:dyDescent="0.25">
      <c r="A4054" s="313" t="s">
        <v>1446</v>
      </c>
      <c r="B4054" s="313" t="s">
        <v>19</v>
      </c>
      <c r="C4054" s="313" t="s">
        <v>1475</v>
      </c>
      <c r="D4054" s="313" t="s">
        <v>35</v>
      </c>
      <c r="E4054" s="313" t="s">
        <v>24</v>
      </c>
    </row>
    <row r="4055" spans="1:5" x14ac:dyDescent="0.25">
      <c r="A4055" s="313" t="s">
        <v>1446</v>
      </c>
      <c r="B4055" s="313" t="s">
        <v>19</v>
      </c>
      <c r="C4055" s="313" t="s">
        <v>20</v>
      </c>
      <c r="D4055" s="313" t="s">
        <v>35</v>
      </c>
      <c r="E4055" s="313" t="s">
        <v>24</v>
      </c>
    </row>
    <row r="4056" spans="1:5" x14ac:dyDescent="0.25">
      <c r="A4056" s="313" t="s">
        <v>1446</v>
      </c>
      <c r="B4056" s="313" t="s">
        <v>19</v>
      </c>
      <c r="C4056" s="313" t="s">
        <v>1487</v>
      </c>
      <c r="D4056" s="313" t="s">
        <v>35</v>
      </c>
      <c r="E4056" s="313" t="s">
        <v>24</v>
      </c>
    </row>
    <row r="4057" spans="1:5" x14ac:dyDescent="0.25">
      <c r="A4057" s="313" t="s">
        <v>1446</v>
      </c>
      <c r="B4057" s="313" t="s">
        <v>19</v>
      </c>
      <c r="C4057" s="313" t="s">
        <v>1495</v>
      </c>
      <c r="D4057" s="313" t="s">
        <v>35</v>
      </c>
      <c r="E4057" s="313" t="s">
        <v>24</v>
      </c>
    </row>
    <row r="4058" spans="1:5" x14ac:dyDescent="0.25">
      <c r="A4058" s="313" t="s">
        <v>1449</v>
      </c>
      <c r="B4058" s="313" t="s">
        <v>19</v>
      </c>
      <c r="C4058" s="313" t="s">
        <v>1466</v>
      </c>
      <c r="D4058" s="313" t="s">
        <v>35</v>
      </c>
      <c r="E4058" s="313" t="s">
        <v>24</v>
      </c>
    </row>
    <row r="4059" spans="1:5" x14ac:dyDescent="0.25">
      <c r="A4059" s="313" t="s">
        <v>1449</v>
      </c>
      <c r="B4059" s="313" t="s">
        <v>19</v>
      </c>
      <c r="C4059" s="313" t="s">
        <v>1471</v>
      </c>
      <c r="D4059" s="313" t="s">
        <v>35</v>
      </c>
      <c r="E4059" s="313" t="s">
        <v>24</v>
      </c>
    </row>
    <row r="4060" spans="1:5" x14ac:dyDescent="0.25">
      <c r="A4060" s="313" t="s">
        <v>1449</v>
      </c>
      <c r="B4060" s="313" t="s">
        <v>19</v>
      </c>
      <c r="C4060" s="313" t="s">
        <v>1475</v>
      </c>
      <c r="D4060" s="313" t="s">
        <v>35</v>
      </c>
      <c r="E4060" s="313" t="s">
        <v>24</v>
      </c>
    </row>
    <row r="4061" spans="1:5" x14ac:dyDescent="0.25">
      <c r="A4061" s="313" t="s">
        <v>1449</v>
      </c>
      <c r="B4061" s="313" t="s">
        <v>19</v>
      </c>
      <c r="C4061" s="313" t="s">
        <v>20</v>
      </c>
      <c r="D4061" s="313" t="s">
        <v>35</v>
      </c>
      <c r="E4061" s="313" t="s">
        <v>24</v>
      </c>
    </row>
    <row r="4062" spans="1:5" x14ac:dyDescent="0.25">
      <c r="A4062" s="313" t="s">
        <v>1449</v>
      </c>
      <c r="B4062" s="313" t="s">
        <v>19</v>
      </c>
      <c r="C4062" s="313" t="s">
        <v>1487</v>
      </c>
      <c r="D4062" s="313" t="s">
        <v>35</v>
      </c>
      <c r="E4062" s="313" t="s">
        <v>24</v>
      </c>
    </row>
    <row r="4063" spans="1:5" x14ac:dyDescent="0.25">
      <c r="A4063" s="313" t="s">
        <v>1449</v>
      </c>
      <c r="B4063" s="313" t="s">
        <v>19</v>
      </c>
      <c r="C4063" s="313" t="s">
        <v>1495</v>
      </c>
      <c r="D4063" s="313" t="s">
        <v>35</v>
      </c>
      <c r="E4063" s="313" t="s">
        <v>24</v>
      </c>
    </row>
    <row r="4064" spans="1:5" x14ac:dyDescent="0.25">
      <c r="A4064" s="313" t="s">
        <v>1454</v>
      </c>
      <c r="B4064" s="313" t="s">
        <v>19</v>
      </c>
      <c r="C4064" s="313" t="s">
        <v>1466</v>
      </c>
      <c r="D4064" s="313" t="s">
        <v>19</v>
      </c>
      <c r="E4064" s="313" t="s">
        <v>2937</v>
      </c>
    </row>
    <row r="4065" spans="1:5" x14ac:dyDescent="0.25">
      <c r="A4065" s="313" t="s">
        <v>1454</v>
      </c>
      <c r="B4065" s="313" t="s">
        <v>19</v>
      </c>
      <c r="C4065" s="313" t="s">
        <v>1471</v>
      </c>
      <c r="D4065" s="313" t="s">
        <v>35</v>
      </c>
      <c r="E4065" s="313" t="s">
        <v>24</v>
      </c>
    </row>
    <row r="4066" spans="1:5" x14ac:dyDescent="0.25">
      <c r="A4066" s="313" t="s">
        <v>1454</v>
      </c>
      <c r="B4066" s="313" t="s">
        <v>19</v>
      </c>
      <c r="C4066" s="313" t="s">
        <v>1475</v>
      </c>
      <c r="D4066" s="313" t="s">
        <v>19</v>
      </c>
      <c r="E4066" s="313" t="s">
        <v>2937</v>
      </c>
    </row>
    <row r="4067" spans="1:5" x14ac:dyDescent="0.25">
      <c r="A4067" s="313" t="s">
        <v>1454</v>
      </c>
      <c r="B4067" s="313" t="s">
        <v>19</v>
      </c>
      <c r="C4067" s="313" t="s">
        <v>20</v>
      </c>
      <c r="D4067" s="313" t="s">
        <v>35</v>
      </c>
      <c r="E4067" s="313" t="s">
        <v>24</v>
      </c>
    </row>
    <row r="4068" spans="1:5" x14ac:dyDescent="0.25">
      <c r="A4068" s="313" t="s">
        <v>1454</v>
      </c>
      <c r="B4068" s="313" t="s">
        <v>19</v>
      </c>
      <c r="C4068" s="313" t="s">
        <v>1487</v>
      </c>
      <c r="D4068" s="313" t="s">
        <v>35</v>
      </c>
      <c r="E4068" s="313" t="s">
        <v>24</v>
      </c>
    </row>
    <row r="4069" spans="1:5" x14ac:dyDescent="0.25">
      <c r="A4069" s="313" t="s">
        <v>1454</v>
      </c>
      <c r="B4069" s="313" t="s">
        <v>19</v>
      </c>
      <c r="C4069" s="313" t="s">
        <v>1495</v>
      </c>
      <c r="D4069" s="313" t="s">
        <v>35</v>
      </c>
      <c r="E4069" s="313" t="s">
        <v>24</v>
      </c>
    </row>
    <row r="4070" spans="1:5" x14ac:dyDescent="0.25">
      <c r="A4070" s="313" t="s">
        <v>1454</v>
      </c>
      <c r="B4070" s="313" t="s">
        <v>26</v>
      </c>
      <c r="C4070" s="313" t="s">
        <v>1515</v>
      </c>
      <c r="D4070" s="313" t="s">
        <v>24</v>
      </c>
      <c r="E4070" s="313" t="s">
        <v>1799</v>
      </c>
    </row>
    <row r="4071" spans="1:5" x14ac:dyDescent="0.25">
      <c r="A4071" s="313" t="s">
        <v>1457</v>
      </c>
      <c r="B4071" s="313" t="s">
        <v>19</v>
      </c>
      <c r="C4071" s="313" t="s">
        <v>1466</v>
      </c>
      <c r="D4071" s="313" t="s">
        <v>19</v>
      </c>
      <c r="E4071" s="313" t="s">
        <v>1800</v>
      </c>
    </row>
    <row r="4072" spans="1:5" x14ac:dyDescent="0.25">
      <c r="A4072" s="313" t="s">
        <v>1457</v>
      </c>
      <c r="B4072" s="313" t="s">
        <v>19</v>
      </c>
      <c r="C4072" s="313" t="s">
        <v>1471</v>
      </c>
      <c r="D4072" s="313" t="s">
        <v>35</v>
      </c>
      <c r="E4072" s="313" t="s">
        <v>24</v>
      </c>
    </row>
    <row r="4073" spans="1:5" x14ac:dyDescent="0.25">
      <c r="A4073" s="313" t="s">
        <v>1457</v>
      </c>
      <c r="B4073" s="313" t="s">
        <v>19</v>
      </c>
      <c r="C4073" s="313" t="s">
        <v>1475</v>
      </c>
      <c r="D4073" s="313" t="s">
        <v>19</v>
      </c>
      <c r="E4073" s="313" t="s">
        <v>1800</v>
      </c>
    </row>
    <row r="4074" spans="1:5" x14ac:dyDescent="0.25">
      <c r="A4074" s="313" t="s">
        <v>1457</v>
      </c>
      <c r="B4074" s="313" t="s">
        <v>19</v>
      </c>
      <c r="C4074" s="313" t="s">
        <v>20</v>
      </c>
      <c r="D4074" s="313" t="s">
        <v>35</v>
      </c>
      <c r="E4074" s="313" t="s">
        <v>24</v>
      </c>
    </row>
    <row r="4075" spans="1:5" x14ac:dyDescent="0.25">
      <c r="A4075" s="313" t="s">
        <v>1457</v>
      </c>
      <c r="B4075" s="313" t="s">
        <v>19</v>
      </c>
      <c r="C4075" s="313" t="s">
        <v>1487</v>
      </c>
      <c r="D4075" s="313" t="s">
        <v>35</v>
      </c>
      <c r="E4075" s="313" t="s">
        <v>24</v>
      </c>
    </row>
    <row r="4076" spans="1:5" x14ac:dyDescent="0.25">
      <c r="A4076" s="313" t="s">
        <v>1457</v>
      </c>
      <c r="B4076" s="313" t="s">
        <v>19</v>
      </c>
      <c r="C4076" s="313" t="s">
        <v>1495</v>
      </c>
      <c r="D4076" s="313" t="s">
        <v>35</v>
      </c>
      <c r="E4076" s="313" t="s">
        <v>24</v>
      </c>
    </row>
    <row r="4077" spans="1:5" x14ac:dyDescent="0.25">
      <c r="A4077" s="313" t="s">
        <v>1457</v>
      </c>
      <c r="B4077" s="313" t="s">
        <v>26</v>
      </c>
      <c r="C4077" s="313" t="s">
        <v>1515</v>
      </c>
      <c r="D4077" s="313" t="s">
        <v>24</v>
      </c>
      <c r="E4077" s="313" t="s">
        <v>1801</v>
      </c>
    </row>
    <row r="4078" spans="1:5" x14ac:dyDescent="0.25">
      <c r="A4078" s="313" t="s">
        <v>1460</v>
      </c>
      <c r="B4078" s="313" t="s">
        <v>19</v>
      </c>
      <c r="C4078" s="313" t="s">
        <v>1466</v>
      </c>
      <c r="D4078" s="313" t="s">
        <v>19</v>
      </c>
      <c r="E4078" s="313" t="s">
        <v>1802</v>
      </c>
    </row>
    <row r="4079" spans="1:5" x14ac:dyDescent="0.25">
      <c r="A4079" s="313" t="s">
        <v>1460</v>
      </c>
      <c r="B4079" s="313" t="s">
        <v>19</v>
      </c>
      <c r="C4079" s="313" t="s">
        <v>1471</v>
      </c>
      <c r="D4079" s="313" t="s">
        <v>35</v>
      </c>
      <c r="E4079" s="313" t="s">
        <v>24</v>
      </c>
    </row>
    <row r="4080" spans="1:5" x14ac:dyDescent="0.25">
      <c r="A4080" s="313" t="s">
        <v>1460</v>
      </c>
      <c r="B4080" s="313" t="s">
        <v>19</v>
      </c>
      <c r="C4080" s="313" t="s">
        <v>1475</v>
      </c>
      <c r="D4080" s="313" t="s">
        <v>19</v>
      </c>
      <c r="E4080" s="313" t="s">
        <v>1802</v>
      </c>
    </row>
    <row r="4081" spans="1:5" x14ac:dyDescent="0.25">
      <c r="A4081" s="313" t="s">
        <v>1460</v>
      </c>
      <c r="B4081" s="313" t="s">
        <v>19</v>
      </c>
      <c r="C4081" s="313" t="s">
        <v>20</v>
      </c>
      <c r="D4081" s="313" t="s">
        <v>35</v>
      </c>
      <c r="E4081" s="313" t="s">
        <v>24</v>
      </c>
    </row>
    <row r="4082" spans="1:5" x14ac:dyDescent="0.25">
      <c r="A4082" s="313" t="s">
        <v>1460</v>
      </c>
      <c r="B4082" s="313" t="s">
        <v>19</v>
      </c>
      <c r="C4082" s="313" t="s">
        <v>1487</v>
      </c>
      <c r="D4082" s="313" t="s">
        <v>35</v>
      </c>
      <c r="E4082" s="313" t="s">
        <v>24</v>
      </c>
    </row>
    <row r="4083" spans="1:5" x14ac:dyDescent="0.25">
      <c r="A4083" s="313" t="s">
        <v>1460</v>
      </c>
      <c r="B4083" s="313" t="s">
        <v>19</v>
      </c>
      <c r="C4083" s="313" t="s">
        <v>1495</v>
      </c>
      <c r="D4083" s="313" t="s">
        <v>35</v>
      </c>
      <c r="E4083" s="313" t="s">
        <v>24</v>
      </c>
    </row>
    <row r="4084" spans="1:5" x14ac:dyDescent="0.25">
      <c r="A4084" s="313" t="s">
        <v>1460</v>
      </c>
      <c r="B4084" s="313" t="s">
        <v>26</v>
      </c>
      <c r="C4084" s="313" t="s">
        <v>1515</v>
      </c>
      <c r="D4084" s="313" t="s">
        <v>24</v>
      </c>
      <c r="E4084" s="313" t="s">
        <v>75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52AB1-C475-4C5E-9945-058F6E3C214C}">
  <sheetPr codeName="Feuil14"/>
  <dimension ref="A1:E33"/>
  <sheetViews>
    <sheetView workbookViewId="0"/>
  </sheetViews>
  <sheetFormatPr baseColWidth="10" defaultRowHeight="15" x14ac:dyDescent="0.25"/>
  <sheetData>
    <row r="1" spans="1:5" x14ac:dyDescent="0.25">
      <c r="A1" s="313" t="s">
        <v>2080</v>
      </c>
      <c r="B1" s="313" t="s">
        <v>2938</v>
      </c>
      <c r="C1" s="313" t="s">
        <v>2081</v>
      </c>
      <c r="D1" s="313" t="s">
        <v>2082</v>
      </c>
      <c r="E1" s="313" t="s">
        <v>2939</v>
      </c>
    </row>
    <row r="2" spans="1:5" x14ac:dyDescent="0.25">
      <c r="A2" s="313" t="s">
        <v>2940</v>
      </c>
      <c r="B2" s="313" t="s">
        <v>1466</v>
      </c>
      <c r="C2" s="313" t="s">
        <v>2941</v>
      </c>
      <c r="D2" s="313" t="s">
        <v>24</v>
      </c>
      <c r="E2" s="313" t="s">
        <v>24</v>
      </c>
    </row>
    <row r="3" spans="1:5" x14ac:dyDescent="0.25">
      <c r="A3" s="313" t="s">
        <v>2940</v>
      </c>
      <c r="B3" s="313" t="s">
        <v>1487</v>
      </c>
      <c r="C3" s="313" t="s">
        <v>2942</v>
      </c>
      <c r="D3" s="313" t="s">
        <v>24</v>
      </c>
      <c r="E3" s="313" t="s">
        <v>24</v>
      </c>
    </row>
    <row r="4" spans="1:5" x14ac:dyDescent="0.25">
      <c r="A4" s="313" t="s">
        <v>2940</v>
      </c>
      <c r="B4" s="313" t="s">
        <v>20</v>
      </c>
      <c r="C4" s="313" t="s">
        <v>2943</v>
      </c>
      <c r="D4" s="313" t="s">
        <v>24</v>
      </c>
      <c r="E4" s="313" t="s">
        <v>24</v>
      </c>
    </row>
    <row r="5" spans="1:5" x14ac:dyDescent="0.25">
      <c r="A5" s="313" t="s">
        <v>2940</v>
      </c>
      <c r="B5" s="313" t="s">
        <v>2068</v>
      </c>
      <c r="C5" s="313" t="s">
        <v>2944</v>
      </c>
      <c r="D5" s="313" t="s">
        <v>24</v>
      </c>
      <c r="E5" s="313" t="s">
        <v>24</v>
      </c>
    </row>
    <row r="6" spans="1:5" x14ac:dyDescent="0.25">
      <c r="A6" s="313" t="s">
        <v>2945</v>
      </c>
      <c r="B6" s="313" t="s">
        <v>1466</v>
      </c>
      <c r="C6" s="313" t="s">
        <v>24</v>
      </c>
      <c r="D6" s="313" t="s">
        <v>24</v>
      </c>
      <c r="E6" s="313" t="s">
        <v>1521</v>
      </c>
    </row>
    <row r="7" spans="1:5" x14ac:dyDescent="0.25">
      <c r="A7" s="313" t="s">
        <v>2945</v>
      </c>
      <c r="B7" s="313" t="s">
        <v>1487</v>
      </c>
      <c r="C7" s="313" t="s">
        <v>24</v>
      </c>
      <c r="D7" s="313" t="s">
        <v>24</v>
      </c>
      <c r="E7" s="313" t="s">
        <v>1521</v>
      </c>
    </row>
    <row r="8" spans="1:5" x14ac:dyDescent="0.25">
      <c r="A8" s="313" t="s">
        <v>2945</v>
      </c>
      <c r="B8" s="313" t="s">
        <v>20</v>
      </c>
      <c r="C8" s="313" t="s">
        <v>24</v>
      </c>
      <c r="D8" s="313" t="s">
        <v>24</v>
      </c>
      <c r="E8" s="313" t="s">
        <v>1521</v>
      </c>
    </row>
    <row r="9" spans="1:5" x14ac:dyDescent="0.25">
      <c r="A9" s="313" t="s">
        <v>2945</v>
      </c>
      <c r="B9" s="313" t="s">
        <v>1471</v>
      </c>
      <c r="C9" s="313" t="s">
        <v>24</v>
      </c>
      <c r="D9" s="313" t="s">
        <v>24</v>
      </c>
      <c r="E9" s="313" t="s">
        <v>1521</v>
      </c>
    </row>
    <row r="10" spans="1:5" x14ac:dyDescent="0.25">
      <c r="A10" s="313" t="s">
        <v>2945</v>
      </c>
      <c r="B10" s="313" t="s">
        <v>1475</v>
      </c>
      <c r="C10" s="313" t="s">
        <v>24</v>
      </c>
      <c r="D10" s="313" t="s">
        <v>24</v>
      </c>
      <c r="E10" s="313" t="s">
        <v>1521</v>
      </c>
    </row>
    <row r="11" spans="1:5" x14ac:dyDescent="0.25">
      <c r="A11" s="313" t="s">
        <v>2945</v>
      </c>
      <c r="B11" s="313" t="s">
        <v>2946</v>
      </c>
      <c r="C11" s="313" t="s">
        <v>24</v>
      </c>
      <c r="D11" s="313" t="s">
        <v>24</v>
      </c>
      <c r="E11" s="313" t="s">
        <v>70</v>
      </c>
    </row>
    <row r="12" spans="1:5" x14ac:dyDescent="0.25">
      <c r="A12" s="313" t="s">
        <v>2945</v>
      </c>
      <c r="B12" s="313" t="s">
        <v>1495</v>
      </c>
      <c r="C12" s="313" t="s">
        <v>24</v>
      </c>
      <c r="D12" s="313" t="s">
        <v>24</v>
      </c>
      <c r="E12" s="313" t="s">
        <v>1521</v>
      </c>
    </row>
    <row r="13" spans="1:5" x14ac:dyDescent="0.25">
      <c r="A13" s="313" t="s">
        <v>2947</v>
      </c>
      <c r="B13" s="313" t="s">
        <v>1501</v>
      </c>
      <c r="C13" s="313" t="s">
        <v>24</v>
      </c>
      <c r="D13" s="313" t="s">
        <v>1466</v>
      </c>
      <c r="E13" s="313" t="s">
        <v>1521</v>
      </c>
    </row>
    <row r="14" spans="1:5" x14ac:dyDescent="0.25">
      <c r="A14" s="313" t="s">
        <v>2947</v>
      </c>
      <c r="B14" s="313" t="s">
        <v>1502</v>
      </c>
      <c r="C14" s="313" t="s">
        <v>24</v>
      </c>
      <c r="D14" s="313" t="s">
        <v>1466</v>
      </c>
      <c r="E14" s="313" t="s">
        <v>1521</v>
      </c>
    </row>
    <row r="15" spans="1:5" x14ac:dyDescent="0.25">
      <c r="A15" s="313" t="s">
        <v>2947</v>
      </c>
      <c r="B15" s="313" t="s">
        <v>1503</v>
      </c>
      <c r="C15" s="313" t="s">
        <v>24</v>
      </c>
      <c r="D15" s="313" t="s">
        <v>1466</v>
      </c>
      <c r="E15" s="313" t="s">
        <v>1521</v>
      </c>
    </row>
    <row r="16" spans="1:5" x14ac:dyDescent="0.25">
      <c r="A16" s="313" t="s">
        <v>2947</v>
      </c>
      <c r="B16" s="313" t="s">
        <v>1512</v>
      </c>
      <c r="C16" s="313" t="s">
        <v>24</v>
      </c>
      <c r="D16" s="313" t="s">
        <v>20</v>
      </c>
      <c r="E16" s="313" t="s">
        <v>1521</v>
      </c>
    </row>
    <row r="17" spans="1:5" x14ac:dyDescent="0.25">
      <c r="A17" s="313" t="s">
        <v>2947</v>
      </c>
      <c r="B17" s="313" t="s">
        <v>1513</v>
      </c>
      <c r="C17" s="313" t="s">
        <v>24</v>
      </c>
      <c r="D17" s="313" t="s">
        <v>20</v>
      </c>
      <c r="E17" s="313" t="s">
        <v>1521</v>
      </c>
    </row>
    <row r="18" spans="1:5" x14ac:dyDescent="0.25">
      <c r="A18" s="313" t="s">
        <v>2947</v>
      </c>
      <c r="B18" s="313" t="s">
        <v>1509</v>
      </c>
      <c r="C18" s="313" t="s">
        <v>24</v>
      </c>
      <c r="D18" s="313" t="s">
        <v>20</v>
      </c>
      <c r="E18" s="313" t="s">
        <v>1521</v>
      </c>
    </row>
    <row r="19" spans="1:5" x14ac:dyDescent="0.25">
      <c r="A19" s="313" t="s">
        <v>2947</v>
      </c>
      <c r="B19" s="313" t="s">
        <v>1510</v>
      </c>
      <c r="C19" s="313" t="s">
        <v>24</v>
      </c>
      <c r="D19" s="313" t="s">
        <v>20</v>
      </c>
      <c r="E19" s="313" t="s">
        <v>1521</v>
      </c>
    </row>
    <row r="20" spans="1:5" x14ac:dyDescent="0.25">
      <c r="A20" s="313" t="s">
        <v>2947</v>
      </c>
      <c r="B20" s="313" t="s">
        <v>1511</v>
      </c>
      <c r="C20" s="313" t="s">
        <v>24</v>
      </c>
      <c r="D20" s="313" t="s">
        <v>20</v>
      </c>
      <c r="E20" s="313" t="s">
        <v>1521</v>
      </c>
    </row>
    <row r="21" spans="1:5" x14ac:dyDescent="0.25">
      <c r="A21" s="313" t="s">
        <v>2947</v>
      </c>
      <c r="B21" s="313" t="s">
        <v>27</v>
      </c>
      <c r="C21" s="313" t="s">
        <v>24</v>
      </c>
      <c r="D21" s="313" t="s">
        <v>20</v>
      </c>
      <c r="E21" s="313" t="s">
        <v>1521</v>
      </c>
    </row>
    <row r="22" spans="1:5" x14ac:dyDescent="0.25">
      <c r="A22" s="313" t="s">
        <v>2947</v>
      </c>
      <c r="B22" s="313" t="s">
        <v>1514</v>
      </c>
      <c r="C22" s="313" t="s">
        <v>24</v>
      </c>
      <c r="D22" s="313" t="s">
        <v>1487</v>
      </c>
      <c r="E22" s="313" t="s">
        <v>1521</v>
      </c>
    </row>
    <row r="23" spans="1:5" x14ac:dyDescent="0.25">
      <c r="A23" s="313" t="s">
        <v>2947</v>
      </c>
      <c r="B23" s="313" t="s">
        <v>1516</v>
      </c>
      <c r="C23" s="313" t="s">
        <v>24</v>
      </c>
      <c r="D23" s="313" t="s">
        <v>1487</v>
      </c>
      <c r="E23" s="313" t="s">
        <v>1521</v>
      </c>
    </row>
    <row r="24" spans="1:5" x14ac:dyDescent="0.25">
      <c r="A24" s="313" t="s">
        <v>2947</v>
      </c>
      <c r="B24" s="313" t="s">
        <v>1515</v>
      </c>
      <c r="C24" s="313" t="s">
        <v>24</v>
      </c>
      <c r="D24" s="313" t="s">
        <v>1487</v>
      </c>
      <c r="E24" s="313" t="s">
        <v>1521</v>
      </c>
    </row>
    <row r="25" spans="1:5" x14ac:dyDescent="0.25">
      <c r="A25" s="313" t="s">
        <v>2947</v>
      </c>
      <c r="B25" s="313" t="s">
        <v>1517</v>
      </c>
      <c r="C25" s="313" t="s">
        <v>24</v>
      </c>
      <c r="D25" s="313" t="s">
        <v>1487</v>
      </c>
      <c r="E25" s="313" t="s">
        <v>1521</v>
      </c>
    </row>
    <row r="26" spans="1:5" x14ac:dyDescent="0.25">
      <c r="A26" s="313" t="s">
        <v>2947</v>
      </c>
      <c r="B26" s="313" t="s">
        <v>1518</v>
      </c>
      <c r="C26" s="313" t="s">
        <v>24</v>
      </c>
      <c r="D26" s="313" t="s">
        <v>1487</v>
      </c>
      <c r="E26" s="313" t="s">
        <v>1521</v>
      </c>
    </row>
    <row r="27" spans="1:5" x14ac:dyDescent="0.25">
      <c r="A27" s="313" t="s">
        <v>2947</v>
      </c>
      <c r="B27" s="313" t="s">
        <v>1519</v>
      </c>
      <c r="C27" s="313" t="s">
        <v>24</v>
      </c>
      <c r="D27" s="313" t="s">
        <v>1487</v>
      </c>
      <c r="E27" s="313" t="s">
        <v>1521</v>
      </c>
    </row>
    <row r="28" spans="1:5" x14ac:dyDescent="0.25">
      <c r="A28" s="313" t="s">
        <v>2947</v>
      </c>
      <c r="B28" s="313" t="s">
        <v>2929</v>
      </c>
      <c r="C28" s="313" t="s">
        <v>24</v>
      </c>
      <c r="D28" s="313" t="s">
        <v>1471</v>
      </c>
      <c r="E28" s="313" t="s">
        <v>1521</v>
      </c>
    </row>
    <row r="29" spans="1:5" x14ac:dyDescent="0.25">
      <c r="A29" s="313" t="s">
        <v>2947</v>
      </c>
      <c r="B29" s="313" t="s">
        <v>2930</v>
      </c>
      <c r="C29" s="313" t="s">
        <v>24</v>
      </c>
      <c r="D29" s="313" t="s">
        <v>1471</v>
      </c>
      <c r="E29" s="313" t="s">
        <v>1521</v>
      </c>
    </row>
    <row r="30" spans="1:5" x14ac:dyDescent="0.25">
      <c r="A30" s="313" t="s">
        <v>2947</v>
      </c>
      <c r="B30" s="313" t="s">
        <v>1506</v>
      </c>
      <c r="C30" s="313" t="s">
        <v>24</v>
      </c>
      <c r="D30" s="313" t="s">
        <v>1475</v>
      </c>
      <c r="E30" s="313" t="s">
        <v>1521</v>
      </c>
    </row>
    <row r="31" spans="1:5" x14ac:dyDescent="0.25">
      <c r="A31" s="313" t="s">
        <v>2947</v>
      </c>
      <c r="B31" s="313" t="s">
        <v>1507</v>
      </c>
      <c r="C31" s="313" t="s">
        <v>24</v>
      </c>
      <c r="D31" s="313" t="s">
        <v>1475</v>
      </c>
      <c r="E31" s="313" t="s">
        <v>1521</v>
      </c>
    </row>
    <row r="32" spans="1:5" x14ac:dyDescent="0.25">
      <c r="A32" s="313" t="s">
        <v>2947</v>
      </c>
      <c r="B32" s="313" t="s">
        <v>1508</v>
      </c>
      <c r="C32" s="313" t="s">
        <v>24</v>
      </c>
      <c r="D32" s="313" t="s">
        <v>1475</v>
      </c>
      <c r="E32" s="313" t="s">
        <v>1521</v>
      </c>
    </row>
    <row r="33" spans="1:5" x14ac:dyDescent="0.25">
      <c r="A33" s="313" t="s">
        <v>2947</v>
      </c>
      <c r="B33" s="313" t="s">
        <v>1495</v>
      </c>
      <c r="C33" s="313" t="s">
        <v>24</v>
      </c>
      <c r="D33" s="313" t="s">
        <v>1495</v>
      </c>
      <c r="E33" s="313" t="s">
        <v>1521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B0E5-B754-4723-832B-609E1B251E71}">
  <sheetPr codeName="Feuil15"/>
  <dimension ref="A1:F2"/>
  <sheetViews>
    <sheetView tabSelected="1" workbookViewId="0"/>
  </sheetViews>
  <sheetFormatPr baseColWidth="10" defaultRowHeight="15" x14ac:dyDescent="0.25"/>
  <cols>
    <col min="1" max="6" width="24.7109375" customWidth="1"/>
  </cols>
  <sheetData>
    <row r="1" spans="1:6" x14ac:dyDescent="0.25">
      <c r="A1" t="s">
        <v>2948</v>
      </c>
      <c r="B1" t="s">
        <v>2949</v>
      </c>
      <c r="C1" t="s">
        <v>2925</v>
      </c>
      <c r="D1" t="s">
        <v>2950</v>
      </c>
      <c r="E1" t="s">
        <v>2951</v>
      </c>
      <c r="F1" t="s">
        <v>2952</v>
      </c>
    </row>
    <row r="2" spans="1:6" x14ac:dyDescent="0.25">
      <c r="A2" t="s">
        <v>2953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D04724718821041AF6B0DC12C2F3042" ma:contentTypeVersion="3" ma:contentTypeDescription="Crée un document." ma:contentTypeScope="" ma:versionID="97642801a7d02d51aa5f2670f97189c3">
  <xsd:schema xmlns:xsd="http://www.w3.org/2001/XMLSchema" xmlns:xs="http://www.w3.org/2001/XMLSchema" xmlns:p="http://schemas.microsoft.com/office/2006/metadata/properties" xmlns:ns2="857346d0-d8ab-4771-8a28-a3f71ab1cfda" targetNamespace="http://schemas.microsoft.com/office/2006/metadata/properties" ma:root="true" ma:fieldsID="e24c7a7d697168a6a9ae80e54afc64de" ns2:_="">
    <xsd:import namespace="857346d0-d8ab-4771-8a28-a3f71ab1cfd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7346d0-d8ab-4771-8a28-a3f71ab1cfd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AE8E1F-2268-4C1A-B016-97599F1767E6}">
  <ds:schemaRefs>
    <ds:schemaRef ds:uri="http://purl.org/dc/elements/1.1/"/>
    <ds:schemaRef ds:uri="http://schemas.microsoft.com/office/2006/metadata/properties"/>
    <ds:schemaRef ds:uri="857346d0-d8ab-4771-8a28-a3f71ab1cfda"/>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27940F5-C836-4A7F-B5E2-932C85F3B8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7346d0-d8ab-4771-8a28-a3f71ab1cf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B67A43E-ABA9-40DB-BEA6-623BA6BEE1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315</vt:i4>
      </vt:variant>
    </vt:vector>
  </HeadingPairs>
  <TitlesOfParts>
    <vt:vector size="330" baseType="lpstr">
      <vt:lpstr>3-Elaboration.O</vt:lpstr>
      <vt:lpstr>140-Standards</vt:lpstr>
      <vt:lpstr>Feuil1</vt:lpstr>
      <vt:lpstr>structure_question</vt:lpstr>
      <vt:lpstr>VBA_categories</vt:lpstr>
      <vt:lpstr>Feuil3</vt:lpstr>
      <vt:lpstr>carto</vt:lpstr>
      <vt:lpstr>100-Parametres</vt:lpstr>
      <vt:lpstr>R_Version</vt:lpstr>
      <vt:lpstr>R_Categories</vt:lpstr>
      <vt:lpstr>R_Questions</vt:lpstr>
      <vt:lpstr>R_Conditions</vt:lpstr>
      <vt:lpstr>R_Standards</vt:lpstr>
      <vt:lpstr>R_Directions</vt:lpstr>
      <vt:lpstr>T_Resultats</vt:lpstr>
      <vt:lpstr>BDDParametres</vt:lpstr>
      <vt:lpstr>BDDSGO3</vt:lpstr>
      <vt:lpstr>Biomedical</vt:lpstr>
      <vt:lpstr>BureauWEB</vt:lpstr>
      <vt:lpstr>ColonneCommentaire3</vt:lpstr>
      <vt:lpstr>ColonneCommentaireIntra3</vt:lpstr>
      <vt:lpstr>ColonneConformite3</vt:lpstr>
      <vt:lpstr>ColonneDifferenceAO3</vt:lpstr>
      <vt:lpstr>ColonneJustification3</vt:lpstr>
      <vt:lpstr>ColonneLibelleQuestionAMasquer</vt:lpstr>
      <vt:lpstr>ColonneLibelleQuestionConditionnante</vt:lpstr>
      <vt:lpstr>ColonneModeReponse3</vt:lpstr>
      <vt:lpstr>ColonneNiveauStandard3</vt:lpstr>
      <vt:lpstr>ColonneNonConcerne3</vt:lpstr>
      <vt:lpstr>ColonneOperateurStandard3</vt:lpstr>
      <vt:lpstr>ColonneQuestion3</vt:lpstr>
      <vt:lpstr>ColonneQuestionAMasquerP</vt:lpstr>
      <vt:lpstr>ColonneQuestionConditionnante3</vt:lpstr>
      <vt:lpstr>ColonneReferenceQuestion3</vt:lpstr>
      <vt:lpstr>ColonneReponse3</vt:lpstr>
      <vt:lpstr>ColonneReportQuestionConditionnanteP</vt:lpstr>
      <vt:lpstr>ColonneStandard3</vt:lpstr>
      <vt:lpstr>Copieurs</vt:lpstr>
      <vt:lpstr>DAG_Mobilier_scolaire_et_Equipement_général</vt:lpstr>
      <vt:lpstr>DAG_SOFI</vt:lpstr>
      <vt:lpstr>DAI</vt:lpstr>
      <vt:lpstr>DAV</vt:lpstr>
      <vt:lpstr>Direction_Non_standardisé</vt:lpstr>
      <vt:lpstr>DM_DMS</vt:lpstr>
      <vt:lpstr>DS</vt:lpstr>
      <vt:lpstr>E</vt:lpstr>
      <vt:lpstr>EQ_Lourds</vt:lpstr>
      <vt:lpstr>EQ_Soins_et_Secours</vt:lpstr>
      <vt:lpstr>Equipement_general</vt:lpstr>
      <vt:lpstr>GAUSS</vt:lpstr>
      <vt:lpstr>'3-Elaboration.O'!Impression_des_titres</vt:lpstr>
      <vt:lpstr>ISP</vt:lpstr>
      <vt:lpstr>Laboratoire</vt:lpstr>
      <vt:lpstr>Logiciels</vt:lpstr>
      <vt:lpstr>Materiel_et_Prestations</vt:lpstr>
      <vt:lpstr>Mobilier_scolaire</vt:lpstr>
      <vt:lpstr>ModeReponseEl0a</vt:lpstr>
      <vt:lpstr>ModeReponseEl103</vt:lpstr>
      <vt:lpstr>ModeReponseEl104</vt:lpstr>
      <vt:lpstr>ModeReponseEl104b</vt:lpstr>
      <vt:lpstr>ModeReponseEl107</vt:lpstr>
      <vt:lpstr>ModeReponseEl111</vt:lpstr>
      <vt:lpstr>ModeReponseEl114</vt:lpstr>
      <vt:lpstr>ModeReponseEl123</vt:lpstr>
      <vt:lpstr>ModeReponseEl132b</vt:lpstr>
      <vt:lpstr>ModeReponseEl134</vt:lpstr>
      <vt:lpstr>ModeReponseEl147</vt:lpstr>
      <vt:lpstr>ModeReponseEl150</vt:lpstr>
      <vt:lpstr>ModeReponseEl169</vt:lpstr>
      <vt:lpstr>ModeReponseEl172</vt:lpstr>
      <vt:lpstr>ModeReponseEl173</vt:lpstr>
      <vt:lpstr>ModeReponseEl179</vt:lpstr>
      <vt:lpstr>ModeReponseEl181b</vt:lpstr>
      <vt:lpstr>ModeReponseEl182</vt:lpstr>
      <vt:lpstr>ModeReponseEl1b</vt:lpstr>
      <vt:lpstr>ModeReponseEl205</vt:lpstr>
      <vt:lpstr>ModeReponseEl206b</vt:lpstr>
      <vt:lpstr>ModereponseEl219</vt:lpstr>
      <vt:lpstr>ModeReponseEl220</vt:lpstr>
      <vt:lpstr>ModeReponseEl224a</vt:lpstr>
      <vt:lpstr>ModeReponseEl224b</vt:lpstr>
      <vt:lpstr>ModeReponseEl224c</vt:lpstr>
      <vt:lpstr>ModeReponseEl259</vt:lpstr>
      <vt:lpstr>ModeReponseEl260a</vt:lpstr>
      <vt:lpstr>ModeReponseEl266</vt:lpstr>
      <vt:lpstr>ModeReponseEl271</vt:lpstr>
      <vt:lpstr>ModeReponseEl271c</vt:lpstr>
      <vt:lpstr>ModeReponseEl29</vt:lpstr>
      <vt:lpstr>ModeReponseEl30</vt:lpstr>
      <vt:lpstr>ModeReponseEl304</vt:lpstr>
      <vt:lpstr>ModeReponseEl305</vt:lpstr>
      <vt:lpstr>ModeReponseEl306</vt:lpstr>
      <vt:lpstr>ModeReponseEl308</vt:lpstr>
      <vt:lpstr>ModeReponseEl308b</vt:lpstr>
      <vt:lpstr>ModeReponseEl316</vt:lpstr>
      <vt:lpstr>ModeReponseEl316a</vt:lpstr>
      <vt:lpstr>ModeReponseEl318</vt:lpstr>
      <vt:lpstr>ModeReponseEl327</vt:lpstr>
      <vt:lpstr>ModeReponseEl332</vt:lpstr>
      <vt:lpstr>ModeReponseEl333</vt:lpstr>
      <vt:lpstr>ModeReponseEl333b</vt:lpstr>
      <vt:lpstr>ModeReponseEl334</vt:lpstr>
      <vt:lpstr>ModeReponseEl335e</vt:lpstr>
      <vt:lpstr>ModeReponseEl335h</vt:lpstr>
      <vt:lpstr>ModeReponseEl339d</vt:lpstr>
      <vt:lpstr>ModeReponseEl343</vt:lpstr>
      <vt:lpstr>ModeReponseEl343b</vt:lpstr>
      <vt:lpstr>ModeReponseEl35</vt:lpstr>
      <vt:lpstr>ModeReponseEl351</vt:lpstr>
      <vt:lpstr>ModeReponseEl361</vt:lpstr>
      <vt:lpstr>ModeReponseEl370</vt:lpstr>
      <vt:lpstr>ModeReponseEl377</vt:lpstr>
      <vt:lpstr>ModeReponseEl387</vt:lpstr>
      <vt:lpstr>ModeReponseEl493</vt:lpstr>
      <vt:lpstr>ModeReponseEl500c</vt:lpstr>
      <vt:lpstr>ModeReponseEl506a</vt:lpstr>
      <vt:lpstr>ModeReponseEl510a</vt:lpstr>
      <vt:lpstr>ModeReponseEl59</vt:lpstr>
      <vt:lpstr>ModeReponseEl60b</vt:lpstr>
      <vt:lpstr>ModeReponseEl60c</vt:lpstr>
      <vt:lpstr>ModeReponseEl60d</vt:lpstr>
      <vt:lpstr>modereponseel73</vt:lpstr>
      <vt:lpstr>modereponseel73c</vt:lpstr>
      <vt:lpstr>ModeReponseEl78j</vt:lpstr>
      <vt:lpstr>ModeReponseEl90</vt:lpstr>
      <vt:lpstr>ModeReponseEl92</vt:lpstr>
      <vt:lpstr>ModeReponseEl96</vt:lpstr>
      <vt:lpstr>Non_standardisé</vt:lpstr>
      <vt:lpstr>O140ColonneNiveauStandardDAG_Mobilier_scolaire_et_Equipement_general</vt:lpstr>
      <vt:lpstr>O140ColonneNiveauStandardDAG_SOFI</vt:lpstr>
      <vt:lpstr>O140ColonneNiveauStandardDAI</vt:lpstr>
      <vt:lpstr>O140ColonneNiveauStandardDAV</vt:lpstr>
      <vt:lpstr>O140ColonneNiveauStandardDS</vt:lpstr>
      <vt:lpstr>O140ColonneNiveauStandardNon_standardisé</vt:lpstr>
      <vt:lpstr>O140ColonneOperateurStandard</vt:lpstr>
      <vt:lpstr>structure_question!O140ColonneReference</vt:lpstr>
      <vt:lpstr>O140ColonneReference</vt:lpstr>
      <vt:lpstr>O140ColonneStandardDAG_Mobilier_scolaire_et_Equipement_general</vt:lpstr>
      <vt:lpstr>O140ColonneStandardDAG_SOFI</vt:lpstr>
      <vt:lpstr>O140ColonneStandardDAI</vt:lpstr>
      <vt:lpstr>O140ColonneStandardDAV</vt:lpstr>
      <vt:lpstr>O140ColonneStandardDS</vt:lpstr>
      <vt:lpstr>O140ColonneStandardE</vt:lpstr>
      <vt:lpstr>O140ColonneStandardNon_standardisé</vt:lpstr>
      <vt:lpstr>O140ColonneStandardUBiomedical</vt:lpstr>
      <vt:lpstr>O140ColonneStandardUBureauWEB</vt:lpstr>
      <vt:lpstr>O140ColonneStandardUCopieurs</vt:lpstr>
      <vt:lpstr>O140ColonneStandardUEQ_Lourds</vt:lpstr>
      <vt:lpstr>O140ColonneStandardUEQ_Soins_et_Secours</vt:lpstr>
      <vt:lpstr>O140ColonneStandardUEquipement_General</vt:lpstr>
      <vt:lpstr>O140ColonneStandardUGAUSS</vt:lpstr>
      <vt:lpstr>O140ColonneStandardUISP</vt:lpstr>
      <vt:lpstr>O140ColonneStandardULaboratoire</vt:lpstr>
      <vt:lpstr>O140ColonneStandardULogiciels</vt:lpstr>
      <vt:lpstr>O140ColonneStandardUMateriel_et_Prestations</vt:lpstr>
      <vt:lpstr>O140ColonneStandardUMatérielPrestations</vt:lpstr>
      <vt:lpstr>O140ColonneStandardUMobilier_scolaire</vt:lpstr>
      <vt:lpstr>O140ColonneStandardUNon_standardisé</vt:lpstr>
      <vt:lpstr>O140ColonneStandardUOffres_Financieres</vt:lpstr>
      <vt:lpstr>O140ColonneStandardUPII</vt:lpstr>
      <vt:lpstr>O140ColonneStandardUSAD</vt:lpstr>
      <vt:lpstr>O140ColonneStandardUServices_aux_batiments</vt:lpstr>
      <vt:lpstr>O140ColonneStandardUServices_aux_occupants</vt:lpstr>
      <vt:lpstr>O140ColonneStandardUTelecom</vt:lpstr>
      <vt:lpstr>O140ColonneStandardUVI</vt:lpstr>
      <vt:lpstr>O140ColonneStandardUVL</vt:lpstr>
      <vt:lpstr>Offres_Financieres</vt:lpstr>
      <vt:lpstr>PII</vt:lpstr>
      <vt:lpstr>Reponse</vt:lpstr>
      <vt:lpstr>ReponseDirection</vt:lpstr>
      <vt:lpstr>ReponseEl0a</vt:lpstr>
      <vt:lpstr>ReponseEl103</vt:lpstr>
      <vt:lpstr>ReponseEl104</vt:lpstr>
      <vt:lpstr>ReponseEl104b</vt:lpstr>
      <vt:lpstr>ReponseEl107</vt:lpstr>
      <vt:lpstr>ReponseEl111</vt:lpstr>
      <vt:lpstr>ReponseEl114</vt:lpstr>
      <vt:lpstr>ReponseEl123</vt:lpstr>
      <vt:lpstr>ReponseEl124</vt:lpstr>
      <vt:lpstr>ReponseEl132</vt:lpstr>
      <vt:lpstr>ReponseEl132b</vt:lpstr>
      <vt:lpstr>ReponseEl134</vt:lpstr>
      <vt:lpstr>ReponseEl136b</vt:lpstr>
      <vt:lpstr>ReponseEl147</vt:lpstr>
      <vt:lpstr>ReponseEl150</vt:lpstr>
      <vt:lpstr>ReponseEl169</vt:lpstr>
      <vt:lpstr>ReponseEl172</vt:lpstr>
      <vt:lpstr>ReponseEl173</vt:lpstr>
      <vt:lpstr>ReponseEl177</vt:lpstr>
      <vt:lpstr>ReponseEl178</vt:lpstr>
      <vt:lpstr>ReponseEl179</vt:lpstr>
      <vt:lpstr>ReponseEl181</vt:lpstr>
      <vt:lpstr>ReponseEl181b</vt:lpstr>
      <vt:lpstr>ReponseEl182</vt:lpstr>
      <vt:lpstr>ReponseEl183</vt:lpstr>
      <vt:lpstr>ReponseEl183b</vt:lpstr>
      <vt:lpstr>ReponseEl183e</vt:lpstr>
      <vt:lpstr>ReponseEl183g</vt:lpstr>
      <vt:lpstr>ReponseEl183l</vt:lpstr>
      <vt:lpstr>ReponseEl184</vt:lpstr>
      <vt:lpstr>Reponseel186</vt:lpstr>
      <vt:lpstr>ReponseEl188</vt:lpstr>
      <vt:lpstr>ReponseEl1b</vt:lpstr>
      <vt:lpstr>ReponseEl205</vt:lpstr>
      <vt:lpstr>ReponseEl206</vt:lpstr>
      <vt:lpstr>ReponseEl206b</vt:lpstr>
      <vt:lpstr>ReponseEl208</vt:lpstr>
      <vt:lpstr>ReponseEl209</vt:lpstr>
      <vt:lpstr>ReponseEl219</vt:lpstr>
      <vt:lpstr>ReponseEl220</vt:lpstr>
      <vt:lpstr>ReponseEl224a</vt:lpstr>
      <vt:lpstr>ReponseEl224b</vt:lpstr>
      <vt:lpstr>ReponseEl224c</vt:lpstr>
      <vt:lpstr>ReponseEl227</vt:lpstr>
      <vt:lpstr>ReponseEl259</vt:lpstr>
      <vt:lpstr>ReponseEl260a</vt:lpstr>
      <vt:lpstr>Reponseel260b</vt:lpstr>
      <vt:lpstr>ReponseEl260c</vt:lpstr>
      <vt:lpstr>ReponseEl266</vt:lpstr>
      <vt:lpstr>ReponseEl271</vt:lpstr>
      <vt:lpstr>ReponseEl271c</vt:lpstr>
      <vt:lpstr>ReponseEl29</vt:lpstr>
      <vt:lpstr>ReponseEl30</vt:lpstr>
      <vt:lpstr>ReponseEl301</vt:lpstr>
      <vt:lpstr>ReponseEl304</vt:lpstr>
      <vt:lpstr>ReponseEl305</vt:lpstr>
      <vt:lpstr>ReponseEl306</vt:lpstr>
      <vt:lpstr>ReponseEl308</vt:lpstr>
      <vt:lpstr>ReponseEl308b</vt:lpstr>
      <vt:lpstr>ReponseEl308c</vt:lpstr>
      <vt:lpstr>ReponseEl308d</vt:lpstr>
      <vt:lpstr>ReponseEl308e</vt:lpstr>
      <vt:lpstr>ReponseEl308f</vt:lpstr>
      <vt:lpstr>ReponseEl316</vt:lpstr>
      <vt:lpstr>ReponseEl316a</vt:lpstr>
      <vt:lpstr>ReponseEl318</vt:lpstr>
      <vt:lpstr>ReponseEl319</vt:lpstr>
      <vt:lpstr>ReponseEl326</vt:lpstr>
      <vt:lpstr>ReponseEl327</vt:lpstr>
      <vt:lpstr>ReponseEl332</vt:lpstr>
      <vt:lpstr>ReponseEl332b</vt:lpstr>
      <vt:lpstr>ReponseEl333</vt:lpstr>
      <vt:lpstr>ReponseEl333b</vt:lpstr>
      <vt:lpstr>ReponseEl334</vt:lpstr>
      <vt:lpstr>ReponseEl335e</vt:lpstr>
      <vt:lpstr>ReponseEl335g</vt:lpstr>
      <vt:lpstr>ReponseEl335h</vt:lpstr>
      <vt:lpstr>ReponseEl339d</vt:lpstr>
      <vt:lpstr>ReponseEl343</vt:lpstr>
      <vt:lpstr>ReponseEl343b</vt:lpstr>
      <vt:lpstr>ReponseEl35</vt:lpstr>
      <vt:lpstr>ReponseEl351</vt:lpstr>
      <vt:lpstr>ReponseEl360</vt:lpstr>
      <vt:lpstr>ReponseEl361</vt:lpstr>
      <vt:lpstr>ReponseEl370</vt:lpstr>
      <vt:lpstr>ReponseEl377</vt:lpstr>
      <vt:lpstr>ReponseEl387</vt:lpstr>
      <vt:lpstr>ReponseEl401</vt:lpstr>
      <vt:lpstr>ReponseEl488</vt:lpstr>
      <vt:lpstr>ReponseEl493</vt:lpstr>
      <vt:lpstr>ReponseEl500c</vt:lpstr>
      <vt:lpstr>ReponseEl506a</vt:lpstr>
      <vt:lpstr>ReponseEl510a</vt:lpstr>
      <vt:lpstr>ReponseEl510b</vt:lpstr>
      <vt:lpstr>ReponseEl510c</vt:lpstr>
      <vt:lpstr>ReponseEl59</vt:lpstr>
      <vt:lpstr>ReponseEl60b</vt:lpstr>
      <vt:lpstr>ReponseEl60c</vt:lpstr>
      <vt:lpstr>ReponseEl60d</vt:lpstr>
      <vt:lpstr>ReponseEl61</vt:lpstr>
      <vt:lpstr>ReponseEl71</vt:lpstr>
      <vt:lpstr>ReponseEl72</vt:lpstr>
      <vt:lpstr>ReponseEl73</vt:lpstr>
      <vt:lpstr>ReponseEl73b</vt:lpstr>
      <vt:lpstr>ReponseEl73d</vt:lpstr>
      <vt:lpstr>ReponseEl73g</vt:lpstr>
      <vt:lpstr>ReponseEl74</vt:lpstr>
      <vt:lpstr>ReponseEl78a</vt:lpstr>
      <vt:lpstr>ReponseEl78g</vt:lpstr>
      <vt:lpstr>ReponseEl78j</vt:lpstr>
      <vt:lpstr>ReponseEl78k</vt:lpstr>
      <vt:lpstr>ReponseEl78n</vt:lpstr>
      <vt:lpstr>ReponseEl80a</vt:lpstr>
      <vt:lpstr>ReponseEl84b</vt:lpstr>
      <vt:lpstr>ReponseEl84c</vt:lpstr>
      <vt:lpstr>ReponseEl85b</vt:lpstr>
      <vt:lpstr>ReponseEl86</vt:lpstr>
      <vt:lpstr>ReponseEl87</vt:lpstr>
      <vt:lpstr>ReponseEl87b</vt:lpstr>
      <vt:lpstr>ReponseEl88b</vt:lpstr>
      <vt:lpstr>ReponseEl90</vt:lpstr>
      <vt:lpstr>ReponseEl92</vt:lpstr>
      <vt:lpstr>ReponseEl96</vt:lpstr>
      <vt:lpstr>ReponseUnivers</vt:lpstr>
      <vt:lpstr>Services_aux_batiments</vt:lpstr>
      <vt:lpstr>Services_aux_occupants</vt:lpstr>
      <vt:lpstr>Telecom</vt:lpstr>
      <vt:lpstr>Univers_Non_Standardisé</vt:lpstr>
      <vt:lpstr>VBA_Biomedical</vt:lpstr>
      <vt:lpstr>VBA_BureauWEB</vt:lpstr>
      <vt:lpstr>VBA_Copieurs</vt:lpstr>
      <vt:lpstr>VBA_DAG_Mobilier_scolaire_et_Equipement_général</vt:lpstr>
      <vt:lpstr>VBA_DAG_SOFI</vt:lpstr>
      <vt:lpstr>VBA_DAI</vt:lpstr>
      <vt:lpstr>VBA_DAV</vt:lpstr>
      <vt:lpstr>VBA_DM_DMS</vt:lpstr>
      <vt:lpstr>VBA_DS</vt:lpstr>
      <vt:lpstr>VBA_E</vt:lpstr>
      <vt:lpstr>VBA_EQ_Lourds</vt:lpstr>
      <vt:lpstr>VBA_EQ_Soins_et_Secours</vt:lpstr>
      <vt:lpstr>VBA_Equipement_general</vt:lpstr>
      <vt:lpstr>VBA_GAUSS</vt:lpstr>
      <vt:lpstr>VBA_ISP</vt:lpstr>
      <vt:lpstr>VBA_Laboratoire</vt:lpstr>
      <vt:lpstr>VBA_Logiciels</vt:lpstr>
      <vt:lpstr>VBA_Materiel_et_Prestations</vt:lpstr>
      <vt:lpstr>VBA_Mobilier_scolaire</vt:lpstr>
      <vt:lpstr>VBA_Non_standardisé</vt:lpstr>
      <vt:lpstr>VBA_Offres_Financieres</vt:lpstr>
      <vt:lpstr>VBA_PII</vt:lpstr>
      <vt:lpstr>VBA_Services_aux_batiments</vt:lpstr>
      <vt:lpstr>VBA_Services_aux_occupants</vt:lpstr>
      <vt:lpstr>VBA_Telecom</vt:lpstr>
      <vt:lpstr>VBA_VI</vt:lpstr>
      <vt:lpstr>VBA_VL</vt:lpstr>
      <vt:lpstr>VI</vt:lpstr>
      <vt:lpstr>VL</vt:lpstr>
      <vt:lpstr>'140-Standards'!Zone_d_impression</vt:lpstr>
      <vt:lpstr>'3-Elaboration.O'!Zone_d_impression</vt:lpstr>
      <vt:lpstr>structure_question!Zone_d_impression</vt:lpstr>
    </vt:vector>
  </TitlesOfParts>
  <Manager/>
  <Company>UGAP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LABOUDI Farouk</dc:creator>
  <cp:keywords/>
  <dc:description/>
  <cp:lastModifiedBy>LABOUDI Farouk</cp:lastModifiedBy>
  <cp:revision/>
  <dcterms:created xsi:type="dcterms:W3CDTF">2026-04-13T15:29:13Z</dcterms:created>
  <dcterms:modified xsi:type="dcterms:W3CDTF">2026-10-15T14:49:28Z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0x010100DD04724718821041AF6B0DC12C2F3042</vt:lpwstr>
  </property>
</Properties>
</file>